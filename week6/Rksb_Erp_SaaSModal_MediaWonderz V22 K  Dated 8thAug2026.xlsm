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4.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5.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3.xml" ContentType="application/vnd.openxmlformats-officedocument.spreadsheetml.table+xml"/>
  <Override PartName="/xl/comments8.xml" ContentType="application/vnd.openxmlformats-officedocument.spreadsheetml.comments+xml"/>
  <Override PartName="/xl/drawings/drawing3.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comments9.xml" ContentType="application/vnd.openxmlformats-officedocument.spreadsheetml.comments+xml"/>
  <Override PartName="/xl/tables/table16.xml" ContentType="application/vnd.openxmlformats-officedocument.spreadsheetml.table+xml"/>
  <Override PartName="/xl/comments10.xml" ContentType="application/vnd.openxmlformats-officedocument.spreadsheetml.comments+xml"/>
  <Override PartName="/xl/drawings/drawing4.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11.xml" ContentType="application/vnd.openxmlformats-officedocument.spreadsheetml.comments+xml"/>
  <Override PartName="/xl/comments12.xml" ContentType="application/vnd.openxmlformats-officedocument.spreadsheetml.comments+xml"/>
  <Override PartName="/xl/tables/table19.xml" ContentType="application/vnd.openxmlformats-officedocument.spreadsheetml.table+xml"/>
  <Override PartName="/xl/comments13.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omments14.xml" ContentType="application/vnd.openxmlformats-officedocument.spreadsheetml.comments+xml"/>
  <Override PartName="/xl/tables/table25.xml" ContentType="application/vnd.openxmlformats-officedocument.spreadsheetml.table+xml"/>
  <Override PartName="/xl/tables/table26.xml" ContentType="application/vnd.openxmlformats-officedocument.spreadsheetml.table+xml"/>
  <Override PartName="/xl/comments15.xml" ContentType="application/vnd.openxmlformats-officedocument.spreadsheetml.comments+xml"/>
  <Override PartName="/xl/tables/table27.xml" ContentType="application/vnd.openxmlformats-officedocument.spreadsheetml.table+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Vethamuthu\Downloads\"/>
    </mc:Choice>
  </mc:AlternateContent>
  <xr:revisionPtr revIDLastSave="0" documentId="13_ncr:1_{2625BCE4-EF67-4489-8D71-AFFA0D40F781}" xr6:coauthVersionLast="47" xr6:coauthVersionMax="47" xr10:uidLastSave="{00000000-0000-0000-0000-000000000000}"/>
  <bookViews>
    <workbookView xWindow="-108" yWindow="-108" windowWidth="23256" windowHeight="12456" firstSheet="1" activeTab="7" xr2:uid="{00000000-000D-0000-FFFF-FFFF00000000}"/>
  </bookViews>
  <sheets>
    <sheet name="Evaluation" sheetId="30" state="hidden" r:id="rId1"/>
    <sheet name="Contents" sheetId="32" r:id="rId2"/>
    <sheet name="General_Information" sheetId="31" r:id="rId3"/>
    <sheet name="Menu_Layout" sheetId="42" r:id="rId4"/>
    <sheet name="UI_Comments" sheetId="41" r:id="rId5"/>
    <sheet name="Master" sheetId="20" r:id="rId6"/>
    <sheet name="Stakeholder" sheetId="18" r:id="rId7"/>
    <sheet name="WPS_BQ_Desp" sheetId="13" r:id="rId8"/>
    <sheet name="Asset_Mgm" sheetId="38" r:id="rId9"/>
    <sheet name="Finance_Accounts" sheetId="26" r:id="rId10"/>
    <sheet name="Table_Sample" sheetId="40" r:id="rId11"/>
    <sheet name="Doc_Print_Copy" sheetId="39" r:id="rId12"/>
    <sheet name="Cutomer_UF" sheetId="21" r:id="rId13"/>
    <sheet name="Cost_Centre" sheetId="1" r:id="rId14"/>
    <sheet name="Work_Schedule" sheetId="29" r:id="rId15"/>
    <sheet name="Purchase_Doc" sheetId="6" r:id="rId16"/>
    <sheet name="Material_Management" sheetId="22" r:id="rId17"/>
    <sheet name="Human_Resources" sheetId="17" r:id="rId18"/>
    <sheet name="Site_manangement" sheetId="25" r:id="rId19"/>
    <sheet name="Project_Cost_Management" sheetId="12" r:id="rId20"/>
    <sheet name="Contractor_Management" sheetId="27" r:id="rId21"/>
    <sheet name="Defination" sheetId="15" r:id="rId22"/>
    <sheet name="Sample_Data" sheetId="9" r:id="rId23"/>
    <sheet name="Business_Rule" sheetId="28" r:id="rId24"/>
    <sheet name="General_Userform" sheetId="11" r:id="rId25"/>
    <sheet name="Report" sheetId="8" r:id="rId26"/>
    <sheet name="Sub_Menu" sheetId="35" r:id="rId27"/>
    <sheet name="Task" sheetId="34" r:id="rId28"/>
    <sheet name="Observation_Inprovement" sheetId="33" r:id="rId29"/>
    <sheet name="Marketing" sheetId="36" r:id="rId30"/>
    <sheet name="SChedule_A_B" sheetId="37" r:id="rId31"/>
    <sheet name="Account_Class_Chart" sheetId="43" r:id="rId32"/>
    <sheet name="Master_Menu" sheetId="4" r:id="rId33"/>
  </sheets>
  <functionGroups builtInGroupCount="19"/>
  <externalReferences>
    <externalReference r:id="rId34"/>
  </externalReferences>
  <definedNames>
    <definedName name="_xlnm._FilterDatabase" localSheetId="17" hidden="1">Human_Resources!$BA$3:$BB$16</definedName>
    <definedName name="Account_Classification">Master!$ATA$30:$ATA$37</definedName>
    <definedName name="B" localSheetId="5">Master!#REF!</definedName>
    <definedName name="D" localSheetId="5">Master!#REF!</definedName>
    <definedName name="E" localSheetId="5">Master!#REF!</definedName>
    <definedName name="FMS_Group" localSheetId="31">[1]Finance_Accounts!#REF!</definedName>
    <definedName name="FMS_Group" localSheetId="8">Asset_Mgm!#REF!</definedName>
    <definedName name="FMS_Group">Finance_Accounts!#REF!</definedName>
    <definedName name="Group_List" localSheetId="31">[1]Master!#REF!</definedName>
    <definedName name="Group_List">Master!#REF!</definedName>
    <definedName name="Group_List_FM" localSheetId="31">[1]Finance_Accounts!#REF!</definedName>
    <definedName name="Group_List_FM" localSheetId="8">Asset_Mgm!#REF!</definedName>
    <definedName name="Group_List_FM">Finance_Accounts!#REF!</definedName>
    <definedName name="Group_List_Purchase_Doc">Purchase_Doc!$J$4:$J$10</definedName>
    <definedName name="Grouping_List_CCM">Contractor_Management!$K$4:$K$5</definedName>
    <definedName name="Grouping_List_HRM">Human_Resources!$J$4:$J$24</definedName>
    <definedName name="H" localSheetId="5">Master!#REF!</definedName>
    <definedName name="I" localSheetId="5">Master!#REF!</definedName>
    <definedName name="L" localSheetId="5">Master!#REF!</definedName>
    <definedName name="Module_List">#REF!</definedName>
    <definedName name="N" localSheetId="5">Master!#REF!</definedName>
    <definedName name="O" localSheetId="5">Master!#REF!</definedName>
    <definedName name="Phase">#REF!</definedName>
    <definedName name="SMS_Group" localSheetId="31">[1]Site_manangement!$DJ$2:$DJ$12</definedName>
    <definedName name="SMS_Group">Site_manangement!$DJ$2:$DJ$12</definedName>
    <definedName name="T" localSheetId="5">Master!#REF!</definedName>
    <definedName name="U" localSheetId="5">Master!#REF!</definedName>
  </definedNames>
  <calcPr calcId="191028"/>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71" i="43" l="1"/>
  <c r="D1370" i="43"/>
  <c r="D1369" i="43"/>
  <c r="D1368" i="43"/>
  <c r="D1367" i="43"/>
  <c r="D1366" i="43"/>
  <c r="D1365" i="43"/>
  <c r="D1364" i="43"/>
  <c r="D1362" i="43"/>
  <c r="D1361" i="43"/>
  <c r="D1360" i="43"/>
  <c r="D1359" i="43"/>
  <c r="D1358" i="43"/>
  <c r="D1357" i="43"/>
  <c r="D1356" i="43"/>
  <c r="D1355" i="43"/>
  <c r="D1354" i="43"/>
  <c r="D1353" i="43"/>
  <c r="D1352" i="43"/>
  <c r="D1351" i="43"/>
  <c r="D1350" i="43"/>
  <c r="D1349" i="43"/>
  <c r="D1348" i="43"/>
  <c r="D1347" i="43"/>
  <c r="D1346" i="43"/>
  <c r="D1345" i="43"/>
  <c r="D1344" i="43"/>
  <c r="D1343" i="43"/>
  <c r="D1342" i="43"/>
  <c r="D1341" i="43"/>
  <c r="D1340" i="43"/>
  <c r="D1339" i="43"/>
  <c r="D1338" i="43"/>
  <c r="D1337" i="43"/>
  <c r="D1336" i="43"/>
  <c r="D1335" i="43"/>
  <c r="D1334" i="43"/>
  <c r="D1333" i="43"/>
  <c r="D1332" i="43"/>
  <c r="D1331" i="43"/>
  <c r="D1330" i="43"/>
  <c r="D1329" i="43"/>
  <c r="D1328" i="43"/>
  <c r="D1327" i="43"/>
  <c r="D1326" i="43"/>
  <c r="D1325" i="43"/>
  <c r="D1324" i="43"/>
  <c r="D1323" i="43"/>
  <c r="D1322" i="43"/>
  <c r="D1321" i="43"/>
  <c r="D1320" i="43"/>
  <c r="D1319" i="43"/>
  <c r="D1318" i="43"/>
  <c r="D1317" i="43"/>
  <c r="D1316" i="43"/>
  <c r="D1315" i="43"/>
  <c r="D1314" i="43"/>
  <c r="D1313" i="43"/>
  <c r="D1312" i="43"/>
  <c r="D1311" i="43"/>
  <c r="D1310" i="43"/>
  <c r="D1309" i="43"/>
  <c r="D1308" i="43"/>
  <c r="D1307" i="43"/>
  <c r="D1306" i="43"/>
  <c r="D1305" i="43"/>
  <c r="D1304" i="43"/>
  <c r="D1303" i="43"/>
  <c r="D1302" i="43"/>
  <c r="D1301" i="43"/>
  <c r="D1300" i="43"/>
  <c r="D1299" i="43"/>
  <c r="D1298" i="43"/>
  <c r="D1297" i="43"/>
  <c r="D1296" i="43"/>
  <c r="D1295" i="43"/>
  <c r="D1294" i="43"/>
  <c r="D1293" i="43"/>
  <c r="D1292" i="43"/>
  <c r="D1291" i="43"/>
  <c r="D1290" i="43"/>
  <c r="D1289" i="43"/>
  <c r="D1288" i="43"/>
  <c r="D1287" i="43"/>
  <c r="D1286" i="43"/>
  <c r="D1285" i="43"/>
  <c r="D1284" i="43"/>
  <c r="D1283" i="43"/>
  <c r="D1282" i="43"/>
  <c r="D1281" i="43"/>
  <c r="D1280" i="43"/>
  <c r="D1279" i="43"/>
  <c r="D1278" i="43"/>
  <c r="D1277" i="43"/>
  <c r="D1276" i="43"/>
  <c r="D1275" i="43"/>
  <c r="D1274" i="43"/>
  <c r="D1273" i="43"/>
  <c r="D1272" i="43"/>
  <c r="D1271" i="43"/>
  <c r="D1270" i="43"/>
  <c r="D1269" i="43"/>
  <c r="D1268" i="43"/>
  <c r="D1267" i="43"/>
  <c r="D1266" i="43"/>
  <c r="D1265" i="43"/>
  <c r="D1264" i="43"/>
  <c r="D1263" i="43"/>
  <c r="D1262" i="43"/>
  <c r="D1261" i="43"/>
  <c r="D1260" i="43"/>
  <c r="D1259" i="43"/>
  <c r="D1258" i="43"/>
  <c r="D1257" i="43"/>
  <c r="D1256" i="43"/>
  <c r="D1255" i="43"/>
  <c r="D1254" i="43"/>
  <c r="D1253" i="43"/>
  <c r="D1252" i="43"/>
  <c r="D1251" i="43"/>
  <c r="D1250" i="43"/>
  <c r="D1249" i="43"/>
  <c r="D1248" i="43"/>
  <c r="D1247" i="43"/>
  <c r="D1246" i="43"/>
  <c r="D1245" i="43"/>
  <c r="D1244" i="43"/>
  <c r="D1243" i="43"/>
  <c r="D1242" i="43"/>
  <c r="D1241" i="43"/>
  <c r="D1240" i="43"/>
  <c r="D1239" i="43"/>
  <c r="D1238" i="43"/>
  <c r="D1237" i="43"/>
  <c r="D1236" i="43"/>
  <c r="D1235" i="43"/>
  <c r="D1234" i="43"/>
  <c r="D1233" i="43"/>
  <c r="D1232" i="43"/>
  <c r="D1231" i="43"/>
  <c r="D1230" i="43"/>
  <c r="D1229" i="43"/>
  <c r="D1228" i="43"/>
  <c r="D1227" i="43"/>
  <c r="D1226" i="43"/>
  <c r="D1225" i="43"/>
  <c r="D1224" i="43"/>
  <c r="D1223" i="43"/>
  <c r="D1222" i="43"/>
  <c r="D1221" i="43"/>
  <c r="D1220" i="43"/>
  <c r="D1219" i="43"/>
  <c r="D1218" i="43"/>
  <c r="D1217" i="43"/>
  <c r="D1216" i="43"/>
  <c r="D1215" i="43"/>
  <c r="D1214" i="43"/>
  <c r="D1213" i="43"/>
  <c r="D1212" i="43"/>
  <c r="D1211" i="43"/>
  <c r="D1210" i="43"/>
  <c r="D1209" i="43"/>
  <c r="D1208" i="43"/>
  <c r="D1207" i="43"/>
  <c r="D1206" i="43"/>
  <c r="D1205" i="43"/>
  <c r="D1204" i="43"/>
  <c r="D1203" i="43"/>
  <c r="D1202" i="43"/>
  <c r="D1201" i="43"/>
  <c r="D1200" i="43"/>
  <c r="D1199" i="43"/>
  <c r="D1198" i="43"/>
  <c r="D1197" i="43"/>
  <c r="D1196" i="43"/>
  <c r="D1195" i="43"/>
  <c r="D1194" i="43"/>
  <c r="D1193" i="43"/>
  <c r="D1192" i="43"/>
  <c r="D1191" i="43"/>
  <c r="D1190" i="43"/>
  <c r="D1189" i="43"/>
  <c r="D1188" i="43"/>
  <c r="D1187" i="43"/>
  <c r="D1186" i="43"/>
  <c r="D1185" i="43"/>
  <c r="D1184" i="43"/>
  <c r="D1183" i="43"/>
  <c r="D1182" i="43"/>
  <c r="D1181" i="43"/>
  <c r="D1180" i="43"/>
  <c r="D1179" i="43"/>
  <c r="D1178" i="43"/>
  <c r="D1177" i="43"/>
  <c r="D1176" i="43"/>
  <c r="D1175" i="43"/>
  <c r="D1174" i="43"/>
  <c r="D1173" i="43"/>
  <c r="D1172" i="43"/>
  <c r="D1171" i="43"/>
  <c r="D1170" i="43"/>
  <c r="D1169" i="43"/>
  <c r="D1168" i="43"/>
  <c r="D1167" i="43"/>
  <c r="D1166" i="43"/>
  <c r="D1165" i="43"/>
  <c r="D1164" i="43"/>
  <c r="D1163" i="43"/>
  <c r="D1162" i="43"/>
  <c r="D1161" i="43"/>
  <c r="D1160" i="43"/>
  <c r="D1159" i="43"/>
  <c r="D1158" i="43"/>
  <c r="D1157" i="43"/>
  <c r="D1156" i="43"/>
  <c r="D1155" i="43"/>
  <c r="D1154" i="43"/>
  <c r="D1153" i="43"/>
  <c r="D1152" i="43"/>
  <c r="D1151" i="43"/>
  <c r="D1150" i="43"/>
  <c r="D1149" i="43"/>
  <c r="D1148" i="43"/>
  <c r="D1147" i="43"/>
  <c r="D1146" i="43"/>
  <c r="D1145" i="43"/>
  <c r="D1144" i="43"/>
  <c r="D1143" i="43"/>
  <c r="D1142" i="43"/>
  <c r="D1141" i="43"/>
  <c r="D1140" i="43"/>
  <c r="D1139" i="43"/>
  <c r="D1138" i="43"/>
  <c r="D1137" i="43"/>
  <c r="D1136" i="43"/>
  <c r="D1135" i="43"/>
  <c r="D1134" i="43"/>
  <c r="D1133" i="43"/>
  <c r="D1132" i="43"/>
  <c r="D1131" i="43"/>
  <c r="D1130" i="43"/>
  <c r="D1129" i="43"/>
  <c r="D1128" i="43"/>
  <c r="D1127" i="43"/>
  <c r="D1126" i="43"/>
  <c r="D1125" i="43"/>
  <c r="D1124" i="43"/>
  <c r="D1123" i="43"/>
  <c r="D1122" i="43"/>
  <c r="D1121" i="43"/>
  <c r="D1120" i="43"/>
  <c r="D1119" i="43"/>
  <c r="D1118" i="43"/>
  <c r="D1117" i="43"/>
  <c r="D1116" i="43"/>
  <c r="D1115" i="43"/>
  <c r="D1114" i="43"/>
  <c r="D1113" i="43"/>
  <c r="D1112" i="43"/>
  <c r="D1111" i="43"/>
  <c r="D1110" i="43"/>
  <c r="D1109" i="43"/>
  <c r="D1108" i="43"/>
  <c r="D1107" i="43"/>
  <c r="D1106" i="43"/>
  <c r="D1105" i="43"/>
  <c r="D1104" i="43"/>
  <c r="D1103" i="43"/>
  <c r="D1102" i="43"/>
  <c r="D1101" i="43"/>
  <c r="D1100" i="43"/>
  <c r="D1099" i="43"/>
  <c r="D1098" i="43"/>
  <c r="D1097" i="43"/>
  <c r="D1093" i="43"/>
  <c r="D1092" i="43"/>
  <c r="D1091" i="43"/>
  <c r="D1090" i="43"/>
  <c r="D1089" i="43"/>
  <c r="D1088" i="43"/>
  <c r="D1087" i="43"/>
  <c r="D1086" i="43"/>
  <c r="D1085" i="43"/>
  <c r="D1084" i="43"/>
  <c r="D1083" i="43"/>
  <c r="D1082" i="43"/>
  <c r="D1081" i="43"/>
  <c r="D1080" i="43"/>
  <c r="D1079" i="43"/>
  <c r="D1078" i="43"/>
  <c r="D1077" i="43"/>
  <c r="D1076" i="43"/>
  <c r="D1075" i="43"/>
  <c r="D1074" i="43"/>
  <c r="D1073" i="43"/>
  <c r="D1072" i="43"/>
  <c r="D1069" i="43"/>
  <c r="D1068" i="43"/>
  <c r="D1067" i="43"/>
  <c r="D1066" i="43"/>
  <c r="D1065" i="43"/>
  <c r="D1064" i="43"/>
  <c r="D1063" i="43"/>
  <c r="D1062" i="43"/>
  <c r="D1061" i="43"/>
  <c r="D1060" i="43"/>
  <c r="D1059" i="43"/>
  <c r="D1058" i="43"/>
  <c r="D1057" i="43"/>
  <c r="D1056" i="43"/>
  <c r="D1055" i="43"/>
  <c r="D1054" i="43"/>
  <c r="D1053" i="43"/>
  <c r="D1052" i="43"/>
  <c r="D1051" i="43"/>
  <c r="D1050" i="43"/>
  <c r="D1049" i="43"/>
  <c r="D1048" i="43"/>
  <c r="D1047" i="43"/>
  <c r="D1046" i="43"/>
  <c r="D1045" i="43"/>
  <c r="D1044" i="43"/>
  <c r="D1043" i="43"/>
  <c r="D1042" i="43"/>
  <c r="D1041" i="43"/>
  <c r="D1040" i="43"/>
  <c r="D1039" i="43"/>
  <c r="D1038" i="43"/>
  <c r="D1037" i="43"/>
  <c r="D1036" i="43"/>
  <c r="D1035" i="43"/>
  <c r="D1034" i="43"/>
  <c r="D1033" i="43"/>
  <c r="D1032" i="43"/>
  <c r="D1031" i="43"/>
  <c r="D1030" i="43"/>
  <c r="D1029" i="43"/>
  <c r="D1028" i="43"/>
  <c r="D1027" i="43"/>
  <c r="D1026" i="43"/>
  <c r="D1025" i="43"/>
  <c r="D1024" i="43"/>
  <c r="D1023" i="43"/>
  <c r="D1022" i="43"/>
  <c r="D1021" i="43"/>
  <c r="D1020" i="43"/>
  <c r="D1019" i="43"/>
  <c r="D1018" i="43"/>
  <c r="D1017" i="43"/>
  <c r="D1016" i="43"/>
  <c r="D1015" i="43"/>
  <c r="D1014" i="43"/>
  <c r="D1013" i="43"/>
  <c r="D1012" i="43"/>
  <c r="D1011" i="43"/>
  <c r="D1010" i="43"/>
  <c r="D1009" i="43"/>
  <c r="D1008" i="43"/>
  <c r="D1007" i="43"/>
  <c r="D1006" i="43"/>
  <c r="D1005" i="43"/>
  <c r="D1004" i="43"/>
  <c r="D1003" i="43"/>
  <c r="D1002" i="43"/>
  <c r="D1001" i="43"/>
  <c r="D1000" i="43"/>
  <c r="D999" i="43"/>
  <c r="D998" i="43"/>
  <c r="D997" i="43"/>
  <c r="D996" i="43"/>
  <c r="D995" i="43"/>
  <c r="D994" i="43"/>
  <c r="D993" i="43"/>
  <c r="D992" i="43"/>
  <c r="D991" i="43"/>
  <c r="D990" i="43"/>
  <c r="D989" i="43"/>
  <c r="D988" i="43"/>
  <c r="D987" i="43"/>
  <c r="D986" i="43"/>
  <c r="D985" i="43"/>
  <c r="D984" i="43"/>
  <c r="D983" i="43"/>
  <c r="D982" i="43"/>
  <c r="D981" i="43"/>
  <c r="D980" i="43"/>
  <c r="D979" i="43"/>
  <c r="D978" i="43"/>
  <c r="D977" i="43"/>
  <c r="D976" i="43"/>
  <c r="D975" i="43"/>
  <c r="D974" i="43"/>
  <c r="D973" i="43"/>
  <c r="D972" i="43"/>
  <c r="D971" i="43"/>
  <c r="D970" i="43"/>
  <c r="D969" i="43"/>
  <c r="D968" i="43"/>
  <c r="D967" i="43"/>
  <c r="D966" i="43"/>
  <c r="D965" i="43"/>
  <c r="D964" i="43"/>
  <c r="D963" i="43"/>
  <c r="D962" i="43"/>
  <c r="D961" i="43"/>
  <c r="D960" i="43"/>
  <c r="D959" i="43"/>
  <c r="D958" i="43"/>
  <c r="D957" i="43"/>
  <c r="D956" i="43"/>
  <c r="D955" i="43"/>
  <c r="D954" i="43"/>
  <c r="D953" i="43"/>
  <c r="D952" i="43"/>
  <c r="D951" i="43"/>
  <c r="D950" i="43"/>
  <c r="D949" i="43"/>
  <c r="D948" i="43"/>
  <c r="D947" i="43"/>
  <c r="D946" i="43"/>
  <c r="D945" i="43"/>
  <c r="D944" i="43"/>
  <c r="D943" i="43"/>
  <c r="D942" i="43"/>
  <c r="D941" i="43"/>
  <c r="D940" i="43"/>
  <c r="D939" i="43"/>
  <c r="D938" i="43"/>
  <c r="D937" i="43"/>
  <c r="D936" i="43"/>
  <c r="D935" i="43"/>
  <c r="D934" i="43"/>
  <c r="D933" i="43"/>
  <c r="D932" i="43"/>
  <c r="D931" i="43"/>
  <c r="D930" i="43"/>
  <c r="D929" i="43"/>
  <c r="D928" i="43"/>
  <c r="D927" i="43"/>
  <c r="D926" i="43"/>
  <c r="D925" i="43"/>
  <c r="D924" i="43"/>
  <c r="D923" i="43"/>
  <c r="D922" i="43"/>
  <c r="D921" i="43"/>
  <c r="D920" i="43"/>
  <c r="D919" i="43"/>
  <c r="D918" i="43"/>
  <c r="D917" i="43"/>
  <c r="D916" i="43"/>
  <c r="D915" i="43"/>
  <c r="D914" i="43"/>
  <c r="D913" i="43"/>
  <c r="D912" i="43"/>
  <c r="D911" i="43"/>
  <c r="D910" i="43"/>
  <c r="D909" i="43"/>
  <c r="D908" i="43"/>
  <c r="D907" i="43"/>
  <c r="D906" i="43"/>
  <c r="D905" i="43"/>
  <c r="D904" i="43"/>
  <c r="D903" i="43"/>
  <c r="D902" i="43"/>
  <c r="D901" i="43"/>
  <c r="D900" i="43"/>
  <c r="D899" i="43"/>
  <c r="D898" i="43"/>
  <c r="D897" i="43"/>
  <c r="D896" i="43"/>
  <c r="D895" i="43"/>
  <c r="D894" i="43"/>
  <c r="D893" i="43"/>
  <c r="D892" i="43"/>
  <c r="D891" i="43"/>
  <c r="D890" i="43"/>
  <c r="D889" i="43"/>
  <c r="D888" i="43"/>
  <c r="D887" i="43"/>
  <c r="D886" i="43"/>
  <c r="D885" i="43"/>
  <c r="D884" i="43"/>
  <c r="D883" i="43"/>
  <c r="D882" i="43"/>
  <c r="D881" i="43"/>
  <c r="D880" i="43"/>
  <c r="D879" i="43"/>
  <c r="D878" i="43"/>
  <c r="D877" i="43"/>
  <c r="D876" i="43"/>
  <c r="D875" i="43"/>
  <c r="D874" i="43"/>
  <c r="D873" i="43"/>
  <c r="D872" i="43"/>
  <c r="D871" i="43"/>
  <c r="D869" i="43"/>
  <c r="D868" i="43"/>
  <c r="D867" i="43"/>
  <c r="D866" i="43"/>
  <c r="D865" i="43"/>
  <c r="D864" i="43"/>
  <c r="D863" i="43"/>
  <c r="D862" i="43"/>
  <c r="D861" i="43"/>
  <c r="D860" i="43"/>
  <c r="D859" i="43"/>
  <c r="D858" i="43"/>
  <c r="D857" i="43"/>
  <c r="D856" i="43"/>
  <c r="D855" i="43"/>
  <c r="D854" i="43"/>
  <c r="D853" i="43"/>
  <c r="D852" i="43"/>
  <c r="D851" i="43"/>
  <c r="D850" i="43"/>
  <c r="D849" i="43"/>
  <c r="D848" i="43"/>
  <c r="D847" i="43"/>
  <c r="D846" i="43"/>
  <c r="D845" i="43"/>
  <c r="D844" i="43"/>
  <c r="D843" i="43"/>
  <c r="D842" i="43"/>
  <c r="D841" i="43"/>
  <c r="D840" i="43"/>
  <c r="D839" i="43"/>
  <c r="D838" i="43"/>
  <c r="D837" i="43"/>
  <c r="D836" i="43"/>
  <c r="D835" i="43"/>
  <c r="D834" i="43"/>
  <c r="D833" i="43"/>
  <c r="D832" i="43"/>
  <c r="D831" i="43"/>
  <c r="D830" i="43"/>
  <c r="D829" i="43"/>
  <c r="D828" i="43"/>
  <c r="D827" i="43"/>
  <c r="D826" i="43"/>
  <c r="D825" i="43"/>
  <c r="D824" i="43"/>
  <c r="D823" i="43"/>
  <c r="D822" i="43"/>
  <c r="D821" i="43"/>
  <c r="D820" i="43"/>
  <c r="D819" i="43"/>
  <c r="D818" i="43"/>
  <c r="D817" i="43"/>
  <c r="D816" i="43"/>
  <c r="D815" i="43"/>
  <c r="D814" i="43"/>
  <c r="D813" i="43"/>
  <c r="D812" i="43"/>
  <c r="D811" i="43"/>
  <c r="D810" i="43"/>
  <c r="D809" i="43"/>
  <c r="D808" i="43"/>
  <c r="D807" i="43"/>
  <c r="D806" i="43"/>
  <c r="D805" i="43"/>
  <c r="D804" i="43"/>
  <c r="D803" i="43"/>
  <c r="D802" i="43"/>
  <c r="D801" i="43"/>
  <c r="D800" i="43"/>
  <c r="D799" i="43"/>
  <c r="D798" i="43"/>
  <c r="D797" i="43"/>
  <c r="D796" i="43"/>
  <c r="D795" i="43"/>
  <c r="D794" i="43"/>
  <c r="D793" i="43"/>
  <c r="D792" i="43"/>
  <c r="D791" i="43"/>
  <c r="D790" i="43"/>
  <c r="D789" i="43"/>
  <c r="D788" i="43"/>
  <c r="D787" i="43"/>
  <c r="D786" i="43"/>
  <c r="D785" i="43"/>
  <c r="D784" i="43"/>
  <c r="D783" i="43"/>
  <c r="D782" i="43"/>
  <c r="D781" i="43"/>
  <c r="D780" i="43"/>
  <c r="D779" i="43"/>
  <c r="D778" i="43"/>
  <c r="D777" i="43"/>
  <c r="D776" i="43"/>
  <c r="D775" i="43"/>
  <c r="D774" i="43"/>
  <c r="D773" i="43"/>
  <c r="D772" i="43"/>
  <c r="D771" i="43"/>
  <c r="D770" i="43"/>
  <c r="D769" i="43"/>
  <c r="D768" i="43"/>
  <c r="D767" i="43"/>
  <c r="D766" i="43"/>
  <c r="D765" i="43"/>
  <c r="D764" i="43"/>
  <c r="D763" i="43"/>
  <c r="D762" i="43"/>
  <c r="D761" i="43"/>
  <c r="D760" i="43"/>
  <c r="D759" i="43"/>
  <c r="D758" i="43"/>
  <c r="D757" i="43"/>
  <c r="D756" i="43"/>
  <c r="D755" i="43"/>
  <c r="D754" i="43"/>
  <c r="D753" i="43"/>
  <c r="D752" i="43"/>
  <c r="D751" i="43"/>
  <c r="D750" i="43"/>
  <c r="D749" i="43"/>
  <c r="D748" i="43"/>
  <c r="D747" i="43"/>
  <c r="D746" i="43"/>
  <c r="D745" i="43"/>
  <c r="D744" i="43"/>
  <c r="D743" i="43"/>
  <c r="D742" i="43"/>
  <c r="D741" i="43"/>
  <c r="D740" i="43"/>
  <c r="D739" i="43"/>
  <c r="D738" i="43"/>
  <c r="D737" i="43"/>
  <c r="D736" i="43"/>
  <c r="D735" i="43"/>
  <c r="D734" i="43"/>
  <c r="D733" i="43"/>
  <c r="D732" i="43"/>
  <c r="D731" i="43"/>
  <c r="D730" i="43"/>
  <c r="D729" i="43"/>
  <c r="D728" i="43"/>
  <c r="D727" i="43"/>
  <c r="D726" i="43"/>
  <c r="D725" i="43"/>
  <c r="D724" i="43"/>
  <c r="D723" i="43"/>
  <c r="D722" i="43"/>
  <c r="D721" i="43"/>
  <c r="D720" i="43"/>
  <c r="D719" i="43"/>
  <c r="D718" i="43"/>
  <c r="D717" i="43"/>
  <c r="D716" i="43"/>
  <c r="D715" i="43"/>
  <c r="D714" i="43"/>
  <c r="D713" i="43"/>
  <c r="D712" i="43"/>
  <c r="D711" i="43"/>
  <c r="D710" i="43"/>
  <c r="D709" i="43"/>
  <c r="D708" i="43"/>
  <c r="D707" i="43"/>
  <c r="D706" i="43"/>
  <c r="D705" i="43"/>
  <c r="D704" i="43"/>
  <c r="D703" i="43"/>
  <c r="D702" i="43"/>
  <c r="D701" i="43"/>
  <c r="D700" i="43"/>
  <c r="D699" i="43"/>
  <c r="D698" i="43"/>
  <c r="D697" i="43"/>
  <c r="D696" i="43"/>
  <c r="D695" i="43"/>
  <c r="D694" i="43"/>
  <c r="D693" i="43"/>
  <c r="D692" i="43"/>
  <c r="D691" i="43"/>
  <c r="D690" i="43"/>
  <c r="D689" i="43"/>
  <c r="D688" i="43"/>
  <c r="D687" i="43"/>
  <c r="D686" i="43"/>
  <c r="D685" i="43"/>
  <c r="D684" i="43"/>
  <c r="D683" i="43"/>
  <c r="D682" i="43"/>
  <c r="D681" i="43"/>
  <c r="D680" i="43"/>
  <c r="D679" i="43"/>
  <c r="D678" i="43"/>
  <c r="D677" i="43"/>
  <c r="D676" i="43"/>
  <c r="D675" i="43"/>
  <c r="D674" i="43"/>
  <c r="D673" i="43"/>
  <c r="D672" i="43"/>
  <c r="D671" i="43"/>
  <c r="D670" i="43"/>
  <c r="D669" i="43"/>
  <c r="D668" i="43"/>
  <c r="D667" i="43"/>
  <c r="D666" i="43"/>
  <c r="D665" i="43"/>
  <c r="D664" i="43"/>
  <c r="D663" i="43"/>
  <c r="D662" i="43"/>
  <c r="D661" i="43"/>
  <c r="D660" i="43"/>
  <c r="D659" i="43"/>
  <c r="D658" i="43"/>
  <c r="D657" i="43"/>
  <c r="D656" i="43"/>
  <c r="D655" i="43"/>
  <c r="D654" i="43"/>
  <c r="D653" i="43"/>
  <c r="D652" i="43"/>
  <c r="D651" i="43"/>
  <c r="D650" i="43"/>
  <c r="D649" i="43"/>
  <c r="D648" i="43"/>
  <c r="D647" i="43"/>
  <c r="D646" i="43"/>
  <c r="D645" i="43"/>
  <c r="D644" i="43"/>
  <c r="D643" i="43"/>
  <c r="D642" i="43"/>
  <c r="D641" i="43"/>
  <c r="D640" i="43"/>
  <c r="D639" i="43"/>
  <c r="D638" i="43"/>
  <c r="D637" i="43"/>
  <c r="D636" i="43"/>
  <c r="D635" i="43"/>
  <c r="D634" i="43"/>
  <c r="D633" i="43"/>
  <c r="D632" i="43"/>
  <c r="D631" i="43"/>
  <c r="D630" i="43"/>
  <c r="D629" i="43"/>
  <c r="D628" i="43"/>
  <c r="D627" i="43"/>
  <c r="D626" i="43"/>
  <c r="D625" i="43"/>
  <c r="D624" i="43"/>
  <c r="D623" i="43"/>
  <c r="D622" i="43"/>
  <c r="D621" i="43"/>
  <c r="D620" i="43"/>
  <c r="D619" i="43"/>
  <c r="D618" i="43"/>
  <c r="D617" i="43"/>
  <c r="D616" i="43"/>
  <c r="D615" i="43"/>
  <c r="D614" i="43"/>
  <c r="D613" i="43"/>
  <c r="D612" i="43"/>
  <c r="D611" i="43"/>
  <c r="D610" i="43"/>
  <c r="D609" i="43"/>
  <c r="D608" i="43"/>
  <c r="D607" i="43"/>
  <c r="D606" i="43"/>
  <c r="D605" i="43"/>
  <c r="D604" i="43"/>
  <c r="D603" i="43"/>
  <c r="D602" i="43"/>
  <c r="D601" i="43"/>
  <c r="D600" i="43"/>
  <c r="D599" i="43"/>
  <c r="D598" i="43"/>
  <c r="D597" i="43"/>
  <c r="D596" i="43"/>
  <c r="D595" i="43"/>
  <c r="D594" i="43"/>
  <c r="D593" i="43"/>
  <c r="D592" i="43"/>
  <c r="D591" i="43"/>
  <c r="D590" i="43"/>
  <c r="D589" i="43"/>
  <c r="D588" i="43"/>
  <c r="D587" i="43"/>
  <c r="D586" i="43"/>
  <c r="D585" i="43"/>
  <c r="D584" i="43"/>
  <c r="D583" i="43"/>
  <c r="D582" i="43"/>
  <c r="D581" i="43"/>
  <c r="D580" i="43"/>
  <c r="D579" i="43"/>
  <c r="D578" i="43"/>
  <c r="D577" i="43"/>
  <c r="D576" i="43"/>
  <c r="D575" i="43"/>
  <c r="D574" i="43"/>
  <c r="D573" i="43"/>
  <c r="D572" i="43"/>
  <c r="D571" i="43"/>
  <c r="D570" i="43"/>
  <c r="D569" i="43"/>
  <c r="D568" i="43"/>
  <c r="D567" i="43"/>
  <c r="D566" i="43"/>
  <c r="D565" i="43"/>
  <c r="D564" i="43"/>
  <c r="D563" i="43"/>
  <c r="D562" i="43"/>
  <c r="D561" i="43"/>
  <c r="D560" i="43"/>
  <c r="D559" i="43"/>
  <c r="D558" i="43"/>
  <c r="D557" i="43"/>
  <c r="D556" i="43"/>
  <c r="D555" i="43"/>
  <c r="D554" i="43"/>
  <c r="D553" i="43"/>
  <c r="D552" i="43"/>
  <c r="D551" i="43"/>
  <c r="D550" i="43"/>
  <c r="D549" i="43"/>
  <c r="D548" i="43"/>
  <c r="D547" i="43"/>
  <c r="D546" i="43"/>
  <c r="D545" i="43"/>
  <c r="D544" i="43"/>
  <c r="D543" i="43"/>
  <c r="D542" i="43"/>
  <c r="D541" i="43"/>
  <c r="D540" i="43"/>
  <c r="D539" i="43"/>
  <c r="D538" i="43"/>
  <c r="D537" i="43"/>
  <c r="D536" i="43"/>
  <c r="D535" i="43"/>
  <c r="D534" i="43"/>
  <c r="D533" i="43"/>
  <c r="D532" i="43"/>
  <c r="D531" i="43"/>
  <c r="D530" i="43"/>
  <c r="D529" i="43"/>
  <c r="D528" i="43"/>
  <c r="D527" i="43"/>
  <c r="D526" i="43"/>
  <c r="D525" i="43"/>
  <c r="D524" i="43"/>
  <c r="D523" i="43"/>
  <c r="D522" i="43"/>
  <c r="D521" i="43"/>
  <c r="D520" i="43"/>
  <c r="D519" i="43"/>
  <c r="D518" i="43"/>
  <c r="D517" i="43"/>
  <c r="D516" i="43"/>
  <c r="D515" i="43"/>
  <c r="D514" i="43"/>
  <c r="D513" i="43"/>
  <c r="D512" i="43"/>
  <c r="D511" i="43"/>
  <c r="D510" i="43"/>
  <c r="D509" i="43"/>
  <c r="D508" i="43"/>
  <c r="D507" i="43"/>
  <c r="D506" i="43"/>
  <c r="D505" i="43"/>
  <c r="D504" i="43"/>
  <c r="D503" i="43"/>
  <c r="D502" i="43"/>
  <c r="D501" i="43"/>
  <c r="D500" i="43"/>
  <c r="D499" i="43"/>
  <c r="D498" i="43"/>
  <c r="D497" i="43"/>
  <c r="D496" i="43"/>
  <c r="D495" i="43"/>
  <c r="D494" i="43"/>
  <c r="D493" i="43"/>
  <c r="D492" i="43"/>
  <c r="D491" i="43"/>
  <c r="D490" i="43"/>
  <c r="D489" i="43"/>
  <c r="D488" i="43"/>
  <c r="D487" i="43"/>
  <c r="D486" i="43"/>
  <c r="D485" i="43"/>
  <c r="D484" i="43"/>
  <c r="D483" i="43"/>
  <c r="D482" i="43"/>
  <c r="D481" i="43"/>
  <c r="D480" i="43"/>
  <c r="D479" i="43"/>
  <c r="D478" i="43"/>
  <c r="D477" i="43"/>
  <c r="D476" i="43"/>
  <c r="D475" i="43"/>
  <c r="D474" i="43"/>
  <c r="D473" i="43"/>
  <c r="D472" i="43"/>
  <c r="D471" i="43"/>
  <c r="D470" i="43"/>
  <c r="D469" i="43"/>
  <c r="D468" i="43"/>
  <c r="D467" i="43"/>
  <c r="D466" i="43"/>
  <c r="D465" i="43"/>
  <c r="D464" i="43"/>
  <c r="D463" i="43"/>
  <c r="D462" i="43"/>
  <c r="D461" i="43"/>
  <c r="D460" i="43"/>
  <c r="D459" i="43"/>
  <c r="D458" i="43"/>
  <c r="D457" i="43"/>
  <c r="D456" i="43"/>
  <c r="D455" i="43"/>
  <c r="D454" i="43"/>
  <c r="D453" i="43"/>
  <c r="D452" i="43"/>
  <c r="D451" i="43"/>
  <c r="D450" i="43"/>
  <c r="D449" i="43"/>
  <c r="D448" i="43"/>
  <c r="D447" i="43"/>
  <c r="D446" i="43"/>
  <c r="D445" i="43"/>
  <c r="D444" i="43"/>
  <c r="D443" i="43"/>
  <c r="D442" i="43"/>
  <c r="D441" i="43"/>
  <c r="D440" i="43"/>
  <c r="D439" i="43"/>
  <c r="D438" i="43"/>
  <c r="D437" i="43"/>
  <c r="D436" i="43"/>
  <c r="D435" i="43"/>
  <c r="D434" i="43"/>
  <c r="D433" i="43"/>
  <c r="D432" i="43"/>
  <c r="D431" i="43"/>
  <c r="D430" i="43"/>
  <c r="D429" i="43"/>
  <c r="D428" i="43"/>
  <c r="D427" i="43"/>
  <c r="D426" i="43"/>
  <c r="D425" i="43"/>
  <c r="D424" i="43"/>
  <c r="D423" i="43"/>
  <c r="D422" i="43"/>
  <c r="D421" i="43"/>
  <c r="D420" i="43"/>
  <c r="D419" i="43"/>
  <c r="D418" i="43"/>
  <c r="D417" i="43"/>
  <c r="D416" i="43"/>
  <c r="D415" i="43"/>
  <c r="D414" i="43"/>
  <c r="D413" i="43"/>
  <c r="D412" i="43"/>
  <c r="D411" i="43"/>
  <c r="D410" i="43"/>
  <c r="D409" i="43"/>
  <c r="D408" i="43"/>
  <c r="D407" i="43"/>
  <c r="D406" i="43"/>
  <c r="D405" i="43"/>
  <c r="D404" i="43"/>
  <c r="D403" i="43"/>
  <c r="D402" i="43"/>
  <c r="D401" i="43"/>
  <c r="D400" i="43"/>
  <c r="D399" i="43"/>
  <c r="D398" i="43"/>
  <c r="D397" i="43"/>
  <c r="D396" i="43"/>
  <c r="D395" i="43"/>
  <c r="D394" i="43"/>
  <c r="D393" i="43"/>
  <c r="D392" i="43"/>
  <c r="D391" i="43"/>
  <c r="D390" i="43"/>
  <c r="D389" i="43"/>
  <c r="D388" i="43"/>
  <c r="D387" i="43"/>
  <c r="D386" i="43"/>
  <c r="D385" i="43"/>
  <c r="D384" i="43"/>
  <c r="D383" i="43"/>
  <c r="D382" i="43"/>
  <c r="D381" i="43"/>
  <c r="D380" i="43"/>
  <c r="D379" i="43"/>
  <c r="D378" i="43"/>
  <c r="D377" i="43"/>
  <c r="D376" i="43"/>
  <c r="D375" i="43"/>
  <c r="D374" i="43"/>
  <c r="D373" i="43"/>
  <c r="D372" i="43"/>
  <c r="D371" i="43"/>
  <c r="D370" i="43"/>
  <c r="D369" i="43"/>
  <c r="D368" i="43"/>
  <c r="D367" i="43"/>
  <c r="D366" i="43"/>
  <c r="D365" i="43"/>
  <c r="D364" i="43"/>
  <c r="D363" i="43"/>
  <c r="D362" i="43"/>
  <c r="D361" i="43"/>
  <c r="D360" i="43"/>
  <c r="D359" i="43"/>
  <c r="D358" i="43"/>
  <c r="D357" i="43"/>
  <c r="D356" i="43"/>
  <c r="D355" i="43"/>
  <c r="D354" i="43"/>
  <c r="D353" i="43"/>
  <c r="D352" i="43"/>
  <c r="D351" i="43"/>
  <c r="D350" i="43"/>
  <c r="D349" i="43"/>
  <c r="D348" i="43"/>
  <c r="D347" i="43"/>
  <c r="D346" i="43"/>
  <c r="D345" i="43"/>
  <c r="D344" i="43"/>
  <c r="D343" i="43"/>
  <c r="D342" i="43"/>
  <c r="D341" i="43"/>
  <c r="D340" i="43"/>
  <c r="D339" i="43"/>
  <c r="D338" i="43"/>
  <c r="D337" i="43"/>
  <c r="D336" i="43"/>
  <c r="D335" i="43"/>
  <c r="D334" i="43"/>
  <c r="D333" i="43"/>
  <c r="D332" i="43"/>
  <c r="D331" i="43"/>
  <c r="D330" i="43"/>
  <c r="D329" i="43"/>
  <c r="D328" i="43"/>
  <c r="D327" i="43"/>
  <c r="D326" i="43"/>
  <c r="D325" i="43"/>
  <c r="D324" i="43"/>
  <c r="D323" i="43"/>
  <c r="D322" i="43"/>
  <c r="D321" i="43"/>
  <c r="D320" i="43"/>
  <c r="D319" i="43"/>
  <c r="D318" i="43"/>
  <c r="D317" i="43"/>
  <c r="D316" i="43"/>
  <c r="D315" i="43"/>
  <c r="D314" i="43"/>
  <c r="D313" i="43"/>
  <c r="D312" i="43"/>
  <c r="D311" i="43"/>
  <c r="D310" i="43"/>
  <c r="D309" i="43"/>
  <c r="D308" i="43"/>
  <c r="D307" i="43"/>
  <c r="D306" i="43"/>
  <c r="D305" i="43"/>
  <c r="D304" i="43"/>
  <c r="D303" i="43"/>
  <c r="D302" i="43"/>
  <c r="D301" i="43"/>
  <c r="D300" i="43"/>
  <c r="D299" i="43"/>
  <c r="D298" i="43"/>
  <c r="D297" i="43"/>
  <c r="D296" i="43"/>
  <c r="D295" i="43"/>
  <c r="D294" i="43"/>
  <c r="D293" i="43"/>
  <c r="D292" i="43"/>
  <c r="D291" i="43"/>
  <c r="D290" i="43"/>
  <c r="D289" i="43"/>
  <c r="D288" i="43"/>
  <c r="D287" i="43"/>
  <c r="D286" i="43"/>
  <c r="D285" i="43"/>
  <c r="D284" i="43"/>
  <c r="D283" i="43"/>
  <c r="D282" i="43"/>
  <c r="D281" i="43"/>
  <c r="D280" i="43"/>
  <c r="D279" i="43"/>
  <c r="D278" i="43"/>
  <c r="D277" i="43"/>
  <c r="D276" i="43"/>
  <c r="D275" i="43"/>
  <c r="D274" i="43"/>
  <c r="D273" i="43"/>
  <c r="D272" i="43"/>
  <c r="D271" i="43"/>
  <c r="D270" i="43"/>
  <c r="D269" i="43"/>
  <c r="D268" i="43"/>
  <c r="D267" i="43"/>
  <c r="D266" i="43"/>
  <c r="D265" i="43"/>
  <c r="D264" i="43"/>
  <c r="D263" i="43"/>
  <c r="D262" i="43"/>
  <c r="D261" i="43"/>
  <c r="D260" i="43"/>
  <c r="D259" i="43"/>
  <c r="D258" i="43"/>
  <c r="D257" i="43"/>
  <c r="D256" i="43"/>
  <c r="D255" i="43"/>
  <c r="D254" i="43"/>
  <c r="D253" i="43"/>
  <c r="D252" i="43"/>
  <c r="D251" i="43"/>
  <c r="D250" i="43"/>
  <c r="D249" i="43"/>
  <c r="D248" i="43"/>
  <c r="D247" i="43"/>
  <c r="D246" i="43"/>
  <c r="D245" i="43"/>
  <c r="D244" i="43"/>
  <c r="D243" i="43"/>
  <c r="D242" i="43"/>
  <c r="D241" i="43"/>
  <c r="D240" i="43"/>
  <c r="D239" i="43"/>
  <c r="D238" i="43"/>
  <c r="D237" i="43"/>
  <c r="D236" i="43"/>
  <c r="D235" i="43"/>
  <c r="D234" i="43"/>
  <c r="D233" i="43"/>
  <c r="D232" i="43"/>
  <c r="D231" i="43"/>
  <c r="D230" i="43"/>
  <c r="D229" i="43"/>
  <c r="D228" i="43"/>
  <c r="D227" i="43"/>
  <c r="D226" i="43"/>
  <c r="D225" i="43"/>
  <c r="D224" i="43"/>
  <c r="D223" i="43"/>
  <c r="D222" i="43"/>
  <c r="D221" i="43"/>
  <c r="D220" i="43"/>
  <c r="D219" i="43"/>
  <c r="D218" i="43"/>
  <c r="D217" i="43"/>
  <c r="D216" i="43"/>
  <c r="D215" i="43"/>
  <c r="D214" i="43"/>
  <c r="D213" i="43"/>
  <c r="D212" i="43"/>
  <c r="D211" i="43"/>
  <c r="D210" i="43"/>
  <c r="D209" i="43"/>
  <c r="D208" i="43"/>
  <c r="D207" i="43"/>
  <c r="D206" i="43"/>
  <c r="D205" i="43"/>
  <c r="D204" i="43"/>
  <c r="D203" i="43"/>
  <c r="D202" i="43"/>
  <c r="D201" i="43"/>
  <c r="D200" i="43"/>
  <c r="D199" i="43"/>
  <c r="D198" i="43"/>
  <c r="D197" i="43"/>
  <c r="D196" i="43"/>
  <c r="D195" i="43"/>
  <c r="D194" i="43"/>
  <c r="D193" i="43"/>
  <c r="D192" i="43"/>
  <c r="D191" i="43"/>
  <c r="D190" i="43"/>
  <c r="D189" i="43"/>
  <c r="D188" i="43"/>
  <c r="D187" i="43"/>
  <c r="D186" i="43"/>
  <c r="D185" i="43"/>
  <c r="D184" i="43"/>
  <c r="D183" i="43"/>
  <c r="D182" i="43"/>
  <c r="D181" i="43"/>
  <c r="D180" i="43"/>
  <c r="D179" i="43"/>
  <c r="D178" i="43"/>
  <c r="D177" i="43"/>
  <c r="D176" i="43"/>
  <c r="D175" i="43"/>
  <c r="D174" i="43"/>
  <c r="D173" i="43"/>
  <c r="D172" i="43"/>
  <c r="D171" i="43"/>
  <c r="D170" i="43"/>
  <c r="D169" i="43"/>
  <c r="D168" i="43"/>
  <c r="D167" i="43"/>
  <c r="D166" i="43"/>
  <c r="D165" i="43"/>
  <c r="D164" i="43"/>
  <c r="D163" i="43"/>
  <c r="D162" i="43"/>
  <c r="D161" i="43"/>
  <c r="D160" i="43"/>
  <c r="D159" i="43"/>
  <c r="D158" i="43"/>
  <c r="D157" i="43"/>
  <c r="D156" i="43"/>
  <c r="D155" i="43"/>
  <c r="D154" i="43"/>
  <c r="D153" i="43"/>
  <c r="D152" i="43"/>
  <c r="D151" i="43"/>
  <c r="D150" i="43"/>
  <c r="D149" i="43"/>
  <c r="D148" i="43"/>
  <c r="D147" i="43"/>
  <c r="D146" i="43"/>
  <c r="D145" i="43"/>
  <c r="D144" i="43"/>
  <c r="D143" i="43"/>
  <c r="D142" i="43"/>
  <c r="D141" i="43"/>
  <c r="D140" i="43"/>
  <c r="D139" i="43"/>
  <c r="D138" i="43"/>
  <c r="D137" i="43"/>
  <c r="D136" i="43"/>
  <c r="D135" i="43"/>
  <c r="D134" i="43"/>
  <c r="D133" i="43"/>
  <c r="D132" i="43"/>
  <c r="D131" i="43"/>
  <c r="D130" i="43"/>
  <c r="D129" i="43"/>
  <c r="D128" i="43"/>
  <c r="D127" i="43"/>
  <c r="D126" i="43"/>
  <c r="D125" i="43"/>
  <c r="D124" i="43"/>
  <c r="D123" i="43"/>
  <c r="D122" i="43"/>
  <c r="D121" i="43"/>
  <c r="D120" i="43"/>
  <c r="D119" i="43"/>
  <c r="D118" i="43"/>
  <c r="D117" i="43"/>
  <c r="D116" i="43"/>
  <c r="D115" i="43"/>
  <c r="D114" i="43"/>
  <c r="D113" i="43"/>
  <c r="D112" i="43"/>
  <c r="D111" i="43"/>
  <c r="D110" i="43"/>
  <c r="D109" i="43"/>
  <c r="D108" i="43"/>
  <c r="D107" i="43"/>
  <c r="D106" i="43"/>
  <c r="D105" i="43"/>
  <c r="D104" i="43"/>
  <c r="D103" i="43"/>
  <c r="D102" i="43"/>
  <c r="D101" i="43"/>
  <c r="D100" i="43"/>
  <c r="D99" i="43"/>
  <c r="D98" i="43"/>
  <c r="D97" i="43"/>
  <c r="D96" i="43"/>
  <c r="D95" i="43"/>
  <c r="D94" i="43"/>
  <c r="D93" i="43"/>
  <c r="D92" i="43"/>
  <c r="D91" i="43"/>
  <c r="D90" i="43"/>
  <c r="D89" i="43"/>
  <c r="D88" i="43"/>
  <c r="D87" i="43"/>
  <c r="D86" i="43"/>
  <c r="D85" i="43"/>
  <c r="D84" i="43"/>
  <c r="D83" i="43"/>
  <c r="D82" i="43"/>
  <c r="D81" i="43"/>
  <c r="D80" i="43"/>
  <c r="D79" i="43"/>
  <c r="D78" i="43"/>
  <c r="D77" i="43"/>
  <c r="D76" i="43"/>
  <c r="D75" i="43"/>
  <c r="D74" i="43"/>
  <c r="D73" i="43"/>
  <c r="D72" i="43"/>
  <c r="D71" i="43"/>
  <c r="D70" i="43"/>
  <c r="D69" i="43"/>
  <c r="D68" i="43"/>
  <c r="D67" i="43"/>
  <c r="D66" i="43"/>
  <c r="D65" i="43"/>
  <c r="D64" i="43"/>
  <c r="D63" i="43"/>
  <c r="D62" i="43"/>
  <c r="D61" i="43"/>
  <c r="D60" i="43"/>
  <c r="D59" i="43"/>
  <c r="D58" i="43"/>
  <c r="D57" i="43"/>
  <c r="D56" i="43"/>
  <c r="D55" i="43"/>
  <c r="D54" i="43"/>
  <c r="D53" i="43"/>
  <c r="D52" i="43"/>
  <c r="D51" i="43"/>
  <c r="D50" i="43"/>
  <c r="D49" i="43"/>
  <c r="D48" i="43"/>
  <c r="D47" i="43"/>
  <c r="D46" i="43"/>
  <c r="D45" i="43"/>
  <c r="D44" i="43"/>
  <c r="D43" i="43"/>
  <c r="D42" i="43"/>
  <c r="D41" i="43"/>
  <c r="D40" i="43"/>
  <c r="D39" i="43"/>
  <c r="D38" i="43"/>
  <c r="D37" i="43"/>
  <c r="D36" i="43"/>
  <c r="D35" i="43"/>
  <c r="D34" i="43"/>
  <c r="D33" i="43"/>
  <c r="D32" i="43"/>
  <c r="D31" i="43"/>
  <c r="D30" i="43"/>
  <c r="D29" i="43"/>
  <c r="D28" i="43"/>
  <c r="D27" i="43"/>
  <c r="D26" i="43"/>
  <c r="D25" i="43"/>
  <c r="D24" i="43"/>
  <c r="D23" i="43"/>
  <c r="D22" i="43"/>
  <c r="D21" i="43"/>
  <c r="D20" i="43"/>
  <c r="D19" i="43"/>
  <c r="D18" i="43"/>
  <c r="D17" i="43"/>
  <c r="D16" i="43"/>
  <c r="D15" i="43"/>
  <c r="D14" i="43"/>
  <c r="D13" i="43"/>
  <c r="D12" i="43"/>
  <c r="D11" i="43"/>
  <c r="D10" i="43"/>
  <c r="D9" i="43"/>
  <c r="D8" i="43"/>
  <c r="D7" i="43"/>
  <c r="D6" i="43"/>
  <c r="D5" i="43"/>
  <c r="D4" i="43"/>
  <c r="D3" i="43"/>
  <c r="L67" i="20"/>
  <c r="M67" i="20" s="1"/>
  <c r="L66" i="20"/>
  <c r="M66" i="20" s="1"/>
  <c r="L65" i="20"/>
  <c r="M65" i="20" s="1"/>
  <c r="L64" i="20"/>
  <c r="M64" i="20" s="1"/>
  <c r="L63" i="20"/>
  <c r="M63" i="20" s="1"/>
  <c r="L62" i="20"/>
  <c r="L61" i="20"/>
  <c r="M61" i="20" s="1"/>
  <c r="L60" i="20"/>
  <c r="M60" i="20" s="1"/>
  <c r="L59" i="20"/>
  <c r="M59" i="20" s="1"/>
  <c r="L58" i="20"/>
  <c r="M58" i="20" s="1"/>
  <c r="L57" i="20"/>
  <c r="M57" i="20" s="1"/>
  <c r="L56" i="20"/>
  <c r="M56" i="20" s="1"/>
  <c r="L55" i="20"/>
  <c r="M55" i="20" s="1"/>
  <c r="L54" i="20"/>
  <c r="M54" i="20" s="1"/>
  <c r="L53" i="20"/>
  <c r="M53" i="20" s="1"/>
  <c r="L52" i="20"/>
  <c r="L51" i="20"/>
  <c r="M51" i="20" s="1"/>
  <c r="L50" i="20"/>
  <c r="M50" i="20" s="1"/>
  <c r="L49" i="20"/>
  <c r="M49" i="20" s="1"/>
  <c r="L48" i="20"/>
  <c r="M48" i="20" s="1"/>
  <c r="L47" i="20"/>
  <c r="M47" i="20" s="1"/>
  <c r="L46" i="20"/>
  <c r="M46" i="20" s="1"/>
  <c r="L45" i="20"/>
  <c r="M45" i="20" s="1"/>
  <c r="L44" i="20"/>
  <c r="L43" i="20"/>
  <c r="M43" i="20" s="1"/>
  <c r="L42" i="20"/>
  <c r="L41" i="20"/>
  <c r="M41" i="20" s="1"/>
  <c r="L40" i="20"/>
  <c r="M40" i="20" s="1"/>
  <c r="L39" i="20"/>
  <c r="M29" i="20" s="1"/>
  <c r="L38" i="20"/>
  <c r="M38" i="20" s="1"/>
  <c r="L37" i="20"/>
  <c r="M27" i="20" s="1"/>
  <c r="L36" i="20"/>
  <c r="M26" i="20" s="1"/>
  <c r="L35" i="20"/>
  <c r="M25" i="20" s="1"/>
  <c r="L34" i="20"/>
  <c r="M34" i="20" s="1"/>
  <c r="L33" i="20"/>
  <c r="M22" i="20" s="1"/>
  <c r="L32" i="20"/>
  <c r="L31" i="20"/>
  <c r="M21" i="20" s="1"/>
  <c r="L30" i="20"/>
  <c r="M30" i="20" s="1"/>
  <c r="L29" i="20"/>
  <c r="L28" i="20"/>
  <c r="L27" i="20"/>
  <c r="L26" i="20"/>
  <c r="L25" i="20"/>
  <c r="L24" i="20"/>
  <c r="L23" i="20"/>
  <c r="L22" i="20"/>
  <c r="L21" i="20"/>
  <c r="L20" i="20"/>
  <c r="L19" i="20"/>
  <c r="M19" i="20" s="1"/>
  <c r="L18" i="20"/>
  <c r="M18" i="20" s="1"/>
  <c r="L17" i="20"/>
  <c r="M17" i="20" s="1"/>
  <c r="L16" i="20"/>
  <c r="M16" i="20" s="1"/>
  <c r="L15" i="20"/>
  <c r="M15" i="20" s="1"/>
  <c r="L14" i="20"/>
  <c r="M14" i="20" s="1"/>
  <c r="L13" i="20"/>
  <c r="M13" i="20" s="1"/>
  <c r="L12" i="20"/>
  <c r="L11" i="20"/>
  <c r="M11" i="20" s="1"/>
  <c r="L10" i="20"/>
  <c r="M10" i="20" s="1"/>
  <c r="L9" i="20"/>
  <c r="M9" i="20" s="1"/>
  <c r="L8" i="20"/>
  <c r="M8" i="20" s="1"/>
  <c r="L7" i="20"/>
  <c r="M7" i="20" s="1"/>
  <c r="L6" i="20"/>
  <c r="M6" i="20" s="1"/>
  <c r="L5" i="20"/>
  <c r="M5" i="20" s="1"/>
  <c r="L4" i="20"/>
  <c r="M4" i="20" s="1"/>
  <c r="CC55" i="13"/>
  <c r="CC57" i="13" s="1"/>
  <c r="LC5" i="18"/>
  <c r="KC5" i="18"/>
  <c r="OC5" i="18"/>
  <c r="RC5" i="18"/>
  <c r="QC5" i="18"/>
  <c r="CC5" i="18"/>
  <c r="M28" i="20" l="1"/>
  <c r="M37" i="20"/>
  <c r="M42" i="20"/>
  <c r="M39" i="20"/>
  <c r="M23" i="20"/>
  <c r="M31" i="20"/>
  <c r="M52" i="20"/>
  <c r="M36" i="20"/>
  <c r="M12" i="20"/>
  <c r="M20" i="20"/>
  <c r="M24" i="20"/>
  <c r="M32" i="20"/>
  <c r="M33" i="20"/>
  <c r="M62" i="20"/>
  <c r="AQC5" i="26"/>
  <c r="ANC5" i="26"/>
  <c r="AKC5" i="26"/>
  <c r="AGC5" i="26"/>
  <c r="ACC5" i="26"/>
  <c r="YC5" i="26"/>
  <c r="VC5" i="26"/>
  <c r="BC5" i="18"/>
  <c r="NC5" i="18"/>
  <c r="IC5" i="18"/>
  <c r="HC5" i="18"/>
  <c r="FC5" i="18"/>
  <c r="AWY27" i="20" l="1"/>
  <c r="BFE22" i="20" l="1"/>
  <c r="BFE21" i="20"/>
  <c r="E5" i="37"/>
  <c r="E6" i="37"/>
  <c r="E7" i="37"/>
  <c r="E8" i="37"/>
  <c r="E9" i="37"/>
  <c r="E10" i="37"/>
  <c r="E11" i="37"/>
  <c r="E12" i="37"/>
  <c r="E13" i="37"/>
  <c r="E14" i="37"/>
  <c r="E15" i="37"/>
  <c r="E16" i="37"/>
  <c r="E17" i="37"/>
  <c r="E18" i="37"/>
  <c r="E19" i="37"/>
  <c r="E20" i="37"/>
  <c r="E21" i="37"/>
  <c r="E22" i="37"/>
  <c r="E4" i="37"/>
  <c r="D24" i="37"/>
  <c r="TF3" i="20"/>
  <c r="EA3" i="20"/>
  <c r="E24" i="37" l="1"/>
  <c r="H86" i="30"/>
  <c r="G37" i="30"/>
  <c r="G38" i="30"/>
  <c r="G39" i="30"/>
  <c r="G40" i="30"/>
  <c r="G41" i="30"/>
  <c r="G42" i="30"/>
  <c r="G43" i="30"/>
  <c r="G44" i="30"/>
  <c r="G45" i="30"/>
  <c r="G46" i="30"/>
  <c r="G51" i="30"/>
  <c r="G16" i="30"/>
  <c r="G15" i="30"/>
  <c r="G14" i="30"/>
  <c r="G18" i="30"/>
  <c r="G4" i="30"/>
  <c r="G5" i="30"/>
  <c r="G6" i="30"/>
  <c r="G7" i="30"/>
  <c r="G56" i="30"/>
  <c r="G8" i="30"/>
  <c r="G61" i="30"/>
  <c r="G60" i="30"/>
  <c r="G59" i="30"/>
  <c r="G9" i="30"/>
  <c r="G10" i="30"/>
  <c r="G57" i="30"/>
  <c r="G11" i="30"/>
  <c r="G12" i="30"/>
  <c r="G68" i="30"/>
  <c r="G13" i="30"/>
  <c r="G62" i="30"/>
  <c r="G49" i="30"/>
  <c r="G50" i="30"/>
  <c r="G47" i="30"/>
  <c r="G53" i="30"/>
  <c r="G54" i="30"/>
  <c r="G55" i="30"/>
  <c r="G58" i="30"/>
  <c r="G17" i="30"/>
  <c r="G52" i="30"/>
  <c r="G19" i="30"/>
  <c r="G20" i="30"/>
  <c r="G21" i="30"/>
  <c r="G22" i="30"/>
  <c r="G23" i="30"/>
  <c r="G24" i="30"/>
  <c r="G25" i="30"/>
  <c r="G26" i="30"/>
  <c r="G27" i="30"/>
  <c r="G28" i="30"/>
  <c r="G29" i="30"/>
  <c r="G30" i="30"/>
  <c r="G31" i="30"/>
  <c r="G65" i="30"/>
  <c r="G32" i="30"/>
  <c r="G33" i="30"/>
  <c r="G64" i="30"/>
  <c r="G63" i="30"/>
  <c r="G35" i="30"/>
  <c r="G36" i="30"/>
  <c r="G48" i="30"/>
  <c r="G67" i="30"/>
  <c r="G34" i="30"/>
  <c r="BA52" i="6"/>
  <c r="BA51" i="6"/>
  <c r="AZ47" i="6"/>
  <c r="AZ39" i="6"/>
  <c r="AZ38" i="6"/>
  <c r="B4" i="6"/>
  <c r="B5" i="6" s="1"/>
  <c r="B6" i="6" s="1"/>
  <c r="B7" i="6" s="1"/>
  <c r="B8" i="6" s="1"/>
  <c r="B10" i="6" s="1"/>
  <c r="B11" i="6" s="1"/>
  <c r="B12" i="6" s="1"/>
  <c r="B13" i="6" s="1"/>
  <c r="B14" i="6" s="1"/>
  <c r="B15" i="6" s="1"/>
  <c r="B16" i="6" s="1"/>
  <c r="B17" i="6" s="1"/>
  <c r="B18" i="6" s="1"/>
  <c r="B19" i="6" s="1"/>
  <c r="B5" i="22"/>
  <c r="B6" i="22" s="1"/>
  <c r="B7" i="22" s="1"/>
  <c r="B8" i="22" s="1"/>
  <c r="B9" i="22" s="1"/>
  <c r="B10" i="22" s="1"/>
  <c r="BD53" i="9"/>
  <c r="BD52" i="9"/>
  <c r="BD50" i="9"/>
  <c r="BD40" i="9"/>
  <c r="BD39" i="9"/>
  <c r="BD38" i="9"/>
  <c r="BD37" i="9"/>
  <c r="BD36" i="9"/>
  <c r="BD35" i="9"/>
  <c r="BD34" i="9"/>
  <c r="BD33" i="9"/>
  <c r="BD32" i="9"/>
  <c r="BD31" i="9"/>
  <c r="BD30" i="9"/>
  <c r="BD25" i="9"/>
  <c r="BD19" i="9"/>
  <c r="BD17" i="9"/>
  <c r="BD15" i="9"/>
  <c r="BD14" i="9"/>
  <c r="BD13" i="9"/>
  <c r="BD12" i="9"/>
  <c r="BD11" i="9"/>
  <c r="BD10" i="9"/>
  <c r="BD8" i="9"/>
  <c r="BD7" i="9"/>
  <c r="BD6" i="9"/>
  <c r="BD5" i="9"/>
  <c r="BD4" i="9"/>
  <c r="G86" i="30" l="1"/>
  <c r="K3" i="30" s="1"/>
  <c r="B9" i="6"/>
  <c r="Q34" i="17"/>
  <c r="Q35" i="17" s="1"/>
  <c r="Q36" i="17" s="1"/>
  <c r="Q38" i="17" s="1"/>
  <c r="Q39" i="17" s="1"/>
  <c r="Q40" i="17" s="1"/>
  <c r="Q42" i="17" s="1"/>
  <c r="Q43" i="17" s="1"/>
  <c r="Q45" i="17" s="1"/>
  <c r="Q46" i="17" s="1"/>
  <c r="Q47" i="17" s="1"/>
  <c r="Q48" i="17" s="1"/>
  <c r="Q49" i="17" s="1"/>
  <c r="Q25" i="17"/>
  <c r="Q71" i="17" l="1"/>
  <c r="Q74" i="17" s="1"/>
  <c r="Q75" i="17" s="1"/>
  <c r="Q76" i="17" s="1"/>
  <c r="Q77" i="17" s="1"/>
  <c r="Q78" i="17" s="1"/>
  <c r="Q81" i="17" s="1"/>
  <c r="Q82" i="17" s="1"/>
  <c r="Q83" i="17" s="1"/>
  <c r="Q84" i="17" s="1"/>
  <c r="Q85" i="17" s="1"/>
  <c r="Q88" i="17" s="1"/>
  <c r="Q89" i="17" s="1"/>
  <c r="Q90" i="17" s="1"/>
  <c r="Q91" i="17" s="1"/>
  <c r="Q92" i="17" s="1"/>
  <c r="Q95" i="17" s="1"/>
  <c r="Q96" i="17" s="1"/>
  <c r="Q97" i="17" s="1"/>
  <c r="Q98" i="17" s="1"/>
  <c r="Q99" i="17" s="1"/>
  <c r="Q102" i="17" s="1"/>
  <c r="Q103" i="17" s="1"/>
  <c r="Q104" i="17" s="1"/>
  <c r="Q105" i="17" s="1"/>
  <c r="Q106"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63" authorId="0" shapeId="0" xr:uid="{B94A8B48-48FF-4E9D-B748-0645FF53A49C}">
      <text>
        <r>
          <rPr>
            <b/>
            <sz val="9"/>
            <color indexed="81"/>
            <rFont val="Tahoma"/>
            <family val="2"/>
          </rPr>
          <t>user:</t>
        </r>
        <r>
          <rPr>
            <sz val="9"/>
            <color indexed="81"/>
            <rFont val="Tahoma"/>
            <family val="2"/>
          </rPr>
          <t xml:space="preserve">
Link Activity To Worker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Vethamuthu</author>
  </authors>
  <commentList>
    <comment ref="BB5" authorId="0" shapeId="0" xr:uid="{C19C9F27-D027-45A9-AAF5-6DF5DAD03F08}">
      <text>
        <r>
          <rPr>
            <b/>
            <sz val="9"/>
            <color indexed="81"/>
            <rFont val="Tahoma"/>
            <family val="2"/>
          </rPr>
          <t>Vethamuthu:</t>
        </r>
        <r>
          <rPr>
            <sz val="9"/>
            <color indexed="81"/>
            <rFont val="Tahoma"/>
            <family val="2"/>
          </rPr>
          <t xml:space="preserve">
If New User To Enter </t>
        </r>
      </text>
    </comment>
    <comment ref="UB6" authorId="0" shapeId="0" xr:uid="{85AE42E3-36F2-4231-B471-0AF944902814}">
      <text>
        <r>
          <rPr>
            <b/>
            <sz val="9"/>
            <color indexed="81"/>
            <rFont val="Tahoma"/>
            <family val="2"/>
          </rPr>
          <t>Vethamuthu:</t>
        </r>
        <r>
          <rPr>
            <sz val="9"/>
            <color indexed="81"/>
            <rFont val="Tahoma"/>
            <family val="2"/>
          </rPr>
          <t xml:space="preserve">
For The State or For the Nation</t>
        </r>
      </text>
    </comment>
    <comment ref="UB7" authorId="0" shapeId="0" xr:uid="{F3435F9B-73C6-425A-8DFA-BCD0E76B8D78}">
      <text>
        <r>
          <rPr>
            <b/>
            <sz val="9"/>
            <color indexed="81"/>
            <rFont val="Tahoma"/>
            <family val="2"/>
          </rPr>
          <t>Vethamuthu:</t>
        </r>
        <r>
          <rPr>
            <sz val="9"/>
            <color indexed="81"/>
            <rFont val="Tahoma"/>
            <family val="2"/>
          </rPr>
          <t xml:space="preserve">
For The State or For the Nation</t>
        </r>
      </text>
    </comment>
    <comment ref="UB9" authorId="0" shapeId="0" xr:uid="{D134023E-DAB0-4E43-9782-17FFBB52A8A5}">
      <text>
        <r>
          <rPr>
            <b/>
            <sz val="9"/>
            <color indexed="81"/>
            <rFont val="Tahoma"/>
            <family val="2"/>
          </rPr>
          <t>Vethamuthu:</t>
        </r>
        <r>
          <rPr>
            <sz val="9"/>
            <color indexed="81"/>
            <rFont val="Tahoma"/>
            <family val="2"/>
          </rPr>
          <t xml:space="preserve">
Year NOT Required</t>
        </r>
      </text>
    </comment>
    <comment ref="BNB15" authorId="0" shapeId="0" xr:uid="{C8EAF8C3-8949-4D8E-8B7C-7F87F3D3749F}">
      <text>
        <r>
          <rPr>
            <b/>
            <sz val="9"/>
            <color indexed="81"/>
            <rFont val="Tahoma"/>
            <family val="2"/>
          </rPr>
          <t>Vethamuthu:</t>
        </r>
        <r>
          <rPr>
            <sz val="9"/>
            <color indexed="81"/>
            <rFont val="Tahoma"/>
            <family val="2"/>
          </rPr>
          <t xml:space="preserve">
9a</t>
        </r>
      </text>
    </comment>
    <comment ref="BNC15" authorId="0" shapeId="0" xr:uid="{CEEF0852-476F-4961-92AA-D3B87160C1ED}">
      <text>
        <r>
          <rPr>
            <b/>
            <sz val="9"/>
            <color indexed="81"/>
            <rFont val="Tahoma"/>
            <family val="2"/>
          </rPr>
          <t>Vethamuthu:</t>
        </r>
        <r>
          <rPr>
            <sz val="9"/>
            <color indexed="81"/>
            <rFont val="Tahoma"/>
            <family val="2"/>
          </rPr>
          <t xml:space="preserve">
9b</t>
        </r>
      </text>
    </comment>
    <comment ref="FD23" authorId="0" shapeId="0" xr:uid="{7D2D7324-49CB-42C2-8E6F-A242379F1711}">
      <text>
        <r>
          <rPr>
            <b/>
            <sz val="9"/>
            <color indexed="81"/>
            <rFont val="Tahoma"/>
            <family val="2"/>
          </rPr>
          <t>Vethamuthu:</t>
        </r>
        <r>
          <rPr>
            <sz val="9"/>
            <color indexed="81"/>
            <rFont val="Tahoma"/>
            <family val="2"/>
          </rPr>
          <t xml:space="preserve">
If Lease % = Lease Balance/100</t>
        </r>
      </text>
    </comment>
    <comment ref="FG23" authorId="0" shapeId="0" xr:uid="{092E253F-F872-4775-A61D-9D45C3AE5075}">
      <text>
        <r>
          <rPr>
            <b/>
            <sz val="9"/>
            <color indexed="81"/>
            <rFont val="Tahoma"/>
            <family val="2"/>
          </rPr>
          <t>Vethamuthu:</t>
        </r>
        <r>
          <rPr>
            <sz val="9"/>
            <color indexed="81"/>
            <rFont val="Tahoma"/>
            <family val="2"/>
          </rPr>
          <t xml:space="preserve">
If Lease % = Lease Balance/100</t>
        </r>
      </text>
    </comment>
    <comment ref="AVD23" authorId="0" shapeId="0" xr:uid="{95B49E45-4F53-4711-BBB9-34C112DA57FB}">
      <text>
        <r>
          <rPr>
            <b/>
            <sz val="9"/>
            <color indexed="81"/>
            <rFont val="Tahoma"/>
            <family val="2"/>
          </rPr>
          <t>Vethamuthu:</t>
        </r>
        <r>
          <rPr>
            <sz val="9"/>
            <color indexed="81"/>
            <rFont val="Tahoma"/>
            <family val="2"/>
          </rPr>
          <t xml:space="preserve">
Bank Account Applicable</t>
        </r>
      </text>
    </comment>
    <comment ref="AVE23" authorId="0" shapeId="0" xr:uid="{F526EEEF-D4EC-4B54-BB14-17FF94E8C9DE}">
      <text>
        <r>
          <rPr>
            <b/>
            <sz val="9"/>
            <color indexed="81"/>
            <rFont val="Tahoma"/>
            <family val="2"/>
          </rPr>
          <t>Vethamuthu:</t>
        </r>
        <r>
          <rPr>
            <sz val="9"/>
            <color indexed="81"/>
            <rFont val="Tahoma"/>
            <family val="2"/>
          </rPr>
          <t xml:space="preserve">
Account Description</t>
        </r>
      </text>
    </comment>
    <comment ref="AVF23" authorId="0" shapeId="0" xr:uid="{21FE724E-CEDB-4585-BEAE-C4B6CD8515F6}">
      <text>
        <r>
          <rPr>
            <b/>
            <sz val="9"/>
            <color indexed="81"/>
            <rFont val="Tahoma"/>
            <family val="2"/>
          </rPr>
          <t>Vethamuthu:</t>
        </r>
        <r>
          <rPr>
            <sz val="9"/>
            <color indexed="81"/>
            <rFont val="Tahoma"/>
            <family val="2"/>
          </rPr>
          <t xml:space="preserve">
Account No. Only For Field 3 = Yes</t>
        </r>
      </text>
    </comment>
    <comment ref="FD24" authorId="0" shapeId="0" xr:uid="{8D5A036F-EC41-44FE-AF47-BB88A72A8F68}">
      <text>
        <r>
          <rPr>
            <b/>
            <sz val="9"/>
            <color indexed="81"/>
            <rFont val="Tahoma"/>
            <family val="2"/>
          </rPr>
          <t>Vethamuthu:</t>
        </r>
        <r>
          <rPr>
            <sz val="9"/>
            <color indexed="81"/>
            <rFont val="Tahoma"/>
            <family val="2"/>
          </rPr>
          <t xml:space="preserve">
If Lease % = Lease Balance/100</t>
        </r>
      </text>
    </comment>
    <comment ref="AVB26" authorId="0" shapeId="0" xr:uid="{CD6CFF36-B735-4015-B49E-54799F6AA126}">
      <text>
        <r>
          <rPr>
            <b/>
            <sz val="9"/>
            <color indexed="81"/>
            <rFont val="Tahoma"/>
            <family val="2"/>
          </rPr>
          <t>Vethamuthu:</t>
        </r>
        <r>
          <rPr>
            <sz val="9"/>
            <color indexed="81"/>
            <rFont val="Tahoma"/>
            <family val="2"/>
          </rPr>
          <t xml:space="preserve">
Since Only One </t>
        </r>
      </text>
    </comment>
    <comment ref="AVB27" authorId="0" shapeId="0" xr:uid="{CF2D78D3-3210-45F2-AA7C-37A8A21F6766}">
      <text>
        <r>
          <rPr>
            <b/>
            <sz val="9"/>
            <color indexed="81"/>
            <rFont val="Tahoma"/>
            <family val="2"/>
          </rPr>
          <t>Vethamuthu:</t>
        </r>
        <r>
          <rPr>
            <sz val="9"/>
            <color indexed="81"/>
            <rFont val="Tahoma"/>
            <family val="2"/>
          </rPr>
          <t xml:space="preserve">
Since Only One </t>
        </r>
      </text>
    </comment>
    <comment ref="AVC27" authorId="0" shapeId="0" xr:uid="{49C13A53-C2DD-48EE-A7A7-81324D13CCD5}">
      <text>
        <r>
          <rPr>
            <b/>
            <sz val="9"/>
            <color indexed="81"/>
            <rFont val="Tahoma"/>
            <family val="2"/>
          </rPr>
          <t>Vethamuthu:</t>
        </r>
        <r>
          <rPr>
            <sz val="9"/>
            <color indexed="81"/>
            <rFont val="Tahoma"/>
            <family val="2"/>
          </rPr>
          <t xml:space="preserve">
Since Only One </t>
        </r>
      </text>
    </comment>
    <comment ref="AVB28" authorId="0" shapeId="0" xr:uid="{DF455F48-2CA3-4C4D-A3CB-0FEBD08C9C88}">
      <text>
        <r>
          <rPr>
            <b/>
            <sz val="9"/>
            <color indexed="81"/>
            <rFont val="Tahoma"/>
            <family val="2"/>
          </rPr>
          <t>Vethamuthu:</t>
        </r>
        <r>
          <rPr>
            <sz val="9"/>
            <color indexed="81"/>
            <rFont val="Tahoma"/>
            <family val="2"/>
          </rPr>
          <t xml:space="preserve">
Since Only One </t>
        </r>
      </text>
    </comment>
    <comment ref="AVC28" authorId="0" shapeId="0" xr:uid="{579D80CD-70DF-4265-B9C0-C9964D3603D0}">
      <text>
        <r>
          <rPr>
            <b/>
            <sz val="9"/>
            <color indexed="81"/>
            <rFont val="Tahoma"/>
            <family val="2"/>
          </rPr>
          <t>Vethamuthu:</t>
        </r>
        <r>
          <rPr>
            <sz val="9"/>
            <color indexed="81"/>
            <rFont val="Tahoma"/>
            <family val="2"/>
          </rPr>
          <t xml:space="preserve">
Since Only One </t>
        </r>
      </text>
    </comment>
    <comment ref="AVB29" authorId="0" shapeId="0" xr:uid="{CEFBBBAD-8339-4F0C-85AE-42AE404C7B1A}">
      <text>
        <r>
          <rPr>
            <b/>
            <sz val="9"/>
            <color indexed="81"/>
            <rFont val="Tahoma"/>
            <family val="2"/>
          </rPr>
          <t>Vethamuthu:</t>
        </r>
        <r>
          <rPr>
            <sz val="9"/>
            <color indexed="81"/>
            <rFont val="Tahoma"/>
            <family val="2"/>
          </rPr>
          <t xml:space="preserve">
Since Only One </t>
        </r>
      </text>
    </comment>
    <comment ref="AVC29" authorId="0" shapeId="0" xr:uid="{AF4A66BB-88F4-4039-B145-EAA157F75B37}">
      <text>
        <r>
          <rPr>
            <b/>
            <sz val="9"/>
            <color indexed="81"/>
            <rFont val="Tahoma"/>
            <family val="2"/>
          </rPr>
          <t>Vethamuthu:</t>
        </r>
        <r>
          <rPr>
            <sz val="9"/>
            <color indexed="81"/>
            <rFont val="Tahoma"/>
            <family val="2"/>
          </rPr>
          <t xml:space="preserve">
Since Only One </t>
        </r>
      </text>
    </comment>
    <comment ref="AVB30" authorId="0" shapeId="0" xr:uid="{B2B6BA78-5071-497B-B682-CAE8DF63DE85}">
      <text>
        <r>
          <rPr>
            <b/>
            <sz val="9"/>
            <color indexed="81"/>
            <rFont val="Tahoma"/>
            <family val="2"/>
          </rPr>
          <t>Vethamuthu:</t>
        </r>
        <r>
          <rPr>
            <sz val="9"/>
            <color indexed="81"/>
            <rFont val="Tahoma"/>
            <family val="2"/>
          </rPr>
          <t xml:space="preserve">
Since Only One </t>
        </r>
      </text>
    </comment>
    <comment ref="AVC30" authorId="0" shapeId="0" xr:uid="{8ACCCAE7-BB5B-4FDC-9E27-6450705E10DB}">
      <text>
        <r>
          <rPr>
            <b/>
            <sz val="9"/>
            <color indexed="81"/>
            <rFont val="Tahoma"/>
            <family val="2"/>
          </rPr>
          <t>Vethamuthu:</t>
        </r>
        <r>
          <rPr>
            <sz val="9"/>
            <color indexed="81"/>
            <rFont val="Tahoma"/>
            <family val="2"/>
          </rPr>
          <t xml:space="preserve">
Since Only One </t>
        </r>
      </text>
    </comment>
    <comment ref="FD31" authorId="0" shapeId="0" xr:uid="{1E72205B-994E-4589-BDA3-E21B0A85D942}">
      <text>
        <r>
          <rPr>
            <b/>
            <sz val="9"/>
            <color indexed="81"/>
            <rFont val="Tahoma"/>
            <family val="2"/>
          </rPr>
          <t>Vethamuthu:</t>
        </r>
        <r>
          <rPr>
            <sz val="9"/>
            <color indexed="81"/>
            <rFont val="Tahoma"/>
            <family val="2"/>
          </rPr>
          <t xml:space="preserve">
If Lease % = Lease Balance/100</t>
        </r>
      </text>
    </comment>
    <comment ref="AVB31" authorId="0" shapeId="0" xr:uid="{25D1EF8B-2BA9-4D7F-B8DF-A881A14813DC}">
      <text>
        <r>
          <rPr>
            <b/>
            <sz val="9"/>
            <color indexed="81"/>
            <rFont val="Tahoma"/>
            <family val="2"/>
          </rPr>
          <t>Vethamuthu:</t>
        </r>
        <r>
          <rPr>
            <sz val="9"/>
            <color indexed="81"/>
            <rFont val="Tahoma"/>
            <family val="2"/>
          </rPr>
          <t xml:space="preserve">
Since Only One </t>
        </r>
      </text>
    </comment>
    <comment ref="AVC31" authorId="0" shapeId="0" xr:uid="{7B7AB6F6-3942-4131-B496-6BEA3016E691}">
      <text>
        <r>
          <rPr>
            <b/>
            <sz val="9"/>
            <color indexed="81"/>
            <rFont val="Tahoma"/>
            <family val="2"/>
          </rPr>
          <t>Vethamuthu:</t>
        </r>
        <r>
          <rPr>
            <sz val="9"/>
            <color indexed="81"/>
            <rFont val="Tahoma"/>
            <family val="2"/>
          </rPr>
          <t xml:space="preserve">
Since Only One </t>
        </r>
      </text>
    </comment>
    <comment ref="FD32" authorId="0" shapeId="0" xr:uid="{7E8F001D-6FE2-413D-BD31-083D0E03DF6E}">
      <text>
        <r>
          <rPr>
            <b/>
            <sz val="9"/>
            <color indexed="81"/>
            <rFont val="Tahoma"/>
            <family val="2"/>
          </rPr>
          <t>Vethamuthu:</t>
        </r>
        <r>
          <rPr>
            <sz val="9"/>
            <color indexed="81"/>
            <rFont val="Tahoma"/>
            <family val="2"/>
          </rPr>
          <t xml:space="preserve">
If Lease % = Lease Balance/100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Vethamuthu</author>
    <author>user</author>
  </authors>
  <commentList>
    <comment ref="JB7" authorId="0" shapeId="0" xr:uid="{2D793E8D-6A6B-47BC-BF87-DB9DA52AE035}">
      <text>
        <r>
          <rPr>
            <b/>
            <sz val="9"/>
            <color indexed="81"/>
            <rFont val="Tahoma"/>
            <family val="2"/>
          </rPr>
          <t>Vethamuthu:</t>
        </r>
        <r>
          <rPr>
            <sz val="9"/>
            <color indexed="81"/>
            <rFont val="Tahoma"/>
            <family val="2"/>
          </rPr>
          <t xml:space="preserve">
Only Allow to Select ONE of This</t>
        </r>
      </text>
    </comment>
    <comment ref="AB8" authorId="1" shapeId="0" xr:uid="{A696EB47-98C5-4F3E-B18C-B3EC6742F611}">
      <text>
        <r>
          <rPr>
            <b/>
            <sz val="9"/>
            <color indexed="81"/>
            <rFont val="Tahoma"/>
            <family val="2"/>
          </rPr>
          <t>user:</t>
        </r>
        <r>
          <rPr>
            <sz val="9"/>
            <color indexed="81"/>
            <rFont val="Tahoma"/>
            <family val="2"/>
          </rPr>
          <t xml:space="preserve">
Sometime we will have ABC Enterprise and ABC Enterprise Sdn Bhd allow such entry</t>
        </r>
      </text>
    </comment>
    <comment ref="JB8" authorId="0" shapeId="0" xr:uid="{47CE76E9-BFCC-4294-810F-7638834B421B}">
      <text>
        <r>
          <rPr>
            <b/>
            <sz val="9"/>
            <color indexed="81"/>
            <rFont val="Tahoma"/>
            <family val="2"/>
          </rPr>
          <t>Vethamuthu:</t>
        </r>
        <r>
          <rPr>
            <sz val="9"/>
            <color indexed="81"/>
            <rFont val="Tahoma"/>
            <family val="2"/>
          </rPr>
          <t xml:space="preserve">
Only Allow to Select ONE of This</t>
        </r>
      </text>
    </comment>
    <comment ref="PA8" authorId="1" shapeId="0" xr:uid="{811007FB-7E65-492B-B25B-47F6B01D31CC}">
      <text>
        <r>
          <rPr>
            <b/>
            <sz val="9"/>
            <color indexed="81"/>
            <rFont val="Tahoma"/>
            <family val="2"/>
          </rPr>
          <t>user:</t>
        </r>
        <r>
          <rPr>
            <sz val="9"/>
            <color indexed="81"/>
            <rFont val="Tahoma"/>
            <family val="2"/>
          </rPr>
          <t xml:space="preserve">
5A</t>
        </r>
      </text>
    </comment>
    <comment ref="GB9" authorId="0" shapeId="0" xr:uid="{82029203-2C51-463C-BD61-9B26A48AE2E5}">
      <text>
        <r>
          <rPr>
            <b/>
            <sz val="9"/>
            <color indexed="81"/>
            <rFont val="Tahoma"/>
            <family val="2"/>
          </rPr>
          <t>Vethamuthu:</t>
        </r>
        <r>
          <rPr>
            <sz val="9"/>
            <color indexed="81"/>
            <rFont val="Tahoma"/>
            <family val="2"/>
          </rPr>
          <t xml:space="preserve">
7A</t>
        </r>
      </text>
    </comment>
    <comment ref="GC9" authorId="0" shapeId="0" xr:uid="{F30279AB-09CC-46DB-9623-F62933C8AF53}">
      <text>
        <r>
          <rPr>
            <b/>
            <sz val="9"/>
            <color indexed="81"/>
            <rFont val="Tahoma"/>
            <family val="2"/>
          </rPr>
          <t>Vethamuthu:</t>
        </r>
        <r>
          <rPr>
            <sz val="9"/>
            <color indexed="81"/>
            <rFont val="Tahoma"/>
            <family val="2"/>
          </rPr>
          <t xml:space="preserve">
7B</t>
        </r>
      </text>
    </comment>
    <comment ref="GD9" authorId="0" shapeId="0" xr:uid="{FFBBFC3A-0596-40BD-9FE6-4E63CEAB9832}">
      <text>
        <r>
          <rPr>
            <b/>
            <sz val="9"/>
            <color indexed="81"/>
            <rFont val="Tahoma"/>
            <family val="2"/>
          </rPr>
          <t>Vethamuthu:</t>
        </r>
        <r>
          <rPr>
            <sz val="9"/>
            <color indexed="81"/>
            <rFont val="Tahoma"/>
            <family val="2"/>
          </rPr>
          <t xml:space="preserve">
7B</t>
        </r>
      </text>
    </comment>
    <comment ref="JB9" authorId="0" shapeId="0" xr:uid="{DBC839DC-02EB-4AA3-9DF1-23E856B0444F}">
      <text>
        <r>
          <rPr>
            <b/>
            <sz val="9"/>
            <color indexed="81"/>
            <rFont val="Tahoma"/>
            <family val="2"/>
          </rPr>
          <t>Vethamuthu:</t>
        </r>
        <r>
          <rPr>
            <sz val="9"/>
            <color indexed="81"/>
            <rFont val="Tahoma"/>
            <family val="2"/>
          </rPr>
          <t xml:space="preserve">
Only Allow to Select ONE of This</t>
        </r>
      </text>
    </comment>
    <comment ref="AA10" authorId="1" shapeId="0" xr:uid="{FD4704C5-E272-4204-935B-3E4CB1DCDBEB}">
      <text>
        <r>
          <rPr>
            <b/>
            <sz val="9"/>
            <color indexed="81"/>
            <rFont val="Tahoma"/>
            <family val="2"/>
          </rPr>
          <t>user:</t>
        </r>
        <r>
          <rPr>
            <sz val="9"/>
            <color indexed="81"/>
            <rFont val="Tahoma"/>
            <family val="2"/>
          </rPr>
          <t xml:space="preserve">
Sales &amp; Service Tax</t>
        </r>
      </text>
    </comment>
    <comment ref="AC10" authorId="1" shapeId="0" xr:uid="{C4BB9720-3ED9-4B31-8FEC-58186F9DE62B}">
      <text>
        <r>
          <rPr>
            <b/>
            <sz val="9"/>
            <color indexed="81"/>
            <rFont val="Tahoma"/>
            <family val="2"/>
          </rPr>
          <t>user:</t>
        </r>
        <r>
          <rPr>
            <sz val="9"/>
            <color indexed="81"/>
            <rFont val="Tahoma"/>
            <family val="2"/>
          </rPr>
          <t xml:space="preserve">
Sales &amp; Service Tax</t>
        </r>
      </text>
    </comment>
    <comment ref="AD10" authorId="1" shapeId="0" xr:uid="{B270242F-E996-4AFA-81E6-600E65CEF640}">
      <text>
        <r>
          <rPr>
            <b/>
            <sz val="9"/>
            <color indexed="81"/>
            <rFont val="Tahoma"/>
            <family val="2"/>
          </rPr>
          <t>user:</t>
        </r>
        <r>
          <rPr>
            <sz val="9"/>
            <color indexed="81"/>
            <rFont val="Tahoma"/>
            <family val="2"/>
          </rPr>
          <t xml:space="preserve">
If Not Applicable then disable Field</t>
        </r>
      </text>
    </comment>
    <comment ref="JB10" authorId="0" shapeId="0" xr:uid="{0A4D25B7-0DA9-4BDA-9A0A-D1884F672DC1}">
      <text>
        <r>
          <rPr>
            <b/>
            <sz val="9"/>
            <color indexed="81"/>
            <rFont val="Tahoma"/>
            <family val="2"/>
          </rPr>
          <t>Vethamuthu:</t>
        </r>
        <r>
          <rPr>
            <sz val="9"/>
            <color indexed="81"/>
            <rFont val="Tahoma"/>
            <family val="2"/>
          </rPr>
          <t xml:space="preserve">
Only Allow to Select ONE of This. If this is Select User To Select Supplier Grouping</t>
        </r>
      </text>
    </comment>
    <comment ref="AD11" authorId="1" shapeId="0" xr:uid="{74EC7752-D829-4D2A-815B-DF48E5E44B49}">
      <text>
        <r>
          <rPr>
            <b/>
            <sz val="9"/>
            <color indexed="81"/>
            <rFont val="Tahoma"/>
            <family val="2"/>
          </rPr>
          <t>user:</t>
        </r>
        <r>
          <rPr>
            <sz val="9"/>
            <color indexed="81"/>
            <rFont val="Tahoma"/>
            <family val="2"/>
          </rPr>
          <t xml:space="preserve">
If Not Applicable then disable Field</t>
        </r>
      </text>
    </comment>
    <comment ref="JB11" authorId="0" shapeId="0" xr:uid="{2BEF8843-A578-4BA5-9073-3C8A1CC4BF25}">
      <text>
        <r>
          <rPr>
            <b/>
            <sz val="9"/>
            <color indexed="81"/>
            <rFont val="Tahoma"/>
            <family val="2"/>
          </rPr>
          <t>Vethamuthu:</t>
        </r>
        <r>
          <rPr>
            <sz val="9"/>
            <color indexed="81"/>
            <rFont val="Tahoma"/>
            <family val="2"/>
          </rPr>
          <t xml:space="preserve">
Only Allow to Select ONE of This. If this is Select User To Select Supplier Grouping</t>
        </r>
      </text>
    </comment>
    <comment ref="SA11" authorId="0" shapeId="0" xr:uid="{86DFC609-91E3-48EF-8250-576C86EC67E1}">
      <text>
        <r>
          <rPr>
            <b/>
            <sz val="9"/>
            <color indexed="81"/>
            <rFont val="Tahoma"/>
            <family val="2"/>
          </rPr>
          <t>Vethamuthu:</t>
        </r>
        <r>
          <rPr>
            <sz val="9"/>
            <color indexed="81"/>
            <rFont val="Tahoma"/>
            <family val="2"/>
          </rPr>
          <t xml:space="preserve">
6A</t>
        </r>
      </text>
    </comment>
    <comment ref="DB13" authorId="1" shapeId="0" xr:uid="{25FD665A-572F-4BF4-A604-8149B8A41412}">
      <text>
        <r>
          <rPr>
            <b/>
            <sz val="9"/>
            <color indexed="81"/>
            <rFont val="Tahoma"/>
            <family val="2"/>
          </rPr>
          <t>user:</t>
        </r>
        <r>
          <rPr>
            <sz val="9"/>
            <color indexed="81"/>
            <rFont val="Tahoma"/>
            <family val="2"/>
          </rPr>
          <t xml:space="preserve">
5 Digit No currently in Malaysia</t>
        </r>
      </text>
    </comment>
    <comment ref="DB16" authorId="0" shapeId="0" xr:uid="{DD365D5A-8293-481E-9728-49BB95909496}">
      <text>
        <r>
          <rPr>
            <b/>
            <sz val="9"/>
            <color indexed="81"/>
            <rFont val="Tahoma"/>
            <family val="2"/>
          </rPr>
          <t>Vethamuthu:</t>
        </r>
        <r>
          <rPr>
            <sz val="9"/>
            <color indexed="81"/>
            <rFont val="Tahoma"/>
            <family val="2"/>
          </rPr>
          <t xml:space="preserve">
9A</t>
        </r>
      </text>
    </comment>
    <comment ref="DC16" authorId="0" shapeId="0" xr:uid="{0B2DA965-3AD7-4554-AAEB-9425461938B3}">
      <text>
        <r>
          <rPr>
            <b/>
            <sz val="9"/>
            <color indexed="81"/>
            <rFont val="Tahoma"/>
            <family val="2"/>
          </rPr>
          <t>Vethamuthu:</t>
        </r>
        <r>
          <rPr>
            <sz val="9"/>
            <color indexed="81"/>
            <rFont val="Tahoma"/>
            <family val="2"/>
          </rPr>
          <t xml:space="preserve">
9B</t>
        </r>
      </text>
    </comment>
    <comment ref="DD16" authorId="0" shapeId="0" xr:uid="{A58DEF67-14DC-46DA-B05D-C81ADAAAB2FE}">
      <text>
        <r>
          <rPr>
            <b/>
            <sz val="9"/>
            <color indexed="81"/>
            <rFont val="Tahoma"/>
            <family val="2"/>
          </rPr>
          <t>Vethamuthu:</t>
        </r>
        <r>
          <rPr>
            <sz val="9"/>
            <color indexed="81"/>
            <rFont val="Tahoma"/>
            <family val="2"/>
          </rPr>
          <t xml:space="preserve">
9C</t>
        </r>
      </text>
    </comment>
    <comment ref="AB21" authorId="0" shapeId="0" xr:uid="{725181C2-1175-4023-9C2B-AA0F1FADED48}">
      <text>
        <r>
          <rPr>
            <b/>
            <sz val="9"/>
            <color indexed="81"/>
            <rFont val="Tahoma"/>
            <family val="2"/>
          </rPr>
          <t>Vethamuthu:</t>
        </r>
        <r>
          <rPr>
            <sz val="9"/>
            <color indexed="81"/>
            <rFont val="Tahoma"/>
            <family val="2"/>
          </rPr>
          <t xml:space="preserve">
9A</t>
        </r>
      </text>
    </comment>
    <comment ref="AC21" authorId="0" shapeId="0" xr:uid="{9B67F7C4-B550-4E8B-91A7-AE7EDCE218F2}">
      <text>
        <r>
          <rPr>
            <b/>
            <sz val="9"/>
            <color indexed="81"/>
            <rFont val="Tahoma"/>
            <family val="2"/>
          </rPr>
          <t>Vethamuthu:</t>
        </r>
        <r>
          <rPr>
            <sz val="9"/>
            <color indexed="81"/>
            <rFont val="Tahoma"/>
            <family val="2"/>
          </rPr>
          <t xml:space="preserve">
9B</t>
        </r>
      </text>
    </comment>
    <comment ref="AD21" authorId="0" shapeId="0" xr:uid="{8335220E-0C6D-4DA0-9E66-C283FB8AAB1E}">
      <text>
        <r>
          <rPr>
            <b/>
            <sz val="9"/>
            <color indexed="81"/>
            <rFont val="Tahoma"/>
            <family val="2"/>
          </rPr>
          <t>Vethamuthu:</t>
        </r>
        <r>
          <rPr>
            <sz val="9"/>
            <color indexed="81"/>
            <rFont val="Tahoma"/>
            <family val="2"/>
          </rPr>
          <t xml:space="preserve">
9C</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Vethamuthu</author>
    <author>user</author>
  </authors>
  <commentList>
    <comment ref="CB5" authorId="0" shapeId="0" xr:uid="{B7E9C9E6-E392-4385-8C9F-0FE59963F663}">
      <text>
        <r>
          <rPr>
            <b/>
            <sz val="9"/>
            <color indexed="81"/>
            <rFont val="Tahoma"/>
            <family val="2"/>
          </rPr>
          <t>Vethamuthu:</t>
        </r>
        <r>
          <rPr>
            <sz val="9"/>
            <color indexed="81"/>
            <rFont val="Tahoma"/>
            <family val="2"/>
          </rPr>
          <t xml:space="preserve">
Label</t>
        </r>
      </text>
    </comment>
    <comment ref="DB5" authorId="0" shapeId="0" xr:uid="{28C9B4F4-90EA-4FA9-A9C9-FFA1CAAAD322}">
      <text>
        <r>
          <rPr>
            <b/>
            <sz val="9"/>
            <color indexed="81"/>
            <rFont val="Tahoma"/>
            <family val="2"/>
          </rPr>
          <t>Vethamuthu:</t>
        </r>
        <r>
          <rPr>
            <sz val="9"/>
            <color indexed="81"/>
            <rFont val="Tahoma"/>
            <family val="2"/>
          </rPr>
          <t xml:space="preserve">
Label</t>
        </r>
      </text>
    </comment>
    <comment ref="DB6" authorId="0" shapeId="0" xr:uid="{407BB653-3858-4FEE-B080-B9FCE36E7D63}">
      <text>
        <r>
          <rPr>
            <b/>
            <sz val="9"/>
            <color indexed="81"/>
            <rFont val="Tahoma"/>
            <family val="2"/>
          </rPr>
          <t>Vethamuthu:</t>
        </r>
        <r>
          <rPr>
            <sz val="9"/>
            <color indexed="81"/>
            <rFont val="Tahoma"/>
            <family val="2"/>
          </rPr>
          <t xml:space="preserve">
Label</t>
        </r>
      </text>
    </comment>
    <comment ref="CB12" authorId="1" shapeId="0" xr:uid="{3E84F8FE-5AAC-4DDD-9B84-B0024CB0410A}">
      <text>
        <r>
          <rPr>
            <b/>
            <sz val="9"/>
            <color indexed="81"/>
            <rFont val="Tahoma"/>
            <family val="2"/>
          </rPr>
          <t>user:</t>
        </r>
        <r>
          <rPr>
            <sz val="9"/>
            <color indexed="81"/>
            <rFont val="Tahoma"/>
            <family val="2"/>
          </rPr>
          <t xml:space="preserve">
Optional</t>
        </r>
      </text>
    </comment>
    <comment ref="EB16" authorId="1" shapeId="0" xr:uid="{9997A4DD-3DA7-4975-A4C4-34BBC9C15508}">
      <text>
        <r>
          <rPr>
            <b/>
            <sz val="9"/>
            <color indexed="81"/>
            <rFont val="Tahoma"/>
            <family val="2"/>
          </rPr>
          <t>user:</t>
        </r>
        <r>
          <rPr>
            <sz val="9"/>
            <color indexed="81"/>
            <rFont val="Tahoma"/>
            <family val="2"/>
          </rPr>
          <t xml:space="preserve">
All are Optional</t>
        </r>
      </text>
    </comment>
    <comment ref="EB17" authorId="1" shapeId="0" xr:uid="{614668DB-DD0A-41FF-BEAF-714EC90C1547}">
      <text>
        <r>
          <rPr>
            <b/>
            <sz val="9"/>
            <color indexed="81"/>
            <rFont val="Tahoma"/>
            <family val="2"/>
          </rPr>
          <t>user:</t>
        </r>
        <r>
          <rPr>
            <sz val="9"/>
            <color indexed="81"/>
            <rFont val="Tahoma"/>
            <family val="2"/>
          </rPr>
          <t xml:space="preserve">
All are Optional</t>
        </r>
      </text>
    </comment>
    <comment ref="DB18" authorId="1" shapeId="0" xr:uid="{5B9947F3-0F9B-461B-8547-00EB409ECFE8}">
      <text>
        <r>
          <rPr>
            <b/>
            <sz val="9"/>
            <color indexed="81"/>
            <rFont val="Tahoma"/>
            <family val="2"/>
          </rPr>
          <t>Required</t>
        </r>
      </text>
    </comment>
    <comment ref="DC18" authorId="1" shapeId="0" xr:uid="{EDFC7D6C-D024-4D89-8B80-35145C5F4456}">
      <text>
        <r>
          <rPr>
            <b/>
            <sz val="9"/>
            <color indexed="81"/>
            <rFont val="Tahoma"/>
            <family val="2"/>
          </rPr>
          <t>user:</t>
        </r>
        <r>
          <rPr>
            <sz val="9"/>
            <color indexed="81"/>
            <rFont val="Tahoma"/>
            <family val="2"/>
          </rPr>
          <t xml:space="preserve">
= One Unit of Reporting UOM</t>
        </r>
      </text>
    </comment>
    <comment ref="EB18" authorId="1" shapeId="0" xr:uid="{DC63E440-3FAC-4EF4-82AD-92550A126481}">
      <text>
        <r>
          <rPr>
            <b/>
            <sz val="9"/>
            <color indexed="81"/>
            <rFont val="Tahoma"/>
            <family val="2"/>
          </rPr>
          <t>user:</t>
        </r>
        <r>
          <rPr>
            <sz val="9"/>
            <color indexed="81"/>
            <rFont val="Tahoma"/>
            <family val="2"/>
          </rPr>
          <t xml:space="preserve">
All are Optional</t>
        </r>
      </text>
    </comment>
    <comment ref="DB19" authorId="1" shapeId="0" xr:uid="{7842F9A5-389A-4641-A201-C1DB47F5838E}">
      <text>
        <r>
          <rPr>
            <b/>
            <sz val="9"/>
            <color indexed="81"/>
            <rFont val="Tahoma"/>
            <family val="2"/>
          </rPr>
          <t>Required</t>
        </r>
      </text>
    </comment>
    <comment ref="DC19" authorId="1" shapeId="0" xr:uid="{2154844F-D484-4FF8-B1AC-DE4DF50CC52A}">
      <text>
        <r>
          <rPr>
            <b/>
            <sz val="9"/>
            <color indexed="81"/>
            <rFont val="Tahoma"/>
            <family val="2"/>
          </rPr>
          <t>user:</t>
        </r>
        <r>
          <rPr>
            <sz val="9"/>
            <color indexed="81"/>
            <rFont val="Tahoma"/>
            <family val="2"/>
          </rPr>
          <t xml:space="preserve">
3D-2. Purchasing UOM can be also Reporting UOM. Allow user to Select</t>
        </r>
      </text>
    </comment>
    <comment ref="EB19" authorId="1" shapeId="0" xr:uid="{3074D346-7722-41C3-84EC-9D55EFD52496}">
      <text>
        <r>
          <rPr>
            <b/>
            <sz val="9"/>
            <color indexed="81"/>
            <rFont val="Tahoma"/>
            <family val="2"/>
          </rPr>
          <t>user:</t>
        </r>
        <r>
          <rPr>
            <sz val="9"/>
            <color indexed="81"/>
            <rFont val="Tahoma"/>
            <family val="2"/>
          </rPr>
          <t xml:space="preserve">
All are Optional</t>
        </r>
      </text>
    </comment>
    <comment ref="DB20" authorId="1" shapeId="0" xr:uid="{B1758B75-FE7D-446A-88F4-58D196935250}">
      <text>
        <r>
          <rPr>
            <b/>
            <sz val="9"/>
            <color indexed="81"/>
            <rFont val="Tahoma"/>
            <family val="2"/>
          </rPr>
          <t>Required</t>
        </r>
      </text>
    </comment>
    <comment ref="DC20" authorId="1" shapeId="0" xr:uid="{A4B54B56-7C62-4189-9BA6-A522CEBEC674}">
      <text>
        <r>
          <rPr>
            <b/>
            <sz val="9"/>
            <color indexed="81"/>
            <rFont val="Tahoma"/>
            <family val="2"/>
          </rPr>
          <t>user:</t>
        </r>
        <r>
          <rPr>
            <sz val="9"/>
            <color indexed="81"/>
            <rFont val="Tahoma"/>
            <family val="2"/>
          </rPr>
          <t xml:space="preserve">
3D-2. Purchasing UOM can be also Reporting UOM. Allow user to Select</t>
        </r>
      </text>
    </comment>
    <comment ref="EB20" authorId="1" shapeId="0" xr:uid="{ACA388AC-7D04-4D62-82F8-687B37E7E4BB}">
      <text>
        <r>
          <rPr>
            <b/>
            <sz val="9"/>
            <color indexed="81"/>
            <rFont val="Tahoma"/>
            <family val="2"/>
          </rPr>
          <t>user:</t>
        </r>
        <r>
          <rPr>
            <sz val="9"/>
            <color indexed="81"/>
            <rFont val="Tahoma"/>
            <family val="2"/>
          </rPr>
          <t xml:space="preserve">
All are Optional</t>
        </r>
      </text>
    </comment>
    <comment ref="DB21" authorId="1" shapeId="0" xr:uid="{AE5AF68B-D648-46AA-8E77-D1CB402C4C69}">
      <text>
        <r>
          <rPr>
            <b/>
            <sz val="9"/>
            <color indexed="81"/>
            <rFont val="Tahoma"/>
            <family val="2"/>
          </rPr>
          <t>Required</t>
        </r>
      </text>
    </comment>
    <comment ref="DC21" authorId="1" shapeId="0" xr:uid="{64263DA0-04DF-4BB0-8408-831C20F52067}">
      <text>
        <r>
          <rPr>
            <b/>
            <sz val="9"/>
            <color indexed="81"/>
            <rFont val="Tahoma"/>
            <family val="2"/>
          </rPr>
          <t>user:</t>
        </r>
        <r>
          <rPr>
            <sz val="9"/>
            <color indexed="81"/>
            <rFont val="Tahoma"/>
            <family val="2"/>
          </rPr>
          <t xml:space="preserve">
3D-2. Purchasing UOM can be also Reporting UOM. Allow user to Select</t>
        </r>
      </text>
    </comment>
    <comment ref="EB21" authorId="1" shapeId="0" xr:uid="{2174DF22-A021-4089-BC91-B50E9E3F9435}">
      <text>
        <r>
          <rPr>
            <b/>
            <sz val="9"/>
            <color indexed="81"/>
            <rFont val="Tahoma"/>
            <family val="2"/>
          </rPr>
          <t>user:</t>
        </r>
        <r>
          <rPr>
            <sz val="9"/>
            <color indexed="81"/>
            <rFont val="Tahoma"/>
            <family val="2"/>
          </rPr>
          <t xml:space="preserve">
All are Optional</t>
        </r>
      </text>
    </comment>
    <comment ref="EB22" authorId="1" shapeId="0" xr:uid="{FC0A10D9-DFBD-47C6-BBC2-045FA26B1A0E}">
      <text>
        <r>
          <rPr>
            <b/>
            <sz val="9"/>
            <color indexed="81"/>
            <rFont val="Tahoma"/>
            <family val="2"/>
          </rPr>
          <t>user:</t>
        </r>
        <r>
          <rPr>
            <sz val="9"/>
            <color indexed="81"/>
            <rFont val="Tahoma"/>
            <family val="2"/>
          </rPr>
          <t xml:space="preserve">
All are Optional</t>
        </r>
      </text>
    </comment>
    <comment ref="EB23" authorId="1" shapeId="0" xr:uid="{E1C39598-0F87-49AF-AB95-6C81572B2E0D}">
      <text>
        <r>
          <rPr>
            <b/>
            <sz val="9"/>
            <color indexed="81"/>
            <rFont val="Tahoma"/>
            <family val="2"/>
          </rPr>
          <t>user:</t>
        </r>
        <r>
          <rPr>
            <sz val="9"/>
            <color indexed="81"/>
            <rFont val="Tahoma"/>
            <family val="2"/>
          </rPr>
          <t xml:space="preserve">
All are Optional</t>
        </r>
      </text>
    </comment>
    <comment ref="EB24" authorId="1" shapeId="0" xr:uid="{F69F7B2A-8859-46B8-A728-B543BBFD4E68}">
      <text>
        <r>
          <rPr>
            <b/>
            <sz val="9"/>
            <color indexed="81"/>
            <rFont val="Tahoma"/>
            <family val="2"/>
          </rPr>
          <t>user:</t>
        </r>
        <r>
          <rPr>
            <sz val="9"/>
            <color indexed="81"/>
            <rFont val="Tahoma"/>
            <family val="2"/>
          </rPr>
          <t xml:space="preserve">
All are Optional</t>
        </r>
      </text>
    </comment>
    <comment ref="EB25" authorId="1" shapeId="0" xr:uid="{24B447F3-F37A-4CDB-8C99-7F41FBE8AC61}">
      <text>
        <r>
          <rPr>
            <b/>
            <sz val="9"/>
            <color indexed="81"/>
            <rFont val="Tahoma"/>
            <family val="2"/>
          </rPr>
          <t>user:</t>
        </r>
        <r>
          <rPr>
            <sz val="9"/>
            <color indexed="81"/>
            <rFont val="Tahoma"/>
            <family val="2"/>
          </rPr>
          <t xml:space="preserve">
All are Optional</t>
        </r>
      </text>
    </comment>
    <comment ref="EB26" authorId="1" shapeId="0" xr:uid="{11EB42A5-5036-4E91-B529-CAE8178A144D}">
      <text>
        <r>
          <rPr>
            <b/>
            <sz val="9"/>
            <color indexed="81"/>
            <rFont val="Tahoma"/>
            <family val="2"/>
          </rPr>
          <t>user:</t>
        </r>
        <r>
          <rPr>
            <sz val="9"/>
            <color indexed="81"/>
            <rFont val="Tahoma"/>
            <family val="2"/>
          </rPr>
          <t xml:space="preserve">
All are Optional</t>
        </r>
      </text>
    </comment>
    <comment ref="EB27" authorId="1" shapeId="0" xr:uid="{E44B68BB-ADAD-4EE9-960B-55D96B70B784}">
      <text>
        <r>
          <rPr>
            <b/>
            <sz val="9"/>
            <color indexed="81"/>
            <rFont val="Tahoma"/>
            <family val="2"/>
          </rPr>
          <t>user:</t>
        </r>
        <r>
          <rPr>
            <sz val="9"/>
            <color indexed="81"/>
            <rFont val="Tahoma"/>
            <family val="2"/>
          </rPr>
          <t xml:space="preserve">
All are Optional</t>
        </r>
      </text>
    </comment>
    <comment ref="EB28" authorId="1" shapeId="0" xr:uid="{A284F42C-7964-4D53-85F4-327B6128D5BA}">
      <text>
        <r>
          <rPr>
            <b/>
            <sz val="9"/>
            <color indexed="81"/>
            <rFont val="Tahoma"/>
            <family val="2"/>
          </rPr>
          <t>user:</t>
        </r>
        <r>
          <rPr>
            <sz val="9"/>
            <color indexed="81"/>
            <rFont val="Tahoma"/>
            <family val="2"/>
          </rPr>
          <t xml:space="preserve">
All are Optional</t>
        </r>
      </text>
    </comment>
    <comment ref="EB29" authorId="1" shapeId="0" xr:uid="{E93E91F4-833E-4928-8779-863E2F7264E3}">
      <text>
        <r>
          <rPr>
            <b/>
            <sz val="9"/>
            <color indexed="81"/>
            <rFont val="Tahoma"/>
            <family val="2"/>
          </rPr>
          <t>user:</t>
        </r>
        <r>
          <rPr>
            <sz val="9"/>
            <color indexed="81"/>
            <rFont val="Tahoma"/>
            <family val="2"/>
          </rPr>
          <t xml:space="preserve">
All are Optional</t>
        </r>
      </text>
    </comment>
    <comment ref="EB30" authorId="1" shapeId="0" xr:uid="{1F271737-1474-45C1-9818-B49FD07055E6}">
      <text>
        <r>
          <rPr>
            <b/>
            <sz val="9"/>
            <color indexed="81"/>
            <rFont val="Tahoma"/>
            <family val="2"/>
          </rPr>
          <t>user:</t>
        </r>
        <r>
          <rPr>
            <sz val="9"/>
            <color indexed="81"/>
            <rFont val="Tahoma"/>
            <family val="2"/>
          </rPr>
          <t xml:space="preserve">
All are Optional</t>
        </r>
      </text>
    </comment>
    <comment ref="EB31" authorId="1" shapeId="0" xr:uid="{AA80D829-E485-43CA-9DD3-6E91964E646F}">
      <text>
        <r>
          <rPr>
            <b/>
            <sz val="9"/>
            <color indexed="81"/>
            <rFont val="Tahoma"/>
            <family val="2"/>
          </rPr>
          <t>user:</t>
        </r>
        <r>
          <rPr>
            <sz val="9"/>
            <color indexed="81"/>
            <rFont val="Tahoma"/>
            <family val="2"/>
          </rPr>
          <t xml:space="preserve">
All are Optional</t>
        </r>
      </text>
    </comment>
    <comment ref="EB32" authorId="1" shapeId="0" xr:uid="{40A10AF5-615D-46CE-B83A-D551CEB4619C}">
      <text>
        <r>
          <rPr>
            <b/>
            <sz val="9"/>
            <color indexed="81"/>
            <rFont val="Tahoma"/>
            <family val="2"/>
          </rPr>
          <t>user:</t>
        </r>
        <r>
          <rPr>
            <sz val="9"/>
            <color indexed="81"/>
            <rFont val="Tahoma"/>
            <family val="2"/>
          </rPr>
          <t xml:space="preserve">
All are Optional</t>
        </r>
      </text>
    </comment>
    <comment ref="EB33" authorId="1" shapeId="0" xr:uid="{9CC00788-DAFB-4069-9B6B-3E871683DA7B}">
      <text>
        <r>
          <rPr>
            <b/>
            <sz val="9"/>
            <color indexed="81"/>
            <rFont val="Tahoma"/>
            <family val="2"/>
          </rPr>
          <t>user:</t>
        </r>
        <r>
          <rPr>
            <sz val="9"/>
            <color indexed="81"/>
            <rFont val="Tahoma"/>
            <family val="2"/>
          </rPr>
          <t xml:space="preserve">
All are Optional</t>
        </r>
      </text>
    </comment>
    <comment ref="DC34" authorId="0" shapeId="0" xr:uid="{976ED44C-19ED-43EC-A3F2-7AED4D435B4F}">
      <text>
        <r>
          <rPr>
            <b/>
            <sz val="9"/>
            <color indexed="81"/>
            <rFont val="Tahoma"/>
            <family val="2"/>
          </rPr>
          <t>Vethamuthu:</t>
        </r>
        <r>
          <rPr>
            <sz val="9"/>
            <color indexed="81"/>
            <rFont val="Tahoma"/>
            <family val="2"/>
          </rPr>
          <t xml:space="preserve">
Auto Display</t>
        </r>
      </text>
    </comment>
    <comment ref="EB34" authorId="1" shapeId="0" xr:uid="{8541F45A-4447-4DE5-8E71-78420FD0F204}">
      <text>
        <r>
          <rPr>
            <b/>
            <sz val="9"/>
            <color indexed="81"/>
            <rFont val="Tahoma"/>
            <family val="2"/>
          </rPr>
          <t>user:</t>
        </r>
        <r>
          <rPr>
            <sz val="9"/>
            <color indexed="81"/>
            <rFont val="Tahoma"/>
            <family val="2"/>
          </rPr>
          <t xml:space="preserve">
All are Optional</t>
        </r>
      </text>
    </comment>
    <comment ref="DC35" authorId="0" shapeId="0" xr:uid="{E7C497A9-2BCD-4BAE-AE09-CABE26011077}">
      <text>
        <r>
          <rPr>
            <b/>
            <sz val="9"/>
            <color indexed="81"/>
            <rFont val="Tahoma"/>
            <family val="2"/>
          </rPr>
          <t>Vethamuthu:</t>
        </r>
        <r>
          <rPr>
            <sz val="9"/>
            <color indexed="81"/>
            <rFont val="Tahoma"/>
            <family val="2"/>
          </rPr>
          <t xml:space="preserve">
Auto Display</t>
        </r>
      </text>
    </comment>
    <comment ref="EB35" authorId="1" shapeId="0" xr:uid="{C5FC22EF-7BC1-4D00-936E-C8F0BD59C1C3}">
      <text>
        <r>
          <rPr>
            <b/>
            <sz val="9"/>
            <color indexed="81"/>
            <rFont val="Tahoma"/>
            <family val="2"/>
          </rPr>
          <t>user:</t>
        </r>
        <r>
          <rPr>
            <sz val="9"/>
            <color indexed="81"/>
            <rFont val="Tahoma"/>
            <family val="2"/>
          </rPr>
          <t xml:space="preserve">
All are Optional</t>
        </r>
      </text>
    </comment>
    <comment ref="EB36" authorId="1" shapeId="0" xr:uid="{E45DFE5C-887E-4CB5-BAD3-F4ADA9C49A8A}">
      <text>
        <r>
          <rPr>
            <b/>
            <sz val="9"/>
            <color indexed="81"/>
            <rFont val="Tahoma"/>
            <family val="2"/>
          </rPr>
          <t>user:</t>
        </r>
        <r>
          <rPr>
            <sz val="9"/>
            <color indexed="81"/>
            <rFont val="Tahoma"/>
            <family val="2"/>
          </rPr>
          <t xml:space="preserve">
All are Optional</t>
        </r>
      </text>
    </comment>
    <comment ref="EB37" authorId="1" shapeId="0" xr:uid="{11740BAA-50A1-44D4-9F40-839199411115}">
      <text>
        <r>
          <rPr>
            <b/>
            <sz val="9"/>
            <color indexed="81"/>
            <rFont val="Tahoma"/>
            <family val="2"/>
          </rPr>
          <t>user:</t>
        </r>
        <r>
          <rPr>
            <sz val="9"/>
            <color indexed="81"/>
            <rFont val="Tahoma"/>
            <family val="2"/>
          </rPr>
          <t xml:space="preserve">
All are Optional</t>
        </r>
      </text>
    </comment>
    <comment ref="EB38" authorId="1" shapeId="0" xr:uid="{6D41D924-D2E7-4BE0-B9D2-15C2882B41EB}">
      <text>
        <r>
          <rPr>
            <b/>
            <sz val="9"/>
            <color indexed="81"/>
            <rFont val="Tahoma"/>
            <family val="2"/>
          </rPr>
          <t>user:</t>
        </r>
        <r>
          <rPr>
            <sz val="9"/>
            <color indexed="81"/>
            <rFont val="Tahoma"/>
            <family val="2"/>
          </rPr>
          <t xml:space="preserve">
All are Optional</t>
        </r>
      </text>
    </comment>
    <comment ref="EB39" authorId="1" shapeId="0" xr:uid="{1D3DCCAC-67F0-4E35-9B1F-F3AFBAB4FD64}">
      <text>
        <r>
          <rPr>
            <b/>
            <sz val="9"/>
            <color indexed="81"/>
            <rFont val="Tahoma"/>
            <family val="2"/>
          </rPr>
          <t>user:</t>
        </r>
        <r>
          <rPr>
            <sz val="9"/>
            <color indexed="81"/>
            <rFont val="Tahoma"/>
            <family val="2"/>
          </rPr>
          <t xml:space="preserve">
All are Optional</t>
        </r>
      </text>
    </comment>
    <comment ref="EB40" authorId="1" shapeId="0" xr:uid="{E9FCCD3F-3886-4682-A1CC-27DB49F06C69}">
      <text>
        <r>
          <rPr>
            <b/>
            <sz val="9"/>
            <color indexed="81"/>
            <rFont val="Tahoma"/>
            <family val="2"/>
          </rPr>
          <t>user:</t>
        </r>
        <r>
          <rPr>
            <sz val="9"/>
            <color indexed="81"/>
            <rFont val="Tahoma"/>
            <family val="2"/>
          </rPr>
          <t xml:space="preserve">
All are Optional</t>
        </r>
      </text>
    </comment>
    <comment ref="CC41" authorId="0" shapeId="0" xr:uid="{32E891E9-020D-430A-ACEF-684683BC8C22}">
      <text>
        <r>
          <rPr>
            <b/>
            <sz val="9"/>
            <color indexed="81"/>
            <rFont val="Tahoma"/>
            <family val="2"/>
          </rPr>
          <t>Vethamuthu:</t>
        </r>
        <r>
          <rPr>
            <sz val="9"/>
            <color indexed="81"/>
            <rFont val="Tahoma"/>
            <family val="2"/>
          </rPr>
          <t xml:space="preserve">
User will enter this Information</t>
        </r>
      </text>
    </comment>
    <comment ref="EB41" authorId="1" shapeId="0" xr:uid="{505B08CB-05B1-4A63-B993-634F951D8A6E}">
      <text>
        <r>
          <rPr>
            <b/>
            <sz val="9"/>
            <color indexed="81"/>
            <rFont val="Tahoma"/>
            <family val="2"/>
          </rPr>
          <t>user:</t>
        </r>
        <r>
          <rPr>
            <sz val="9"/>
            <color indexed="81"/>
            <rFont val="Tahoma"/>
            <family val="2"/>
          </rPr>
          <t xml:space="preserve">
All are Optional</t>
        </r>
      </text>
    </comment>
    <comment ref="CC42" authorId="0" shapeId="0" xr:uid="{28995F9C-09BC-4243-BD72-ABA908F3FBA7}">
      <text>
        <r>
          <rPr>
            <b/>
            <sz val="9"/>
            <color indexed="81"/>
            <rFont val="Tahoma"/>
            <family val="2"/>
          </rPr>
          <t>Vethamuthu:</t>
        </r>
        <r>
          <rPr>
            <sz val="9"/>
            <color indexed="81"/>
            <rFont val="Tahoma"/>
            <family val="2"/>
          </rPr>
          <t xml:space="preserve">
User will enter this Information</t>
        </r>
      </text>
    </comment>
    <comment ref="EB42" authorId="1" shapeId="0" xr:uid="{FFEEF1C5-DC1E-4230-ABBB-7C671FC6C41B}">
      <text>
        <r>
          <rPr>
            <b/>
            <sz val="9"/>
            <color indexed="81"/>
            <rFont val="Tahoma"/>
            <family val="2"/>
          </rPr>
          <t>user:</t>
        </r>
        <r>
          <rPr>
            <sz val="9"/>
            <color indexed="81"/>
            <rFont val="Tahoma"/>
            <family val="2"/>
          </rPr>
          <t xml:space="preserve">
All are Optional</t>
        </r>
      </text>
    </comment>
    <comment ref="CC43" authorId="0" shapeId="0" xr:uid="{233B6906-5F85-448A-A789-24963F71DA67}">
      <text>
        <r>
          <rPr>
            <b/>
            <sz val="9"/>
            <color indexed="81"/>
            <rFont val="Tahoma"/>
            <family val="2"/>
          </rPr>
          <t>Vethamuthu:</t>
        </r>
        <r>
          <rPr>
            <sz val="9"/>
            <color indexed="81"/>
            <rFont val="Tahoma"/>
            <family val="2"/>
          </rPr>
          <t xml:space="preserve">
Auto Display</t>
        </r>
      </text>
    </comment>
    <comment ref="EB43" authorId="1" shapeId="0" xr:uid="{BD6BD13E-3DC5-46CD-94FC-606DDD2A7946}">
      <text>
        <r>
          <rPr>
            <b/>
            <sz val="9"/>
            <color indexed="81"/>
            <rFont val="Tahoma"/>
            <family val="2"/>
          </rPr>
          <t>user:</t>
        </r>
        <r>
          <rPr>
            <sz val="9"/>
            <color indexed="81"/>
            <rFont val="Tahoma"/>
            <family val="2"/>
          </rPr>
          <t xml:space="preserve">
All are Optional</t>
        </r>
      </text>
    </comment>
    <comment ref="CC44" authorId="0" shapeId="0" xr:uid="{F777EB1E-8701-4455-A7A2-F49FF082813D}">
      <text>
        <r>
          <rPr>
            <b/>
            <sz val="9"/>
            <color indexed="81"/>
            <rFont val="Tahoma"/>
            <family val="2"/>
          </rPr>
          <t>Vethamuthu:</t>
        </r>
        <r>
          <rPr>
            <sz val="9"/>
            <color indexed="81"/>
            <rFont val="Tahoma"/>
            <family val="2"/>
          </rPr>
          <t xml:space="preserve">
Auto Display</t>
        </r>
      </text>
    </comment>
    <comment ref="DC44" authorId="0" shapeId="0" xr:uid="{31E6C215-F965-413B-A58F-DC3C3BF7FABE}">
      <text>
        <r>
          <rPr>
            <b/>
            <sz val="9"/>
            <color indexed="81"/>
            <rFont val="Tahoma"/>
            <family val="2"/>
          </rPr>
          <t>Vethamuthu:</t>
        </r>
        <r>
          <rPr>
            <sz val="9"/>
            <color indexed="81"/>
            <rFont val="Tahoma"/>
            <family val="2"/>
          </rPr>
          <t xml:space="preserve">
Auto Display</t>
        </r>
      </text>
    </comment>
    <comment ref="EB44" authorId="1" shapeId="0" xr:uid="{F32A613E-2253-414B-A94B-C4588EC81771}">
      <text>
        <r>
          <rPr>
            <b/>
            <sz val="9"/>
            <color indexed="81"/>
            <rFont val="Tahoma"/>
            <family val="2"/>
          </rPr>
          <t>user:</t>
        </r>
        <r>
          <rPr>
            <sz val="9"/>
            <color indexed="81"/>
            <rFont val="Tahoma"/>
            <family val="2"/>
          </rPr>
          <t xml:space="preserve">
All are Optional</t>
        </r>
      </text>
    </comment>
    <comment ref="DC45" authorId="0" shapeId="0" xr:uid="{E0354C63-093C-4DBF-934D-64710A6D05B6}">
      <text>
        <r>
          <rPr>
            <b/>
            <sz val="9"/>
            <color indexed="81"/>
            <rFont val="Tahoma"/>
            <family val="2"/>
          </rPr>
          <t>Vethamuthu:</t>
        </r>
        <r>
          <rPr>
            <sz val="9"/>
            <color indexed="81"/>
            <rFont val="Tahoma"/>
            <family val="2"/>
          </rPr>
          <t xml:space="preserve">
Auto Display</t>
        </r>
      </text>
    </comment>
    <comment ref="EB45" authorId="1" shapeId="0" xr:uid="{68C58072-EBE3-4137-B54E-D6331404AB9A}">
      <text>
        <r>
          <rPr>
            <b/>
            <sz val="9"/>
            <color indexed="81"/>
            <rFont val="Tahoma"/>
            <family val="2"/>
          </rPr>
          <t>user:</t>
        </r>
        <r>
          <rPr>
            <sz val="9"/>
            <color indexed="81"/>
            <rFont val="Tahoma"/>
            <family val="2"/>
          </rPr>
          <t xml:space="preserve">
All are Optional</t>
        </r>
      </text>
    </comment>
    <comment ref="EB46" authorId="1" shapeId="0" xr:uid="{09DEAA04-9590-4B42-8A40-215A758E281E}">
      <text>
        <r>
          <rPr>
            <b/>
            <sz val="9"/>
            <color indexed="81"/>
            <rFont val="Tahoma"/>
            <family val="2"/>
          </rPr>
          <t>user:</t>
        </r>
        <r>
          <rPr>
            <sz val="9"/>
            <color indexed="81"/>
            <rFont val="Tahoma"/>
            <family val="2"/>
          </rPr>
          <t xml:space="preserve">
All are Optional</t>
        </r>
      </text>
    </comment>
    <comment ref="EB47" authorId="1" shapeId="0" xr:uid="{6A128976-3E1F-42EE-B5CB-4BAD4C59EE4F}">
      <text>
        <r>
          <rPr>
            <b/>
            <sz val="9"/>
            <color indexed="81"/>
            <rFont val="Tahoma"/>
            <family val="2"/>
          </rPr>
          <t>user:</t>
        </r>
        <r>
          <rPr>
            <sz val="9"/>
            <color indexed="81"/>
            <rFont val="Tahoma"/>
            <family val="2"/>
          </rPr>
          <t xml:space="preserve">
All are Optional</t>
        </r>
      </text>
    </comment>
    <comment ref="EB48" authorId="1" shapeId="0" xr:uid="{1898304B-0752-4F3E-A708-D78D4FB795F0}">
      <text>
        <r>
          <rPr>
            <b/>
            <sz val="9"/>
            <color indexed="81"/>
            <rFont val="Tahoma"/>
            <family val="2"/>
          </rPr>
          <t>user:</t>
        </r>
        <r>
          <rPr>
            <sz val="9"/>
            <color indexed="81"/>
            <rFont val="Tahoma"/>
            <family val="2"/>
          </rPr>
          <t xml:space="preserve">
All are Optional</t>
        </r>
      </text>
    </comment>
    <comment ref="CC54" authorId="0" shapeId="0" xr:uid="{2522346F-6075-44C0-AF5C-41E2346D475F}">
      <text>
        <r>
          <rPr>
            <b/>
            <sz val="9"/>
            <color indexed="81"/>
            <rFont val="Tahoma"/>
            <family val="2"/>
          </rPr>
          <t>Vethamuthu:</t>
        </r>
        <r>
          <rPr>
            <sz val="9"/>
            <color indexed="81"/>
            <rFont val="Tahoma"/>
            <family val="2"/>
          </rPr>
          <t xml:space="preserve">
User will enter this Information</t>
        </r>
      </text>
    </comment>
    <comment ref="CC55" authorId="0" shapeId="0" xr:uid="{42B25969-994A-427F-A70F-EF0081C37971}">
      <text>
        <r>
          <rPr>
            <b/>
            <sz val="9"/>
            <color indexed="81"/>
            <rFont val="Tahoma"/>
            <family val="2"/>
          </rPr>
          <t>Vethamuthu:</t>
        </r>
        <r>
          <rPr>
            <sz val="9"/>
            <color indexed="81"/>
            <rFont val="Tahoma"/>
            <family val="2"/>
          </rPr>
          <t xml:space="preserve">
User will enter this Information</t>
        </r>
      </text>
    </comment>
    <comment ref="CC56" authorId="0" shapeId="0" xr:uid="{A7D1E518-826B-45F6-90E6-50829ED50A82}">
      <text>
        <r>
          <rPr>
            <b/>
            <sz val="9"/>
            <color indexed="81"/>
            <rFont val="Tahoma"/>
            <family val="2"/>
          </rPr>
          <t>Vethamuthu:</t>
        </r>
        <r>
          <rPr>
            <sz val="9"/>
            <color indexed="81"/>
            <rFont val="Tahoma"/>
            <family val="2"/>
          </rPr>
          <t xml:space="preserve">
Auto Display</t>
        </r>
      </text>
    </comment>
    <comment ref="CC57" authorId="0" shapeId="0" xr:uid="{896C8BEE-1BBD-4CA0-9779-3317381426AE}">
      <text>
        <r>
          <rPr>
            <b/>
            <sz val="9"/>
            <color indexed="81"/>
            <rFont val="Tahoma"/>
            <family val="2"/>
          </rPr>
          <t>Vethamuthu:</t>
        </r>
        <r>
          <rPr>
            <sz val="9"/>
            <color indexed="81"/>
            <rFont val="Tahoma"/>
            <family val="2"/>
          </rPr>
          <t xml:space="preserve">
Auto Display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Vethamuthu</author>
  </authors>
  <commentList>
    <comment ref="DY17" authorId="0" shapeId="0" xr:uid="{25DC801E-80AC-411C-8FEE-106D611A32F8}">
      <text>
        <r>
          <rPr>
            <b/>
            <sz val="9"/>
            <color indexed="81"/>
            <rFont val="Tahoma"/>
            <family val="2"/>
          </rPr>
          <t>Vethamuthu:</t>
        </r>
        <r>
          <rPr>
            <sz val="9"/>
            <color indexed="81"/>
            <rFont val="Tahoma"/>
            <family val="2"/>
          </rPr>
          <t xml:space="preserve">
Command Button</t>
        </r>
      </text>
    </comment>
    <comment ref="EA17" authorId="0" shapeId="0" xr:uid="{F2079954-B59B-44DE-B6FC-2DB5CEC2CA33}">
      <text>
        <r>
          <rPr>
            <b/>
            <sz val="9"/>
            <color indexed="81"/>
            <rFont val="Tahoma"/>
            <family val="2"/>
          </rPr>
          <t>Vethamuthu:</t>
        </r>
        <r>
          <rPr>
            <sz val="9"/>
            <color indexed="81"/>
            <rFont val="Tahoma"/>
            <family val="2"/>
          </rPr>
          <t xml:space="preserve">
Command Button</t>
        </r>
      </text>
    </comment>
    <comment ref="EC17" authorId="0" shapeId="0" xr:uid="{1F7FFDD0-4821-4564-8A78-4B95390EF4B3}">
      <text>
        <r>
          <rPr>
            <b/>
            <sz val="9"/>
            <color indexed="81"/>
            <rFont val="Tahoma"/>
            <family val="2"/>
          </rPr>
          <t>Vethamuthu:</t>
        </r>
        <r>
          <rPr>
            <sz val="9"/>
            <color indexed="81"/>
            <rFont val="Tahoma"/>
            <family val="2"/>
          </rPr>
          <t xml:space="preserve">
Command Button</t>
        </r>
      </text>
    </comment>
    <comment ref="KB17" authorId="0" shapeId="0" xr:uid="{DB0F1408-3515-4EF9-A856-F80E6718BB8A}">
      <text>
        <r>
          <rPr>
            <b/>
            <sz val="9"/>
            <color indexed="81"/>
            <rFont val="Tahoma"/>
            <family val="2"/>
          </rPr>
          <t>Vethamuthu:</t>
        </r>
        <r>
          <rPr>
            <sz val="9"/>
            <color indexed="81"/>
            <rFont val="Tahoma"/>
            <family val="2"/>
          </rPr>
          <t xml:space="preserve">
Command Button. On Each Click Display Next Page of Data</t>
        </r>
      </text>
    </comment>
    <comment ref="KD17" authorId="0" shapeId="0" xr:uid="{6C61C4D5-FAB3-457B-95F3-5F604B232215}">
      <text>
        <r>
          <rPr>
            <b/>
            <sz val="9"/>
            <color indexed="81"/>
            <rFont val="Tahoma"/>
            <family val="2"/>
          </rPr>
          <t>Vethamuthu:</t>
        </r>
        <r>
          <rPr>
            <sz val="9"/>
            <color indexed="81"/>
            <rFont val="Tahoma"/>
            <family val="2"/>
          </rPr>
          <t xml:space="preserve">
Command Button. On Click Show Earlier Page of Data</t>
        </r>
      </text>
    </comment>
    <comment ref="OA19" authorId="0" shapeId="0" xr:uid="{3A766AE4-81BB-4028-9FC8-ABA3A7EA28D1}">
      <text>
        <r>
          <rPr>
            <b/>
            <sz val="9"/>
            <color indexed="81"/>
            <rFont val="Tahoma"/>
            <family val="2"/>
          </rPr>
          <t>Vethamuthu:</t>
        </r>
        <r>
          <rPr>
            <sz val="9"/>
            <color indexed="81"/>
            <rFont val="Tahoma"/>
            <family val="2"/>
          </rPr>
          <t xml:space="preserve">
Command Button. On Each Click Display Next Page of Data</t>
        </r>
      </text>
    </comment>
    <comment ref="OC19" authorId="0" shapeId="0" xr:uid="{193C8F8C-D6AE-4EF2-8521-C1FF89857DAF}">
      <text>
        <r>
          <rPr>
            <b/>
            <sz val="9"/>
            <color indexed="81"/>
            <rFont val="Tahoma"/>
            <family val="2"/>
          </rPr>
          <t>Vethamuthu:</t>
        </r>
        <r>
          <rPr>
            <sz val="9"/>
            <color indexed="81"/>
            <rFont val="Tahoma"/>
            <family val="2"/>
          </rPr>
          <t xml:space="preserve">
Command Button. On Click Show Earlier Page of Data</t>
        </r>
      </text>
    </comment>
    <comment ref="SA19" authorId="0" shapeId="0" xr:uid="{04D7A12F-9A76-47EF-9EF8-31BBAC29E129}">
      <text>
        <r>
          <rPr>
            <b/>
            <sz val="9"/>
            <color indexed="81"/>
            <rFont val="Tahoma"/>
            <family val="2"/>
          </rPr>
          <t>Vethamuthu:</t>
        </r>
        <r>
          <rPr>
            <sz val="9"/>
            <color indexed="81"/>
            <rFont val="Tahoma"/>
            <family val="2"/>
          </rPr>
          <t xml:space="preserve">
Command Button. On Each Click Display Next Page of Data</t>
        </r>
      </text>
    </comment>
    <comment ref="SC19" authorId="0" shapeId="0" xr:uid="{42B2F946-0203-4B51-9788-AA7A102D3526}">
      <text>
        <r>
          <rPr>
            <b/>
            <sz val="9"/>
            <color indexed="81"/>
            <rFont val="Tahoma"/>
            <family val="2"/>
          </rPr>
          <t>Vethamuthu:</t>
        </r>
        <r>
          <rPr>
            <sz val="9"/>
            <color indexed="81"/>
            <rFont val="Tahoma"/>
            <family val="2"/>
          </rPr>
          <t xml:space="preserve">
Command Button. On Click Show Earlier Page of Data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Vethamuthu</author>
  </authors>
  <commentList>
    <comment ref="AH11" authorId="0" shapeId="0" xr:uid="{01D9CC98-DC3D-4813-B541-8241E40EE5D3}">
      <text>
        <r>
          <rPr>
            <b/>
            <sz val="9"/>
            <color indexed="81"/>
            <rFont val="Tahoma"/>
            <family val="2"/>
          </rPr>
          <t>Vethamuthu:</t>
        </r>
        <r>
          <rPr>
            <sz val="9"/>
            <color indexed="81"/>
            <rFont val="Tahoma"/>
            <family val="2"/>
          </rPr>
          <t xml:space="preserve">
4A</t>
        </r>
      </text>
    </comment>
    <comment ref="AI11" authorId="0" shapeId="0" xr:uid="{E918C6D0-EC1D-4181-8618-1EE51F2D81A8}">
      <text>
        <r>
          <rPr>
            <b/>
            <sz val="9"/>
            <color indexed="81"/>
            <rFont val="Tahoma"/>
            <family val="2"/>
          </rPr>
          <t>Vethamuthu:</t>
        </r>
        <r>
          <rPr>
            <sz val="9"/>
            <color indexed="81"/>
            <rFont val="Tahoma"/>
            <family val="2"/>
          </rPr>
          <t xml:space="preserve">
4B</t>
        </r>
      </text>
    </comment>
    <comment ref="AJ11" authorId="0" shapeId="0" xr:uid="{D013997F-6133-4D52-812C-D96608FA0F4C}">
      <text>
        <r>
          <rPr>
            <b/>
            <sz val="9"/>
            <color indexed="81"/>
            <rFont val="Tahoma"/>
            <family val="2"/>
          </rPr>
          <t>Vethamuthu:</t>
        </r>
        <r>
          <rPr>
            <sz val="9"/>
            <color indexed="81"/>
            <rFont val="Tahoma"/>
            <family val="2"/>
          </rPr>
          <t xml:space="preserve">
4C</t>
        </r>
      </text>
    </comment>
    <comment ref="AK11" authorId="0" shapeId="0" xr:uid="{2B02E220-3E75-443C-BE4C-FFDE9D8B3313}">
      <text>
        <r>
          <rPr>
            <b/>
            <sz val="9"/>
            <color indexed="81"/>
            <rFont val="Tahoma"/>
            <family val="2"/>
          </rPr>
          <t>Vethamuthu:</t>
        </r>
        <r>
          <rPr>
            <sz val="9"/>
            <color indexed="81"/>
            <rFont val="Tahoma"/>
            <family val="2"/>
          </rPr>
          <t xml:space="preserve">
4D</t>
        </r>
      </text>
    </comment>
    <comment ref="AL11" authorId="0" shapeId="0" xr:uid="{0A1F3737-5511-4812-98C9-213732FFD90B}">
      <text>
        <r>
          <rPr>
            <b/>
            <sz val="9"/>
            <color indexed="81"/>
            <rFont val="Tahoma"/>
            <family val="2"/>
          </rPr>
          <t>Vethamuthu:</t>
        </r>
        <r>
          <rPr>
            <sz val="9"/>
            <color indexed="81"/>
            <rFont val="Tahoma"/>
            <family val="2"/>
          </rPr>
          <t xml:space="preserve">
4E</t>
        </r>
      </text>
    </comment>
    <comment ref="AM11" authorId="0" shapeId="0" xr:uid="{70BBE64B-DAED-4B9E-A6D3-ACF708C3D013}">
      <text>
        <r>
          <rPr>
            <b/>
            <sz val="9"/>
            <color indexed="81"/>
            <rFont val="Tahoma"/>
            <family val="2"/>
          </rPr>
          <t>Vethamuthu:</t>
        </r>
        <r>
          <rPr>
            <sz val="9"/>
            <color indexed="81"/>
            <rFont val="Tahoma"/>
            <family val="2"/>
          </rPr>
          <t xml:space="preserve">
4F</t>
        </r>
      </text>
    </comment>
    <comment ref="N23" authorId="0" shapeId="0" xr:uid="{612199F7-85B9-4054-AE16-67BF095A2A06}">
      <text>
        <r>
          <rPr>
            <b/>
            <sz val="9"/>
            <color indexed="81"/>
            <rFont val="Tahoma"/>
            <family val="2"/>
          </rPr>
          <t>Vethamuthu:</t>
        </r>
        <r>
          <rPr>
            <sz val="9"/>
            <color indexed="81"/>
            <rFont val="Tahoma"/>
            <family val="2"/>
          </rPr>
          <t xml:space="preserve">
15A</t>
        </r>
      </text>
    </comment>
    <comment ref="O23" authorId="0" shapeId="0" xr:uid="{09E90E14-A7F2-4DFC-A021-4FE390B4DD1A}">
      <text>
        <r>
          <rPr>
            <b/>
            <sz val="9"/>
            <color indexed="81"/>
            <rFont val="Tahoma"/>
            <family val="2"/>
          </rPr>
          <t>Vethamuthu:</t>
        </r>
        <r>
          <rPr>
            <sz val="9"/>
            <color indexed="81"/>
            <rFont val="Tahoma"/>
            <family val="2"/>
          </rPr>
          <t xml:space="preserve">
15B</t>
        </r>
      </text>
    </comment>
    <comment ref="P23" authorId="0" shapeId="0" xr:uid="{C3F1941C-3481-4586-B2C5-4DF6A5C9D426}">
      <text>
        <r>
          <rPr>
            <b/>
            <sz val="9"/>
            <color indexed="81"/>
            <rFont val="Tahoma"/>
            <family val="2"/>
          </rPr>
          <t>Vethamuthu:</t>
        </r>
        <r>
          <rPr>
            <sz val="9"/>
            <color indexed="81"/>
            <rFont val="Tahoma"/>
            <family val="2"/>
          </rPr>
          <t xml:space="preserve">
15C</t>
        </r>
      </text>
    </comment>
    <comment ref="X41" authorId="0" shapeId="0" xr:uid="{D1CD2EA2-1D5C-41BB-905C-45A1BC648CC9}">
      <text>
        <r>
          <rPr>
            <b/>
            <sz val="9"/>
            <color indexed="81"/>
            <rFont val="Tahoma"/>
            <family val="2"/>
          </rPr>
          <t>Vethamuthu:</t>
        </r>
        <r>
          <rPr>
            <sz val="9"/>
            <color indexed="81"/>
            <rFont val="Tahoma"/>
            <family val="2"/>
          </rPr>
          <t xml:space="preserve">
10A-1</t>
        </r>
      </text>
    </comment>
    <comment ref="Y41" authorId="0" shapeId="0" xr:uid="{8542B198-037F-4E2E-B182-5DDFE1253ABA}">
      <text>
        <r>
          <rPr>
            <b/>
            <sz val="9"/>
            <color indexed="81"/>
            <rFont val="Tahoma"/>
            <family val="2"/>
          </rPr>
          <t>Vethamuthu:</t>
        </r>
        <r>
          <rPr>
            <sz val="9"/>
            <color indexed="81"/>
            <rFont val="Tahoma"/>
            <family val="2"/>
          </rPr>
          <t xml:space="preserve">
10A-3</t>
        </r>
      </text>
    </comment>
    <comment ref="Z41" authorId="0" shapeId="0" xr:uid="{F90A4CB2-C04B-43D7-96DC-76E926E37426}">
      <text>
        <r>
          <rPr>
            <b/>
            <sz val="9"/>
            <color indexed="81"/>
            <rFont val="Tahoma"/>
            <family val="2"/>
          </rPr>
          <t>Vethamuthu:</t>
        </r>
        <r>
          <rPr>
            <sz val="9"/>
            <color indexed="81"/>
            <rFont val="Tahoma"/>
            <family val="2"/>
          </rPr>
          <t xml:space="preserve">
10A-2</t>
        </r>
      </text>
    </comment>
    <comment ref="X42" authorId="0" shapeId="0" xr:uid="{0181BD6E-4D3A-4814-A9AF-9042309D032C}">
      <text>
        <r>
          <rPr>
            <b/>
            <sz val="9"/>
            <color indexed="81"/>
            <rFont val="Tahoma"/>
            <family val="2"/>
          </rPr>
          <t>Vethamuthu:</t>
        </r>
        <r>
          <rPr>
            <sz val="9"/>
            <color indexed="81"/>
            <rFont val="Tahoma"/>
            <family val="2"/>
          </rPr>
          <t xml:space="preserve">
10B-1</t>
        </r>
      </text>
    </comment>
    <comment ref="Y42" authorId="0" shapeId="0" xr:uid="{B1B7E408-D906-46ED-9668-E1982294B128}">
      <text>
        <r>
          <rPr>
            <b/>
            <sz val="9"/>
            <color indexed="81"/>
            <rFont val="Tahoma"/>
            <family val="2"/>
          </rPr>
          <t>Vethamuthu:</t>
        </r>
        <r>
          <rPr>
            <sz val="9"/>
            <color indexed="81"/>
            <rFont val="Tahoma"/>
            <family val="2"/>
          </rPr>
          <t xml:space="preserve">
10C-3</t>
        </r>
      </text>
    </comment>
    <comment ref="Z42" authorId="0" shapeId="0" xr:uid="{530C0FAC-5251-4853-B5F7-C88558118877}">
      <text>
        <r>
          <rPr>
            <b/>
            <sz val="9"/>
            <color indexed="81"/>
            <rFont val="Tahoma"/>
            <family val="2"/>
          </rPr>
          <t>Vethamuthu:</t>
        </r>
        <r>
          <rPr>
            <sz val="9"/>
            <color indexed="81"/>
            <rFont val="Tahoma"/>
            <family val="2"/>
          </rPr>
          <t xml:space="preserve">
10B-2</t>
        </r>
      </text>
    </comment>
    <comment ref="X43" authorId="0" shapeId="0" xr:uid="{0039175E-EBA4-4046-8E88-F2C5864677D4}">
      <text>
        <r>
          <rPr>
            <b/>
            <sz val="9"/>
            <color indexed="81"/>
            <rFont val="Tahoma"/>
            <family val="2"/>
          </rPr>
          <t>Vethamuthu:</t>
        </r>
        <r>
          <rPr>
            <sz val="9"/>
            <color indexed="81"/>
            <rFont val="Tahoma"/>
            <family val="2"/>
          </rPr>
          <t xml:space="preserve">
10C-1</t>
        </r>
      </text>
    </comment>
    <comment ref="Y43" authorId="0" shapeId="0" xr:uid="{0C2221EF-F07C-4F2D-A199-4F83DDA936C1}">
      <text>
        <r>
          <rPr>
            <b/>
            <sz val="9"/>
            <color indexed="81"/>
            <rFont val="Tahoma"/>
            <family val="2"/>
          </rPr>
          <t>Vethamuthu:</t>
        </r>
        <r>
          <rPr>
            <sz val="9"/>
            <color indexed="81"/>
            <rFont val="Tahoma"/>
            <family val="2"/>
          </rPr>
          <t xml:space="preserve">
10C-3</t>
        </r>
      </text>
    </comment>
    <comment ref="Z43" authorId="0" shapeId="0" xr:uid="{FC9B8957-659E-4D2E-BE73-6B2FFB003D83}">
      <text>
        <r>
          <rPr>
            <b/>
            <sz val="9"/>
            <color indexed="81"/>
            <rFont val="Tahoma"/>
            <family val="2"/>
          </rPr>
          <t>Vethamuthu:</t>
        </r>
        <r>
          <rPr>
            <sz val="9"/>
            <color indexed="81"/>
            <rFont val="Tahoma"/>
            <family val="2"/>
          </rPr>
          <t xml:space="preserve">
10C-2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Vethamuthu</author>
  </authors>
  <commentList>
    <comment ref="AA8" authorId="0" shapeId="0" xr:uid="{E71BE59B-B00A-417B-AAA2-EA863E787831}">
      <text>
        <r>
          <rPr>
            <b/>
            <sz val="9"/>
            <color indexed="81"/>
            <rFont val="Tahoma"/>
            <family val="2"/>
          </rPr>
          <t>Vethamuthu:</t>
        </r>
        <r>
          <rPr>
            <sz val="9"/>
            <color indexed="81"/>
            <rFont val="Tahoma"/>
            <family val="2"/>
          </rPr>
          <t xml:space="preserve">
Generally in Our Projects we will have between 3 to 25 blocks. Each block will be SCC</t>
        </r>
      </text>
    </comment>
    <comment ref="AA10" authorId="0" shapeId="0" xr:uid="{00E3236D-C1FD-4F14-8074-61BEB688785C}">
      <text>
        <r>
          <rPr>
            <b/>
            <sz val="9"/>
            <color indexed="81"/>
            <rFont val="Tahoma"/>
            <family val="2"/>
          </rPr>
          <t>Vethamuthu:</t>
        </r>
        <r>
          <rPr>
            <sz val="9"/>
            <color indexed="81"/>
            <rFont val="Tahoma"/>
            <family val="2"/>
          </rPr>
          <t xml:space="preserve">
Cannot be before PCC Start Date</t>
        </r>
      </text>
    </comment>
    <comment ref="AA11" authorId="0" shapeId="0" xr:uid="{80506DF3-7987-4229-97E2-685F20AD2C46}">
      <text>
        <r>
          <rPr>
            <b/>
            <sz val="9"/>
            <color indexed="81"/>
            <rFont val="Tahoma"/>
            <family val="2"/>
          </rPr>
          <t>Vethamuthu:</t>
        </r>
        <r>
          <rPr>
            <sz val="9"/>
            <color indexed="81"/>
            <rFont val="Tahoma"/>
            <family val="2"/>
          </rPr>
          <t xml:space="preserve">
Cannot be after PCC End Date</t>
        </r>
      </text>
    </comment>
    <comment ref="Z12" authorId="0" shapeId="0" xr:uid="{E0104F91-2DF7-45BD-8032-40524A599132}">
      <text>
        <r>
          <rPr>
            <b/>
            <sz val="9"/>
            <color indexed="81"/>
            <rFont val="Tahoma"/>
            <family val="2"/>
          </rPr>
          <t>Vethamuthu:</t>
        </r>
        <r>
          <rPr>
            <sz val="9"/>
            <color indexed="81"/>
            <rFont val="Tahoma"/>
            <family val="2"/>
          </rPr>
          <t xml:space="preserve">
Next Level Cost Centre</t>
        </r>
      </text>
    </comment>
    <comment ref="U19" authorId="0" shapeId="0" xr:uid="{A38FC9A2-B457-4A8A-AD1B-FC52AA13FBBD}">
      <text>
        <r>
          <rPr>
            <b/>
            <sz val="9"/>
            <color indexed="81"/>
            <rFont val="Tahoma"/>
            <family val="2"/>
          </rPr>
          <t>Vethamuthu:</t>
        </r>
        <r>
          <rPr>
            <sz val="9"/>
            <color indexed="81"/>
            <rFont val="Tahoma"/>
            <family val="2"/>
          </rPr>
          <t xml:space="preserve">
For small project we will not track this information. If yes then for each MR system will request this respond.</t>
        </r>
      </text>
    </comment>
    <comment ref="U20" authorId="0" shapeId="0" xr:uid="{67A61BA8-91DD-42D6-B4ED-EA529C62B62B}">
      <text>
        <r>
          <rPr>
            <b/>
            <sz val="9"/>
            <color indexed="81"/>
            <rFont val="Tahoma"/>
            <family val="2"/>
          </rPr>
          <t>Vethamuthu:</t>
        </r>
        <r>
          <rPr>
            <sz val="9"/>
            <color indexed="81"/>
            <rFont val="Tahoma"/>
            <family val="2"/>
          </rPr>
          <t xml:space="preserve">
Contact Phone No is in Staff Profile </t>
        </r>
      </text>
    </comment>
    <comment ref="P22" authorId="0" shapeId="0" xr:uid="{96A62659-C9A5-450F-B44A-9FDC1E54C080}">
      <text>
        <r>
          <rPr>
            <b/>
            <sz val="9"/>
            <color indexed="81"/>
            <rFont val="Tahoma"/>
            <family val="2"/>
          </rPr>
          <t>Vethamuthu:</t>
        </r>
        <r>
          <rPr>
            <sz val="9"/>
            <color indexed="81"/>
            <rFont val="Tahoma"/>
            <family val="2"/>
          </rPr>
          <t xml:space="preserve">
13A</t>
        </r>
      </text>
    </comment>
    <comment ref="Q22" authorId="0" shapeId="0" xr:uid="{CA0AE45E-929D-4BBF-86E8-E06DF9BDAE0F}">
      <text>
        <r>
          <rPr>
            <b/>
            <sz val="9"/>
            <color indexed="81"/>
            <rFont val="Tahoma"/>
            <family val="2"/>
          </rPr>
          <t>Vethamuthu:</t>
        </r>
        <r>
          <rPr>
            <sz val="9"/>
            <color indexed="81"/>
            <rFont val="Tahoma"/>
            <family val="2"/>
          </rPr>
          <t xml:space="preserve">
14B</t>
        </r>
      </text>
    </comment>
    <comment ref="R22" authorId="0" shapeId="0" xr:uid="{155C4208-BF39-4AF1-A7C5-57A4BF8D8956}">
      <text>
        <r>
          <rPr>
            <b/>
            <sz val="9"/>
            <color indexed="81"/>
            <rFont val="Tahoma"/>
            <family val="2"/>
          </rPr>
          <t>Vethamuthu:</t>
        </r>
        <r>
          <rPr>
            <sz val="9"/>
            <color indexed="81"/>
            <rFont val="Tahoma"/>
            <family val="2"/>
          </rPr>
          <t xml:space="preserve">
14B</t>
        </r>
      </text>
    </comment>
    <comment ref="S22" authorId="0" shapeId="0" xr:uid="{7D2EFE62-886B-4F52-8377-58D93F3E07A1}">
      <text>
        <r>
          <rPr>
            <b/>
            <sz val="9"/>
            <color indexed="81"/>
            <rFont val="Tahoma"/>
            <family val="2"/>
          </rPr>
          <t>Vethamuthu:</t>
        </r>
        <r>
          <rPr>
            <sz val="9"/>
            <color indexed="81"/>
            <rFont val="Tahoma"/>
            <family val="2"/>
          </rPr>
          <t xml:space="preserve">
14B</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Vethamuthu</author>
  </authors>
  <commentList>
    <comment ref="C127" authorId="0" shapeId="0" xr:uid="{F1256841-A025-4B82-9F9B-9EDC0ECEFE78}">
      <text>
        <r>
          <rPr>
            <b/>
            <sz val="9"/>
            <color indexed="81"/>
            <rFont val="Tahoma"/>
            <family val="2"/>
          </rPr>
          <t>Vethamuthu:</t>
        </r>
        <r>
          <rPr>
            <sz val="9"/>
            <color indexed="81"/>
            <rFont val="Tahoma"/>
            <family val="2"/>
          </rPr>
          <t xml:space="preserve">
Here we refer Activity as Work. Linking What work he can. Basically to reduce the Choice and reduce error.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Vethamuthu</author>
    <author>user</author>
  </authors>
  <commentList>
    <comment ref="BW4" authorId="0" shapeId="0" xr:uid="{F49E29F8-B6C6-42C5-9061-4CDCBD729825}">
      <text>
        <r>
          <rPr>
            <b/>
            <sz val="9"/>
            <color indexed="81"/>
            <rFont val="Tahoma"/>
            <family val="2"/>
          </rPr>
          <t>Vethamuthu:</t>
        </r>
        <r>
          <rPr>
            <sz val="9"/>
            <color indexed="81"/>
            <rFont val="Tahoma"/>
            <family val="2"/>
          </rPr>
          <t xml:space="preserve">
5</t>
        </r>
      </text>
    </comment>
    <comment ref="CU4" authorId="0" shapeId="0" xr:uid="{C60CE4E0-A4F9-418C-BCBC-75707847EC5E}">
      <text>
        <r>
          <rPr>
            <b/>
            <sz val="9"/>
            <color indexed="81"/>
            <rFont val="Tahoma"/>
            <family val="2"/>
          </rPr>
          <t>Vethamuthu:</t>
        </r>
        <r>
          <rPr>
            <sz val="9"/>
            <color indexed="81"/>
            <rFont val="Tahoma"/>
            <family val="2"/>
          </rPr>
          <t xml:space="preserve">
6</t>
        </r>
      </text>
    </comment>
    <comment ref="J8" authorId="0" shapeId="0" xr:uid="{EE7FA9C9-DD04-425E-A46E-743E43EBB242}">
      <text>
        <r>
          <rPr>
            <b/>
            <sz val="9"/>
            <color indexed="81"/>
            <rFont val="Tahoma"/>
            <family val="2"/>
          </rPr>
          <t>Vethamuthu:</t>
        </r>
        <r>
          <rPr>
            <sz val="9"/>
            <color indexed="81"/>
            <rFont val="Tahoma"/>
            <family val="2"/>
          </rPr>
          <t xml:space="preserve">
Weather, Site Vistor and those Modules that do not fit into the other Groups</t>
        </r>
      </text>
    </comment>
    <comment ref="CS8" authorId="1" shapeId="0" xr:uid="{74F010D2-B02B-4F2C-98EB-178BE527380B}">
      <text>
        <r>
          <rPr>
            <b/>
            <sz val="9"/>
            <color indexed="81"/>
            <rFont val="Tahoma"/>
            <family val="2"/>
          </rPr>
          <t>user:</t>
        </r>
        <r>
          <rPr>
            <sz val="9"/>
            <color indexed="81"/>
            <rFont val="Tahoma"/>
            <family val="2"/>
          </rPr>
          <t xml:space="preserve">
4A</t>
        </r>
      </text>
    </comment>
    <comment ref="DS8" authorId="0" shapeId="0" xr:uid="{43C1A1BF-B7D5-432F-9F81-DA1E9912FE1E}">
      <text>
        <r>
          <rPr>
            <b/>
            <sz val="9"/>
            <color indexed="81"/>
            <rFont val="Tahoma"/>
            <family val="2"/>
          </rPr>
          <t>Vethamuthu:</t>
        </r>
        <r>
          <rPr>
            <sz val="9"/>
            <color indexed="81"/>
            <rFont val="Tahoma"/>
            <family val="2"/>
          </rPr>
          <t xml:space="preserve">
6</t>
        </r>
      </text>
    </comment>
    <comment ref="M9" authorId="0" shapeId="0" xr:uid="{E105EBC1-846E-4E0C-950A-840716DEC55E}">
      <text>
        <r>
          <rPr>
            <b/>
            <sz val="9"/>
            <color indexed="81"/>
            <rFont val="Tahoma"/>
            <family val="2"/>
          </rPr>
          <t>Vethamuthu:</t>
        </r>
        <r>
          <rPr>
            <sz val="9"/>
            <color indexed="81"/>
            <rFont val="Tahoma"/>
            <family val="2"/>
          </rPr>
          <t xml:space="preserve">
WE are NOT Only Buying Material, include Services</t>
        </r>
      </text>
    </comment>
    <comment ref="U9" authorId="0" shapeId="0" xr:uid="{0DA88CA2-C07B-4F50-83E6-37713609C0DD}">
      <text>
        <r>
          <rPr>
            <b/>
            <sz val="9"/>
            <color indexed="81"/>
            <rFont val="Tahoma"/>
            <family val="2"/>
          </rPr>
          <t>Vethamuthu:</t>
        </r>
        <r>
          <rPr>
            <sz val="9"/>
            <color indexed="81"/>
            <rFont val="Tahoma"/>
            <family val="2"/>
          </rPr>
          <t xml:space="preserve">
WE are NOT Only Buying Material, include Services</t>
        </r>
      </text>
    </comment>
    <comment ref="AE10" authorId="0" shapeId="0" xr:uid="{A5B13BA9-C62C-4AF2-8B30-98DE4ACC7E21}">
      <text>
        <r>
          <rPr>
            <b/>
            <sz val="9"/>
            <color indexed="81"/>
            <rFont val="Tahoma"/>
            <family val="2"/>
          </rPr>
          <t>Vethamuthu:</t>
        </r>
        <r>
          <rPr>
            <sz val="9"/>
            <color indexed="81"/>
            <rFont val="Tahoma"/>
            <family val="2"/>
          </rPr>
          <t xml:space="preserve">
8</t>
        </r>
      </text>
    </comment>
    <comment ref="BI12" authorId="0" shapeId="0" xr:uid="{B4E9AE9B-0003-4577-A467-D84FD32E3AD1}">
      <text>
        <r>
          <rPr>
            <b/>
            <sz val="9"/>
            <color indexed="81"/>
            <rFont val="Tahoma"/>
            <family val="2"/>
          </rPr>
          <t>Vethamuthu:</t>
        </r>
        <r>
          <rPr>
            <sz val="9"/>
            <color indexed="81"/>
            <rFont val="Tahoma"/>
            <family val="2"/>
          </rPr>
          <t xml:space="preserve">
Option Button To Sort Listbox3</t>
        </r>
      </text>
    </comment>
    <comment ref="BJ12" authorId="0" shapeId="0" xr:uid="{3C72D060-2A3B-4D91-9BFC-384DFE98A887}">
      <text>
        <r>
          <rPr>
            <b/>
            <sz val="9"/>
            <color indexed="81"/>
            <rFont val="Tahoma"/>
            <family val="2"/>
          </rPr>
          <t>Vethamuthu:</t>
        </r>
        <r>
          <rPr>
            <sz val="9"/>
            <color indexed="81"/>
            <rFont val="Tahoma"/>
            <family val="2"/>
          </rPr>
          <t xml:space="preserve">
Option Button To Sort Listbox3</t>
        </r>
      </text>
    </comment>
    <comment ref="BK12" authorId="0" shapeId="0" xr:uid="{15EBF3A3-BF42-4F61-A0E1-766C4FE20692}">
      <text>
        <r>
          <rPr>
            <b/>
            <sz val="9"/>
            <color indexed="81"/>
            <rFont val="Tahoma"/>
            <family val="2"/>
          </rPr>
          <t>Vethamuthu:</t>
        </r>
        <r>
          <rPr>
            <sz val="9"/>
            <color indexed="81"/>
            <rFont val="Tahoma"/>
            <family val="2"/>
          </rPr>
          <t xml:space="preserve">
Option Button To Sort Listbox3</t>
        </r>
      </text>
    </comment>
    <comment ref="BL12" authorId="0" shapeId="0" xr:uid="{516FAD1C-9B38-4BAF-A339-41BEFB0629F0}">
      <text>
        <r>
          <rPr>
            <b/>
            <sz val="9"/>
            <color indexed="81"/>
            <rFont val="Tahoma"/>
            <family val="2"/>
          </rPr>
          <t>Vethamuthu:</t>
        </r>
        <r>
          <rPr>
            <sz val="9"/>
            <color indexed="81"/>
            <rFont val="Tahoma"/>
            <family val="2"/>
          </rPr>
          <t xml:space="preserve">
Option Button To Sort Listbox3</t>
        </r>
      </text>
    </comment>
    <comment ref="AC13" authorId="0" shapeId="0" xr:uid="{34CF062C-A1DE-43CD-B254-A7483E522938}">
      <text>
        <r>
          <rPr>
            <b/>
            <sz val="9"/>
            <color indexed="81"/>
            <rFont val="Tahoma"/>
            <family val="2"/>
          </rPr>
          <t>Vethamuthu:</t>
        </r>
        <r>
          <rPr>
            <sz val="9"/>
            <color indexed="81"/>
            <rFont val="Tahoma"/>
            <family val="2"/>
          </rPr>
          <t xml:space="preserve">
To remove selected Supplier or any other method u prefer</t>
        </r>
      </text>
    </comment>
    <comment ref="BA13" authorId="0" shapeId="0" xr:uid="{8C0FF2CC-3892-4851-9FE1-6AF6D7F58BD7}">
      <text>
        <r>
          <rPr>
            <b/>
            <sz val="9"/>
            <color indexed="81"/>
            <rFont val="Tahoma"/>
            <family val="2"/>
          </rPr>
          <t>Vethamuthu:</t>
        </r>
        <r>
          <rPr>
            <sz val="9"/>
            <color indexed="81"/>
            <rFont val="Tahoma"/>
            <family val="2"/>
          </rPr>
          <t xml:space="preserve">
6</t>
        </r>
      </text>
    </comment>
    <comment ref="BT13" authorId="0" shapeId="0" xr:uid="{63F5DC50-2FDD-440B-80A3-D1EF50E182FD}">
      <text>
        <r>
          <rPr>
            <b/>
            <sz val="9"/>
            <color indexed="81"/>
            <rFont val="Tahoma"/>
            <family val="2"/>
          </rPr>
          <t>Vethamuthu:</t>
        </r>
        <r>
          <rPr>
            <sz val="9"/>
            <color indexed="81"/>
            <rFont val="Tahoma"/>
            <family val="2"/>
          </rPr>
          <t xml:space="preserve">
7A</t>
        </r>
      </text>
    </comment>
    <comment ref="BU13" authorId="0" shapeId="0" xr:uid="{AA15DFEC-DE3A-4C36-9F27-7643D02123DF}">
      <text>
        <r>
          <rPr>
            <b/>
            <sz val="9"/>
            <color indexed="81"/>
            <rFont val="Tahoma"/>
            <family val="2"/>
          </rPr>
          <t>Vethamuthu:</t>
        </r>
        <r>
          <rPr>
            <sz val="9"/>
            <color indexed="81"/>
            <rFont val="Tahoma"/>
            <family val="2"/>
          </rPr>
          <t xml:space="preserve">
7B</t>
        </r>
      </text>
    </comment>
    <comment ref="BV13" authorId="0" shapeId="0" xr:uid="{2A117339-E61E-4DBF-84D7-17F91163D5BE}">
      <text>
        <r>
          <rPr>
            <b/>
            <sz val="9"/>
            <color indexed="81"/>
            <rFont val="Tahoma"/>
            <family val="2"/>
          </rPr>
          <t>Vethamuthu:</t>
        </r>
        <r>
          <rPr>
            <sz val="9"/>
            <color indexed="81"/>
            <rFont val="Tahoma"/>
            <family val="2"/>
          </rPr>
          <t xml:space="preserve">
7C</t>
        </r>
      </text>
    </comment>
    <comment ref="BW13" authorId="0" shapeId="0" xr:uid="{AC0327D5-9681-452B-B9D9-B082402C25DE}">
      <text>
        <r>
          <rPr>
            <b/>
            <sz val="9"/>
            <color indexed="81"/>
            <rFont val="Tahoma"/>
            <family val="2"/>
          </rPr>
          <t>Vethamuthu:</t>
        </r>
        <r>
          <rPr>
            <sz val="9"/>
            <color indexed="81"/>
            <rFont val="Tahoma"/>
            <family val="2"/>
          </rPr>
          <t xml:space="preserve">
7D</t>
        </r>
      </text>
    </comment>
    <comment ref="BX13" authorId="0" shapeId="0" xr:uid="{0358B0F2-987B-477B-9E44-AD77BDF423D0}">
      <text>
        <r>
          <rPr>
            <b/>
            <sz val="9"/>
            <color indexed="81"/>
            <rFont val="Tahoma"/>
            <family val="2"/>
          </rPr>
          <t>Vethamuthu:</t>
        </r>
        <r>
          <rPr>
            <sz val="9"/>
            <color indexed="81"/>
            <rFont val="Tahoma"/>
            <family val="2"/>
          </rPr>
          <t xml:space="preserve">
7E</t>
        </r>
      </text>
    </comment>
    <comment ref="BY13" authorId="0" shapeId="0" xr:uid="{C8A020FD-0656-4728-A69B-D9ADD4D5FDA9}">
      <text>
        <r>
          <rPr>
            <b/>
            <sz val="9"/>
            <color indexed="81"/>
            <rFont val="Tahoma"/>
            <family val="2"/>
          </rPr>
          <t>Vethamuthu:</t>
        </r>
        <r>
          <rPr>
            <sz val="9"/>
            <color indexed="81"/>
            <rFont val="Tahoma"/>
            <family val="2"/>
          </rPr>
          <t xml:space="preserve">
7F</t>
        </r>
      </text>
    </comment>
    <comment ref="AW14" authorId="0" shapeId="0" xr:uid="{3853C7BC-6BEA-4AA2-A503-6A68081DFB5F}">
      <text>
        <r>
          <rPr>
            <b/>
            <sz val="9"/>
            <color indexed="81"/>
            <rFont val="Tahoma"/>
            <family val="2"/>
          </rPr>
          <t>Vethamuthu:</t>
        </r>
        <r>
          <rPr>
            <sz val="9"/>
            <color indexed="81"/>
            <rFont val="Tahoma"/>
            <family val="2"/>
          </rPr>
          <t xml:space="preserve">
6A</t>
        </r>
      </text>
    </comment>
    <comment ref="AX14" authorId="0" shapeId="0" xr:uid="{03704EE4-F4D5-4E6A-9195-96562C02F12F}">
      <text>
        <r>
          <rPr>
            <b/>
            <sz val="9"/>
            <color indexed="81"/>
            <rFont val="Tahoma"/>
            <family val="2"/>
          </rPr>
          <t>Vethamuthu:</t>
        </r>
        <r>
          <rPr>
            <sz val="9"/>
            <color indexed="81"/>
            <rFont val="Tahoma"/>
            <family val="2"/>
          </rPr>
          <t xml:space="preserve">
6B</t>
        </r>
      </text>
    </comment>
    <comment ref="AY14" authorId="0" shapeId="0" xr:uid="{F3F112B6-459D-40FC-9672-DD93E5D6EC99}">
      <text>
        <r>
          <rPr>
            <b/>
            <sz val="9"/>
            <color indexed="81"/>
            <rFont val="Tahoma"/>
            <family val="2"/>
          </rPr>
          <t>Vethamuthu:</t>
        </r>
        <r>
          <rPr>
            <sz val="9"/>
            <color indexed="81"/>
            <rFont val="Tahoma"/>
            <family val="2"/>
          </rPr>
          <t xml:space="preserve">
6C</t>
        </r>
      </text>
    </comment>
    <comment ref="AZ14" authorId="0" shapeId="0" xr:uid="{A3BE7533-6B1E-433F-A155-A00BC88AE895}">
      <text>
        <r>
          <rPr>
            <b/>
            <sz val="9"/>
            <color indexed="81"/>
            <rFont val="Tahoma"/>
            <family val="2"/>
          </rPr>
          <t>Vethamuthu:</t>
        </r>
        <r>
          <rPr>
            <sz val="9"/>
            <color indexed="81"/>
            <rFont val="Tahoma"/>
            <family val="2"/>
          </rPr>
          <t xml:space="preserve">
6D</t>
        </r>
      </text>
    </comment>
    <comment ref="BJ14" authorId="0" shapeId="0" xr:uid="{5C208B9C-FE87-4743-ACB1-386CCC581380}">
      <text>
        <r>
          <rPr>
            <b/>
            <sz val="9"/>
            <color indexed="81"/>
            <rFont val="Tahoma"/>
            <family val="2"/>
          </rPr>
          <t>Vethamuthu:</t>
        </r>
        <r>
          <rPr>
            <sz val="9"/>
            <color indexed="81"/>
            <rFont val="Tahoma"/>
            <family val="2"/>
          </rPr>
          <t xml:space="preserve">
Based On PCC. To get proper assessment we need to know the distance </t>
        </r>
      </text>
    </comment>
    <comment ref="CS14" authorId="0" shapeId="0" xr:uid="{CEBBD15A-CFF5-494A-84FC-A72934944779}">
      <text>
        <r>
          <rPr>
            <b/>
            <sz val="9"/>
            <color indexed="81"/>
            <rFont val="Tahoma"/>
            <family val="2"/>
          </rPr>
          <t>Vethamuthu:</t>
        </r>
        <r>
          <rPr>
            <sz val="9"/>
            <color indexed="81"/>
            <rFont val="Tahoma"/>
            <family val="2"/>
          </rPr>
          <t xml:space="preserve">
9A</t>
        </r>
      </text>
    </comment>
    <comment ref="AZ15" authorId="0" shapeId="0" xr:uid="{C0D495F0-F610-46EB-A70B-D9713C76AF3F}">
      <text>
        <r>
          <rPr>
            <b/>
            <sz val="9"/>
            <color indexed="81"/>
            <rFont val="Tahoma"/>
            <family val="2"/>
          </rPr>
          <t>Vethamuthu:</t>
        </r>
        <r>
          <rPr>
            <sz val="9"/>
            <color indexed="81"/>
            <rFont val="Tahoma"/>
            <family val="2"/>
          </rPr>
          <t xml:space="preserve">
7D Check Notes </t>
        </r>
      </text>
    </comment>
    <comment ref="AZ16" authorId="0" shapeId="0" xr:uid="{C01778FC-54F2-44D7-AADB-CDF93EE40894}">
      <text>
        <r>
          <rPr>
            <b/>
            <sz val="9"/>
            <color indexed="81"/>
            <rFont val="Tahoma"/>
            <family val="2"/>
          </rPr>
          <t>Vethamuthu:</t>
        </r>
        <r>
          <rPr>
            <sz val="9"/>
            <color indexed="81"/>
            <rFont val="Tahoma"/>
            <family val="2"/>
          </rPr>
          <t xml:space="preserve">
8D Check Notes </t>
        </r>
      </text>
    </comment>
    <comment ref="DI17" authorId="0" shapeId="0" xr:uid="{118B83CD-6192-4541-9524-0187E1EDECDE}">
      <text>
        <r>
          <rPr>
            <b/>
            <sz val="9"/>
            <color indexed="81"/>
            <rFont val="Tahoma"/>
            <family val="2"/>
          </rPr>
          <t>Vethamuthu:</t>
        </r>
        <r>
          <rPr>
            <sz val="9"/>
            <color indexed="81"/>
            <rFont val="Tahoma"/>
            <family val="2"/>
          </rPr>
          <t xml:space="preserve">
6</t>
        </r>
      </text>
    </comment>
    <comment ref="DJ17" authorId="0" shapeId="0" xr:uid="{C14AC338-F06B-4DA1-9D21-7B017C4541B7}">
      <text>
        <r>
          <rPr>
            <b/>
            <sz val="9"/>
            <color indexed="81"/>
            <rFont val="Tahoma"/>
            <family val="2"/>
          </rPr>
          <t>Vethamuthu:</t>
        </r>
        <r>
          <rPr>
            <sz val="9"/>
            <color indexed="81"/>
            <rFont val="Tahoma"/>
            <family val="2"/>
          </rPr>
          <t xml:space="preserve">
6</t>
        </r>
      </text>
    </comment>
    <comment ref="CR19" authorId="0" shapeId="0" xr:uid="{A1725DBC-70FD-45F7-A6EB-1760BCE5C947}">
      <text>
        <r>
          <rPr>
            <b/>
            <sz val="9"/>
            <color indexed="81"/>
            <rFont val="Tahoma"/>
            <family val="2"/>
          </rPr>
          <t>Vethamuthu:</t>
        </r>
        <r>
          <rPr>
            <sz val="9"/>
            <color indexed="81"/>
            <rFont val="Tahoma"/>
            <family val="2"/>
          </rPr>
          <t xml:space="preserve">
12A</t>
        </r>
      </text>
    </comment>
    <comment ref="CS19" authorId="0" shapeId="0" xr:uid="{63C5F187-F0A9-45A2-BDB7-345E124DF47F}">
      <text>
        <r>
          <rPr>
            <b/>
            <sz val="9"/>
            <color indexed="81"/>
            <rFont val="Tahoma"/>
            <family val="2"/>
          </rPr>
          <t>Vethamuthu:</t>
        </r>
        <r>
          <rPr>
            <sz val="9"/>
            <color indexed="81"/>
            <rFont val="Tahoma"/>
            <family val="2"/>
          </rPr>
          <t xml:space="preserve">
12B</t>
        </r>
      </text>
    </comment>
    <comment ref="CT19" authorId="0" shapeId="0" xr:uid="{A719B6D5-8891-485A-A8F2-138990FEFA02}">
      <text>
        <r>
          <rPr>
            <b/>
            <sz val="9"/>
            <color indexed="81"/>
            <rFont val="Tahoma"/>
            <family val="2"/>
          </rPr>
          <t>Vethamuthu:</t>
        </r>
        <r>
          <rPr>
            <sz val="9"/>
            <color indexed="81"/>
            <rFont val="Tahoma"/>
            <family val="2"/>
          </rPr>
          <t xml:space="preserve">
12C</t>
        </r>
      </text>
    </comment>
    <comment ref="CU19" authorId="0" shapeId="0" xr:uid="{396E58E4-8FF7-4397-B074-1B6805BB1D01}">
      <text>
        <r>
          <rPr>
            <b/>
            <sz val="9"/>
            <color indexed="81"/>
            <rFont val="Tahoma"/>
            <family val="2"/>
          </rPr>
          <t>Vethamuthu:</t>
        </r>
        <r>
          <rPr>
            <sz val="9"/>
            <color indexed="81"/>
            <rFont val="Tahoma"/>
            <family val="2"/>
          </rPr>
          <t xml:space="preserve">
12D</t>
        </r>
      </text>
    </comment>
    <comment ref="CV19" authorId="0" shapeId="0" xr:uid="{DB0B4081-122E-43CD-9A56-7DF795C6B41C}">
      <text>
        <r>
          <rPr>
            <b/>
            <sz val="9"/>
            <color indexed="81"/>
            <rFont val="Tahoma"/>
            <family val="2"/>
          </rPr>
          <t>Vethamuthu:</t>
        </r>
        <r>
          <rPr>
            <sz val="9"/>
            <color indexed="81"/>
            <rFont val="Tahoma"/>
            <family val="2"/>
          </rPr>
          <t xml:space="preserve">
12E</t>
        </r>
      </text>
    </comment>
    <comment ref="CW19" authorId="0" shapeId="0" xr:uid="{3B51785A-4A52-48A4-BB46-D98812EAFBC1}">
      <text>
        <r>
          <rPr>
            <b/>
            <sz val="9"/>
            <color indexed="81"/>
            <rFont val="Tahoma"/>
            <family val="2"/>
          </rPr>
          <t>Vethamuthu:</t>
        </r>
        <r>
          <rPr>
            <sz val="9"/>
            <color indexed="81"/>
            <rFont val="Tahoma"/>
            <family val="2"/>
          </rPr>
          <t xml:space="preserve">
12F</t>
        </r>
      </text>
    </comment>
    <comment ref="CX19" authorId="1" shapeId="0" xr:uid="{1F43AF8B-EED5-42F9-AEF1-26A48F22ED7A}">
      <text>
        <r>
          <rPr>
            <b/>
            <sz val="9"/>
            <color indexed="81"/>
            <rFont val="Tahoma"/>
            <family val="2"/>
          </rPr>
          <t>user:</t>
        </r>
        <r>
          <rPr>
            <sz val="9"/>
            <color indexed="81"/>
            <rFont val="Tahoma"/>
            <family val="2"/>
          </rPr>
          <t xml:space="preserve">
12G</t>
        </r>
      </text>
    </comment>
    <comment ref="BH22" authorId="0" shapeId="0" xr:uid="{9A3FF6C5-E115-4C99-8939-B67820CEC8BD}">
      <text>
        <r>
          <rPr>
            <b/>
            <sz val="9"/>
            <color indexed="81"/>
            <rFont val="Tahoma"/>
            <family val="2"/>
          </rPr>
          <t>Vethamuthu:</t>
        </r>
        <r>
          <rPr>
            <sz val="9"/>
            <color indexed="81"/>
            <rFont val="Tahoma"/>
            <family val="2"/>
          </rPr>
          <t xml:space="preserve">
8A</t>
        </r>
      </text>
    </comment>
    <comment ref="BI22" authorId="0" shapeId="0" xr:uid="{69E645C2-9053-4945-A054-313BCF993FE4}">
      <text>
        <r>
          <rPr>
            <b/>
            <sz val="9"/>
            <color indexed="81"/>
            <rFont val="Tahoma"/>
            <family val="2"/>
          </rPr>
          <t>Vethamuthu:</t>
        </r>
        <r>
          <rPr>
            <sz val="9"/>
            <color indexed="81"/>
            <rFont val="Tahoma"/>
            <family val="2"/>
          </rPr>
          <t xml:space="preserve">
8B</t>
        </r>
      </text>
    </comment>
    <comment ref="BJ22" authorId="0" shapeId="0" xr:uid="{8208D09D-3570-44C6-991C-21EC8890B537}">
      <text>
        <r>
          <rPr>
            <b/>
            <sz val="9"/>
            <color indexed="81"/>
            <rFont val="Tahoma"/>
            <family val="2"/>
          </rPr>
          <t>Vethamuthu:</t>
        </r>
        <r>
          <rPr>
            <sz val="9"/>
            <color indexed="81"/>
            <rFont val="Tahoma"/>
            <family val="2"/>
          </rPr>
          <t xml:space="preserve">
8C</t>
        </r>
      </text>
    </comment>
    <comment ref="BK22" authorId="0" shapeId="0" xr:uid="{6A531C18-9E53-4A44-BA07-DC09C22F1BD2}">
      <text>
        <r>
          <rPr>
            <b/>
            <sz val="9"/>
            <color indexed="81"/>
            <rFont val="Tahoma"/>
            <family val="2"/>
          </rPr>
          <t>Vethamuthu:</t>
        </r>
        <r>
          <rPr>
            <sz val="9"/>
            <color indexed="81"/>
            <rFont val="Tahoma"/>
            <family val="2"/>
          </rPr>
          <t xml:space="preserve">
8D</t>
        </r>
      </text>
    </comment>
    <comment ref="DF24" authorId="0" shapeId="0" xr:uid="{25CA2699-D155-4B89-AA61-499DDC1F6CA0}">
      <text>
        <r>
          <rPr>
            <b/>
            <sz val="9"/>
            <color indexed="81"/>
            <rFont val="Tahoma"/>
            <family val="2"/>
          </rPr>
          <t>Vethamuthu:</t>
        </r>
        <r>
          <rPr>
            <sz val="9"/>
            <color indexed="81"/>
            <rFont val="Tahoma"/>
            <family val="2"/>
          </rPr>
          <t xml:space="preserve">
6A</t>
        </r>
      </text>
    </comment>
    <comment ref="DH24" authorId="0" shapeId="0" xr:uid="{4B1DB3A0-46C2-4916-8E30-D53E0D6149FE}">
      <text>
        <r>
          <rPr>
            <b/>
            <sz val="9"/>
            <color indexed="81"/>
            <rFont val="Tahoma"/>
            <family val="2"/>
          </rPr>
          <t>Vethamuthu:</t>
        </r>
        <r>
          <rPr>
            <sz val="9"/>
            <color indexed="81"/>
            <rFont val="Tahoma"/>
            <family val="2"/>
          </rPr>
          <t xml:space="preserve">
6B</t>
        </r>
      </text>
    </comment>
    <comment ref="DF25" authorId="0" shapeId="0" xr:uid="{BB56D655-DC00-4214-B37D-3F55D682713C}">
      <text>
        <r>
          <rPr>
            <b/>
            <sz val="9"/>
            <color indexed="81"/>
            <rFont val="Tahoma"/>
            <family val="2"/>
          </rPr>
          <t>Vethamuthu:</t>
        </r>
        <r>
          <rPr>
            <sz val="9"/>
            <color indexed="81"/>
            <rFont val="Tahoma"/>
            <family val="2"/>
          </rPr>
          <t xml:space="preserve">
7A</t>
        </r>
      </text>
    </comment>
    <comment ref="DH25" authorId="1" shapeId="0" xr:uid="{94A11703-BEE3-4426-A157-B07BDD2029D4}">
      <text>
        <r>
          <rPr>
            <b/>
            <sz val="9"/>
            <color indexed="81"/>
            <rFont val="Tahoma"/>
            <family val="2"/>
          </rPr>
          <t>user:</t>
        </r>
        <r>
          <rPr>
            <sz val="9"/>
            <color indexed="81"/>
            <rFont val="Tahoma"/>
            <family val="2"/>
          </rPr>
          <t xml:space="preserve">
7B</t>
        </r>
      </text>
    </comment>
    <comment ref="DF28" authorId="1" shapeId="0" xr:uid="{8B45D9DF-3E97-4379-A9EB-2728E2E832E6}">
      <text>
        <r>
          <rPr>
            <b/>
            <sz val="9"/>
            <color indexed="81"/>
            <rFont val="Tahoma"/>
            <family val="2"/>
          </rPr>
          <t>user:</t>
        </r>
        <r>
          <rPr>
            <sz val="9"/>
            <color indexed="81"/>
            <rFont val="Tahoma"/>
            <family val="2"/>
          </rPr>
          <t xml:space="preserve">
8A</t>
        </r>
      </text>
    </comment>
    <comment ref="DH28" authorId="1" shapeId="0" xr:uid="{50209DA1-A9D8-428F-A4BE-A0B995AB418B}">
      <text>
        <r>
          <rPr>
            <b/>
            <sz val="9"/>
            <color indexed="81"/>
            <rFont val="Tahoma"/>
            <family val="2"/>
          </rPr>
          <t>user:</t>
        </r>
        <r>
          <rPr>
            <sz val="9"/>
            <color indexed="81"/>
            <rFont val="Tahoma"/>
            <family val="2"/>
          </rPr>
          <t xml:space="preserve">
8C</t>
        </r>
      </text>
    </comment>
    <comment ref="DF29" authorId="1" shapeId="0" xr:uid="{7855B883-26C0-4B3B-B252-829218A726DD}">
      <text>
        <r>
          <rPr>
            <b/>
            <sz val="9"/>
            <color indexed="81"/>
            <rFont val="Tahoma"/>
            <family val="2"/>
          </rPr>
          <t>user:</t>
        </r>
        <r>
          <rPr>
            <sz val="9"/>
            <color indexed="81"/>
            <rFont val="Tahoma"/>
            <family val="2"/>
          </rPr>
          <t xml:space="preserve">
8B</t>
        </r>
      </text>
    </comment>
    <comment ref="DH29" authorId="1" shapeId="0" xr:uid="{A411405D-41F2-4EC6-8F3F-95CD50CB6DFE}">
      <text>
        <r>
          <rPr>
            <b/>
            <sz val="9"/>
            <color indexed="81"/>
            <rFont val="Tahoma"/>
            <family val="2"/>
          </rPr>
          <t>user:</t>
        </r>
        <r>
          <rPr>
            <sz val="9"/>
            <color indexed="81"/>
            <rFont val="Tahoma"/>
            <family val="2"/>
          </rPr>
          <t xml:space="preserve">
8D</t>
        </r>
      </text>
    </comment>
    <comment ref="DE33" authorId="1" shapeId="0" xr:uid="{4F5CB5D6-2CEF-4671-BE14-F7552FF1084D}">
      <text>
        <r>
          <rPr>
            <b/>
            <sz val="9"/>
            <color indexed="81"/>
            <rFont val="Tahoma"/>
            <family val="2"/>
          </rPr>
          <t>user:</t>
        </r>
        <r>
          <rPr>
            <sz val="9"/>
            <color indexed="81"/>
            <rFont val="Tahoma"/>
            <family val="2"/>
          </rPr>
          <t xml:space="preserve">
9A</t>
        </r>
      </text>
    </comment>
    <comment ref="DG33" authorId="0" shapeId="0" xr:uid="{A8002ED5-F536-4413-B806-BDB1E70ACA2E}">
      <text>
        <r>
          <rPr>
            <b/>
            <sz val="9"/>
            <color indexed="81"/>
            <rFont val="Tahoma"/>
            <family val="2"/>
          </rPr>
          <t>Vethamuthu:</t>
        </r>
        <r>
          <rPr>
            <sz val="9"/>
            <color indexed="81"/>
            <rFont val="Tahoma"/>
            <family val="2"/>
          </rPr>
          <t xml:space="preserve">
9C</t>
        </r>
      </text>
    </comment>
    <comment ref="DH33" authorId="1" shapeId="0" xr:uid="{73D74189-57AC-498E-8B25-1A64B61C2BFB}">
      <text>
        <r>
          <rPr>
            <b/>
            <sz val="9"/>
            <color indexed="81"/>
            <rFont val="Tahoma"/>
            <family val="2"/>
          </rPr>
          <t>user:</t>
        </r>
        <r>
          <rPr>
            <sz val="9"/>
            <color indexed="81"/>
            <rFont val="Tahoma"/>
            <family val="2"/>
          </rPr>
          <t xml:space="preserve">
9D</t>
        </r>
      </text>
    </comment>
    <comment ref="DI33" authorId="1" shapeId="0" xr:uid="{9679AC2A-024A-40D4-BD54-5B0B9CC8A7A1}">
      <text>
        <r>
          <rPr>
            <b/>
            <sz val="9"/>
            <color indexed="81"/>
            <rFont val="Tahoma"/>
            <family val="2"/>
          </rPr>
          <t>user:</t>
        </r>
        <r>
          <rPr>
            <sz val="9"/>
            <color indexed="81"/>
            <rFont val="Tahoma"/>
            <family val="2"/>
          </rPr>
          <t xml:space="preserve">
9E. Enter Amount if 1st DO Only. Subsequent diisable Field</t>
        </r>
      </text>
    </comment>
    <comment ref="DJ33" authorId="1" shapeId="0" xr:uid="{B96BC872-CFED-4B1A-9B80-A4EC7CC72719}">
      <text>
        <r>
          <rPr>
            <b/>
            <sz val="9"/>
            <color indexed="81"/>
            <rFont val="Tahoma"/>
            <family val="2"/>
          </rPr>
          <t>user:</t>
        </r>
        <r>
          <rPr>
            <sz val="9"/>
            <color indexed="81"/>
            <rFont val="Tahoma"/>
            <family val="2"/>
          </rPr>
          <t xml:space="preserve">
9G</t>
        </r>
      </text>
    </comment>
    <comment ref="DH34" authorId="1" shapeId="0" xr:uid="{A089CB76-DF45-4977-A400-29A435C44B83}">
      <text>
        <r>
          <rPr>
            <b/>
            <sz val="9"/>
            <color indexed="81"/>
            <rFont val="Tahoma"/>
            <family val="2"/>
          </rPr>
          <t>user:</t>
        </r>
        <r>
          <rPr>
            <sz val="9"/>
            <color indexed="81"/>
            <rFont val="Tahoma"/>
            <family val="2"/>
          </rPr>
          <t xml:space="preserve">
10D</t>
        </r>
      </text>
    </comment>
    <comment ref="DI34" authorId="1" shapeId="0" xr:uid="{E9D5AD6D-D20E-4BF7-9906-019762E24CE1}">
      <text>
        <r>
          <rPr>
            <b/>
            <sz val="9"/>
            <color indexed="81"/>
            <rFont val="Tahoma"/>
            <family val="2"/>
          </rPr>
          <t>user:</t>
        </r>
        <r>
          <rPr>
            <sz val="9"/>
            <color indexed="81"/>
            <rFont val="Tahoma"/>
            <family val="2"/>
          </rPr>
          <t xml:space="preserve">
10E. Enter Amount if 1st DO Only. Subsequent diisable Field</t>
        </r>
      </text>
    </comment>
    <comment ref="DH35" authorId="1" shapeId="0" xr:uid="{E66C8439-A599-475B-B8EC-ED8070036474}">
      <text>
        <r>
          <rPr>
            <b/>
            <sz val="9"/>
            <color indexed="81"/>
            <rFont val="Tahoma"/>
            <family val="2"/>
          </rPr>
          <t>user:</t>
        </r>
        <r>
          <rPr>
            <sz val="9"/>
            <color indexed="81"/>
            <rFont val="Tahoma"/>
            <family val="2"/>
          </rPr>
          <t xml:space="preserve">
11D</t>
        </r>
      </text>
    </comment>
    <comment ref="DI35" authorId="1" shapeId="0" xr:uid="{EA5928FE-04CA-439B-9E9F-70CAB87EC2CA}">
      <text>
        <r>
          <rPr>
            <b/>
            <sz val="9"/>
            <color indexed="81"/>
            <rFont val="Tahoma"/>
            <family val="2"/>
          </rPr>
          <t>user:</t>
        </r>
        <r>
          <rPr>
            <sz val="9"/>
            <color indexed="81"/>
            <rFont val="Tahoma"/>
            <family val="2"/>
          </rPr>
          <t xml:space="preserve">
11E. Enter Amount if 1st DO Only. Subsequent diisable Field</t>
        </r>
      </text>
    </comment>
    <comment ref="DH36" authorId="1" shapeId="0" xr:uid="{C2DAF283-354F-4691-9629-6BEFE5ED926A}">
      <text>
        <r>
          <rPr>
            <b/>
            <sz val="9"/>
            <color indexed="81"/>
            <rFont val="Tahoma"/>
            <family val="2"/>
          </rPr>
          <t>user:</t>
        </r>
        <r>
          <rPr>
            <sz val="9"/>
            <color indexed="81"/>
            <rFont val="Tahoma"/>
            <family val="2"/>
          </rPr>
          <t xml:space="preserve">
12D</t>
        </r>
      </text>
    </comment>
    <comment ref="DI36" authorId="1" shapeId="0" xr:uid="{8E7073F9-57AF-4DC1-9E23-D58CE9EBB214}">
      <text>
        <r>
          <rPr>
            <b/>
            <sz val="9"/>
            <color indexed="81"/>
            <rFont val="Tahoma"/>
            <family val="2"/>
          </rPr>
          <t>user:</t>
        </r>
        <r>
          <rPr>
            <sz val="9"/>
            <color indexed="81"/>
            <rFont val="Tahoma"/>
            <family val="2"/>
          </rPr>
          <t xml:space="preserve">
12E. Enter Amount if 1st DO Only. Subsequent diisable Field</t>
        </r>
      </text>
    </comment>
    <comment ref="DL39" authorId="1" shapeId="0" xr:uid="{576BCDD1-E780-41E8-B1A1-FE6BDCD9CA92}">
      <text>
        <r>
          <rPr>
            <b/>
            <sz val="9"/>
            <color indexed="81"/>
            <rFont val="Tahoma"/>
            <family val="2"/>
          </rPr>
          <t>user:</t>
        </r>
        <r>
          <rPr>
            <sz val="9"/>
            <color indexed="81"/>
            <rFont val="Tahoma"/>
            <family val="2"/>
          </rPr>
          <t xml:space="preserve">
Command Button</t>
        </r>
      </text>
    </comment>
    <comment ref="AZ51" authorId="0" shapeId="0" xr:uid="{403494B5-2CF1-479B-849F-F85DFC061E18}">
      <text>
        <r>
          <rPr>
            <b/>
            <sz val="9"/>
            <color indexed="81"/>
            <rFont val="Tahoma"/>
            <family val="2"/>
          </rPr>
          <t>Vethamuthu:</t>
        </r>
        <r>
          <rPr>
            <sz val="9"/>
            <color indexed="81"/>
            <rFont val="Tahoma"/>
            <family val="2"/>
          </rPr>
          <t xml:space="preserve">
Information is in WPS Register</t>
        </r>
      </text>
    </comment>
    <comment ref="AZ52" authorId="0" shapeId="0" xr:uid="{3577CE10-2DE4-40FA-ABF6-5A146F101A7D}">
      <text>
        <r>
          <rPr>
            <b/>
            <sz val="9"/>
            <color indexed="81"/>
            <rFont val="Tahoma"/>
            <family val="2"/>
          </rPr>
          <t>Vethamuthu:</t>
        </r>
        <r>
          <rPr>
            <sz val="9"/>
            <color indexed="81"/>
            <rFont val="Tahoma"/>
            <family val="2"/>
          </rPr>
          <t xml:space="preserve">
Information is in WPS Register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Vethamuthu</author>
  </authors>
  <commentList>
    <comment ref="AI10" authorId="0" shapeId="0" xr:uid="{82AAE87D-76EE-4B96-AC6A-D088384931F5}">
      <text>
        <r>
          <rPr>
            <b/>
            <sz val="9"/>
            <color indexed="81"/>
            <rFont val="Tahoma"/>
            <family val="2"/>
          </rPr>
          <t>Vethamuthu:</t>
        </r>
        <r>
          <rPr>
            <sz val="9"/>
            <color indexed="81"/>
            <rFont val="Tahoma"/>
            <family val="2"/>
          </rPr>
          <t xml:space="preserve">
For small project we will not track this information. If yes then for each MR system will request this respond.</t>
        </r>
      </text>
    </comment>
    <comment ref="AI12" authorId="0" shapeId="0" xr:uid="{4A9CF54E-47ED-4F6F-8C96-56DDA7892E33}">
      <text>
        <r>
          <rPr>
            <b/>
            <sz val="9"/>
            <color indexed="81"/>
            <rFont val="Tahoma"/>
            <family val="2"/>
          </rPr>
          <t>Vethamuthu:</t>
        </r>
        <r>
          <rPr>
            <sz val="9"/>
            <color indexed="81"/>
            <rFont val="Tahoma"/>
            <family val="2"/>
          </rPr>
          <t xml:space="preserve">
For small project we will not track this information. If yes then for each MR system will request this respond.</t>
        </r>
      </text>
    </comment>
    <comment ref="Q14" authorId="0" shapeId="0" xr:uid="{C53A3EE2-E12E-4EFD-91C2-5E7030154605}">
      <text>
        <r>
          <rPr>
            <b/>
            <sz val="9"/>
            <color indexed="81"/>
            <rFont val="Tahoma"/>
            <family val="2"/>
          </rPr>
          <t>Vethamuthu:</t>
        </r>
        <r>
          <rPr>
            <sz val="9"/>
            <color indexed="81"/>
            <rFont val="Tahoma"/>
            <family val="2"/>
          </rPr>
          <t xml:space="preserve">
For small project we will not track this information. If yes then for each MR system will request this respond.</t>
        </r>
      </text>
    </comment>
    <comment ref="Z14" authorId="0" shapeId="0" xr:uid="{EC32AC47-E66F-4455-9F1F-7D1D129F045D}">
      <text>
        <r>
          <rPr>
            <b/>
            <sz val="9"/>
            <color indexed="81"/>
            <rFont val="Tahoma"/>
            <family val="2"/>
          </rPr>
          <t>Vethamuthu:</t>
        </r>
        <r>
          <rPr>
            <sz val="9"/>
            <color indexed="81"/>
            <rFont val="Tahoma"/>
            <family val="2"/>
          </rPr>
          <t xml:space="preserve">
For small project we will not track this information. If yes then for each MR system will request this respond.</t>
        </r>
      </text>
    </comment>
    <comment ref="AF15" authorId="0" shapeId="0" xr:uid="{69468569-37D5-4C84-B344-639DBE101D50}">
      <text>
        <r>
          <rPr>
            <b/>
            <sz val="9"/>
            <color indexed="81"/>
            <rFont val="Tahoma"/>
            <family val="2"/>
          </rPr>
          <t>Vethamuthu:</t>
        </r>
        <r>
          <rPr>
            <sz val="9"/>
            <color indexed="81"/>
            <rFont val="Tahoma"/>
            <family val="2"/>
          </rPr>
          <t xml:space="preserve">
Not To Exceed Balance</t>
        </r>
      </text>
    </comment>
    <comment ref="AO15" authorId="0" shapeId="0" xr:uid="{E2E8593E-8CBE-4DE3-B9C6-06D0548DE24C}">
      <text>
        <r>
          <rPr>
            <b/>
            <sz val="9"/>
            <color indexed="81"/>
            <rFont val="Tahoma"/>
            <family val="2"/>
          </rPr>
          <t>Vethamuthu:</t>
        </r>
        <r>
          <rPr>
            <sz val="9"/>
            <color indexed="81"/>
            <rFont val="Tahoma"/>
            <family val="2"/>
          </rPr>
          <t xml:space="preserve">
Not To Exceed Balance</t>
        </r>
      </text>
    </comment>
    <comment ref="AF18" authorId="0" shapeId="0" xr:uid="{2A53F27B-C2F2-447B-AF16-87CA067DA9C1}">
      <text>
        <r>
          <rPr>
            <b/>
            <sz val="9"/>
            <color indexed="81"/>
            <rFont val="Tahoma"/>
            <family val="2"/>
          </rPr>
          <t>Vethamuthu:</t>
        </r>
        <r>
          <rPr>
            <sz val="9"/>
            <color indexed="81"/>
            <rFont val="Tahoma"/>
            <family val="2"/>
          </rPr>
          <t xml:space="preserve">
It can be anywhere space is available</t>
        </r>
      </text>
    </comment>
    <comment ref="AO18" authorId="0" shapeId="0" xr:uid="{A3027EC9-029F-4DB7-8EA7-D421360E370D}">
      <text>
        <r>
          <rPr>
            <b/>
            <sz val="9"/>
            <color indexed="81"/>
            <rFont val="Tahoma"/>
            <family val="2"/>
          </rPr>
          <t>Vethamuthu:</t>
        </r>
        <r>
          <rPr>
            <sz val="9"/>
            <color indexed="81"/>
            <rFont val="Tahoma"/>
            <family val="2"/>
          </rPr>
          <t xml:space="preserve">
It can be anywhere space is available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Vethamuthu</author>
  </authors>
  <commentList>
    <comment ref="AG7" authorId="0" shapeId="0" xr:uid="{D6FEC6B9-0339-4E79-8FC7-085701BB7A37}">
      <text>
        <r>
          <rPr>
            <b/>
            <sz val="9"/>
            <color indexed="81"/>
            <rFont val="Tahoma"/>
            <family val="2"/>
          </rPr>
          <t>Vethamuthu:</t>
        </r>
        <r>
          <rPr>
            <sz val="9"/>
            <color indexed="81"/>
            <rFont val="Tahoma"/>
            <family val="2"/>
          </rPr>
          <t xml:space="preserve">
4A</t>
        </r>
      </text>
    </comment>
    <comment ref="AI7" authorId="0" shapeId="0" xr:uid="{1FCA871C-87DE-401E-9465-99E8F222CB85}">
      <text>
        <r>
          <rPr>
            <b/>
            <sz val="9"/>
            <color indexed="81"/>
            <rFont val="Tahoma"/>
            <family val="2"/>
          </rPr>
          <t>Vethamuthu:</t>
        </r>
        <r>
          <rPr>
            <sz val="9"/>
            <color indexed="81"/>
            <rFont val="Tahoma"/>
            <family val="2"/>
          </rPr>
          <t xml:space="preserve">
4B</t>
        </r>
      </text>
    </comment>
    <comment ref="AI8" authorId="0" shapeId="0" xr:uid="{E17DDC45-A6EE-42ED-8C5C-F85FDBAB3973}">
      <text>
        <r>
          <rPr>
            <b/>
            <sz val="9"/>
            <color indexed="81"/>
            <rFont val="Tahoma"/>
            <family val="2"/>
          </rPr>
          <t>Vethamuthu:</t>
        </r>
        <r>
          <rPr>
            <sz val="9"/>
            <color indexed="81"/>
            <rFont val="Tahoma"/>
            <family val="2"/>
          </rPr>
          <t xml:space="preserve">
4B</t>
        </r>
      </text>
    </comment>
    <comment ref="CR9" authorId="0" shapeId="0" xr:uid="{6A888C0A-5854-40FC-B665-0C15950EBA4F}">
      <text>
        <r>
          <rPr>
            <b/>
            <sz val="9"/>
            <color indexed="81"/>
            <rFont val="Tahoma"/>
            <family val="2"/>
          </rPr>
          <t>Vethamuthu:</t>
        </r>
        <r>
          <rPr>
            <sz val="9"/>
            <color indexed="81"/>
            <rFont val="Tahoma"/>
            <family val="2"/>
          </rPr>
          <t xml:space="preserve">
3A</t>
        </r>
      </text>
    </comment>
    <comment ref="CU9" authorId="0" shapeId="0" xr:uid="{F88ABB85-0B3C-4A89-A812-5FD7345994EF}">
      <text>
        <r>
          <rPr>
            <b/>
            <sz val="9"/>
            <color indexed="81"/>
            <rFont val="Tahoma"/>
            <family val="2"/>
          </rPr>
          <t>Vethamuthu:</t>
        </r>
        <r>
          <rPr>
            <sz val="9"/>
            <color indexed="81"/>
            <rFont val="Tahoma"/>
            <family val="2"/>
          </rPr>
          <t xml:space="preserve">
3B</t>
        </r>
      </text>
    </comment>
    <comment ref="CR10" authorId="0" shapeId="0" xr:uid="{9FF12BA8-96B2-43F3-8B04-F91A96765264}">
      <text>
        <r>
          <rPr>
            <b/>
            <sz val="9"/>
            <color indexed="81"/>
            <rFont val="Tahoma"/>
            <family val="2"/>
          </rPr>
          <t>Vethamuthu:</t>
        </r>
        <r>
          <rPr>
            <sz val="9"/>
            <color indexed="81"/>
            <rFont val="Tahoma"/>
            <family val="2"/>
          </rPr>
          <t xml:space="preserve">
4A</t>
        </r>
      </text>
    </comment>
    <comment ref="CS10" authorId="0" shapeId="0" xr:uid="{D2577C15-B3CA-4637-9855-5FD8958ADEFA}">
      <text>
        <r>
          <rPr>
            <b/>
            <sz val="9"/>
            <color indexed="81"/>
            <rFont val="Tahoma"/>
            <family val="2"/>
          </rPr>
          <t>Vethamuthu:</t>
        </r>
        <r>
          <rPr>
            <sz val="9"/>
            <color indexed="81"/>
            <rFont val="Tahoma"/>
            <family val="2"/>
          </rPr>
          <t xml:space="preserve">
4B</t>
        </r>
      </text>
    </comment>
    <comment ref="CU10" authorId="0" shapeId="0" xr:uid="{A76283BD-0B5B-46D2-9251-65845B63B089}">
      <text>
        <r>
          <rPr>
            <b/>
            <sz val="9"/>
            <color indexed="81"/>
            <rFont val="Tahoma"/>
            <family val="2"/>
          </rPr>
          <t>Vethamuthu:</t>
        </r>
        <r>
          <rPr>
            <sz val="9"/>
            <color indexed="81"/>
            <rFont val="Tahoma"/>
            <family val="2"/>
          </rPr>
          <t xml:space="preserve">
4C</t>
        </r>
      </text>
    </comment>
    <comment ref="X11" authorId="0" shapeId="0" xr:uid="{A22BAF5A-B38C-4C6E-82CC-513801715D13}">
      <text>
        <r>
          <rPr>
            <b/>
            <sz val="9"/>
            <color indexed="81"/>
            <rFont val="Tahoma"/>
            <family val="2"/>
          </rPr>
          <t>Vethamuthu:</t>
        </r>
        <r>
          <rPr>
            <sz val="9"/>
            <color indexed="81"/>
            <rFont val="Tahoma"/>
            <family val="2"/>
          </rPr>
          <t xml:space="preserve">
6</t>
        </r>
      </text>
    </comment>
    <comment ref="CR11" authorId="0" shapeId="0" xr:uid="{15DE989D-DAB9-479A-B487-FFE4AD2487CC}">
      <text>
        <r>
          <rPr>
            <b/>
            <sz val="9"/>
            <color indexed="81"/>
            <rFont val="Tahoma"/>
            <family val="2"/>
          </rPr>
          <t>Vethamuthu:</t>
        </r>
        <r>
          <rPr>
            <sz val="9"/>
            <color indexed="81"/>
            <rFont val="Tahoma"/>
            <family val="2"/>
          </rPr>
          <t xml:space="preserve">
5A</t>
        </r>
      </text>
    </comment>
    <comment ref="CU11" authorId="0" shapeId="0" xr:uid="{30AD92D3-F5B0-4EBE-901E-5D236B1118D6}">
      <text>
        <r>
          <rPr>
            <b/>
            <sz val="9"/>
            <color indexed="81"/>
            <rFont val="Tahoma"/>
            <family val="2"/>
          </rPr>
          <t>Vethamuthu:</t>
        </r>
        <r>
          <rPr>
            <sz val="9"/>
            <color indexed="81"/>
            <rFont val="Tahoma"/>
            <family val="2"/>
          </rPr>
          <t xml:space="preserve">
5B</t>
        </r>
      </text>
    </comment>
    <comment ref="DZ11" authorId="0" shapeId="0" xr:uid="{5AD06A72-01E2-482D-8A26-72AB4BB43B57}">
      <text>
        <r>
          <rPr>
            <b/>
            <sz val="9"/>
            <color indexed="81"/>
            <rFont val="Tahoma"/>
            <family val="2"/>
          </rPr>
          <t>Vethamuthu:</t>
        </r>
        <r>
          <rPr>
            <sz val="9"/>
            <color indexed="81"/>
            <rFont val="Tahoma"/>
            <family val="2"/>
          </rPr>
          <t xml:space="preserve">
6A</t>
        </r>
      </text>
    </comment>
    <comment ref="EA11" authorId="0" shapeId="0" xr:uid="{EB4D9820-9FAE-4147-88F4-457D739D5EE6}">
      <text>
        <r>
          <rPr>
            <b/>
            <sz val="9"/>
            <color indexed="81"/>
            <rFont val="Tahoma"/>
            <family val="2"/>
          </rPr>
          <t>Vethamuthu:
6B</t>
        </r>
      </text>
    </comment>
    <comment ref="EB11" authorId="0" shapeId="0" xr:uid="{244D2442-8C9C-4FA0-B093-C105FD074DD7}">
      <text>
        <r>
          <rPr>
            <b/>
            <sz val="9"/>
            <color indexed="81"/>
            <rFont val="Tahoma"/>
            <family val="2"/>
          </rPr>
          <t>Vethamuthu:</t>
        </r>
        <r>
          <rPr>
            <sz val="9"/>
            <color indexed="81"/>
            <rFont val="Tahoma"/>
            <family val="2"/>
          </rPr>
          <t xml:space="preserve">
6C=6A+6B</t>
        </r>
      </text>
    </comment>
    <comment ref="EJ11" authorId="0" shapeId="0" xr:uid="{1A76EBAE-9416-4A06-8CE5-CABA9709EC0D}">
      <text>
        <r>
          <rPr>
            <b/>
            <sz val="9"/>
            <color indexed="81"/>
            <rFont val="Tahoma"/>
            <family val="2"/>
          </rPr>
          <t>Vethamuthu:</t>
        </r>
        <r>
          <rPr>
            <sz val="9"/>
            <color indexed="81"/>
            <rFont val="Tahoma"/>
            <family val="2"/>
          </rPr>
          <t xml:space="preserve">
6A</t>
        </r>
      </text>
    </comment>
    <comment ref="EK11" authorId="0" shapeId="0" xr:uid="{D07D1FDD-F584-4882-A0D8-802AEFD86BA0}">
      <text>
        <r>
          <rPr>
            <b/>
            <sz val="9"/>
            <color indexed="81"/>
            <rFont val="Tahoma"/>
            <family val="2"/>
          </rPr>
          <t>Vethamuthu:
6B</t>
        </r>
      </text>
    </comment>
    <comment ref="EL11" authorId="0" shapeId="0" xr:uid="{787A48AA-E71C-487C-A3EA-421C505EF512}">
      <text>
        <r>
          <rPr>
            <b/>
            <sz val="9"/>
            <color indexed="81"/>
            <rFont val="Tahoma"/>
            <family val="2"/>
          </rPr>
          <t>Vethamuthu:</t>
        </r>
        <r>
          <rPr>
            <sz val="9"/>
            <color indexed="81"/>
            <rFont val="Tahoma"/>
            <family val="2"/>
          </rPr>
          <t xml:space="preserve">
6C=6A+6B</t>
        </r>
      </text>
    </comment>
    <comment ref="BL12" authorId="0" shapeId="0" xr:uid="{5B0ED0C7-1425-4A2F-BB48-52759DE8E93A}">
      <text>
        <r>
          <rPr>
            <b/>
            <sz val="9"/>
            <color indexed="81"/>
            <rFont val="Tahoma"/>
            <family val="2"/>
          </rPr>
          <t>Vethamuthu:</t>
        </r>
        <r>
          <rPr>
            <sz val="9"/>
            <color indexed="81"/>
            <rFont val="Tahoma"/>
            <family val="2"/>
          </rPr>
          <t xml:space="preserve">
7A-1</t>
        </r>
      </text>
    </comment>
    <comment ref="BN12" authorId="0" shapeId="0" xr:uid="{79D93BD7-4837-481A-B84B-1B5586672087}">
      <text>
        <r>
          <rPr>
            <b/>
            <sz val="9"/>
            <color indexed="81"/>
            <rFont val="Tahoma"/>
            <family val="2"/>
          </rPr>
          <t>Vethamuthu:</t>
        </r>
        <r>
          <rPr>
            <sz val="9"/>
            <color indexed="81"/>
            <rFont val="Tahoma"/>
            <family val="2"/>
          </rPr>
          <t xml:space="preserve">
7A-2</t>
        </r>
      </text>
    </comment>
    <comment ref="BW12" authorId="0" shapeId="0" xr:uid="{74C3827F-0FB3-43B8-B7FD-7AF643DB2FD9}">
      <text>
        <r>
          <rPr>
            <b/>
            <sz val="9"/>
            <color indexed="81"/>
            <rFont val="Tahoma"/>
            <family val="2"/>
          </rPr>
          <t>Vethamuthu:</t>
        </r>
        <r>
          <rPr>
            <sz val="9"/>
            <color indexed="81"/>
            <rFont val="Tahoma"/>
            <family val="2"/>
          </rPr>
          <t xml:space="preserve">
7A</t>
        </r>
      </text>
    </comment>
    <comment ref="BY12" authorId="0" shapeId="0" xr:uid="{4E1533FC-BC34-4730-822F-01CF127A9EE4}">
      <text>
        <r>
          <rPr>
            <b/>
            <sz val="9"/>
            <color indexed="81"/>
            <rFont val="Tahoma"/>
            <family val="2"/>
          </rPr>
          <t>Vethamuthu:</t>
        </r>
        <r>
          <rPr>
            <sz val="9"/>
            <color indexed="81"/>
            <rFont val="Tahoma"/>
            <family val="2"/>
          </rPr>
          <t xml:space="preserve">
7B</t>
        </r>
      </text>
    </comment>
    <comment ref="CR12" authorId="0" shapeId="0" xr:uid="{6A12D497-F097-415F-972C-6A9D07F53DC8}">
      <text>
        <r>
          <rPr>
            <b/>
            <sz val="9"/>
            <color indexed="81"/>
            <rFont val="Tahoma"/>
            <family val="2"/>
          </rPr>
          <t>Vethamuthu:</t>
        </r>
        <r>
          <rPr>
            <sz val="9"/>
            <color indexed="81"/>
            <rFont val="Tahoma"/>
            <family val="2"/>
          </rPr>
          <t xml:space="preserve">
6A</t>
        </r>
      </text>
    </comment>
    <comment ref="CU12" authorId="0" shapeId="0" xr:uid="{8FE1976C-48EB-4641-89E0-F5E874D46E57}">
      <text>
        <r>
          <rPr>
            <b/>
            <sz val="9"/>
            <color indexed="81"/>
            <rFont val="Tahoma"/>
            <family val="2"/>
          </rPr>
          <t>Vethamuthu:</t>
        </r>
        <r>
          <rPr>
            <sz val="9"/>
            <color indexed="81"/>
            <rFont val="Tahoma"/>
            <family val="2"/>
          </rPr>
          <t xml:space="preserve">
6B</t>
        </r>
      </text>
    </comment>
    <comment ref="DO12" authorId="0" shapeId="0" xr:uid="{7ED724BF-EC54-4CDE-8A2C-3B0BCFCDEA38}">
      <text>
        <r>
          <rPr>
            <b/>
            <sz val="9"/>
            <color indexed="81"/>
            <rFont val="Tahoma"/>
            <family val="2"/>
          </rPr>
          <t>Vethamuthu:</t>
        </r>
        <r>
          <rPr>
            <sz val="9"/>
            <color indexed="81"/>
            <rFont val="Tahoma"/>
            <family val="2"/>
          </rPr>
          <t xml:space="preserve">
Salary is based On Monthly or Daily</t>
        </r>
      </text>
    </comment>
    <comment ref="EJ12" authorId="0" shapeId="0" xr:uid="{0FD7F1CF-5DB3-4714-8109-3E79AB041689}">
      <text>
        <r>
          <rPr>
            <b/>
            <sz val="9"/>
            <color indexed="81"/>
            <rFont val="Tahoma"/>
            <family val="2"/>
          </rPr>
          <t>Vethamuthu:</t>
        </r>
        <r>
          <rPr>
            <sz val="9"/>
            <color indexed="81"/>
            <rFont val="Tahoma"/>
            <family val="2"/>
          </rPr>
          <t xml:space="preserve">
6A</t>
        </r>
      </text>
    </comment>
    <comment ref="EK12" authorId="0" shapeId="0" xr:uid="{BD92CECE-E32D-4326-9B38-0012E97F0399}">
      <text>
        <r>
          <rPr>
            <b/>
            <sz val="9"/>
            <color indexed="81"/>
            <rFont val="Tahoma"/>
            <family val="2"/>
          </rPr>
          <t>Vethamuthu:
6B</t>
        </r>
      </text>
    </comment>
    <comment ref="EL12" authorId="0" shapeId="0" xr:uid="{F1A40B9E-B32C-483C-A613-4CB8449B7799}">
      <text>
        <r>
          <rPr>
            <b/>
            <sz val="9"/>
            <color indexed="81"/>
            <rFont val="Tahoma"/>
            <family val="2"/>
          </rPr>
          <t>Vethamuthu:</t>
        </r>
        <r>
          <rPr>
            <sz val="9"/>
            <color indexed="81"/>
            <rFont val="Tahoma"/>
            <family val="2"/>
          </rPr>
          <t xml:space="preserve">
6C=6A+6B</t>
        </r>
      </text>
    </comment>
    <comment ref="AG13" authorId="0" shapeId="0" xr:uid="{3722F3F6-EE0A-4EEA-9E99-9148E0FC10A3}">
      <text>
        <r>
          <rPr>
            <b/>
            <sz val="9"/>
            <color indexed="81"/>
            <rFont val="Tahoma"/>
            <family val="2"/>
          </rPr>
          <t>Vethamuthu:</t>
        </r>
        <r>
          <rPr>
            <sz val="9"/>
            <color indexed="81"/>
            <rFont val="Tahoma"/>
            <family val="2"/>
          </rPr>
          <t xml:space="preserve">
6A</t>
        </r>
      </text>
    </comment>
    <comment ref="AH13" authorId="0" shapeId="0" xr:uid="{94FB6CAE-6A0D-492A-A842-EF48A6B85A29}">
      <text>
        <r>
          <rPr>
            <b/>
            <sz val="9"/>
            <color indexed="81"/>
            <rFont val="Tahoma"/>
            <family val="2"/>
          </rPr>
          <t>Vethamuthu:</t>
        </r>
        <r>
          <rPr>
            <sz val="9"/>
            <color indexed="81"/>
            <rFont val="Tahoma"/>
            <family val="2"/>
          </rPr>
          <t xml:space="preserve">
6B</t>
        </r>
      </text>
    </comment>
    <comment ref="AI13" authorId="0" shapeId="0" xr:uid="{38D534C7-5718-4475-91D9-DED8878FBBD7}">
      <text>
        <r>
          <rPr>
            <b/>
            <sz val="9"/>
            <color indexed="81"/>
            <rFont val="Tahoma"/>
            <family val="2"/>
          </rPr>
          <t>Vethamuthu:</t>
        </r>
        <r>
          <rPr>
            <sz val="9"/>
            <color indexed="81"/>
            <rFont val="Tahoma"/>
            <family val="2"/>
          </rPr>
          <t xml:space="preserve">
6C</t>
        </r>
      </text>
    </comment>
    <comment ref="BL13" authorId="0" shapeId="0" xr:uid="{7BCFE145-A8DF-44B1-A56E-A17557AC078D}">
      <text>
        <r>
          <rPr>
            <b/>
            <sz val="9"/>
            <color indexed="81"/>
            <rFont val="Tahoma"/>
            <family val="2"/>
          </rPr>
          <t>Vethamuthu:</t>
        </r>
        <r>
          <rPr>
            <sz val="9"/>
            <color indexed="81"/>
            <rFont val="Tahoma"/>
            <family val="2"/>
          </rPr>
          <t xml:space="preserve">
7B-1</t>
        </r>
      </text>
    </comment>
    <comment ref="BN13" authorId="0" shapeId="0" xr:uid="{5157848B-6524-4241-90EA-558FC10D9E9F}">
      <text>
        <r>
          <rPr>
            <b/>
            <sz val="9"/>
            <color indexed="81"/>
            <rFont val="Tahoma"/>
            <family val="2"/>
          </rPr>
          <t>Vethamuthu:</t>
        </r>
        <r>
          <rPr>
            <sz val="9"/>
            <color indexed="81"/>
            <rFont val="Tahoma"/>
            <family val="2"/>
          </rPr>
          <t xml:space="preserve">
7B-2</t>
        </r>
      </text>
    </comment>
    <comment ref="BW14" authorId="0" shapeId="0" xr:uid="{26A51666-0D56-4CCD-8ACD-970D1A35B8F9}">
      <text>
        <r>
          <rPr>
            <b/>
            <sz val="9"/>
            <color indexed="81"/>
            <rFont val="Tahoma"/>
            <family val="2"/>
          </rPr>
          <t>Vethamuthu:</t>
        </r>
        <r>
          <rPr>
            <sz val="9"/>
            <color indexed="81"/>
            <rFont val="Tahoma"/>
            <family val="2"/>
          </rPr>
          <t xml:space="preserve">
8A</t>
        </r>
      </text>
    </comment>
    <comment ref="BX14" authorId="0" shapeId="0" xr:uid="{A25BEC7D-D5E2-478B-BEC2-8ABF13C4E49C}">
      <text>
        <r>
          <rPr>
            <b/>
            <sz val="9"/>
            <color indexed="81"/>
            <rFont val="Tahoma"/>
            <family val="2"/>
          </rPr>
          <t>Vethamuthu:</t>
        </r>
        <r>
          <rPr>
            <sz val="9"/>
            <color indexed="81"/>
            <rFont val="Tahoma"/>
            <family val="2"/>
          </rPr>
          <t xml:space="preserve">
8B</t>
        </r>
      </text>
    </comment>
    <comment ref="BZ14" authorId="0" shapeId="0" xr:uid="{7711967A-07B5-412A-A23F-125D0462AFF9}">
      <text>
        <r>
          <rPr>
            <b/>
            <sz val="9"/>
            <color indexed="81"/>
            <rFont val="Tahoma"/>
            <family val="2"/>
          </rPr>
          <t>Vethamuthu:</t>
        </r>
        <r>
          <rPr>
            <sz val="9"/>
            <color indexed="81"/>
            <rFont val="Tahoma"/>
            <family val="2"/>
          </rPr>
          <t xml:space="preserve">
8C</t>
        </r>
      </text>
    </comment>
    <comment ref="BL15" authorId="0" shapeId="0" xr:uid="{71760A9B-3406-4619-813D-6E26DBF411AD}">
      <text>
        <r>
          <rPr>
            <b/>
            <sz val="9"/>
            <color indexed="81"/>
            <rFont val="Tahoma"/>
            <family val="2"/>
          </rPr>
          <t>Vethamuthu:</t>
        </r>
        <r>
          <rPr>
            <sz val="9"/>
            <color indexed="81"/>
            <rFont val="Tahoma"/>
            <family val="2"/>
          </rPr>
          <t xml:space="preserve">
8A</t>
        </r>
      </text>
    </comment>
    <comment ref="BM15" authorId="0" shapeId="0" xr:uid="{AD29E7C7-4F34-410E-AAEE-954BB5DF6E2B}">
      <text>
        <r>
          <rPr>
            <b/>
            <sz val="9"/>
            <color indexed="81"/>
            <rFont val="Tahoma"/>
            <family val="2"/>
          </rPr>
          <t>Vethamuthu:</t>
        </r>
        <r>
          <rPr>
            <sz val="9"/>
            <color indexed="81"/>
            <rFont val="Tahoma"/>
            <family val="2"/>
          </rPr>
          <t xml:space="preserve">
8B</t>
        </r>
      </text>
    </comment>
    <comment ref="BO15" authorId="0" shapeId="0" xr:uid="{506F4F81-B80F-4A90-9EA1-3D477DB19A19}">
      <text>
        <r>
          <rPr>
            <b/>
            <sz val="9"/>
            <color indexed="81"/>
            <rFont val="Tahoma"/>
            <family val="2"/>
          </rPr>
          <t>Vethamuthu:</t>
        </r>
        <r>
          <rPr>
            <sz val="9"/>
            <color indexed="81"/>
            <rFont val="Tahoma"/>
            <family val="2"/>
          </rPr>
          <t xml:space="preserve">
8C</t>
        </r>
      </text>
    </comment>
    <comment ref="BW15" authorId="0" shapeId="0" xr:uid="{B6CF8ECD-ABD2-40D4-A2D5-E40C9F5E6F80}">
      <text>
        <r>
          <rPr>
            <b/>
            <sz val="9"/>
            <color indexed="81"/>
            <rFont val="Tahoma"/>
            <family val="2"/>
          </rPr>
          <t>Vethamuthu:</t>
        </r>
        <r>
          <rPr>
            <sz val="9"/>
            <color indexed="81"/>
            <rFont val="Tahoma"/>
            <family val="2"/>
          </rPr>
          <t xml:space="preserve">
9A</t>
        </r>
      </text>
    </comment>
    <comment ref="BX15" authorId="0" shapeId="0" xr:uid="{1267CB6A-0DFA-4023-AC42-8FF43B3F0160}">
      <text>
        <r>
          <rPr>
            <b/>
            <sz val="9"/>
            <color indexed="81"/>
            <rFont val="Tahoma"/>
            <family val="2"/>
          </rPr>
          <t>Vethamuthu:</t>
        </r>
        <r>
          <rPr>
            <sz val="9"/>
            <color indexed="81"/>
            <rFont val="Tahoma"/>
            <family val="2"/>
          </rPr>
          <t xml:space="preserve">
9B</t>
        </r>
      </text>
    </comment>
    <comment ref="BZ15" authorId="0" shapeId="0" xr:uid="{DA119DD0-14A9-4932-BD4E-AADD0963D4FD}">
      <text>
        <r>
          <rPr>
            <b/>
            <sz val="9"/>
            <color indexed="81"/>
            <rFont val="Tahoma"/>
            <family val="2"/>
          </rPr>
          <t>Vethamuthu:</t>
        </r>
        <r>
          <rPr>
            <sz val="9"/>
            <color indexed="81"/>
            <rFont val="Tahoma"/>
            <family val="2"/>
          </rPr>
          <t xml:space="preserve">
9C</t>
        </r>
      </text>
    </comment>
    <comment ref="DZ15" authorId="0" shapeId="0" xr:uid="{4309193B-554B-4395-B8A2-F8A67C8EA211}">
      <text>
        <r>
          <rPr>
            <b/>
            <sz val="9"/>
            <color indexed="81"/>
            <rFont val="Tahoma"/>
            <family val="2"/>
          </rPr>
          <t>Vethamuthu:</t>
        </r>
        <r>
          <rPr>
            <sz val="9"/>
            <color indexed="81"/>
            <rFont val="Tahoma"/>
            <family val="2"/>
          </rPr>
          <t xml:space="preserve">
8A</t>
        </r>
      </text>
    </comment>
    <comment ref="EA15" authorId="0" shapeId="0" xr:uid="{DA134F58-BC86-4568-9298-74A363649EE8}">
      <text>
        <r>
          <rPr>
            <b/>
            <sz val="9"/>
            <color indexed="81"/>
            <rFont val="Tahoma"/>
            <family val="2"/>
          </rPr>
          <t>Vethamuthu:</t>
        </r>
        <r>
          <rPr>
            <sz val="9"/>
            <color indexed="81"/>
            <rFont val="Tahoma"/>
            <family val="2"/>
          </rPr>
          <t xml:space="preserve">
8B</t>
        </r>
      </text>
    </comment>
    <comment ref="EB15" authorId="0" shapeId="0" xr:uid="{8BF9310D-3751-4DFD-823D-8EE831DA01CE}">
      <text>
        <r>
          <rPr>
            <b/>
            <sz val="9"/>
            <color indexed="81"/>
            <rFont val="Tahoma"/>
            <family val="2"/>
          </rPr>
          <t>Vethamuthu:</t>
        </r>
        <r>
          <rPr>
            <sz val="9"/>
            <color indexed="81"/>
            <rFont val="Tahoma"/>
            <family val="2"/>
          </rPr>
          <t xml:space="preserve">
8C=8A+8B</t>
        </r>
      </text>
    </comment>
    <comment ref="BL16" authorId="0" shapeId="0" xr:uid="{EE1E91E1-25F2-4306-8F8F-0006BC29D935}">
      <text>
        <r>
          <rPr>
            <b/>
            <sz val="9"/>
            <color indexed="81"/>
            <rFont val="Tahoma"/>
            <family val="2"/>
          </rPr>
          <t>Vethamuthu:</t>
        </r>
        <r>
          <rPr>
            <sz val="9"/>
            <color indexed="81"/>
            <rFont val="Tahoma"/>
            <family val="2"/>
          </rPr>
          <t xml:space="preserve">
9A</t>
        </r>
      </text>
    </comment>
    <comment ref="BM16" authorId="0" shapeId="0" xr:uid="{B1AC258E-876F-4F5E-A325-87D8FE8F7639}">
      <text>
        <r>
          <rPr>
            <b/>
            <sz val="9"/>
            <color indexed="81"/>
            <rFont val="Tahoma"/>
            <family val="2"/>
          </rPr>
          <t>Vethamuthu:</t>
        </r>
        <r>
          <rPr>
            <sz val="9"/>
            <color indexed="81"/>
            <rFont val="Tahoma"/>
            <family val="2"/>
          </rPr>
          <t xml:space="preserve">
9B</t>
        </r>
      </text>
    </comment>
    <comment ref="BO16" authorId="0" shapeId="0" xr:uid="{C18A9FA9-D5B4-40DA-9C93-40143B52D809}">
      <text>
        <r>
          <rPr>
            <b/>
            <sz val="9"/>
            <color indexed="81"/>
            <rFont val="Tahoma"/>
            <family val="2"/>
          </rPr>
          <t>Vethamuthu:</t>
        </r>
        <r>
          <rPr>
            <sz val="9"/>
            <color indexed="81"/>
            <rFont val="Tahoma"/>
            <family val="2"/>
          </rPr>
          <t xml:space="preserve">
9C</t>
        </r>
      </text>
    </comment>
    <comment ref="BW16" authorId="0" shapeId="0" xr:uid="{C3A9CB25-91FE-4E5F-9808-D7B533E2B7A8}">
      <text>
        <r>
          <rPr>
            <b/>
            <sz val="9"/>
            <color indexed="81"/>
            <rFont val="Tahoma"/>
            <family val="2"/>
          </rPr>
          <t>Vethamuthu:</t>
        </r>
        <r>
          <rPr>
            <sz val="9"/>
            <color indexed="81"/>
            <rFont val="Tahoma"/>
            <family val="2"/>
          </rPr>
          <t xml:space="preserve">
10A</t>
        </r>
      </text>
    </comment>
    <comment ref="BZ16" authorId="0" shapeId="0" xr:uid="{D19AB616-21B6-400F-84B6-6C29A71F8D61}">
      <text>
        <r>
          <rPr>
            <b/>
            <sz val="9"/>
            <color indexed="81"/>
            <rFont val="Tahoma"/>
            <family val="2"/>
          </rPr>
          <t>Vethamuthu:</t>
        </r>
        <r>
          <rPr>
            <sz val="9"/>
            <color indexed="81"/>
            <rFont val="Tahoma"/>
            <family val="2"/>
          </rPr>
          <t xml:space="preserve">
10B</t>
        </r>
      </text>
    </comment>
    <comment ref="EJ16" authorId="0" shapeId="0" xr:uid="{CEECED74-B85D-4C88-88B4-CC823DC402F5}">
      <text>
        <r>
          <rPr>
            <b/>
            <sz val="9"/>
            <color indexed="81"/>
            <rFont val="Tahoma"/>
            <family val="2"/>
          </rPr>
          <t>Vethamuthu:</t>
        </r>
        <r>
          <rPr>
            <sz val="9"/>
            <color indexed="81"/>
            <rFont val="Tahoma"/>
            <family val="2"/>
          </rPr>
          <t xml:space="preserve">
8A</t>
        </r>
      </text>
    </comment>
    <comment ref="EK16" authorId="0" shapeId="0" xr:uid="{95D29E3D-1DF8-4A3C-A172-73BC9324E89F}">
      <text>
        <r>
          <rPr>
            <b/>
            <sz val="9"/>
            <color indexed="81"/>
            <rFont val="Tahoma"/>
            <family val="2"/>
          </rPr>
          <t>Vethamuthu:</t>
        </r>
        <r>
          <rPr>
            <sz val="9"/>
            <color indexed="81"/>
            <rFont val="Tahoma"/>
            <family val="2"/>
          </rPr>
          <t xml:space="preserve">
8B</t>
        </r>
      </text>
    </comment>
    <comment ref="EL16" authorId="0" shapeId="0" xr:uid="{136583EF-1101-48B3-9B33-6033379A34A2}">
      <text>
        <r>
          <rPr>
            <b/>
            <sz val="9"/>
            <color indexed="81"/>
            <rFont val="Tahoma"/>
            <family val="2"/>
          </rPr>
          <t>Vethamuthu:</t>
        </r>
        <r>
          <rPr>
            <sz val="9"/>
            <color indexed="81"/>
            <rFont val="Tahoma"/>
            <family val="2"/>
          </rPr>
          <t xml:space="preserve">
8C=8A+8B</t>
        </r>
      </text>
    </comment>
    <comment ref="AH17" authorId="0" shapeId="0" xr:uid="{F07103AC-B2F8-4072-B4FD-1EB1A2C9901F}">
      <text>
        <r>
          <rPr>
            <b/>
            <sz val="9"/>
            <color indexed="81"/>
            <rFont val="Tahoma"/>
            <family val="2"/>
          </rPr>
          <t>Vethamuthu:</t>
        </r>
        <r>
          <rPr>
            <sz val="9"/>
            <color indexed="81"/>
            <rFont val="Tahoma"/>
            <family val="2"/>
          </rPr>
          <t xml:space="preserve">
7A</t>
        </r>
      </text>
    </comment>
    <comment ref="AI17" authorId="0" shapeId="0" xr:uid="{2BC88BD7-F718-4EFA-AA43-B3F2B02B8666}">
      <text>
        <r>
          <rPr>
            <b/>
            <sz val="9"/>
            <color indexed="81"/>
            <rFont val="Tahoma"/>
            <family val="2"/>
          </rPr>
          <t>Vethamuthu:</t>
        </r>
        <r>
          <rPr>
            <sz val="9"/>
            <color indexed="81"/>
            <rFont val="Tahoma"/>
            <family val="2"/>
          </rPr>
          <t xml:space="preserve">
7A</t>
        </r>
      </text>
    </comment>
    <comment ref="BL17" authorId="0" shapeId="0" xr:uid="{0D8910DE-6C55-434C-9076-FEAD71A19A9B}">
      <text>
        <r>
          <rPr>
            <b/>
            <sz val="9"/>
            <color indexed="81"/>
            <rFont val="Tahoma"/>
            <family val="2"/>
          </rPr>
          <t>Vethamuthu:</t>
        </r>
        <r>
          <rPr>
            <sz val="9"/>
            <color indexed="81"/>
            <rFont val="Tahoma"/>
            <family val="2"/>
          </rPr>
          <t xml:space="preserve">
10A</t>
        </r>
      </text>
    </comment>
    <comment ref="BO17" authorId="0" shapeId="0" xr:uid="{549B54FE-61D7-423C-8C70-AA5A90EF2A32}">
      <text>
        <r>
          <rPr>
            <b/>
            <sz val="9"/>
            <color indexed="81"/>
            <rFont val="Tahoma"/>
            <family val="2"/>
          </rPr>
          <t>Vethamuthu:</t>
        </r>
        <r>
          <rPr>
            <sz val="9"/>
            <color indexed="81"/>
            <rFont val="Tahoma"/>
            <family val="2"/>
          </rPr>
          <t xml:space="preserve">
10B</t>
        </r>
      </text>
    </comment>
    <comment ref="BW17" authorId="0" shapeId="0" xr:uid="{19A96630-1D4E-4558-8540-83B1E8CCD7BD}">
      <text>
        <r>
          <rPr>
            <b/>
            <sz val="9"/>
            <color indexed="81"/>
            <rFont val="Tahoma"/>
            <family val="2"/>
          </rPr>
          <t>Vethamuthu:</t>
        </r>
        <r>
          <rPr>
            <sz val="9"/>
            <color indexed="81"/>
            <rFont val="Tahoma"/>
            <family val="2"/>
          </rPr>
          <t xml:space="preserve">
11A</t>
        </r>
      </text>
    </comment>
    <comment ref="EJ17" authorId="0" shapeId="0" xr:uid="{6D513E5D-66AA-4767-AE9E-C4CCB2E71859}">
      <text>
        <r>
          <rPr>
            <b/>
            <sz val="9"/>
            <color indexed="81"/>
            <rFont val="Tahoma"/>
            <family val="2"/>
          </rPr>
          <t>Vethamuthu:</t>
        </r>
        <r>
          <rPr>
            <sz val="9"/>
            <color indexed="81"/>
            <rFont val="Tahoma"/>
            <family val="2"/>
          </rPr>
          <t xml:space="preserve">
8A</t>
        </r>
      </text>
    </comment>
    <comment ref="EK17" authorId="0" shapeId="0" xr:uid="{1C6892D3-F05D-4399-9531-E805E010F64A}">
      <text>
        <r>
          <rPr>
            <b/>
            <sz val="9"/>
            <color indexed="81"/>
            <rFont val="Tahoma"/>
            <family val="2"/>
          </rPr>
          <t>Vethamuthu:</t>
        </r>
        <r>
          <rPr>
            <sz val="9"/>
            <color indexed="81"/>
            <rFont val="Tahoma"/>
            <family val="2"/>
          </rPr>
          <t xml:space="preserve">
8B</t>
        </r>
      </text>
    </comment>
    <comment ref="EL17" authorId="0" shapeId="0" xr:uid="{EB22D4F8-2DB2-4858-A2CD-2DA87A088C4C}">
      <text>
        <r>
          <rPr>
            <b/>
            <sz val="9"/>
            <color indexed="81"/>
            <rFont val="Tahoma"/>
            <family val="2"/>
          </rPr>
          <t>Vethamuthu:</t>
        </r>
        <r>
          <rPr>
            <sz val="9"/>
            <color indexed="81"/>
            <rFont val="Tahoma"/>
            <family val="2"/>
          </rPr>
          <t xml:space="preserve">
8C=8A+8B</t>
        </r>
      </text>
    </comment>
    <comment ref="BL19" authorId="0" shapeId="0" xr:uid="{1CE194A5-0993-4725-B1DB-2654CCBBA89C}">
      <text>
        <r>
          <rPr>
            <b/>
            <sz val="9"/>
            <color indexed="81"/>
            <rFont val="Tahoma"/>
            <family val="2"/>
          </rPr>
          <t>Vethamuthu:</t>
        </r>
        <r>
          <rPr>
            <sz val="9"/>
            <color indexed="81"/>
            <rFont val="Tahoma"/>
            <family val="2"/>
          </rPr>
          <t xml:space="preserve">
11A</t>
        </r>
      </text>
    </comment>
    <comment ref="BW19" authorId="0" shapeId="0" xr:uid="{603222A5-399C-435D-8256-43CFC5363D79}">
      <text>
        <r>
          <rPr>
            <b/>
            <sz val="9"/>
            <color indexed="81"/>
            <rFont val="Tahoma"/>
            <family val="2"/>
          </rPr>
          <t>Vethamuthu:</t>
        </r>
        <r>
          <rPr>
            <sz val="9"/>
            <color indexed="81"/>
            <rFont val="Tahoma"/>
            <family val="2"/>
          </rPr>
          <t xml:space="preserve">
12A</t>
        </r>
      </text>
    </comment>
    <comment ref="BL24" authorId="0" shapeId="0" xr:uid="{9A3D8598-F78F-4061-A574-ADD2ADC322EE}">
      <text>
        <r>
          <rPr>
            <b/>
            <sz val="9"/>
            <color indexed="81"/>
            <rFont val="Tahoma"/>
            <family val="2"/>
          </rPr>
          <t>Vethamuthu:</t>
        </r>
        <r>
          <rPr>
            <sz val="9"/>
            <color indexed="81"/>
            <rFont val="Tahoma"/>
            <family val="2"/>
          </rPr>
          <t xml:space="preserve">
12A</t>
        </r>
      </text>
    </comment>
    <comment ref="DR25" authorId="0" shapeId="0" xr:uid="{C7C164BA-BDD3-467B-A022-1A19E4A045DC}">
      <text>
        <r>
          <rPr>
            <b/>
            <sz val="9"/>
            <color indexed="81"/>
            <rFont val="Tahoma"/>
            <family val="2"/>
          </rPr>
          <t>Vethamuthu:</t>
        </r>
        <r>
          <rPr>
            <sz val="9"/>
            <color indexed="81"/>
            <rFont val="Tahoma"/>
            <family val="2"/>
          </rPr>
          <t xml:space="preserve">
7B</t>
        </r>
      </text>
    </comment>
    <comment ref="DR26" authorId="0" shapeId="0" xr:uid="{942039DC-A7E2-4107-A970-C67B70749A7C}">
      <text>
        <r>
          <rPr>
            <b/>
            <sz val="9"/>
            <color indexed="81"/>
            <rFont val="Tahoma"/>
            <family val="2"/>
          </rPr>
          <t>Vethamuthu:</t>
        </r>
        <r>
          <rPr>
            <sz val="9"/>
            <color indexed="81"/>
            <rFont val="Tahoma"/>
            <family val="2"/>
          </rPr>
          <t xml:space="preserve">
8B</t>
        </r>
      </text>
    </comment>
    <comment ref="DR27" authorId="0" shapeId="0" xr:uid="{A1A8DA76-71EB-487E-9249-938EF7162746}">
      <text>
        <r>
          <rPr>
            <b/>
            <sz val="9"/>
            <color indexed="81"/>
            <rFont val="Tahoma"/>
            <family val="2"/>
          </rPr>
          <t>Vethamuthu:</t>
        </r>
        <r>
          <rPr>
            <sz val="9"/>
            <color indexed="81"/>
            <rFont val="Tahoma"/>
            <family val="2"/>
          </rPr>
          <t xml:space="preserve">
9B</t>
        </r>
      </text>
    </comment>
    <comment ref="DR28" authorId="0" shapeId="0" xr:uid="{DDEA5BD5-681A-4045-B0F1-9D9619889D25}">
      <text>
        <r>
          <rPr>
            <b/>
            <sz val="9"/>
            <color indexed="81"/>
            <rFont val="Tahoma"/>
            <family val="2"/>
          </rPr>
          <t>Vethamuthu:</t>
        </r>
        <r>
          <rPr>
            <sz val="9"/>
            <color indexed="81"/>
            <rFont val="Tahoma"/>
            <family val="2"/>
          </rPr>
          <t xml:space="preserve">
10B</t>
        </r>
      </text>
    </comment>
    <comment ref="DR29" authorId="0" shapeId="0" xr:uid="{A73DC121-5534-42E8-8088-E1A5DC1E466B}">
      <text>
        <r>
          <rPr>
            <b/>
            <sz val="9"/>
            <color indexed="81"/>
            <rFont val="Tahoma"/>
            <family val="2"/>
          </rPr>
          <t>Vethamuthu:</t>
        </r>
        <r>
          <rPr>
            <sz val="9"/>
            <color indexed="81"/>
            <rFont val="Tahoma"/>
            <family val="2"/>
          </rPr>
          <t xml:space="preserve">
11B</t>
        </r>
      </text>
    </comment>
    <comment ref="N43" authorId="0" shapeId="0" xr:uid="{2132AD40-EB6B-48C0-92A1-1B26D6D0C3BD}">
      <text>
        <r>
          <rPr>
            <b/>
            <sz val="9"/>
            <color indexed="81"/>
            <rFont val="Tahoma"/>
            <family val="2"/>
          </rPr>
          <t>Vethamuthu:</t>
        </r>
        <r>
          <rPr>
            <sz val="9"/>
            <color indexed="81"/>
            <rFont val="Tahoma"/>
            <family val="2"/>
          </rPr>
          <t xml:space="preserve">
For Salary Credit</t>
        </r>
      </text>
    </comment>
    <comment ref="N60" authorId="0" shapeId="0" xr:uid="{2C16E81B-4510-48F8-A80D-4854B595201C}">
      <text>
        <r>
          <rPr>
            <b/>
            <sz val="9"/>
            <color indexed="81"/>
            <rFont val="Tahoma"/>
            <family val="2"/>
          </rPr>
          <t>Vethamuthu:</t>
        </r>
        <r>
          <rPr>
            <sz val="9"/>
            <color indexed="81"/>
            <rFont val="Tahoma"/>
            <family val="2"/>
          </rPr>
          <t xml:space="preserve">
34A</t>
        </r>
      </text>
    </comment>
    <comment ref="P60" authorId="0" shapeId="0" xr:uid="{D30352DD-C2ED-4BC3-8CCE-2D8F1C04A7A7}">
      <text>
        <r>
          <rPr>
            <b/>
            <sz val="9"/>
            <color indexed="81"/>
            <rFont val="Tahoma"/>
            <family val="2"/>
          </rPr>
          <t>Vethamuthu:</t>
        </r>
        <r>
          <rPr>
            <sz val="9"/>
            <color indexed="81"/>
            <rFont val="Tahoma"/>
            <family val="2"/>
          </rPr>
          <t xml:space="preserve">
34B</t>
        </r>
      </text>
    </comment>
    <comment ref="N61" authorId="0" shapeId="0" xr:uid="{4615105D-C7BF-4A67-893D-9D04B9350CBF}">
      <text>
        <r>
          <rPr>
            <b/>
            <sz val="9"/>
            <color indexed="81"/>
            <rFont val="Tahoma"/>
            <family val="2"/>
          </rPr>
          <t>Vethamuthu:</t>
        </r>
        <r>
          <rPr>
            <sz val="9"/>
            <color indexed="81"/>
            <rFont val="Tahoma"/>
            <family val="2"/>
          </rPr>
          <t xml:space="preserve">
35A</t>
        </r>
      </text>
    </comment>
    <comment ref="P61" authorId="0" shapeId="0" xr:uid="{7D59A43C-C5B7-4E8B-A2CD-D276FD2CFEC9}">
      <text>
        <r>
          <rPr>
            <b/>
            <sz val="9"/>
            <color indexed="81"/>
            <rFont val="Tahoma"/>
            <family val="2"/>
          </rPr>
          <t>Vethamuthu:</t>
        </r>
        <r>
          <rPr>
            <sz val="9"/>
            <color indexed="81"/>
            <rFont val="Tahoma"/>
            <family val="2"/>
          </rPr>
          <t xml:space="preserve">
35B</t>
        </r>
      </text>
    </comment>
    <comment ref="N67" authorId="0" shapeId="0" xr:uid="{F7958445-2121-4BE6-96B0-00C56E084217}">
      <text>
        <r>
          <rPr>
            <b/>
            <sz val="9"/>
            <color indexed="81"/>
            <rFont val="Tahoma"/>
            <family val="2"/>
          </rPr>
          <t>Vethamuthu:</t>
        </r>
        <r>
          <rPr>
            <sz val="9"/>
            <color indexed="81"/>
            <rFont val="Tahoma"/>
            <family val="2"/>
          </rPr>
          <t xml:space="preserve">
40C-1</t>
        </r>
      </text>
    </comment>
    <comment ref="O67" authorId="0" shapeId="0" xr:uid="{79AC588E-079D-4522-B011-519230A3D27C}">
      <text>
        <r>
          <rPr>
            <b/>
            <sz val="9"/>
            <color indexed="81"/>
            <rFont val="Tahoma"/>
            <family val="2"/>
          </rPr>
          <t>Vethamuthu:</t>
        </r>
        <r>
          <rPr>
            <sz val="9"/>
            <color indexed="81"/>
            <rFont val="Tahoma"/>
            <family val="2"/>
          </rPr>
          <t xml:space="preserve">
40C-2</t>
        </r>
      </text>
    </comment>
    <comment ref="P67" authorId="0" shapeId="0" xr:uid="{87679D85-4698-418A-AC85-7BCE74ABF58A}">
      <text>
        <r>
          <rPr>
            <b/>
            <sz val="9"/>
            <color indexed="81"/>
            <rFont val="Tahoma"/>
            <family val="2"/>
          </rPr>
          <t>Vethamuthu:</t>
        </r>
        <r>
          <rPr>
            <sz val="9"/>
            <color indexed="81"/>
            <rFont val="Tahoma"/>
            <family val="2"/>
          </rPr>
          <t xml:space="preserve">
40C-2</t>
        </r>
      </text>
    </comment>
    <comment ref="M72" authorId="0" shapeId="0" xr:uid="{455A9E21-D321-426B-9C6B-5D71D6F6B223}">
      <text>
        <r>
          <rPr>
            <b/>
            <sz val="9"/>
            <color indexed="81"/>
            <rFont val="Tahoma"/>
            <family val="2"/>
          </rPr>
          <t>Vethamuthu:</t>
        </r>
        <r>
          <rPr>
            <sz val="9"/>
            <color indexed="81"/>
            <rFont val="Tahoma"/>
            <family val="2"/>
          </rPr>
          <t xml:space="preserve">
Decide to Omit</t>
        </r>
      </text>
    </comment>
    <comment ref="M79" authorId="0" shapeId="0" xr:uid="{F2C12132-9AE4-47AC-AC9A-A7F9259D7D0A}">
      <text>
        <r>
          <rPr>
            <b/>
            <sz val="9"/>
            <color indexed="81"/>
            <rFont val="Tahoma"/>
            <family val="2"/>
          </rPr>
          <t>Vethamuthu:</t>
        </r>
        <r>
          <rPr>
            <sz val="9"/>
            <color indexed="81"/>
            <rFont val="Tahoma"/>
            <family val="2"/>
          </rPr>
          <t xml:space="preserve">
Decide to Omit</t>
        </r>
      </text>
    </comment>
    <comment ref="M86" authorId="0" shapeId="0" xr:uid="{2382B99C-8E6B-484C-A393-2D91E9B2B27F}">
      <text>
        <r>
          <rPr>
            <b/>
            <sz val="9"/>
            <color indexed="81"/>
            <rFont val="Tahoma"/>
            <family val="2"/>
          </rPr>
          <t>Vethamuthu:</t>
        </r>
        <r>
          <rPr>
            <sz val="9"/>
            <color indexed="81"/>
            <rFont val="Tahoma"/>
            <family val="2"/>
          </rPr>
          <t xml:space="preserve">
Decide to Omit</t>
        </r>
      </text>
    </comment>
    <comment ref="M100" authorId="0" shapeId="0" xr:uid="{F482CB5A-E923-4333-9220-9D21DEAE0E54}">
      <text>
        <r>
          <rPr>
            <b/>
            <sz val="9"/>
            <color indexed="81"/>
            <rFont val="Tahoma"/>
            <family val="2"/>
          </rPr>
          <t>Vethamuthu:</t>
        </r>
        <r>
          <rPr>
            <sz val="9"/>
            <color indexed="81"/>
            <rFont val="Tahoma"/>
            <family val="2"/>
          </rPr>
          <t xml:space="preserve">
Decide to Omit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Vethamuthu</author>
  </authors>
  <commentList>
    <comment ref="N5" authorId="0" shapeId="0" xr:uid="{38F84961-3DA8-4215-A14F-B01983DE3E16}">
      <text>
        <r>
          <rPr>
            <b/>
            <sz val="9"/>
            <color indexed="81"/>
            <rFont val="Tahoma"/>
            <family val="2"/>
          </rPr>
          <t>Vethamuthu:</t>
        </r>
        <r>
          <rPr>
            <sz val="9"/>
            <color indexed="81"/>
            <rFont val="Tahoma"/>
            <family val="2"/>
          </rPr>
          <t xml:space="preserve">
Between VIEW &amp; Data Entry</t>
        </r>
      </text>
    </comment>
    <comment ref="O5" authorId="0" shapeId="0" xr:uid="{9399318D-66B1-4EBD-9C70-64D223BFCCB2}">
      <text>
        <r>
          <rPr>
            <b/>
            <sz val="9"/>
            <color indexed="81"/>
            <rFont val="Tahoma"/>
            <family val="2"/>
          </rPr>
          <t>Vethamuthu:</t>
        </r>
        <r>
          <rPr>
            <sz val="9"/>
            <color indexed="81"/>
            <rFont val="Tahoma"/>
            <family val="2"/>
          </rPr>
          <t xml:space="preserve">
Select Dates To Edit in Data Mode</t>
        </r>
      </text>
    </comment>
    <comment ref="W7" authorId="0" shapeId="0" xr:uid="{84052C16-485D-4F0E-B3D9-3BED85E370ED}">
      <text>
        <r>
          <rPr>
            <b/>
            <sz val="9"/>
            <color indexed="81"/>
            <rFont val="Tahoma"/>
            <family val="2"/>
          </rPr>
          <t>Vethamuthu:</t>
        </r>
        <r>
          <rPr>
            <sz val="9"/>
            <color indexed="81"/>
            <rFont val="Tahoma"/>
            <family val="2"/>
          </rPr>
          <t xml:space="preserve">
3A</t>
        </r>
      </text>
    </comment>
    <comment ref="Z7" authorId="0" shapeId="0" xr:uid="{F44DA361-1F51-4520-9109-F5098569B43A}">
      <text>
        <r>
          <rPr>
            <b/>
            <sz val="9"/>
            <color indexed="81"/>
            <rFont val="Tahoma"/>
            <family val="2"/>
          </rPr>
          <t>Vethamuthu:</t>
        </r>
        <r>
          <rPr>
            <sz val="9"/>
            <color indexed="81"/>
            <rFont val="Tahoma"/>
            <family val="2"/>
          </rPr>
          <t xml:space="preserve">
3B</t>
        </r>
      </text>
    </comment>
    <comment ref="AA7" authorId="0" shapeId="0" xr:uid="{05E975C2-76D1-49C6-917C-D3858A017CBD}">
      <text>
        <r>
          <rPr>
            <b/>
            <sz val="9"/>
            <color indexed="81"/>
            <rFont val="Tahoma"/>
            <family val="2"/>
          </rPr>
          <t>Vethamuthu:</t>
        </r>
        <r>
          <rPr>
            <sz val="9"/>
            <color indexed="81"/>
            <rFont val="Tahoma"/>
            <family val="2"/>
          </rPr>
          <t xml:space="preserve">
3C</t>
        </r>
      </text>
    </comment>
    <comment ref="AI7" authorId="0" shapeId="0" xr:uid="{C20CDD7E-6C35-4DE4-AEC5-28D198C05FAD}">
      <text>
        <r>
          <rPr>
            <b/>
            <sz val="9"/>
            <color indexed="81"/>
            <rFont val="Tahoma"/>
            <family val="2"/>
          </rPr>
          <t>Vethamuthu:</t>
        </r>
        <r>
          <rPr>
            <sz val="9"/>
            <color indexed="81"/>
            <rFont val="Tahoma"/>
            <family val="2"/>
          </rPr>
          <t xml:space="preserve">
3A</t>
        </r>
      </text>
    </comment>
    <comment ref="AL7" authorId="0" shapeId="0" xr:uid="{31082DCA-B886-417C-AB34-0E228BADC0F2}">
      <text>
        <r>
          <rPr>
            <b/>
            <sz val="9"/>
            <color indexed="81"/>
            <rFont val="Tahoma"/>
            <family val="2"/>
          </rPr>
          <t>Vethamuthu:</t>
        </r>
        <r>
          <rPr>
            <sz val="9"/>
            <color indexed="81"/>
            <rFont val="Tahoma"/>
            <family val="2"/>
          </rPr>
          <t xml:space="preserve">
3B</t>
        </r>
      </text>
    </comment>
    <comment ref="AM7" authorId="0" shapeId="0" xr:uid="{5F71282A-1E7B-455B-8B8A-EB7459835FBA}">
      <text>
        <r>
          <rPr>
            <b/>
            <sz val="9"/>
            <color indexed="81"/>
            <rFont val="Tahoma"/>
            <family val="2"/>
          </rPr>
          <t>Vethamuthu:</t>
        </r>
        <r>
          <rPr>
            <sz val="9"/>
            <color indexed="81"/>
            <rFont val="Tahoma"/>
            <family val="2"/>
          </rPr>
          <t xml:space="preserve">
3C</t>
        </r>
      </text>
    </comment>
    <comment ref="W8" authorId="0" shapeId="0" xr:uid="{251377E9-A76F-4645-BEC5-A0C1142E2DA9}">
      <text>
        <r>
          <rPr>
            <b/>
            <sz val="9"/>
            <color indexed="81"/>
            <rFont val="Tahoma"/>
            <family val="2"/>
          </rPr>
          <t>Vethamuthu:</t>
        </r>
        <r>
          <rPr>
            <sz val="9"/>
            <color indexed="81"/>
            <rFont val="Tahoma"/>
            <family val="2"/>
          </rPr>
          <t xml:space="preserve">
4A</t>
        </r>
      </text>
    </comment>
    <comment ref="Z8" authorId="0" shapeId="0" xr:uid="{3798F09B-9038-4693-B278-108ECE1A393D}">
      <text>
        <r>
          <rPr>
            <b/>
            <sz val="9"/>
            <color indexed="81"/>
            <rFont val="Tahoma"/>
            <family val="2"/>
          </rPr>
          <t>Vethamuthu:</t>
        </r>
        <r>
          <rPr>
            <sz val="9"/>
            <color indexed="81"/>
            <rFont val="Tahoma"/>
            <family val="2"/>
          </rPr>
          <t xml:space="preserve">
4B</t>
        </r>
      </text>
    </comment>
    <comment ref="AA8" authorId="0" shapeId="0" xr:uid="{4C121934-CD9C-4AFE-A47D-900F2926BCFB}">
      <text>
        <r>
          <rPr>
            <b/>
            <sz val="9"/>
            <color indexed="81"/>
            <rFont val="Tahoma"/>
            <family val="2"/>
          </rPr>
          <t>Vethamuthu:</t>
        </r>
        <r>
          <rPr>
            <sz val="9"/>
            <color indexed="81"/>
            <rFont val="Tahoma"/>
            <family val="2"/>
          </rPr>
          <t xml:space="preserve">
4C</t>
        </r>
      </text>
    </comment>
    <comment ref="AI8" authorId="0" shapeId="0" xr:uid="{8BFA6C57-8972-468E-B324-2844B8D9F6BB}">
      <text>
        <r>
          <rPr>
            <b/>
            <sz val="9"/>
            <color indexed="81"/>
            <rFont val="Tahoma"/>
            <family val="2"/>
          </rPr>
          <t>Vethamuthu:</t>
        </r>
        <r>
          <rPr>
            <sz val="9"/>
            <color indexed="81"/>
            <rFont val="Tahoma"/>
            <family val="2"/>
          </rPr>
          <t xml:space="preserve">
4A</t>
        </r>
      </text>
    </comment>
    <comment ref="AL8" authorId="0" shapeId="0" xr:uid="{BC522B4B-8CDC-4CAF-9340-AA474745908F}">
      <text>
        <r>
          <rPr>
            <b/>
            <sz val="9"/>
            <color indexed="81"/>
            <rFont val="Tahoma"/>
            <family val="2"/>
          </rPr>
          <t>Vethamuthu:</t>
        </r>
        <r>
          <rPr>
            <sz val="9"/>
            <color indexed="81"/>
            <rFont val="Tahoma"/>
            <family val="2"/>
          </rPr>
          <t xml:space="preserve">
4B</t>
        </r>
      </text>
    </comment>
    <comment ref="AM8" authorId="0" shapeId="0" xr:uid="{7BE5D55B-E194-409B-865B-6DC78B679873}">
      <text>
        <r>
          <rPr>
            <b/>
            <sz val="9"/>
            <color indexed="81"/>
            <rFont val="Tahoma"/>
            <family val="2"/>
          </rPr>
          <t>Vethamuthu:</t>
        </r>
        <r>
          <rPr>
            <sz val="9"/>
            <color indexed="81"/>
            <rFont val="Tahoma"/>
            <family val="2"/>
          </rPr>
          <t xml:space="preserve">
4C</t>
        </r>
      </text>
    </comment>
    <comment ref="BD8" authorId="0" shapeId="0" xr:uid="{FF9DEA80-6BDE-4B61-BC1E-090B73444632}">
      <text>
        <r>
          <rPr>
            <b/>
            <sz val="9"/>
            <color indexed="81"/>
            <rFont val="Tahoma"/>
            <family val="2"/>
          </rPr>
          <t>Vethamuthu:</t>
        </r>
        <r>
          <rPr>
            <sz val="9"/>
            <color indexed="81"/>
            <rFont val="Tahoma"/>
            <family val="2"/>
          </rPr>
          <t xml:space="preserve">
</t>
        </r>
      </text>
    </comment>
    <comment ref="W9" authorId="0" shapeId="0" xr:uid="{3FB75F82-E41A-4310-B53A-C4D8CAC2E494}">
      <text>
        <r>
          <rPr>
            <b/>
            <sz val="9"/>
            <color indexed="81"/>
            <rFont val="Tahoma"/>
            <family val="2"/>
          </rPr>
          <t>Vethamuthu:</t>
        </r>
        <r>
          <rPr>
            <sz val="9"/>
            <color indexed="81"/>
            <rFont val="Tahoma"/>
            <family val="2"/>
          </rPr>
          <t xml:space="preserve">
5A</t>
        </r>
      </text>
    </comment>
    <comment ref="Z9" authorId="0" shapeId="0" xr:uid="{2C5C8D0A-1AC5-4347-83DA-863B1E0E3BF8}">
      <text>
        <r>
          <rPr>
            <b/>
            <sz val="9"/>
            <color indexed="81"/>
            <rFont val="Tahoma"/>
            <family val="2"/>
          </rPr>
          <t>Vethamuthu:</t>
        </r>
        <r>
          <rPr>
            <sz val="9"/>
            <color indexed="81"/>
            <rFont val="Tahoma"/>
            <family val="2"/>
          </rPr>
          <t xml:space="preserve">
5B</t>
        </r>
      </text>
    </comment>
    <comment ref="AA9" authorId="0" shapeId="0" xr:uid="{0CFF9414-A7F3-4252-A9E7-7654B5DDD1F5}">
      <text>
        <r>
          <rPr>
            <b/>
            <sz val="9"/>
            <color indexed="81"/>
            <rFont val="Tahoma"/>
            <family val="2"/>
          </rPr>
          <t>Vethamuthu:</t>
        </r>
        <r>
          <rPr>
            <sz val="9"/>
            <color indexed="81"/>
            <rFont val="Tahoma"/>
            <family val="2"/>
          </rPr>
          <t xml:space="preserve">
5C</t>
        </r>
      </text>
    </comment>
    <comment ref="AI9" authorId="0" shapeId="0" xr:uid="{0699C592-24C0-4EF2-9598-9B2F80DE7C49}">
      <text>
        <r>
          <rPr>
            <b/>
            <sz val="9"/>
            <color indexed="81"/>
            <rFont val="Tahoma"/>
            <family val="2"/>
          </rPr>
          <t>Vethamuthu:</t>
        </r>
        <r>
          <rPr>
            <sz val="9"/>
            <color indexed="81"/>
            <rFont val="Tahoma"/>
            <family val="2"/>
          </rPr>
          <t xml:space="preserve">
5A For Information</t>
        </r>
      </text>
    </comment>
    <comment ref="AL9" authorId="0" shapeId="0" xr:uid="{C035107E-DC29-4C91-8592-E1AC70A31A46}">
      <text>
        <r>
          <rPr>
            <b/>
            <sz val="9"/>
            <color indexed="81"/>
            <rFont val="Tahoma"/>
            <family val="2"/>
          </rPr>
          <t>Vethamuthu:</t>
        </r>
        <r>
          <rPr>
            <sz val="9"/>
            <color indexed="81"/>
            <rFont val="Tahoma"/>
            <family val="2"/>
          </rPr>
          <t xml:space="preserve">
5B</t>
        </r>
      </text>
    </comment>
    <comment ref="AM9" authorId="0" shapeId="0" xr:uid="{11723F8E-D8A6-4A8A-B227-FBC1D5200056}">
      <text>
        <r>
          <rPr>
            <b/>
            <sz val="9"/>
            <color indexed="81"/>
            <rFont val="Tahoma"/>
            <family val="2"/>
          </rPr>
          <t>Vethamuthu:</t>
        </r>
        <r>
          <rPr>
            <sz val="9"/>
            <color indexed="81"/>
            <rFont val="Tahoma"/>
            <family val="2"/>
          </rPr>
          <t xml:space="preserve">
5C</t>
        </r>
      </text>
    </comment>
    <comment ref="W10" authorId="0" shapeId="0" xr:uid="{40917426-0579-4EE0-858D-1242DCDBF3EA}">
      <text>
        <r>
          <rPr>
            <b/>
            <sz val="9"/>
            <color indexed="81"/>
            <rFont val="Tahoma"/>
            <family val="2"/>
          </rPr>
          <t>Vethamuthu:</t>
        </r>
        <r>
          <rPr>
            <sz val="9"/>
            <color indexed="81"/>
            <rFont val="Tahoma"/>
            <family val="2"/>
          </rPr>
          <t xml:space="preserve">
6A - For Information</t>
        </r>
      </text>
    </comment>
    <comment ref="Z10" authorId="0" shapeId="0" xr:uid="{097D9EB2-6CAC-4C96-BC75-842851C412FC}">
      <text>
        <r>
          <rPr>
            <b/>
            <sz val="9"/>
            <color indexed="81"/>
            <rFont val="Tahoma"/>
            <family val="2"/>
          </rPr>
          <t>Vethamuthu:</t>
        </r>
        <r>
          <rPr>
            <sz val="9"/>
            <color indexed="81"/>
            <rFont val="Tahoma"/>
            <family val="2"/>
          </rPr>
          <t xml:space="preserve">
6B</t>
        </r>
      </text>
    </comment>
    <comment ref="AA10" authorId="0" shapeId="0" xr:uid="{C36732FF-3C7C-47F1-BEA1-6ADFEEEC8599}">
      <text>
        <r>
          <rPr>
            <b/>
            <sz val="9"/>
            <color indexed="81"/>
            <rFont val="Tahoma"/>
            <family val="2"/>
          </rPr>
          <t>Vethamuthu:</t>
        </r>
        <r>
          <rPr>
            <sz val="9"/>
            <color indexed="81"/>
            <rFont val="Tahoma"/>
            <family val="2"/>
          </rPr>
          <t xml:space="preserve">
6C</t>
        </r>
      </text>
    </comment>
    <comment ref="AI10" authorId="0" shapeId="0" xr:uid="{37D5A124-5059-4EDA-8B65-CA7B9F550638}">
      <text>
        <r>
          <rPr>
            <b/>
            <sz val="9"/>
            <color indexed="81"/>
            <rFont val="Tahoma"/>
            <family val="2"/>
          </rPr>
          <t>Vethamuthu:</t>
        </r>
        <r>
          <rPr>
            <sz val="9"/>
            <color indexed="81"/>
            <rFont val="Tahoma"/>
            <family val="2"/>
          </rPr>
          <t xml:space="preserve">
6A</t>
        </r>
      </text>
    </comment>
    <comment ref="AL10" authorId="0" shapeId="0" xr:uid="{6957D87A-BE1C-4DAE-82A3-97201A2FEC66}">
      <text>
        <r>
          <rPr>
            <b/>
            <sz val="9"/>
            <color indexed="81"/>
            <rFont val="Tahoma"/>
            <family val="2"/>
          </rPr>
          <t>Vethamuthu:</t>
        </r>
        <r>
          <rPr>
            <sz val="9"/>
            <color indexed="81"/>
            <rFont val="Tahoma"/>
            <family val="2"/>
          </rPr>
          <t xml:space="preserve">
6B</t>
        </r>
      </text>
    </comment>
    <comment ref="AM10" authorId="0" shapeId="0" xr:uid="{71291CE1-0D2D-44EE-BEDA-0A8D2A2D34CD}">
      <text>
        <r>
          <rPr>
            <b/>
            <sz val="9"/>
            <color indexed="81"/>
            <rFont val="Tahoma"/>
            <family val="2"/>
          </rPr>
          <t>Vethamuthu:</t>
        </r>
        <r>
          <rPr>
            <sz val="9"/>
            <color indexed="81"/>
            <rFont val="Tahoma"/>
            <family val="2"/>
          </rPr>
          <t xml:space="preserve">
6C</t>
        </r>
      </text>
    </comment>
    <comment ref="AT10" authorId="0" shapeId="0" xr:uid="{58069EE0-F586-40A7-AC85-63476781D550}">
      <text>
        <r>
          <rPr>
            <b/>
            <sz val="9"/>
            <color indexed="81"/>
            <rFont val="Tahoma"/>
            <family val="2"/>
          </rPr>
          <t>Vethamuthu:</t>
        </r>
        <r>
          <rPr>
            <sz val="9"/>
            <color indexed="81"/>
            <rFont val="Tahoma"/>
            <family val="2"/>
          </rPr>
          <t xml:space="preserve">
4A</t>
        </r>
      </text>
    </comment>
    <comment ref="AV10" authorId="0" shapeId="0" xr:uid="{0CCAD152-B5D2-4830-90B5-F7F69EC8D3B8}">
      <text>
        <r>
          <rPr>
            <b/>
            <sz val="9"/>
            <color indexed="81"/>
            <rFont val="Tahoma"/>
            <family val="2"/>
          </rPr>
          <t>Vethamuthu:</t>
        </r>
        <r>
          <rPr>
            <sz val="9"/>
            <color indexed="81"/>
            <rFont val="Tahoma"/>
            <family val="2"/>
          </rPr>
          <t xml:space="preserve">
4B</t>
        </r>
      </text>
    </comment>
    <comment ref="BD10" authorId="0" shapeId="0" xr:uid="{ECA03A2F-1ED9-4F6B-837A-85DEFC3EF4D0}">
      <text>
        <r>
          <rPr>
            <b/>
            <sz val="9"/>
            <color indexed="81"/>
            <rFont val="Tahoma"/>
            <family val="2"/>
          </rPr>
          <t>Vethamuthu:</t>
        </r>
        <r>
          <rPr>
            <sz val="9"/>
            <color indexed="81"/>
            <rFont val="Tahoma"/>
            <family val="2"/>
          </rPr>
          <t xml:space="preserve">
4A</t>
        </r>
      </text>
    </comment>
    <comment ref="BF10" authorId="0" shapeId="0" xr:uid="{63F1235E-1F47-4F76-84E6-6AD1B7114F82}">
      <text>
        <r>
          <rPr>
            <b/>
            <sz val="9"/>
            <color indexed="81"/>
            <rFont val="Tahoma"/>
            <family val="2"/>
          </rPr>
          <t>Vethamuthu:</t>
        </r>
        <r>
          <rPr>
            <sz val="9"/>
            <color indexed="81"/>
            <rFont val="Tahoma"/>
            <family val="2"/>
          </rPr>
          <t xml:space="preserve">
4B</t>
        </r>
      </text>
    </comment>
    <comment ref="W11" authorId="0" shapeId="0" xr:uid="{C5AD936C-4A6D-4865-8469-27BC53E2AEFF}">
      <text>
        <r>
          <rPr>
            <b/>
            <sz val="9"/>
            <color indexed="81"/>
            <rFont val="Tahoma"/>
            <family val="2"/>
          </rPr>
          <t>Vethamuthu:</t>
        </r>
        <r>
          <rPr>
            <sz val="9"/>
            <color indexed="81"/>
            <rFont val="Tahoma"/>
            <family val="2"/>
          </rPr>
          <t xml:space="preserve">
For Information</t>
        </r>
      </text>
    </comment>
    <comment ref="BO11" authorId="0" shapeId="0" xr:uid="{8A4EF5C1-900F-45DF-8EE9-6A03049AC8ED}">
      <text>
        <r>
          <rPr>
            <b/>
            <sz val="9"/>
            <color indexed="81"/>
            <rFont val="Tahoma"/>
            <family val="2"/>
          </rPr>
          <t>Vethamuthu:</t>
        </r>
        <r>
          <rPr>
            <sz val="9"/>
            <color indexed="81"/>
            <rFont val="Tahoma"/>
            <family val="2"/>
          </rPr>
          <t xml:space="preserve">
7A</t>
        </r>
      </text>
    </comment>
    <comment ref="BR11" authorId="0" shapeId="0" xr:uid="{6F8CF852-8154-429C-82EC-BB5519A1DF08}">
      <text>
        <r>
          <rPr>
            <b/>
            <sz val="9"/>
            <color indexed="81"/>
            <rFont val="Tahoma"/>
            <family val="2"/>
          </rPr>
          <t>Vethamuthu:</t>
        </r>
        <r>
          <rPr>
            <sz val="9"/>
            <color indexed="81"/>
            <rFont val="Tahoma"/>
            <family val="2"/>
          </rPr>
          <t xml:space="preserve">
7C</t>
        </r>
      </text>
    </comment>
    <comment ref="M12" authorId="0" shapeId="0" xr:uid="{61BD2F50-2621-4A02-BC36-C0529BD759D8}">
      <text>
        <r>
          <rPr>
            <b/>
            <sz val="9"/>
            <color indexed="81"/>
            <rFont val="Tahoma"/>
            <family val="2"/>
          </rPr>
          <t>Vethamuthu:</t>
        </r>
        <r>
          <rPr>
            <sz val="9"/>
            <color indexed="81"/>
            <rFont val="Tahoma"/>
            <family val="2"/>
          </rPr>
          <t xml:space="preserve">
5A</t>
        </r>
      </text>
    </comment>
    <comment ref="V12" authorId="0" shapeId="0" xr:uid="{5351D1D4-B4E9-46F2-AB7F-D5515C9F4846}">
      <text>
        <r>
          <rPr>
            <b/>
            <sz val="9"/>
            <color indexed="81"/>
            <rFont val="Tahoma"/>
            <family val="2"/>
          </rPr>
          <t>Vethamuthu:</t>
        </r>
        <r>
          <rPr>
            <sz val="9"/>
            <color indexed="81"/>
            <rFont val="Tahoma"/>
            <family val="2"/>
          </rPr>
          <t xml:space="preserve">
7</t>
        </r>
      </text>
    </comment>
    <comment ref="W12" authorId="0" shapeId="0" xr:uid="{E02D9AA6-F254-430F-A2E1-93DBF7EA8785}">
      <text>
        <r>
          <rPr>
            <b/>
            <sz val="9"/>
            <color indexed="81"/>
            <rFont val="Tahoma"/>
            <family val="2"/>
          </rPr>
          <t>Vethamuthu:</t>
        </r>
        <r>
          <rPr>
            <sz val="9"/>
            <color indexed="81"/>
            <rFont val="Tahoma"/>
            <family val="2"/>
          </rPr>
          <t xml:space="preserve">
8</t>
        </r>
      </text>
    </comment>
    <comment ref="Z12" authorId="0" shapeId="0" xr:uid="{3859099B-8E0E-43EC-AC3F-E098239CF7EF}">
      <text>
        <r>
          <rPr>
            <b/>
            <sz val="9"/>
            <color indexed="81"/>
            <rFont val="Tahoma"/>
            <family val="2"/>
          </rPr>
          <t>Vethamuthu:</t>
        </r>
        <r>
          <rPr>
            <sz val="9"/>
            <color indexed="81"/>
            <rFont val="Tahoma"/>
            <family val="2"/>
          </rPr>
          <t xml:space="preserve">
9</t>
        </r>
      </text>
    </comment>
    <comment ref="AH12" authorId="0" shapeId="0" xr:uid="{84CE098D-4228-4659-B634-3193C17F1050}">
      <text>
        <r>
          <rPr>
            <b/>
            <sz val="9"/>
            <color indexed="81"/>
            <rFont val="Tahoma"/>
            <family val="2"/>
          </rPr>
          <t>Vethamuthu:</t>
        </r>
        <r>
          <rPr>
            <sz val="9"/>
            <color indexed="81"/>
            <rFont val="Tahoma"/>
            <family val="2"/>
          </rPr>
          <t xml:space="preserve">
8A</t>
        </r>
      </text>
    </comment>
    <comment ref="AI12" authorId="0" shapeId="0" xr:uid="{CCB1A915-E436-475A-A83E-B95C82C19A28}">
      <text>
        <r>
          <rPr>
            <b/>
            <sz val="9"/>
            <color indexed="81"/>
            <rFont val="Tahoma"/>
            <family val="2"/>
          </rPr>
          <t>Vethamuthu:</t>
        </r>
        <r>
          <rPr>
            <sz val="9"/>
            <color indexed="81"/>
            <rFont val="Tahoma"/>
            <family val="2"/>
          </rPr>
          <t xml:space="preserve">
8B</t>
        </r>
      </text>
    </comment>
    <comment ref="AL12" authorId="0" shapeId="0" xr:uid="{2C40DB36-C431-49A3-BAD0-C641984C16C5}">
      <text>
        <r>
          <rPr>
            <b/>
            <sz val="9"/>
            <color indexed="81"/>
            <rFont val="Tahoma"/>
            <family val="2"/>
          </rPr>
          <t>Vethamuthu:</t>
        </r>
        <r>
          <rPr>
            <sz val="9"/>
            <color indexed="81"/>
            <rFont val="Tahoma"/>
            <family val="2"/>
          </rPr>
          <t xml:space="preserve">
8C</t>
        </r>
      </text>
    </comment>
    <comment ref="BO12" authorId="0" shapeId="0" xr:uid="{DC6FAD2C-CCC4-4564-A8F2-E02456967D46}">
      <text>
        <r>
          <rPr>
            <b/>
            <sz val="9"/>
            <color indexed="81"/>
            <rFont val="Tahoma"/>
            <family val="2"/>
          </rPr>
          <t>Vethamuthu:</t>
        </r>
        <r>
          <rPr>
            <sz val="9"/>
            <color indexed="81"/>
            <rFont val="Tahoma"/>
            <family val="2"/>
          </rPr>
          <t xml:space="preserve">
8B</t>
        </r>
      </text>
    </comment>
    <comment ref="BR12" authorId="0" shapeId="0" xr:uid="{86D326E4-297E-42C1-AF5B-49320D03B864}">
      <text>
        <r>
          <rPr>
            <b/>
            <sz val="9"/>
            <color indexed="81"/>
            <rFont val="Tahoma"/>
            <family val="2"/>
          </rPr>
          <t>Vethamuthu:</t>
        </r>
        <r>
          <rPr>
            <sz val="9"/>
            <color indexed="81"/>
            <rFont val="Tahoma"/>
            <family val="2"/>
          </rPr>
          <t xml:space="preserve">
8C</t>
        </r>
      </text>
    </comment>
    <comment ref="BO13" authorId="0" shapeId="0" xr:uid="{71C81381-995E-43A9-A535-5FB0585443EF}">
      <text>
        <r>
          <rPr>
            <b/>
            <sz val="9"/>
            <color indexed="81"/>
            <rFont val="Tahoma"/>
            <family val="2"/>
          </rPr>
          <t>Vethamuthu:</t>
        </r>
        <r>
          <rPr>
            <sz val="9"/>
            <color indexed="81"/>
            <rFont val="Tahoma"/>
            <family val="2"/>
          </rPr>
          <t xml:space="preserve">
9A</t>
        </r>
      </text>
    </comment>
    <comment ref="BR13" authorId="0" shapeId="0" xr:uid="{E22C6AF7-B337-42D5-91C0-698C26A19C98}">
      <text>
        <r>
          <rPr>
            <b/>
            <sz val="9"/>
            <color indexed="81"/>
            <rFont val="Tahoma"/>
            <family val="2"/>
          </rPr>
          <t>Vethamuthu:</t>
        </r>
        <r>
          <rPr>
            <sz val="9"/>
            <color indexed="81"/>
            <rFont val="Tahoma"/>
            <family val="2"/>
          </rPr>
          <t xml:space="preserve">
9C</t>
        </r>
      </text>
    </comment>
    <comment ref="M16" authorId="0" shapeId="0" xr:uid="{9FCF5AA1-21A5-418D-82B1-B4C37AA80EFD}">
      <text>
        <r>
          <rPr>
            <b/>
            <sz val="9"/>
            <color indexed="81"/>
            <rFont val="Tahoma"/>
            <family val="2"/>
          </rPr>
          <t>Vethamuthu:</t>
        </r>
        <r>
          <rPr>
            <sz val="9"/>
            <color indexed="81"/>
            <rFont val="Tahoma"/>
            <family val="2"/>
          </rPr>
          <t xml:space="preserve">
Suggest we Have Tick box</t>
        </r>
      </text>
    </comment>
    <comment ref="AI17" authorId="0" shapeId="0" xr:uid="{E77FB20E-70C0-4395-9218-6818993134ED}">
      <text>
        <r>
          <rPr>
            <b/>
            <sz val="9"/>
            <color indexed="81"/>
            <rFont val="Tahoma"/>
            <family val="2"/>
          </rPr>
          <t>Vethamuthu:</t>
        </r>
        <r>
          <rPr>
            <sz val="9"/>
            <color indexed="81"/>
            <rFont val="Tahoma"/>
            <family val="2"/>
          </rPr>
          <t xml:space="preserve">
4A</t>
        </r>
      </text>
    </comment>
    <comment ref="W19" authorId="0" shapeId="0" xr:uid="{CF9B1C2E-DD22-4670-B408-A90C152FE35C}">
      <text>
        <r>
          <rPr>
            <b/>
            <sz val="9"/>
            <color indexed="81"/>
            <rFont val="Tahoma"/>
            <family val="2"/>
          </rPr>
          <t>Vethamuthu:</t>
        </r>
        <r>
          <rPr>
            <sz val="9"/>
            <color indexed="81"/>
            <rFont val="Tahoma"/>
            <family val="2"/>
          </rPr>
          <t xml:space="preserve">
10A</t>
        </r>
      </text>
    </comment>
    <comment ref="Y19" authorId="0" shapeId="0" xr:uid="{C33BDA9C-8676-4974-8727-21BF687D2C6E}">
      <text>
        <r>
          <rPr>
            <b/>
            <sz val="9"/>
            <color indexed="81"/>
            <rFont val="Tahoma"/>
            <family val="2"/>
          </rPr>
          <t>Vethamuthu:</t>
        </r>
        <r>
          <rPr>
            <sz val="9"/>
            <color indexed="81"/>
            <rFont val="Tahoma"/>
            <family val="2"/>
          </rPr>
          <t xml:space="preserve">
10A</t>
        </r>
      </text>
    </comment>
    <comment ref="AI19" authorId="0" shapeId="0" xr:uid="{132D5D06-9434-4119-936C-E13283A320AD}">
      <text>
        <r>
          <rPr>
            <b/>
            <sz val="9"/>
            <color indexed="81"/>
            <rFont val="Tahoma"/>
            <family val="2"/>
          </rPr>
          <t>Vethamuthu:</t>
        </r>
        <r>
          <rPr>
            <sz val="9"/>
            <color indexed="81"/>
            <rFont val="Tahoma"/>
            <family val="2"/>
          </rPr>
          <t xml:space="preserve">
11A</t>
        </r>
      </text>
    </comment>
    <comment ref="AJ19" authorId="0" shapeId="0" xr:uid="{CDEEAC74-4B8E-444F-9625-006CE666E365}">
      <text>
        <r>
          <rPr>
            <b/>
            <sz val="9"/>
            <color indexed="81"/>
            <rFont val="Tahoma"/>
            <family val="2"/>
          </rPr>
          <t>Vethamuthu:</t>
        </r>
        <r>
          <rPr>
            <sz val="9"/>
            <color indexed="81"/>
            <rFont val="Tahoma"/>
            <family val="2"/>
          </rPr>
          <t xml:space="preserve">
11B</t>
        </r>
      </text>
    </comment>
    <comment ref="AK19" authorId="0" shapeId="0" xr:uid="{37199A52-3AED-4096-AA5F-BFC095BB52A2}">
      <text>
        <r>
          <rPr>
            <b/>
            <sz val="9"/>
            <color indexed="81"/>
            <rFont val="Tahoma"/>
            <family val="2"/>
          </rPr>
          <t>Vethamuthu:</t>
        </r>
        <r>
          <rPr>
            <sz val="9"/>
            <color indexed="81"/>
            <rFont val="Tahoma"/>
            <family val="2"/>
          </rPr>
          <t xml:space="preserve">
11C</t>
        </r>
      </text>
    </comment>
    <comment ref="AL19" authorId="0" shapeId="0" xr:uid="{5FA2FEF3-E839-4017-8AF6-7DD4FEF1E749}">
      <text>
        <r>
          <rPr>
            <b/>
            <sz val="9"/>
            <color indexed="81"/>
            <rFont val="Tahoma"/>
            <family val="2"/>
          </rPr>
          <t>Vethamuthu:</t>
        </r>
        <r>
          <rPr>
            <sz val="9"/>
            <color indexed="81"/>
            <rFont val="Tahoma"/>
            <family val="2"/>
          </rPr>
          <t xml:space="preserve">
11D</t>
        </r>
      </text>
    </comment>
    <comment ref="M20" authorId="0" shapeId="0" xr:uid="{1A7353D6-4A16-4305-82A0-5E70D75F58AA}">
      <text>
        <r>
          <rPr>
            <b/>
            <sz val="9"/>
            <color indexed="81"/>
            <rFont val="Tahoma"/>
            <family val="2"/>
          </rPr>
          <t>Vethamuthu:</t>
        </r>
        <r>
          <rPr>
            <sz val="9"/>
            <color indexed="81"/>
            <rFont val="Tahoma"/>
            <family val="2"/>
          </rPr>
          <t xml:space="preserve">
15A</t>
        </r>
      </text>
    </comment>
    <comment ref="N20" authorId="0" shapeId="0" xr:uid="{4F915A30-8F48-4BB7-809D-60307F537E4B}">
      <text>
        <r>
          <rPr>
            <b/>
            <sz val="9"/>
            <color indexed="81"/>
            <rFont val="Tahoma"/>
            <family val="2"/>
          </rPr>
          <t>Vethamuthu:</t>
        </r>
        <r>
          <rPr>
            <sz val="9"/>
            <color indexed="81"/>
            <rFont val="Tahoma"/>
            <family val="2"/>
          </rPr>
          <t xml:space="preserve">
15A</t>
        </r>
      </text>
    </comment>
    <comment ref="O20" authorId="0" shapeId="0" xr:uid="{B3B7353E-9ECC-41C1-98E1-407B99DD597B}">
      <text>
        <r>
          <rPr>
            <b/>
            <sz val="9"/>
            <color indexed="81"/>
            <rFont val="Tahoma"/>
            <family val="2"/>
          </rPr>
          <t>Vethamuthu:</t>
        </r>
        <r>
          <rPr>
            <sz val="9"/>
            <color indexed="81"/>
            <rFont val="Tahoma"/>
            <family val="2"/>
          </rPr>
          <t xml:space="preserve">
15A</t>
        </r>
      </text>
    </comment>
    <comment ref="W20" authorId="0" shapeId="0" xr:uid="{5B38F81B-835C-42E7-AD73-5E43637F1B68}">
      <text>
        <r>
          <rPr>
            <b/>
            <sz val="9"/>
            <color indexed="81"/>
            <rFont val="Tahoma"/>
            <family val="2"/>
          </rPr>
          <t>Vethamuthu:</t>
        </r>
        <r>
          <rPr>
            <sz val="9"/>
            <color indexed="81"/>
            <rFont val="Tahoma"/>
            <family val="2"/>
          </rPr>
          <t xml:space="preserve">
11A Set In Salary &amp; Wages UF</t>
        </r>
      </text>
    </comment>
    <comment ref="Y20" authorId="0" shapeId="0" xr:uid="{85B85D9F-DA90-4DD2-A71B-25B2FC5ACE5A}">
      <text>
        <r>
          <rPr>
            <b/>
            <sz val="9"/>
            <color indexed="81"/>
            <rFont val="Tahoma"/>
            <family val="2"/>
          </rPr>
          <t>Vethamuthu:</t>
        </r>
        <r>
          <rPr>
            <sz val="9"/>
            <color indexed="81"/>
            <rFont val="Tahoma"/>
            <family val="2"/>
          </rPr>
          <t xml:space="preserve">
11B</t>
        </r>
      </text>
    </comment>
    <comment ref="W21" authorId="0" shapeId="0" xr:uid="{08740BB9-F3B1-4F5B-A75D-6C11D1AA5CA5}">
      <text>
        <r>
          <rPr>
            <b/>
            <sz val="9"/>
            <color indexed="81"/>
            <rFont val="Tahoma"/>
            <family val="2"/>
          </rPr>
          <t>Vethamuthu:</t>
        </r>
        <r>
          <rPr>
            <sz val="9"/>
            <color indexed="81"/>
            <rFont val="Tahoma"/>
            <family val="2"/>
          </rPr>
          <t xml:space="preserve">
12A - Calculate Hours Worked for this worker</t>
        </r>
      </text>
    </comment>
    <comment ref="Z21" authorId="0" shapeId="0" xr:uid="{6AF95ADE-196F-4575-91B0-EAEA0719F287}">
      <text>
        <r>
          <rPr>
            <b/>
            <sz val="9"/>
            <color indexed="81"/>
            <rFont val="Tahoma"/>
            <family val="2"/>
          </rPr>
          <t>Vethamuthu:</t>
        </r>
        <r>
          <rPr>
            <sz val="9"/>
            <color indexed="81"/>
            <rFont val="Tahoma"/>
            <family val="2"/>
          </rPr>
          <t xml:space="preserve">
12B - Calculate Amount Payable for the day</t>
        </r>
      </text>
    </comment>
    <comment ref="AA21" authorId="0" shapeId="0" xr:uid="{847A9114-FE94-4900-9578-43DDBDFA3D62}">
      <text>
        <r>
          <rPr>
            <b/>
            <sz val="9"/>
            <color indexed="81"/>
            <rFont val="Tahoma"/>
            <family val="2"/>
          </rPr>
          <t>Vethamuthu:</t>
        </r>
        <r>
          <rPr>
            <sz val="9"/>
            <color indexed="81"/>
            <rFont val="Tahoma"/>
            <family val="2"/>
          </rPr>
          <t xml:space="preserve">
5B</t>
        </r>
      </text>
    </comment>
    <comment ref="X22" authorId="0" shapeId="0" xr:uid="{8B06A3D2-134A-4544-88F3-A1BF7C03076B}">
      <text>
        <r>
          <rPr>
            <b/>
            <sz val="9"/>
            <color indexed="81"/>
            <rFont val="Tahoma"/>
            <family val="2"/>
          </rPr>
          <t>Vethamuthu:</t>
        </r>
        <r>
          <rPr>
            <sz val="9"/>
            <color indexed="81"/>
            <rFont val="Tahoma"/>
            <family val="2"/>
          </rPr>
          <t xml:space="preserve">
Clear Listbox2,3 and 10-14</t>
        </r>
      </text>
    </comment>
    <comment ref="N23" authorId="0" shapeId="0" xr:uid="{DA04C804-D8EF-41A2-B5B0-F87CC9EB0D9A}">
      <text>
        <r>
          <rPr>
            <b/>
            <sz val="9"/>
            <color indexed="81"/>
            <rFont val="Tahoma"/>
            <family val="2"/>
          </rPr>
          <t>Vethamuthu:</t>
        </r>
        <r>
          <rPr>
            <sz val="9"/>
            <color indexed="81"/>
            <rFont val="Tahoma"/>
            <family val="2"/>
          </rPr>
          <t xml:space="preserve">
Although Wet Can work inside building or Places ground already Concreted</t>
        </r>
      </text>
    </comment>
    <comment ref="O23" authorId="0" shapeId="0" xr:uid="{CAF904EF-B486-4B4F-BB13-E9DBA46FC9FA}">
      <text>
        <r>
          <rPr>
            <b/>
            <sz val="9"/>
            <color indexed="81"/>
            <rFont val="Tahoma"/>
            <family val="2"/>
          </rPr>
          <t>Vethamuthu:</t>
        </r>
        <r>
          <rPr>
            <sz val="9"/>
            <color indexed="81"/>
            <rFont val="Tahoma"/>
            <family val="2"/>
          </rPr>
          <t xml:space="preserve">
Hours Totally NO Work.</t>
        </r>
      </text>
    </comment>
    <comment ref="AJ26" authorId="0" shapeId="0" xr:uid="{4D30A4AC-06F6-4B5E-BE25-C9BF9427F893}">
      <text>
        <r>
          <rPr>
            <b/>
            <sz val="9"/>
            <color indexed="81"/>
            <rFont val="Tahoma"/>
            <family val="2"/>
          </rPr>
          <t>Vethamuthu:</t>
        </r>
        <r>
          <rPr>
            <sz val="9"/>
            <color indexed="81"/>
            <rFont val="Tahoma"/>
            <family val="2"/>
          </rPr>
          <t xml:space="preserve">
Clear Listbox2,3 and 10-14</t>
        </r>
      </text>
    </comment>
    <comment ref="M28" authorId="0" shapeId="0" xr:uid="{BDB62880-78C5-4421-8132-32C543E5B3F9}">
      <text>
        <r>
          <rPr>
            <b/>
            <sz val="9"/>
            <color indexed="81"/>
            <rFont val="Tahoma"/>
            <family val="2"/>
          </rPr>
          <t>Vethamuthu:</t>
        </r>
        <r>
          <rPr>
            <sz val="9"/>
            <color indexed="81"/>
            <rFont val="Tahoma"/>
            <family val="2"/>
          </rPr>
          <t xml:space="preserve">
15A</t>
        </r>
      </text>
    </comment>
    <comment ref="N28" authorId="0" shapeId="0" xr:uid="{0729C58C-DDAF-424C-BC17-557476BC5F24}">
      <text>
        <r>
          <rPr>
            <b/>
            <sz val="9"/>
            <color indexed="81"/>
            <rFont val="Tahoma"/>
            <family val="2"/>
          </rPr>
          <t>Vethamuthu:</t>
        </r>
        <r>
          <rPr>
            <sz val="9"/>
            <color indexed="81"/>
            <rFont val="Tahoma"/>
            <family val="2"/>
          </rPr>
          <t xml:space="preserve">
15A</t>
        </r>
      </text>
    </comment>
    <comment ref="O28" authorId="0" shapeId="0" xr:uid="{24B723A6-88A1-45FB-93D1-E2E1D766927D}">
      <text>
        <r>
          <rPr>
            <b/>
            <sz val="9"/>
            <color indexed="81"/>
            <rFont val="Tahoma"/>
            <family val="2"/>
          </rPr>
          <t>Vethamuthu:</t>
        </r>
        <r>
          <rPr>
            <sz val="9"/>
            <color indexed="81"/>
            <rFont val="Tahoma"/>
            <family val="2"/>
          </rPr>
          <t xml:space="preserve">
15A</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Vethamuthu</author>
  </authors>
  <commentList>
    <comment ref="D7" authorId="0" shapeId="0" xr:uid="{23F21335-929B-40F9-9E1B-307E90D3AD2B}">
      <text>
        <r>
          <rPr>
            <b/>
            <sz val="9"/>
            <color indexed="81"/>
            <rFont val="Tahoma"/>
            <family val="2"/>
          </rPr>
          <t>Vethamuthu:</t>
        </r>
        <r>
          <rPr>
            <sz val="9"/>
            <color indexed="81"/>
            <rFont val="Tahoma"/>
            <family val="2"/>
          </rPr>
          <t xml:space="preserve">
Also referred to Direct Overhead</t>
        </r>
      </text>
    </comment>
    <comment ref="B9" authorId="0" shapeId="0" xr:uid="{0E582030-BA0B-4A63-9983-85B37464DA8C}">
      <text>
        <r>
          <rPr>
            <b/>
            <sz val="9"/>
            <color indexed="81"/>
            <rFont val="Tahoma"/>
            <family val="2"/>
          </rPr>
          <t>Vethamuthu:</t>
        </r>
        <r>
          <rPr>
            <sz val="9"/>
            <color indexed="81"/>
            <rFont val="Tahoma"/>
            <family val="2"/>
          </rPr>
          <t xml:space="preserve">
Here Activity refers Works</t>
        </r>
      </text>
    </comment>
    <comment ref="D9" authorId="0" shapeId="0" xr:uid="{F32E3107-E98C-446B-96A9-4404A22587DC}">
      <text>
        <r>
          <rPr>
            <b/>
            <sz val="9"/>
            <color indexed="81"/>
            <rFont val="Tahoma"/>
            <family val="2"/>
          </rPr>
          <t>Vethamuthu:</t>
        </r>
        <r>
          <rPr>
            <sz val="9"/>
            <color indexed="81"/>
            <rFont val="Tahoma"/>
            <family val="2"/>
          </rPr>
          <t xml:space="preserve">
Here Activity refers Works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X19" authorId="0" shapeId="0" xr:uid="{147F6DE3-01E6-48D3-B5C7-78DCC6370C9B}">
      <text>
        <r>
          <rPr>
            <b/>
            <sz val="9"/>
            <color indexed="81"/>
            <rFont val="Tahoma"/>
            <family val="2"/>
          </rPr>
          <t>user:</t>
        </r>
        <r>
          <rPr>
            <sz val="9"/>
            <color indexed="81"/>
            <rFont val="Tahoma"/>
            <family val="2"/>
          </rPr>
          <t xml:space="preserve">
Housing Project refers to Building, Infrastructure and Services.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Vethamuthu</author>
  </authors>
  <commentList>
    <comment ref="F19" authorId="0" shapeId="0" xr:uid="{9C97A27C-0AA4-4BF0-B39D-32F2C3CD27C6}">
      <text>
        <r>
          <rPr>
            <b/>
            <sz val="9"/>
            <color indexed="81"/>
            <rFont val="Tahoma"/>
            <family val="2"/>
          </rPr>
          <t>Vethamuthu:</t>
        </r>
        <r>
          <rPr>
            <sz val="9"/>
            <color indexed="81"/>
            <rFont val="Tahoma"/>
            <family val="2"/>
          </rPr>
          <t xml:space="preserve">
Construct Non Contruction Need Not have.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Vethamuthu</author>
  </authors>
  <commentList>
    <comment ref="L50" authorId="0" shapeId="0" xr:uid="{F283351B-F595-4157-99CC-2F6C83BDCF77}">
      <text>
        <r>
          <rPr>
            <b/>
            <sz val="9"/>
            <color indexed="81"/>
            <rFont val="Tahoma"/>
            <family val="2"/>
          </rPr>
          <t>Veth
Component</t>
        </r>
      </text>
    </comment>
    <comment ref="L51" authorId="0" shapeId="0" xr:uid="{4BE66BF3-0E19-42ED-B0FF-743C85A2848E}">
      <text>
        <r>
          <rPr>
            <b/>
            <sz val="9"/>
            <color indexed="81"/>
            <rFont val="Tahoma"/>
            <family val="2"/>
          </rPr>
          <t>Vethamuthu:</t>
        </r>
        <r>
          <rPr>
            <sz val="9"/>
            <color indexed="81"/>
            <rFont val="Tahoma"/>
            <family val="2"/>
          </rPr>
          <t xml:space="preserve">
Holiday Master</t>
        </r>
      </text>
    </comment>
  </commentList>
</comments>
</file>

<file path=xl/sharedStrings.xml><?xml version="1.0" encoding="utf-8"?>
<sst xmlns="http://schemas.openxmlformats.org/spreadsheetml/2006/main" count="21589" uniqueCount="9379">
  <si>
    <t>UserForm_List</t>
  </si>
  <si>
    <t>Sequence</t>
  </si>
  <si>
    <t>Grouping</t>
  </si>
  <si>
    <t>English</t>
  </si>
  <si>
    <t>Bahasa</t>
  </si>
  <si>
    <t>Total_Weight</t>
  </si>
  <si>
    <t>Completed</t>
  </si>
  <si>
    <t>Business Organisation</t>
  </si>
  <si>
    <t>Data Configuration</t>
  </si>
  <si>
    <t>Communication Medium</t>
  </si>
  <si>
    <t>its under General section of Settings</t>
  </si>
  <si>
    <t>Country &amp; Nationality Register</t>
  </si>
  <si>
    <t>Delivery Mode</t>
  </si>
  <si>
    <t>its under purchasing section of Settings</t>
  </si>
  <si>
    <t>Direct Workers Productivity List</t>
  </si>
  <si>
    <t>Ground Condition</t>
  </si>
  <si>
    <t>Industry List</t>
  </si>
  <si>
    <t>Job Description List</t>
  </si>
  <si>
    <t>Leave Type List</t>
  </si>
  <si>
    <t>Not working Properly Cannot choose only one of the option. Compulsory x Fid Date</t>
  </si>
  <si>
    <t>Malaysian Holiday List</t>
  </si>
  <si>
    <t>Holiday master</t>
  </si>
  <si>
    <t>Primary Activity</t>
  </si>
  <si>
    <t xml:space="preserve">Primary Cost Centre </t>
  </si>
  <si>
    <t>Purchase  Type</t>
  </si>
  <si>
    <t>Qualification List</t>
  </si>
  <si>
    <t>Race List</t>
  </si>
  <si>
    <t>Reason for Leave Add/Deduct</t>
  </si>
  <si>
    <t>Reason for Leave Application</t>
  </si>
  <si>
    <t>Reason for Resignation/Termination</t>
  </si>
  <si>
    <t>Reason for Returning Material</t>
  </si>
  <si>
    <t>Reason for Time Off</t>
  </si>
  <si>
    <t>Religion List</t>
  </si>
  <si>
    <t>Remuneration Payment - Types</t>
  </si>
  <si>
    <t>Salutation</t>
  </si>
  <si>
    <t>Secondary Activity</t>
  </si>
  <si>
    <t>Secondary Cost Centre</t>
  </si>
  <si>
    <t xml:space="preserve">Staff Leave Group </t>
  </si>
  <si>
    <t>Staff Remuneration Group</t>
  </si>
  <si>
    <t>State List</t>
  </si>
  <si>
    <t xml:space="preserve">UOM </t>
  </si>
  <si>
    <t>UOM Group</t>
  </si>
  <si>
    <t>Weather Description List</t>
  </si>
  <si>
    <t>WPS - Grouping</t>
  </si>
  <si>
    <t>WPS - Register</t>
  </si>
  <si>
    <t>Yearly - Holiday Marking</t>
  </si>
  <si>
    <t>Leave Management</t>
  </si>
  <si>
    <t>Annual Staff Leave - Days Recommended</t>
  </si>
  <si>
    <t>Staff Leave Days Approval  &amp; Crediting</t>
  </si>
  <si>
    <t>Panel Hospital List</t>
  </si>
  <si>
    <t>Staff Leave Application</t>
  </si>
  <si>
    <t>Staff Leave Approval</t>
  </si>
  <si>
    <t>Staff Leave Approval - Notification</t>
  </si>
  <si>
    <t>Assign Public Holiday To Staff Group</t>
  </si>
  <si>
    <t>Allocate from Stock</t>
  </si>
  <si>
    <t>Material Management</t>
  </si>
  <si>
    <t>Material Budget</t>
  </si>
  <si>
    <t xml:space="preserve">Material Variance Analysis </t>
  </si>
  <si>
    <t>Purchase Type Bahasa Appearing instated of English</t>
  </si>
  <si>
    <t xml:space="preserve">WPS - Technical Data </t>
  </si>
  <si>
    <t>We have decided to move as additional package</t>
  </si>
  <si>
    <t>Material Request</t>
  </si>
  <si>
    <t>Purchasing</t>
  </si>
  <si>
    <t>Material Request - Approval</t>
  </si>
  <si>
    <t>Request For Quotation</t>
  </si>
  <si>
    <t>Quotation Price Update</t>
  </si>
  <si>
    <t>Price Comparison &amp; Supplier Approval</t>
  </si>
  <si>
    <t>Purchase Order  - Processing</t>
  </si>
  <si>
    <t>Purchase Order - Print</t>
  </si>
  <si>
    <t>Delivery Order</t>
  </si>
  <si>
    <t>Invoice</t>
  </si>
  <si>
    <t>Purchase Voucher - Print</t>
  </si>
  <si>
    <t>Forced Close  - Purchase Order</t>
  </si>
  <si>
    <t xml:space="preserve">  </t>
  </si>
  <si>
    <t>Documentation Status</t>
  </si>
  <si>
    <t>Document Information Report</t>
  </si>
  <si>
    <t>Material Ledger</t>
  </si>
  <si>
    <t>Report</t>
  </si>
  <si>
    <t>Worker Activity List</t>
  </si>
  <si>
    <t>Site Management</t>
  </si>
  <si>
    <t>Weather Marking</t>
  </si>
  <si>
    <t>State Working Days &amp; Hours</t>
  </si>
  <si>
    <t>Staff Management</t>
  </si>
  <si>
    <t>Employee Profile</t>
  </si>
  <si>
    <t>Worker Productivity Marking</t>
  </si>
  <si>
    <t xml:space="preserve">Log In </t>
  </si>
  <si>
    <t>System</t>
  </si>
  <si>
    <t>Total</t>
  </si>
  <si>
    <t>Completed is define as all my comments and observation has been attended  too,</t>
  </si>
  <si>
    <t>Data Can be saved and retrieved for Editing etc</t>
  </si>
  <si>
    <t>All form are bi language I haven't seen even the command button to toggle between this 2 language.</t>
  </si>
  <si>
    <t>I have requested my staff to hold this progress payment has we are far from completion.</t>
  </si>
  <si>
    <t>Sure, You can hold it untill you get what has been promissed. Money is not a concern here but time and discussion to improve the system better and not just coping what is there in the existing system.</t>
  </si>
  <si>
    <t>Anand I feel we should complete Phase ONE then we can meet in Malaysia. Its better for you to</t>
  </si>
  <si>
    <t xml:space="preserve">To complete the Phase 1, I wish to spend a week time with you sir. My intension is not to discuss on the other phases. I leave to you on other phases. </t>
  </si>
  <si>
    <t>use the time to catch up on the progress. The person whom I am making arrangement also monitoring this</t>
  </si>
  <si>
    <t xml:space="preserve">This 1 week is only to hand over the phase 1. Becuase I have completed as discussed but not how you wanted (might be). We should have a healthy discussion how things can be improved from what is available now. So this will be 100% done, when I spend some more time with you for the final toches. </t>
  </si>
  <si>
    <t xml:space="preserve">progress. </t>
  </si>
  <si>
    <t xml:space="preserve">During this 1 week time, I get your corrections in person and solve them on the same day and get corrected without leading to any confusions. Even if you need anything extra, we can build and make things usable </t>
  </si>
  <si>
    <r>
      <rPr>
        <sz val="11"/>
        <color rgb="FF000000"/>
        <rFont val="Calibri"/>
        <family val="2"/>
        <scheme val="minor"/>
      </rPr>
      <t xml:space="preserve">You might thing something is undone, but it might take hardly 1 hr to finalize or already done in some other way. </t>
    </r>
    <r>
      <rPr>
        <b/>
        <sz val="11"/>
        <color rgb="FF000000"/>
        <rFont val="Calibri"/>
        <family val="2"/>
        <scheme val="minor"/>
      </rPr>
      <t>This time is requied as we do software first time together.</t>
    </r>
  </si>
  <si>
    <t>You can access our current Ria Kistana Sdn Bhd to see most of Phase ONE is there except Weather and Workers productivity.</t>
  </si>
  <si>
    <t xml:space="preserve">I am not telling you that you dont know to test or evaluate or review and I am coming there to teach you. I am just saying there are reasons for things being developed. If you agree let's keep it or ignore it. You are the final person to decide. </t>
  </si>
  <si>
    <t>I will review this Evaluation upon return from leave.</t>
  </si>
  <si>
    <t>However if you have other ways of evaluation d progress of works kindly forward to me. Thank you.</t>
  </si>
  <si>
    <t>There seems to be more communcation gaps sir, I want you to review with me in person. I dont need any extra payment. I will complete everything in your office and hand it over to you in a week time.</t>
  </si>
  <si>
    <t xml:space="preserve">There are so many things done already but you are referring as it's not done. Either they are missplaced or dont follow your old naming conventions. </t>
  </si>
  <si>
    <t>How could I miss the purchase workflow even after so may discussions?</t>
  </si>
  <si>
    <t>Meterial Request</t>
  </si>
  <si>
    <t>Approval</t>
  </si>
  <si>
    <t>RFQ Request</t>
  </si>
  <si>
    <t>Price Comparison</t>
  </si>
  <si>
    <t>Vendor Selection</t>
  </si>
  <si>
    <t>Purchase Order</t>
  </si>
  <si>
    <t>Purchase Voucher</t>
  </si>
  <si>
    <t>All Pdfs for PO, DO, Invoice and PV</t>
  </si>
  <si>
    <t>* All these are done in a single user mode. Once you confirm the screens, we will move to multi user mode. This does not require any additional cost but need time for discussion as this will impact the entire system now and future modoules</t>
  </si>
  <si>
    <t>Phase 1</t>
  </si>
  <si>
    <t>Phase 2</t>
  </si>
  <si>
    <t>Phase 3</t>
  </si>
  <si>
    <t>Phase 4</t>
  </si>
  <si>
    <t>Phase 5</t>
  </si>
  <si>
    <t>Module</t>
  </si>
  <si>
    <t>User Form Name</t>
  </si>
  <si>
    <t>May-24</t>
  </si>
  <si>
    <t>Jun-24</t>
  </si>
  <si>
    <t>Jul-24</t>
  </si>
  <si>
    <t>Aug-24</t>
  </si>
  <si>
    <t>Sep-24</t>
  </si>
  <si>
    <t>Contract &amp;  Contractor Management</t>
  </si>
  <si>
    <t>Work Order - Terms &amp; Condition</t>
  </si>
  <si>
    <t>Work Order - Register</t>
  </si>
  <si>
    <t>Work Order - Bill of Quantity</t>
  </si>
  <si>
    <t xml:space="preserve">Retention Release </t>
  </si>
  <si>
    <t>Payment Certificate</t>
  </si>
  <si>
    <t>Non Compliance Report (NCR)</t>
  </si>
  <si>
    <t xml:space="preserve">Measurement of Works </t>
  </si>
  <si>
    <t>Cost Centre &amp; Activity</t>
  </si>
  <si>
    <t>Secondary Cost Centre (Level 2)</t>
  </si>
  <si>
    <t>Primary Cost Centre - (Level 1)</t>
  </si>
  <si>
    <t>Cost Centre - Level 6</t>
  </si>
  <si>
    <t>Cost Centre - Level 5</t>
  </si>
  <si>
    <t>Cost Centre - Level 4</t>
  </si>
  <si>
    <t>Cost Centre - Level 3</t>
  </si>
  <si>
    <t>Activity - Level 4</t>
  </si>
  <si>
    <t>Activity - Level 3</t>
  </si>
  <si>
    <t>Customer</t>
  </si>
  <si>
    <t>Customer Profile</t>
  </si>
  <si>
    <t>Customer - User Authority</t>
  </si>
  <si>
    <t>Customer - Setting</t>
  </si>
  <si>
    <t>Financial Management</t>
  </si>
  <si>
    <t>Utility Register</t>
  </si>
  <si>
    <t>Receipt Voucher</t>
  </si>
  <si>
    <t>Petty Cash</t>
  </si>
  <si>
    <t>Payment Voucher</t>
  </si>
  <si>
    <t>Journal</t>
  </si>
  <si>
    <t>Insurance Management</t>
  </si>
  <si>
    <t>Depreciation Rate Schedule</t>
  </si>
  <si>
    <t>Deposit Register</t>
  </si>
  <si>
    <t xml:space="preserve">Cukai Tanah </t>
  </si>
  <si>
    <t>Cukai Pintu</t>
  </si>
  <si>
    <t>Asset Register</t>
  </si>
  <si>
    <t xml:space="preserve">Asset Maintenance Data </t>
  </si>
  <si>
    <t>Asset Location</t>
  </si>
  <si>
    <t>Human Resources</t>
  </si>
  <si>
    <t>Yearly Public Holiday Date Marking</t>
  </si>
  <si>
    <t>Time Sheet</t>
  </si>
  <si>
    <t>Statutory Payment Rates - SOCSO &amp; EIS</t>
  </si>
  <si>
    <t>Statutory Payment Rates - EPF</t>
  </si>
  <si>
    <t>Staff Time Off - Application</t>
  </si>
  <si>
    <t>Staff Salary Records</t>
  </si>
  <si>
    <t>Staff Leave Application On Behalf</t>
  </si>
  <si>
    <t>Overtime Rates</t>
  </si>
  <si>
    <t>Milage Claim</t>
  </si>
  <si>
    <t xml:space="preserve">Leave Crediting Menu </t>
  </si>
  <si>
    <t xml:space="preserve">Foreign Workers Management </t>
  </si>
  <si>
    <t>Employee Register - Part B</t>
  </si>
  <si>
    <t>Employee Register - Part A</t>
  </si>
  <si>
    <t>Organisation</t>
  </si>
  <si>
    <t>Project  Professional</t>
  </si>
  <si>
    <t>Organisation Industry - Classification</t>
  </si>
  <si>
    <t>Organisation Communication</t>
  </si>
  <si>
    <t xml:space="preserve">Organisation  Register </t>
  </si>
  <si>
    <t>Organisation - People Register</t>
  </si>
  <si>
    <t>Business -  Primary Activity</t>
  </si>
  <si>
    <t>Procurement Documentation</t>
  </si>
  <si>
    <t xml:space="preserve">Transfer To Stock </t>
  </si>
  <si>
    <t>Reverse  - Invoice</t>
  </si>
  <si>
    <t>Reverse  - Delivery Order</t>
  </si>
  <si>
    <t>Report - Material Ledger</t>
  </si>
  <si>
    <t>Project Cost Management</t>
  </si>
  <si>
    <t xml:space="preserve">Report - Material Variance Analysis </t>
  </si>
  <si>
    <t>Project Preliminary Expenses Budget</t>
  </si>
  <si>
    <t>Project Plant &amp; Equipment Budget</t>
  </si>
  <si>
    <t>Project Material Budget</t>
  </si>
  <si>
    <t>Project Labour Budget</t>
  </si>
  <si>
    <t>Resources</t>
  </si>
  <si>
    <t>Purchase Type</t>
  </si>
  <si>
    <t>Material Master</t>
  </si>
  <si>
    <t>Material Library</t>
  </si>
  <si>
    <t>Material Group</t>
  </si>
  <si>
    <t>Setting</t>
  </si>
  <si>
    <t>Weather</t>
  </si>
  <si>
    <t>UOM Conversion Table</t>
  </si>
  <si>
    <t>Staff Leave Group</t>
  </si>
  <si>
    <t>Phone Company - Code List</t>
  </si>
  <si>
    <t>Packaging</t>
  </si>
  <si>
    <t>Direct Workers Work  Description</t>
  </si>
  <si>
    <t>Asset Groups</t>
  </si>
  <si>
    <t>Workers Cost Centre  Link</t>
  </si>
  <si>
    <t>Workers Activity Link</t>
  </si>
  <si>
    <t>Work Monitoring &amp; Completion Records</t>
  </si>
  <si>
    <t>Visitors Records</t>
  </si>
  <si>
    <t>Sub Contractor Attendance Records</t>
  </si>
  <si>
    <t>Equipments Usage Records</t>
  </si>
  <si>
    <t>Equipment Maintenance Records</t>
  </si>
  <si>
    <t>Daily Weather Marking</t>
  </si>
  <si>
    <t>Daily Labour Attendance Records</t>
  </si>
  <si>
    <t>Stock Management</t>
  </si>
  <si>
    <t>Stock Transfer To Store - From Cost Centre</t>
  </si>
  <si>
    <t xml:space="preserve">Stock Transfer From Store - To Cost Centre </t>
  </si>
  <si>
    <t>Stock Allocation - Within Cost Centre - Non Fuel Stocks</t>
  </si>
  <si>
    <t>Fuel Issuing Record</t>
  </si>
  <si>
    <t>Work Order Management</t>
  </si>
  <si>
    <t>User Setting</t>
  </si>
  <si>
    <t xml:space="preserve">To Complete Purchase Documentation we need </t>
  </si>
  <si>
    <t>People - Vendor</t>
  </si>
  <si>
    <t>Resources - Material</t>
  </si>
  <si>
    <t>HR Userforms</t>
  </si>
  <si>
    <t>Employee</t>
  </si>
  <si>
    <t xml:space="preserve">Workers Attandance </t>
  </si>
  <si>
    <t xml:space="preserve">Item </t>
  </si>
  <si>
    <t>Phase</t>
  </si>
  <si>
    <t>Form No</t>
  </si>
  <si>
    <t>Display</t>
  </si>
  <si>
    <t>Comments</t>
  </si>
  <si>
    <t>To Create WPS Grouping</t>
  </si>
  <si>
    <t>Purchase  Classification</t>
  </si>
  <si>
    <t>To CreateWPS Classification</t>
  </si>
  <si>
    <t>WPS-004</t>
  </si>
  <si>
    <t>Certification of Payment</t>
  </si>
  <si>
    <t>CCM004</t>
  </si>
  <si>
    <t>Work done measurement records by month work done. Include Work description, UOM, Quantity</t>
  </si>
  <si>
    <t>Auto generate based on 4 &amp; 2</t>
  </si>
  <si>
    <t>CCM005</t>
  </si>
  <si>
    <t>CCM006</t>
  </si>
  <si>
    <t>Contract Management</t>
  </si>
  <si>
    <t>When Contractor does not comply to specification and time frame a show cause letter is issue. When contractor reply and if accepted then the NCR will be closed.</t>
  </si>
  <si>
    <t>CCM007</t>
  </si>
  <si>
    <t>Work Order</t>
  </si>
  <si>
    <t>To Keep WO Work Description, UOM, Quantity and Rates</t>
  </si>
  <si>
    <t>CCM002</t>
  </si>
  <si>
    <t>Quantity Take Off</t>
  </si>
  <si>
    <t xml:space="preserve">To Keep register of all Work Order </t>
  </si>
  <si>
    <t>CCM001</t>
  </si>
  <si>
    <t>To Keep WO terms and condition</t>
  </si>
  <si>
    <t>CCM003</t>
  </si>
  <si>
    <t>Site Management - Attandance &amp; Weather</t>
  </si>
  <si>
    <t>Stock</t>
  </si>
  <si>
    <t>Activity</t>
  </si>
  <si>
    <t>Cost Centre</t>
  </si>
  <si>
    <t>Primary Cost Centre</t>
  </si>
  <si>
    <t>General</t>
  </si>
  <si>
    <t>To Keep Customer Policy</t>
  </si>
  <si>
    <t>U002</t>
  </si>
  <si>
    <t>To set Customer - Staff Authorities</t>
  </si>
  <si>
    <t>U003</t>
  </si>
  <si>
    <t xml:space="preserve">To  Register Customer </t>
  </si>
  <si>
    <t>U001</t>
  </si>
  <si>
    <t>Asset</t>
  </si>
  <si>
    <t>HR - Leave</t>
  </si>
  <si>
    <t>Petty Cash Management</t>
  </si>
  <si>
    <t>Depreciation</t>
  </si>
  <si>
    <t>Keep  track of all Insurance for project, Company Vehicle and Company asset include start and end dates, Insurance company, premium etc</t>
  </si>
  <si>
    <t>Utility Management</t>
  </si>
  <si>
    <t>To manage staff personnel data</t>
  </si>
  <si>
    <t>HR001A</t>
  </si>
  <si>
    <t xml:space="preserve">Leave </t>
  </si>
  <si>
    <t>To Credit Annual leave or Deduct Annual leave</t>
  </si>
  <si>
    <t>HR003A</t>
  </si>
  <si>
    <t>To keep Work Permit renewal and Medical Check due dates information.</t>
  </si>
  <si>
    <t>HR006</t>
  </si>
  <si>
    <t>Staff Leave Application including Annual Leave, Medical leave etc</t>
  </si>
  <si>
    <t>HR003B</t>
  </si>
  <si>
    <t xml:space="preserve">To Register Company Panel Doctor </t>
  </si>
  <si>
    <t>HR003E</t>
  </si>
  <si>
    <t>Non office staff do not have access to this system, their leave application is assign to another person.</t>
  </si>
  <si>
    <t>HR003C</t>
  </si>
  <si>
    <t>For staff to apply for time off due to urgent or important matters that can be handled withing 2 hours.</t>
  </si>
  <si>
    <t>HR003D</t>
  </si>
  <si>
    <t>Public Holiday</t>
  </si>
  <si>
    <t>To Assign PH to Staff Groups</t>
  </si>
  <si>
    <t>HR002B</t>
  </si>
  <si>
    <t>Staff Travelling Claims include reimbursement for toll, parking etc</t>
  </si>
  <si>
    <t>HR004</t>
  </si>
  <si>
    <t>To update Public Holiday dates - Where PH has NO fix date</t>
  </si>
  <si>
    <t>HR002A</t>
  </si>
  <si>
    <t>Remuneration</t>
  </si>
  <si>
    <t>Staff Salary Data</t>
  </si>
  <si>
    <t>HR007</t>
  </si>
  <si>
    <t>Statutory Rates</t>
  </si>
  <si>
    <t>To record EFP Rates</t>
  </si>
  <si>
    <t>HR005A</t>
  </si>
  <si>
    <t>Company Overtime Rates</t>
  </si>
  <si>
    <t>To record Set Overtime rates</t>
  </si>
  <si>
    <t>HR005C</t>
  </si>
  <si>
    <t>To record SOCSO &amp; EIS Rate</t>
  </si>
  <si>
    <t>HR005B</t>
  </si>
  <si>
    <t xml:space="preserve">To keep records of what the staff did for the day </t>
  </si>
  <si>
    <t>HR008</t>
  </si>
  <si>
    <t>To Close the PO in case we do not required it any more. Example Concrete Order 7 M3. But work completed 6.5 M3</t>
  </si>
  <si>
    <t>Data Entry Form. By person who wants the material.</t>
  </si>
  <si>
    <t>Report. View one Material at a time. Either for All Cost Centre or One Cost Centre. Option View by Period. From Date To Date. By Default All dates</t>
  </si>
  <si>
    <t>Approval of P001</t>
  </si>
  <si>
    <t>PB002</t>
  </si>
  <si>
    <t>PB004</t>
  </si>
  <si>
    <t>Material</t>
  </si>
  <si>
    <t>PB001</t>
  </si>
  <si>
    <t>Preliminaries</t>
  </si>
  <si>
    <t>PB003</t>
  </si>
  <si>
    <t xml:space="preserve">Estimated Material Quantity &amp; Price for a cost centre </t>
  </si>
  <si>
    <t>SUF001</t>
  </si>
  <si>
    <t>SUF002</t>
  </si>
  <si>
    <t>SUF003</t>
  </si>
  <si>
    <t>SUF004</t>
  </si>
  <si>
    <t xml:space="preserve">To Keep weather records </t>
  </si>
  <si>
    <t>SM001</t>
  </si>
  <si>
    <t>SM002</t>
  </si>
  <si>
    <t>To Keep Sub Contractors, Activity by Cost Centre</t>
  </si>
  <si>
    <t>SM003</t>
  </si>
  <si>
    <t>Mapping</t>
  </si>
  <si>
    <t>SM004</t>
  </si>
  <si>
    <t xml:space="preserve">To Link Work To Cost Centre </t>
  </si>
  <si>
    <t>SM005</t>
  </si>
  <si>
    <t>Sub Contractor - Work Order Register</t>
  </si>
  <si>
    <t>To Link Work Order with Sub Contractor</t>
  </si>
  <si>
    <t>SM006</t>
  </si>
  <si>
    <t>Contents</t>
  </si>
  <si>
    <t>Phone  - Code List</t>
  </si>
  <si>
    <t>Asset Group</t>
  </si>
  <si>
    <t>Remuneration Component List</t>
  </si>
  <si>
    <t>Staff Group</t>
  </si>
  <si>
    <t>State - Working Days &amp; Hours - Setting</t>
  </si>
  <si>
    <t>UOM List</t>
  </si>
  <si>
    <t>Bank List</t>
  </si>
  <si>
    <t>Preliminaries &amp; Overheads</t>
  </si>
  <si>
    <t>Item</t>
  </si>
  <si>
    <t>UF_No</t>
  </si>
  <si>
    <t>Description Of User form</t>
  </si>
  <si>
    <t>Note/Comments</t>
  </si>
  <si>
    <t>Staff Classification</t>
  </si>
  <si>
    <t>Fields</t>
  </si>
  <si>
    <t>Input Data</t>
  </si>
  <si>
    <t>Field_No</t>
  </si>
  <si>
    <t xml:space="preserve">User </t>
  </si>
  <si>
    <t>Auto Display</t>
  </si>
  <si>
    <t xml:space="preserve">Date </t>
  </si>
  <si>
    <t>Country</t>
  </si>
  <si>
    <t xml:space="preserve">Enter Country Name </t>
  </si>
  <si>
    <t>Same for Both English &amp; Bahasa</t>
  </si>
  <si>
    <t>Select Country</t>
  </si>
  <si>
    <t>Description</t>
  </si>
  <si>
    <t>Phone Code</t>
  </si>
  <si>
    <t xml:space="preserve">Enter </t>
  </si>
  <si>
    <t>Asset Description</t>
  </si>
  <si>
    <t>Salutation Description</t>
  </si>
  <si>
    <t>Select from List</t>
  </si>
  <si>
    <t>Job Description</t>
  </si>
  <si>
    <t>Religion  Description</t>
  </si>
  <si>
    <t>Description of Qualification</t>
  </si>
  <si>
    <t>Remuneration Component Description</t>
  </si>
  <si>
    <t>State</t>
  </si>
  <si>
    <t>Leave Type Description</t>
  </si>
  <si>
    <t xml:space="preserve">State </t>
  </si>
  <si>
    <t>Working Hours</t>
  </si>
  <si>
    <t>Each State has its own Working Days and Time</t>
  </si>
  <si>
    <t>Delivery Mode - Description</t>
  </si>
  <si>
    <t>UOM Group - Description</t>
  </si>
  <si>
    <t>Select</t>
  </si>
  <si>
    <t>From UOM</t>
  </si>
  <si>
    <t>Weather Description</t>
  </si>
  <si>
    <t>Ground Condition Description</t>
  </si>
  <si>
    <t xml:space="preserve">Activity Description </t>
  </si>
  <si>
    <t xml:space="preserve">Description </t>
  </si>
  <si>
    <t xml:space="preserve">Bank Name </t>
  </si>
  <si>
    <t xml:space="preserve">Preliminaries </t>
  </si>
  <si>
    <t>Yes/No</t>
  </si>
  <si>
    <t>If No consider as Overhead</t>
  </si>
  <si>
    <t>HR -General</t>
  </si>
  <si>
    <t>Full State Name</t>
  </si>
  <si>
    <t>Enter State Name i.e. Selangor Darul Aman</t>
  </si>
  <si>
    <t>Most State as a Long Name. i.e. Darul Aman - Peaceful State</t>
  </si>
  <si>
    <t>Is Handphone</t>
  </si>
  <si>
    <t>3A</t>
  </si>
  <si>
    <t>Salutation - English</t>
  </si>
  <si>
    <t xml:space="preserve"> English</t>
  </si>
  <si>
    <t xml:space="preserve">English </t>
  </si>
  <si>
    <t>Enter Description</t>
  </si>
  <si>
    <t>Day of Week</t>
  </si>
  <si>
    <t>Working Day</t>
  </si>
  <si>
    <t xml:space="preserve">From </t>
  </si>
  <si>
    <t xml:space="preserve">To </t>
  </si>
  <si>
    <t>Hours</t>
  </si>
  <si>
    <t xml:space="preserve">Public Holiday </t>
  </si>
  <si>
    <t>Public Holiday  Description</t>
  </si>
  <si>
    <t>Abbreviation</t>
  </si>
  <si>
    <t>To UOM</t>
  </si>
  <si>
    <t>Enter description</t>
  </si>
  <si>
    <t>HR- Remuneration</t>
  </si>
  <si>
    <t xml:space="preserve">Enter Nationality </t>
  </si>
  <si>
    <t>Short Name</t>
  </si>
  <si>
    <t>Enter i.e. Selangor</t>
  </si>
  <si>
    <t>For most Report etc we will use short name only</t>
  </si>
  <si>
    <t xml:space="preserve"> State</t>
  </si>
  <si>
    <t>Select State</t>
  </si>
  <si>
    <t>3B</t>
  </si>
  <si>
    <t xml:space="preserve">Salutation - Bahasa </t>
  </si>
  <si>
    <t xml:space="preserve">Bahasa </t>
  </si>
  <si>
    <t xml:space="preserve">Monday </t>
  </si>
  <si>
    <t>Calculate &amp; Display Hours</t>
  </si>
  <si>
    <t>Compulsory</t>
  </si>
  <si>
    <t>Conversation Factor</t>
  </si>
  <si>
    <t>HR- Time Off</t>
  </si>
  <si>
    <t xml:space="preserve">Abbreviations </t>
  </si>
  <si>
    <t>Details</t>
  </si>
  <si>
    <t>Add/Deduct - Salary</t>
  </si>
  <si>
    <t>user to select - Add Or Deduct</t>
  </si>
  <si>
    <t>Tuesday</t>
  </si>
  <si>
    <t>Fix Dates</t>
  </si>
  <si>
    <t>Notes</t>
  </si>
  <si>
    <t>People</t>
  </si>
  <si>
    <t>Purpose</t>
  </si>
  <si>
    <t>To Create list of States in the  Country selected</t>
  </si>
  <si>
    <t>Capitalise</t>
  </si>
  <si>
    <t xml:space="preserve">Yes/No </t>
  </si>
  <si>
    <t xml:space="preserve">Reason </t>
  </si>
  <si>
    <t>Optional</t>
  </si>
  <si>
    <t xml:space="preserve">Notes </t>
  </si>
  <si>
    <t xml:space="preserve">Max Days Allowed </t>
  </si>
  <si>
    <t>Wednesday</t>
  </si>
  <si>
    <t>If Fix Dates - Enter Date</t>
  </si>
  <si>
    <t>Enter dd/mmm</t>
  </si>
  <si>
    <t>Status</t>
  </si>
  <si>
    <t>To Create list of Country &amp; Nationality. We have staff from 5 Nation</t>
  </si>
  <si>
    <t>EFE</t>
  </si>
  <si>
    <t>Foreign Workers do not have these</t>
  </si>
  <si>
    <t>Note</t>
  </si>
  <si>
    <t>Thursday</t>
  </si>
  <si>
    <t>Days</t>
  </si>
  <si>
    <t>Select 1 Or 2. By Default 1</t>
  </si>
  <si>
    <t>To Create UOM List</t>
  </si>
  <si>
    <t xml:space="preserve">Purpose </t>
  </si>
  <si>
    <t>This is a universal Table can be used by all Industry and Companies</t>
  </si>
  <si>
    <t>Abbreviation In Malaysia</t>
  </si>
  <si>
    <t xml:space="preserve"> </t>
  </si>
  <si>
    <t>To Create list of Staff Job Description. List will vary with each User Company.</t>
  </si>
  <si>
    <t>SOCSO</t>
  </si>
  <si>
    <t>Friday</t>
  </si>
  <si>
    <t>Group</t>
  </si>
  <si>
    <t>Factor</t>
  </si>
  <si>
    <t>What is the Difference between Preliminaries and Overhead</t>
  </si>
  <si>
    <t>When we sell a copy Universal Data will be give as part of package subject to User confirming wants standard and repeating data.</t>
  </si>
  <si>
    <t>Johor</t>
  </si>
  <si>
    <t>In English</t>
  </si>
  <si>
    <t>In Bahasa</t>
  </si>
  <si>
    <t>Atheist</t>
  </si>
  <si>
    <t>EIS</t>
  </si>
  <si>
    <t>Saturday</t>
  </si>
  <si>
    <t>Area</t>
  </si>
  <si>
    <t>Acre</t>
  </si>
  <si>
    <t>M2</t>
  </si>
  <si>
    <t>Kedah</t>
  </si>
  <si>
    <t>Individual</t>
  </si>
  <si>
    <t>individua</t>
  </si>
  <si>
    <t>Letter</t>
  </si>
  <si>
    <t>Surat</t>
  </si>
  <si>
    <t>Mr</t>
  </si>
  <si>
    <t>Encik</t>
  </si>
  <si>
    <t>Muslim - Bumiputra</t>
  </si>
  <si>
    <t>Buddhist</t>
  </si>
  <si>
    <t>Buddha</t>
  </si>
  <si>
    <t xml:space="preserve">PHD </t>
  </si>
  <si>
    <t>Sunday</t>
  </si>
  <si>
    <t>Own Collection</t>
  </si>
  <si>
    <t>Koleksi Sendiri</t>
  </si>
  <si>
    <t>We have to collect from them</t>
  </si>
  <si>
    <t>Luas</t>
  </si>
  <si>
    <t>Meter Square</t>
  </si>
  <si>
    <t>SF</t>
  </si>
  <si>
    <t>Sunny</t>
  </si>
  <si>
    <t>Cerah</t>
  </si>
  <si>
    <t>Dry</t>
  </si>
  <si>
    <t>Kering</t>
  </si>
  <si>
    <t>Yearly Annual Leave</t>
  </si>
  <si>
    <t>Personnel</t>
  </si>
  <si>
    <t>Site Management - Equipments</t>
  </si>
  <si>
    <t>Kelantan</t>
  </si>
  <si>
    <t>Sole Proprietor</t>
  </si>
  <si>
    <t>Pemilik tunggal</t>
  </si>
  <si>
    <t>AR Register Letter</t>
  </si>
  <si>
    <t>Surat Daftar AR</t>
  </si>
  <si>
    <t>Mrs</t>
  </si>
  <si>
    <t>Puan</t>
  </si>
  <si>
    <t>Industry</t>
  </si>
  <si>
    <t>Non Muslim Bumiputra</t>
  </si>
  <si>
    <t>Bumiputera bukan Islam</t>
  </si>
  <si>
    <t xml:space="preserve">Christian </t>
  </si>
  <si>
    <t>Kristian</t>
  </si>
  <si>
    <t>SPM</t>
  </si>
  <si>
    <t>Add/Deduct</t>
  </si>
  <si>
    <t>To Create List of Malaysian Public Holidays.</t>
  </si>
  <si>
    <t xml:space="preserve">Delivered </t>
  </si>
  <si>
    <t>Dihantar</t>
  </si>
  <si>
    <t>They will Deliver</t>
  </si>
  <si>
    <t>Linear</t>
  </si>
  <si>
    <t>Square Foot</t>
  </si>
  <si>
    <t>Kaki Persegi</t>
  </si>
  <si>
    <t>Fr</t>
  </si>
  <si>
    <t>In</t>
  </si>
  <si>
    <t>Cloudy</t>
  </si>
  <si>
    <t>Mendung</t>
  </si>
  <si>
    <t>Wet - Workable</t>
  </si>
  <si>
    <t>Basah - Boleh Kerja</t>
  </si>
  <si>
    <t>Wedding</t>
  </si>
  <si>
    <t>Perkahwinan</t>
  </si>
  <si>
    <t xml:space="preserve">Site Management - Material </t>
  </si>
  <si>
    <t>Melaka</t>
  </si>
  <si>
    <t>Partnership</t>
  </si>
  <si>
    <t>Perkongsian</t>
  </si>
  <si>
    <t>Email</t>
  </si>
  <si>
    <t>E-mel</t>
  </si>
  <si>
    <t>Sir</t>
  </si>
  <si>
    <t>Tuan</t>
  </si>
  <si>
    <t>Sales Manager</t>
  </si>
  <si>
    <t>Pengurus jualan</t>
  </si>
  <si>
    <t>Indian</t>
  </si>
  <si>
    <t>India</t>
  </si>
  <si>
    <t>Hindu</t>
  </si>
  <si>
    <t>SPRM</t>
  </si>
  <si>
    <t>Basic Salary</t>
  </si>
  <si>
    <t>Gajic pokok</t>
  </si>
  <si>
    <t>Add</t>
  </si>
  <si>
    <t>Fix Date</t>
  </si>
  <si>
    <t>Not Applicable</t>
  </si>
  <si>
    <t>Tidak berkaitan</t>
  </si>
  <si>
    <t>Volume</t>
  </si>
  <si>
    <t>Isi padu</t>
  </si>
  <si>
    <t>M3</t>
  </si>
  <si>
    <t>Gallon</t>
  </si>
  <si>
    <t>Litres</t>
  </si>
  <si>
    <t>Rainy</t>
  </si>
  <si>
    <t>Hujan</t>
  </si>
  <si>
    <t>Wet Not Workable</t>
  </si>
  <si>
    <t>Basah Tidak Boleh Kerja</t>
  </si>
  <si>
    <t>Family Member Sick</t>
  </si>
  <si>
    <t>Ahli Keluarga Sakit</t>
  </si>
  <si>
    <t>Negeri Sembilan</t>
  </si>
  <si>
    <t>Professional</t>
  </si>
  <si>
    <t>Profesional</t>
  </si>
  <si>
    <t>Phone</t>
  </si>
  <si>
    <t>Telefon</t>
  </si>
  <si>
    <t>Example</t>
  </si>
  <si>
    <t>Miss</t>
  </si>
  <si>
    <t>Cik</t>
  </si>
  <si>
    <t>Sales Executive</t>
  </si>
  <si>
    <t>Eksekutif jualan</t>
  </si>
  <si>
    <t>Chinese</t>
  </si>
  <si>
    <t>Cina</t>
  </si>
  <si>
    <t>Islam</t>
  </si>
  <si>
    <t>Certificate</t>
  </si>
  <si>
    <t>Sijil</t>
  </si>
  <si>
    <t>Overtime Payment</t>
  </si>
  <si>
    <t>Bayaran Lebih masa</t>
  </si>
  <si>
    <t>Annual Leave</t>
  </si>
  <si>
    <t>Cuti Tahunan</t>
  </si>
  <si>
    <t>Yes</t>
  </si>
  <si>
    <t>To Mark The Working days and Time of Each State</t>
  </si>
  <si>
    <t>New Year's Day</t>
  </si>
  <si>
    <t>Weight</t>
  </si>
  <si>
    <t>Berat</t>
  </si>
  <si>
    <t>Mile</t>
  </si>
  <si>
    <t>CM</t>
  </si>
  <si>
    <t>Pahang</t>
  </si>
  <si>
    <t>Private Limited Company</t>
  </si>
  <si>
    <t>Syarikat Sendirian Berhad</t>
  </si>
  <si>
    <t>Bhd</t>
  </si>
  <si>
    <t>SMS</t>
  </si>
  <si>
    <t>Nominal Value</t>
  </si>
  <si>
    <t>Datuk</t>
  </si>
  <si>
    <t>Project Planner</t>
  </si>
  <si>
    <t>Perancang Projek</t>
  </si>
  <si>
    <t>Eurasian</t>
  </si>
  <si>
    <t>Eurasia</t>
  </si>
  <si>
    <t>Others</t>
  </si>
  <si>
    <t>Lain-lain</t>
  </si>
  <si>
    <t xml:space="preserve">Diploma </t>
  </si>
  <si>
    <t>Diploma</t>
  </si>
  <si>
    <t>Bonus</t>
  </si>
  <si>
    <t>Medical Leave</t>
  </si>
  <si>
    <t>Cuti Perubatan</t>
  </si>
  <si>
    <t>No</t>
  </si>
  <si>
    <t>Thaipusam</t>
  </si>
  <si>
    <t>MM</t>
  </si>
  <si>
    <t>Temujanji Doktor</t>
  </si>
  <si>
    <t xml:space="preserve">Maybank Malaysia Bhd </t>
  </si>
  <si>
    <t>Perak</t>
  </si>
  <si>
    <t>Limited Company</t>
  </si>
  <si>
    <t>Syarikat Berhad</t>
  </si>
  <si>
    <t>Sdn Bhd</t>
  </si>
  <si>
    <t>WhatsApp</t>
  </si>
  <si>
    <t>Dato</t>
  </si>
  <si>
    <t>Project Manager</t>
  </si>
  <si>
    <t>Pengurus projek</t>
  </si>
  <si>
    <t>Indonesian</t>
  </si>
  <si>
    <t>Indonesia</t>
  </si>
  <si>
    <t>Taoist</t>
  </si>
  <si>
    <t>Penganut Tao</t>
  </si>
  <si>
    <t>Advance Diploma</t>
  </si>
  <si>
    <t>Diploma Lanjutan</t>
  </si>
  <si>
    <t>Payment in Lieu of Leave</t>
  </si>
  <si>
    <t>Bayaran sebagai Gantian Cuti</t>
  </si>
  <si>
    <t>Hospitalisation Leave</t>
  </si>
  <si>
    <t>Cuti Masuk Hospital</t>
  </si>
  <si>
    <t>Federal Territory Day</t>
  </si>
  <si>
    <t>Meter Run</t>
  </si>
  <si>
    <t>MR</t>
  </si>
  <si>
    <t>KG</t>
  </si>
  <si>
    <t>Gram</t>
  </si>
  <si>
    <t>Cimb Bank Bhd</t>
  </si>
  <si>
    <t>Clearing Rubbish</t>
  </si>
  <si>
    <t>Membersihkan Sampah</t>
  </si>
  <si>
    <t>Perlis</t>
  </si>
  <si>
    <t>Cooperative Society</t>
  </si>
  <si>
    <t>Koperasi</t>
  </si>
  <si>
    <t>Fax</t>
  </si>
  <si>
    <t>Faks</t>
  </si>
  <si>
    <t>Dato Seri</t>
  </si>
  <si>
    <t>Site Supervisor</t>
  </si>
  <si>
    <t>Penyelia tapak</t>
  </si>
  <si>
    <t>Bangladeshi</t>
  </si>
  <si>
    <t>Bangladesh</t>
  </si>
  <si>
    <t>Degree</t>
  </si>
  <si>
    <t>Ijazah</t>
  </si>
  <si>
    <t>Socso</t>
  </si>
  <si>
    <t>Perkeso</t>
  </si>
  <si>
    <t>Deduct</t>
  </si>
  <si>
    <t>Compassionate Leave</t>
  </si>
  <si>
    <t>Cuti Ihsan</t>
  </si>
  <si>
    <t>Chinese New Year</t>
  </si>
  <si>
    <t>Foot Run</t>
  </si>
  <si>
    <t>FR</t>
  </si>
  <si>
    <t>Lbs</t>
  </si>
  <si>
    <t>Rehat</t>
  </si>
  <si>
    <t>Gaji Tidak Mencukupi</t>
  </si>
  <si>
    <t>Construction Electricity Supply</t>
  </si>
  <si>
    <t>Bekalan Elektrik Pembinaan</t>
  </si>
  <si>
    <t>Pulau Pinang</t>
  </si>
  <si>
    <t>Non Government Organisation</t>
  </si>
  <si>
    <t>Pertubuhan Bukan Kerajaan</t>
  </si>
  <si>
    <t>NGO</t>
  </si>
  <si>
    <t>In Person</t>
  </si>
  <si>
    <t>Secara peribadi</t>
  </si>
  <si>
    <t>Tan Sri</t>
  </si>
  <si>
    <t>Administrator</t>
  </si>
  <si>
    <t>Pentadbir</t>
  </si>
  <si>
    <t>Pakistanis</t>
  </si>
  <si>
    <t>Pakistan</t>
  </si>
  <si>
    <t>EPF</t>
  </si>
  <si>
    <t>KWSP</t>
  </si>
  <si>
    <t>Unpaid Leave</t>
  </si>
  <si>
    <t>Cuti Tanpa Gaji</t>
  </si>
  <si>
    <t>Independence Declaration Day</t>
  </si>
  <si>
    <t>KM</t>
  </si>
  <si>
    <t>Construction Water Supply</t>
  </si>
  <si>
    <t>Bekalan Air Pembinaan</t>
  </si>
  <si>
    <t>Sabah</t>
  </si>
  <si>
    <t xml:space="preserve">Government </t>
  </si>
  <si>
    <t>Social Media</t>
  </si>
  <si>
    <t>Media Sosial</t>
  </si>
  <si>
    <t>Tun</t>
  </si>
  <si>
    <t>Accounts Officer</t>
  </si>
  <si>
    <t>Pegawai Akaun</t>
  </si>
  <si>
    <t>Burmese</t>
  </si>
  <si>
    <t>Burma</t>
  </si>
  <si>
    <t>Maternity Leave</t>
  </si>
  <si>
    <t>Cuti Bersalin</t>
  </si>
  <si>
    <t>Awal Ramadan</t>
  </si>
  <si>
    <t>CM2</t>
  </si>
  <si>
    <t>Dokumen Kontrak &amp; Setem</t>
  </si>
  <si>
    <t>Sarawak</t>
  </si>
  <si>
    <t>Ir</t>
  </si>
  <si>
    <t>Managing Director</t>
  </si>
  <si>
    <t>Pengarah Urusan</t>
  </si>
  <si>
    <t>Cuti Kecemasan</t>
  </si>
  <si>
    <t>Sultan of Johor's Birthday</t>
  </si>
  <si>
    <t>Gall</t>
  </si>
  <si>
    <t>Selangor</t>
  </si>
  <si>
    <t>Ar</t>
  </si>
  <si>
    <t>Chief Executive Office</t>
  </si>
  <si>
    <t>Ketua Pejabat Eksekutif</t>
  </si>
  <si>
    <t xml:space="preserve">Course &amp; Training </t>
  </si>
  <si>
    <t xml:space="preserve">Kursus &amp; Latihan </t>
  </si>
  <si>
    <t>Hari Raya Acidifier</t>
  </si>
  <si>
    <t>Liters</t>
  </si>
  <si>
    <t>Liter</t>
  </si>
  <si>
    <t>CF</t>
  </si>
  <si>
    <t>Remuneration Component</t>
  </si>
  <si>
    <t>Terengganu</t>
  </si>
  <si>
    <t>Dr</t>
  </si>
  <si>
    <t xml:space="preserve">Carpenter </t>
  </si>
  <si>
    <t>Tukang Kayu</t>
  </si>
  <si>
    <t>Paternity Leave</t>
  </si>
  <si>
    <t>Cuti Paterniti</t>
  </si>
  <si>
    <t>Wesak Day</t>
  </si>
  <si>
    <t>ML</t>
  </si>
  <si>
    <t>Laboratory Testing &amp; Record Keeping</t>
  </si>
  <si>
    <t>Ujian Makmal &amp; Penyimpanan Rekod</t>
  </si>
  <si>
    <t>WP Kuala Lumpur</t>
  </si>
  <si>
    <t>WP refer to Wilayah Persekutuan/ Federal Territory</t>
  </si>
  <si>
    <t>Syarikat Mengisytiharkan Cuti Tahunan</t>
  </si>
  <si>
    <t>Agong's Birthday</t>
  </si>
  <si>
    <t>Cubic Foot</t>
  </si>
  <si>
    <t>Staff Leave/Remuneration Group</t>
  </si>
  <si>
    <t>WP Labuan</t>
  </si>
  <si>
    <t>G</t>
  </si>
  <si>
    <t>Monthly Progress Report</t>
  </si>
  <si>
    <t>Laporan Kemajuan Bulanan</t>
  </si>
  <si>
    <t>WP Putrajaya</t>
  </si>
  <si>
    <t>Kilogram</t>
  </si>
  <si>
    <t>Mosquito Prevention</t>
  </si>
  <si>
    <t>Pencegahan Nyamuk</t>
  </si>
  <si>
    <t>Melaka Governor's Birthday</t>
  </si>
  <si>
    <t>Ton</t>
  </si>
  <si>
    <t>Progress Photograph</t>
  </si>
  <si>
    <t>Foto Kemajuan</t>
  </si>
  <si>
    <t>Merdeka Day</t>
  </si>
  <si>
    <t>Project Insurance</t>
  </si>
  <si>
    <t>Prophet Muhammad's Birthday</t>
  </si>
  <si>
    <t>Setting Out</t>
  </si>
  <si>
    <t>Penetapan keluar</t>
  </si>
  <si>
    <t>Malaysia Day</t>
  </si>
  <si>
    <t>Site Maintenance</t>
  </si>
  <si>
    <t>Penyelenggaraan Tapak</t>
  </si>
  <si>
    <t>Deepavali</t>
  </si>
  <si>
    <t>Site Management &amp; Supervision</t>
  </si>
  <si>
    <t>Pengurusan &amp; Penyeliaan Tapak</t>
  </si>
  <si>
    <t>Sultan of Selangor's Birthday</t>
  </si>
  <si>
    <t>Site Meeting</t>
  </si>
  <si>
    <t>Mesyuarat Tapak</t>
  </si>
  <si>
    <t>Building - Leasehold</t>
  </si>
  <si>
    <t>Bangunan - Pajakan</t>
  </si>
  <si>
    <t>Christmas Day</t>
  </si>
  <si>
    <t>Site Security</t>
  </si>
  <si>
    <t>Keselamatan Tapak</t>
  </si>
  <si>
    <t>Building - Freehold</t>
  </si>
  <si>
    <t>Bangunan - Pegangan Bebas</t>
  </si>
  <si>
    <t>Labour Day</t>
  </si>
  <si>
    <t>Site Office</t>
  </si>
  <si>
    <t>Pejabat Tapak</t>
  </si>
  <si>
    <t>Computer</t>
  </si>
  <si>
    <t>Komputer</t>
  </si>
  <si>
    <t>Peralatan Pembinaan</t>
  </si>
  <si>
    <t>Temporary Hoarding</t>
  </si>
  <si>
    <t>Penimbunan Sementara</t>
  </si>
  <si>
    <t>Furniture &amp; Fitting</t>
  </si>
  <si>
    <t>Perabot &amp; Pemasangan</t>
  </si>
  <si>
    <t>PH = Public Holiday</t>
  </si>
  <si>
    <t>Temporary Water Connection</t>
  </si>
  <si>
    <t>Sambungan Air Sementara</t>
  </si>
  <si>
    <t xml:space="preserve">Motor Vehicle </t>
  </si>
  <si>
    <t>Kenderaan Bermotor</t>
  </si>
  <si>
    <t>Peralatan Pejabat</t>
  </si>
  <si>
    <t>Signage &amp; Safety Equipment's</t>
  </si>
  <si>
    <t>Papan Tanda &amp; Peralatan Keselamatan</t>
  </si>
  <si>
    <t>Software</t>
  </si>
  <si>
    <t>Perisian</t>
  </si>
  <si>
    <t>Work Programme</t>
  </si>
  <si>
    <t>Program Kerja</t>
  </si>
  <si>
    <t>Vacant Land - Leasehold</t>
  </si>
  <si>
    <t>Tanah - Pajakan</t>
  </si>
  <si>
    <t xml:space="preserve">Wash Trough &amp; Sedimentary Pond </t>
  </si>
  <si>
    <t>Palung Basuh &amp; Kolam Sedimen</t>
  </si>
  <si>
    <t>Vacant Land -Freehold</t>
  </si>
  <si>
    <t xml:space="preserve">Tools </t>
  </si>
  <si>
    <t>Overhead</t>
  </si>
  <si>
    <t>Telephone</t>
  </si>
  <si>
    <t>Garbage Disposal</t>
  </si>
  <si>
    <t>Penyelenggaraan Lori</t>
  </si>
  <si>
    <t>Vehicle Maintenance</t>
  </si>
  <si>
    <t>Penyelenggaraan Kenderaan</t>
  </si>
  <si>
    <t>Less then RM1000.00</t>
  </si>
  <si>
    <t>Less then RM10000.00</t>
  </si>
  <si>
    <t>Less then RM100000.00</t>
  </si>
  <si>
    <t>More  then RM100000.00</t>
  </si>
  <si>
    <t>Some we want to control so that they are not abused.</t>
  </si>
  <si>
    <t>Work in Progress</t>
  </si>
  <si>
    <t xml:space="preserve">Customer - User  Authority </t>
  </si>
  <si>
    <t>UserForm Name</t>
  </si>
  <si>
    <t>Description Of Userform</t>
  </si>
  <si>
    <t>User Profile</t>
  </si>
  <si>
    <t>Company Policy</t>
  </si>
  <si>
    <t xml:space="preserve">   </t>
  </si>
  <si>
    <t>Listbox1 - List All Active Staff Name</t>
  </si>
  <si>
    <t>Company Name</t>
  </si>
  <si>
    <t>     </t>
  </si>
  <si>
    <t>Staff Name</t>
  </si>
  <si>
    <t>On selection listbox1 display</t>
  </si>
  <si>
    <t>Multiple Location</t>
  </si>
  <si>
    <t>Does This User has Multiple Address. I.e. ICICI Bank has many branches.</t>
  </si>
  <si>
    <t xml:space="preserve">Document Control Level </t>
  </si>
  <si>
    <t>Allow user to select 1 to 4</t>
  </si>
  <si>
    <t>User to Enter 1 To 4. Max 4</t>
  </si>
  <si>
    <t>Max Cost Centre Levels</t>
  </si>
  <si>
    <t>Allow user to select 1 to 6</t>
  </si>
  <si>
    <t>Max 6</t>
  </si>
  <si>
    <t>Registration No</t>
  </si>
  <si>
    <t xml:space="preserve"> ie 0067737-W Sole Proprietor. Limited Company 199701009372</t>
  </si>
  <si>
    <t>Max Activity Levels</t>
  </si>
  <si>
    <t>3C</t>
  </si>
  <si>
    <t>Authority</t>
  </si>
  <si>
    <t>Days To Update</t>
  </si>
  <si>
    <t>View</t>
  </si>
  <si>
    <t>Edit</t>
  </si>
  <si>
    <t>Delete</t>
  </si>
  <si>
    <t>Organisation Type</t>
  </si>
  <si>
    <t>Select from list -UF S013</t>
  </si>
  <si>
    <t>6A</t>
  </si>
  <si>
    <t>Select Option</t>
  </si>
  <si>
    <t>6B</t>
  </si>
  <si>
    <t>So that we can copy common data</t>
  </si>
  <si>
    <t>Annual Leave - Min - Labour Law</t>
  </si>
  <si>
    <t>Company Policy - Max</t>
  </si>
  <si>
    <t>SST No</t>
  </si>
  <si>
    <t>Less then 2 years</t>
  </si>
  <si>
    <t>4A</t>
  </si>
  <si>
    <t>As per Labour Law Or More but Not less</t>
  </si>
  <si>
    <t>GST No</t>
  </si>
  <si>
    <t>Less then 2 To 5 years</t>
  </si>
  <si>
    <t>4B</t>
  </si>
  <si>
    <t>As per Labour Law Or More but Not less. Some staff granted more days due to years of service</t>
  </si>
  <si>
    <t>Human Resources - General</t>
  </si>
  <si>
    <t>More then 5 years</t>
  </si>
  <si>
    <t>4C</t>
  </si>
  <si>
    <t>Human Resources - Leave</t>
  </si>
  <si>
    <t>Communication Details</t>
  </si>
  <si>
    <t>Notice Period</t>
  </si>
  <si>
    <t>4D</t>
  </si>
  <si>
    <t>Labour law does not ment Notice period</t>
  </si>
  <si>
    <t>Human Resources - Payroll</t>
  </si>
  <si>
    <t>Address 1</t>
  </si>
  <si>
    <t>                           </t>
  </si>
  <si>
    <t>Address 2</t>
  </si>
  <si>
    <t>Sick Leave - Min - Labour Law</t>
  </si>
  <si>
    <t>Address 3</t>
  </si>
  <si>
    <t>5A</t>
  </si>
  <si>
    <t>Postcode</t>
  </si>
  <si>
    <t>5 digit</t>
  </si>
  <si>
    <t>https://yarnpkg.com/package?name=postcodes-malaysia#getCities</t>
  </si>
  <si>
    <t>City/Town</t>
  </si>
  <si>
    <t>xxxxxxxxxxxxxxxxxxx</t>
  </si>
  <si>
    <t>Select from list -UF S002</t>
  </si>
  <si>
    <t>Phone 1</t>
  </si>
  <si>
    <t>select Phone/Fax/Hand Phone</t>
  </si>
  <si>
    <t>Select Phone Code</t>
  </si>
  <si>
    <t>xxxxxxxxxxxx</t>
  </si>
  <si>
    <t>15B - Phone Code refer UF S058. Only based on Selection. Ie if Phone or Fax only land line</t>
  </si>
  <si>
    <t>Maternity Leave - Labour Law</t>
  </si>
  <si>
    <t>Phone 2</t>
  </si>
  <si>
    <t>2 parts Phone Code &amp; Phone No ie 6019-3399434</t>
  </si>
  <si>
    <t xml:space="preserve">Per Pregnancy </t>
  </si>
  <si>
    <t>Including Sundays, Public Holidays. Consecutive days</t>
  </si>
  <si>
    <t>Phone 3</t>
  </si>
  <si>
    <t xml:space="preserve">Can duplicate 14 &amp; 15. Company can use as Fax and Phone </t>
  </si>
  <si>
    <t>To Assign Authority to User</t>
  </si>
  <si>
    <t>Website</t>
  </si>
  <si>
    <t>Paternity leave - Labour Law</t>
  </si>
  <si>
    <t>Married male employees are entitled to 7 consecutive days of paid paternity leave.</t>
  </si>
  <si>
    <t>7A</t>
  </si>
  <si>
    <t>Refer to U002 item 3. ie if user as set 2 then display Maker/Authoriser</t>
  </si>
  <si>
    <t>Other Information</t>
  </si>
  <si>
    <t>Only those with authority - Authoriser can delete documents</t>
  </si>
  <si>
    <t>Maker can edit data within the time frame set only. There after on higher levels can edit documents</t>
  </si>
  <si>
    <t>Other Leave Type - Min - Labour Law</t>
  </si>
  <si>
    <t>Max Days - can be different for each modules at it will take only 1 day to mark Weather but Payroll process takes more then 7 days</t>
  </si>
  <si>
    <t>Total Public Holidays</t>
  </si>
  <si>
    <t>8A</t>
  </si>
  <si>
    <t>Based On Company - Staff Group</t>
  </si>
  <si>
    <t>Different Authority can have different days too</t>
  </si>
  <si>
    <t>To register all Customer</t>
  </si>
  <si>
    <t>Of which Compulsory</t>
  </si>
  <si>
    <t>Authoriser can edit data any time. Why - Example when doing payroll we fine attendance marked wrongly we need to correct no matter when to get the payroll out.</t>
  </si>
  <si>
    <t>Time OFF</t>
  </si>
  <si>
    <t>Every time the matters comes to Authoriser - generally Owner or Manager this gives him and opportunity to correct this from recurring or improve process or evaluate the staff.</t>
  </si>
  <si>
    <t>Max Time Off</t>
  </si>
  <si>
    <t>9A</t>
  </si>
  <si>
    <t>Approver - Disable Days to Update documents</t>
  </si>
  <si>
    <t>Per Time Off - Max</t>
  </si>
  <si>
    <t>9B</t>
  </si>
  <si>
    <t>Also refer to Sheet Business rules</t>
  </si>
  <si>
    <t>Overtime Rates (OT)</t>
  </si>
  <si>
    <t>Labour Law</t>
  </si>
  <si>
    <t>Company Request</t>
  </si>
  <si>
    <t>Worker Request</t>
  </si>
  <si>
    <t>Normal OT Rate</t>
  </si>
  <si>
    <t>10A</t>
  </si>
  <si>
    <t>Basicall after working Hours</t>
  </si>
  <si>
    <t>Public Holiday OT</t>
  </si>
  <si>
    <t>10B</t>
  </si>
  <si>
    <t>On Public Holidays and Sunday for thoseStae - Sunday off or Friday for those - State - Friday Off</t>
  </si>
  <si>
    <t>Public Holiday OT &gt; 8 Hours</t>
  </si>
  <si>
    <t>10C</t>
  </si>
  <si>
    <t>OT Rate after 8 hours work on Public Holidays</t>
  </si>
  <si>
    <t>Set Default</t>
  </si>
  <si>
    <t>labour Law,Company Request Or Worker Request</t>
  </si>
  <si>
    <t>10D</t>
  </si>
  <si>
    <t>Each Company will have their own Option. If they want To Follow strictly the law then follow Labour Law</t>
  </si>
  <si>
    <t xml:space="preserve">Some company when no urgent and important work they do not give OT </t>
  </si>
  <si>
    <t>To Set the Company Policy and Customise Menus</t>
  </si>
  <si>
    <t>3 - If User Selects 1 - then Display Only Approver. Selection not required.</t>
  </si>
  <si>
    <t xml:space="preserve">3 - If User Selects 2 - then Display Only Maker/Approver. </t>
  </si>
  <si>
    <t xml:space="preserve">3 - If User Selects 3 - then Display Only Maker/Checker/Approver. </t>
  </si>
  <si>
    <t xml:space="preserve">3 - If User Selects 4 - then Display Only Maker/Checker/Verifier/Approver. </t>
  </si>
  <si>
    <t xml:space="preserve">4D - If Staff applies less the notice period consider as Annual Leave - Emergency </t>
  </si>
  <si>
    <t>Annual Leave Emergency is NOT Complying to company rules</t>
  </si>
  <si>
    <t>For all intent and our purpose consider Annual Leave &amp; Annual Leave - Emergency as same</t>
  </si>
  <si>
    <t>ON to keep trek how many time the user is applying late.</t>
  </si>
  <si>
    <t xml:space="preserve">10A-1  This is the rate set by law </t>
  </si>
  <si>
    <t>10A-2  This is the rate we pay when Company  ask them to worked due to urgent &amp; important work.</t>
  </si>
  <si>
    <t>10A-3  This is the rate we pay when worker ask for Extra Hour works to get extra money. This is not urgent &amp; important work but Company agrees so that he can get some extra money</t>
  </si>
  <si>
    <t>In User Attendance we will Select Which rate to use</t>
  </si>
  <si>
    <t>Each time attendance is marked the default will be selected and user to change if necessary</t>
  </si>
  <si>
    <t xml:space="preserve">Select from List </t>
  </si>
  <si>
    <t>Enter Value</t>
  </si>
  <si>
    <t>Contact Name</t>
  </si>
  <si>
    <t>i.e. Malayan Banking Bhd</t>
  </si>
  <si>
    <t>Purchase Classification</t>
  </si>
  <si>
    <t>Classification</t>
  </si>
  <si>
    <t xml:space="preserve">Enter Name </t>
  </si>
  <si>
    <t>5B</t>
  </si>
  <si>
    <t>Responsible For</t>
  </si>
  <si>
    <t>Enter Position or In Charge of etc</t>
  </si>
  <si>
    <t>Enter i.e. Sales, Order, Accounts, Technical Assisi stance etc</t>
  </si>
  <si>
    <t>Subject</t>
  </si>
  <si>
    <t>5C</t>
  </si>
  <si>
    <t>Hand Phone 1</t>
  </si>
  <si>
    <t>Select Land Line or Handphone</t>
  </si>
  <si>
    <t>Enter Phone No</t>
  </si>
  <si>
    <t>SST Applicable</t>
  </si>
  <si>
    <t>Hand Phone 2</t>
  </si>
  <si>
    <t>GST Applicable</t>
  </si>
  <si>
    <t>Debtor</t>
  </si>
  <si>
    <t>Tick Box</t>
  </si>
  <si>
    <t>8B</t>
  </si>
  <si>
    <t>Any Other relevant Information</t>
  </si>
  <si>
    <t>Creditor</t>
  </si>
  <si>
    <t>7B</t>
  </si>
  <si>
    <t>8C</t>
  </si>
  <si>
    <t>8D</t>
  </si>
  <si>
    <t>9C</t>
  </si>
  <si>
    <t>11A</t>
  </si>
  <si>
    <t>11B</t>
  </si>
  <si>
    <t>11C</t>
  </si>
  <si>
    <t>Reason</t>
  </si>
  <si>
    <t xml:space="preserve">Illustration </t>
  </si>
  <si>
    <t>Secondary Cost Centre (SCC)</t>
  </si>
  <si>
    <t>Primary Activity (PA)</t>
  </si>
  <si>
    <t>Secondary Activity (SA)</t>
  </si>
  <si>
    <t xml:space="preserve">Project </t>
  </si>
  <si>
    <t>Sub Cost Centre</t>
  </si>
  <si>
    <t>User form Description</t>
  </si>
  <si>
    <t>Single Bungalow</t>
  </si>
  <si>
    <t xml:space="preserve">No </t>
  </si>
  <si>
    <t>CA-001</t>
  </si>
  <si>
    <t>CA-002</t>
  </si>
  <si>
    <t>CA-003</t>
  </si>
  <si>
    <t>CA-004</t>
  </si>
  <si>
    <t xml:space="preserve">Cost Centre </t>
  </si>
  <si>
    <t xml:space="preserve">To Manage Project </t>
  </si>
  <si>
    <t>Single Block School</t>
  </si>
  <si>
    <t>Comments/Notes</t>
  </si>
  <si>
    <t>Listbox 1 -When user select Primary Activity display all Matching Secondary Activity in Listbox2</t>
  </si>
  <si>
    <t>To Sub Divide Project to Small Units and Monitor the Cost</t>
  </si>
  <si>
    <t>Small Housing Scheme - Landed Property -  with 4 Blocks</t>
  </si>
  <si>
    <t>Listbox1 - Display Existing PCC . Allow User to Select in EDIT mode to Edit Data if necessary</t>
  </si>
  <si>
    <t>User Name - Log In</t>
  </si>
  <si>
    <t>Listbox 1 Display All Primary Cost Existing. InEdit mode allow selection</t>
  </si>
  <si>
    <t>To Creat Work Header - referred to a Primary Activity</t>
  </si>
  <si>
    <t>Condominium  Housing Scheme - Multi Storey -  with 4 Blocks</t>
  </si>
  <si>
    <t>Data Entry Date</t>
  </si>
  <si>
    <t>To Sub Divide Activity to Small Units and Monitor the Cost</t>
  </si>
  <si>
    <t>User Can also consider each of the Projectr Infrastructure as a SCC</t>
  </si>
  <si>
    <t>Primary Cost Centre Name</t>
  </si>
  <si>
    <t>Textbox - Enter Data</t>
  </si>
  <si>
    <t xml:space="preserve"> i.e. Taman Hajjah Yon</t>
  </si>
  <si>
    <t>Display when selected from Listbox1</t>
  </si>
  <si>
    <t xml:space="preserve">Listbox1 - Display Existing PCC. On Selection Display in 3. Only Display PCC where CA-001 item 8 = Yes </t>
  </si>
  <si>
    <t>Select PCC from Listbox1. Proceed Only if CA-001 item 8 = Yes. Else prompt to exit or select another PCC</t>
  </si>
  <si>
    <t xml:space="preserve">Primary  Activity </t>
  </si>
  <si>
    <t>Auto Display.</t>
  </si>
  <si>
    <t xml:space="preserve">Auto Display. On Selection of Listbox1. </t>
  </si>
  <si>
    <t>i.e. Road</t>
  </si>
  <si>
    <t>To find out how much did it cost to build all the roads in the project</t>
  </si>
  <si>
    <t>i.e. THY</t>
  </si>
  <si>
    <t>Textbox  i.e. THY_B1 - Required</t>
  </si>
  <si>
    <t>Only if in CA-001 Secondary Cost Centre is Applicable then allow user to proceed</t>
  </si>
  <si>
    <t>PA Despcription</t>
  </si>
  <si>
    <t>Enter Text</t>
  </si>
  <si>
    <t>PA Description</t>
  </si>
  <si>
    <t>Auto Display. This is for User information</t>
  </si>
  <si>
    <t xml:space="preserve">We will Have Only 2 Levels of Cost Centre To Cater for our Target Market. </t>
  </si>
  <si>
    <t>i.e. Drainage System</t>
  </si>
  <si>
    <t>Scope of Works</t>
  </si>
  <si>
    <t xml:space="preserve">Brief Description of What will be constructed </t>
  </si>
  <si>
    <t>Brief description of SCC - Optional</t>
  </si>
  <si>
    <t>Brief Description of What will be constructed in this SCC</t>
  </si>
  <si>
    <t>Brief Description</t>
  </si>
  <si>
    <t>Listbox 2 -When user select PA display all Existing Matching Secondary Activity. Allow Selection in Edit in Mode</t>
  </si>
  <si>
    <t xml:space="preserve">We will Have Only 2 Levels of Activity  To Cater for our Target Market. </t>
  </si>
  <si>
    <t>i.e. Sewer Reticulation</t>
  </si>
  <si>
    <t>Location Information</t>
  </si>
  <si>
    <t>Commencement date</t>
  </si>
  <si>
    <t>Enter Commencement date - Optional</t>
  </si>
  <si>
    <t>By Default use PCC Start Date</t>
  </si>
  <si>
    <t>What is The Difference Between Cost Centre &amp; Activity</t>
  </si>
  <si>
    <t>i.e. Water Reticulation</t>
  </si>
  <si>
    <t>Location of Project. To deliver the WPS. Note Normally when new Project there will be no address.. Open land so we try to description informative as possible</t>
  </si>
  <si>
    <t>Completion Date</t>
  </si>
  <si>
    <t>Enter Completion date - Optional</t>
  </si>
  <si>
    <t>By Default use PCC End Date</t>
  </si>
  <si>
    <t>Despcription</t>
  </si>
  <si>
    <r>
      <t xml:space="preserve">Cost Centre will give us </t>
    </r>
    <r>
      <rPr>
        <b/>
        <sz val="11"/>
        <color theme="1"/>
        <rFont val="Times New Roman"/>
        <family val="1"/>
      </rPr>
      <t>Where</t>
    </r>
    <r>
      <rPr>
        <sz val="11"/>
        <color theme="1"/>
        <rFont val="Times New Roman"/>
        <family val="1"/>
      </rPr>
      <t xml:space="preserve"> the Expenses incurred or Spend</t>
    </r>
  </si>
  <si>
    <t>Town/City</t>
  </si>
  <si>
    <t>This will be important to determine price as most material is delivered in bulk thus Supplier will use this to Calculate transportation Cost</t>
  </si>
  <si>
    <t>Secondary Cost Centre Details</t>
  </si>
  <si>
    <t>Listbox2 - Display Existing SCC Matching PCC . Allow User to Select in EDIT mode to Edit Data if necessary</t>
  </si>
  <si>
    <r>
      <t xml:space="preserve">Activity will give us for </t>
    </r>
    <r>
      <rPr>
        <b/>
        <sz val="11"/>
        <color theme="1"/>
        <rFont val="Times New Roman"/>
        <family val="1"/>
      </rPr>
      <t>What</t>
    </r>
    <r>
      <rPr>
        <sz val="11"/>
        <color theme="1"/>
        <rFont val="Times New Roman"/>
        <family val="1"/>
      </rPr>
      <t xml:space="preserve"> the Expenses incurred or Spend</t>
    </r>
  </si>
  <si>
    <t>Tselect from List</t>
  </si>
  <si>
    <t>Activity Required</t>
  </si>
  <si>
    <t>i.e. in Workers Attendance system will ask to fill the activity. In very small project this may not be necessary</t>
  </si>
  <si>
    <t>Other Details</t>
  </si>
  <si>
    <t>GPS Location</t>
  </si>
  <si>
    <t>To Enable Delivery person to locate Site. To be printed in each PO</t>
  </si>
  <si>
    <t>Active or Completed or Closed</t>
  </si>
  <si>
    <t xml:space="preserve">Only A=Highest Authority can change status after creating </t>
  </si>
  <si>
    <t xml:space="preserve">Reporting UOM </t>
  </si>
  <si>
    <t xml:space="preserve">select form list </t>
  </si>
  <si>
    <t>If User wants to go to Next level of Monitoring</t>
  </si>
  <si>
    <t>When This Project is Starting</t>
  </si>
  <si>
    <t xml:space="preserve">Status Date </t>
  </si>
  <si>
    <t>Enter date. Initially = Commencement date</t>
  </si>
  <si>
    <t>On creating SCC set = Active</t>
  </si>
  <si>
    <t xml:space="preserve">Secondary Activity (SA) Applicable </t>
  </si>
  <si>
    <t>Yes or No</t>
  </si>
  <si>
    <t>This will Be The PA - Reporting UOM</t>
  </si>
  <si>
    <t xml:space="preserve">Textbox </t>
  </si>
  <si>
    <t>Expected Date of Completion</t>
  </si>
  <si>
    <t>Any Information relevant to SCC</t>
  </si>
  <si>
    <t>Report UOM</t>
  </si>
  <si>
    <t>Project Profit %</t>
  </si>
  <si>
    <t>Textbox</t>
  </si>
  <si>
    <t>What Profit margin does the company wants to make from this Project</t>
  </si>
  <si>
    <t xml:space="preserve">In lay man terms this is the 3rd level of Cost Analysis and Monitoring </t>
  </si>
  <si>
    <t>select form list. By default use that was set in PA</t>
  </si>
  <si>
    <t>Reporting UOM</t>
  </si>
  <si>
    <t>Secondary Cost Centre Required</t>
  </si>
  <si>
    <t xml:space="preserve">Yes/No. </t>
  </si>
  <si>
    <t>For Bigger Project we will divide the Project (PCC) to Smaller parts and refer this as SCC. To further Control and measure work progress</t>
  </si>
  <si>
    <t>Similar TO PCC but to further control cost another level.</t>
  </si>
  <si>
    <t>For bigger project where higher level of monitoring is required. All PA Expense are allocated to Secondary Activity and Total in Primary Activity.</t>
  </si>
  <si>
    <t>This is Optional. If User wants to keep trek of Where and for What purpose the WPS is being used.</t>
  </si>
  <si>
    <t>Listbox1 -Only Display PCC that in CA-001 item 8 = "Yes". Rest we do not have to enter SCC</t>
  </si>
  <si>
    <t>Al1 Primary Activity Cost will be added to Secondary Cost</t>
  </si>
  <si>
    <t xml:space="preserve">In lay man terms this is the 4th level of Cost Analysis and Monitoring </t>
  </si>
  <si>
    <t>Primary Cost Centre - Staff Details</t>
  </si>
  <si>
    <t xml:space="preserve">The person &amp; HP No  to contact regarding delivery of material will be printed in PO. </t>
  </si>
  <si>
    <t>Listbox1 - On Selection display 3</t>
  </si>
  <si>
    <t>Example in SCC_B1 if user wants to Monitor the Quantity of Bricks Used  then he will use this Primary Cost to track the Brickworks purchased and Allotted.</t>
  </si>
  <si>
    <t xml:space="preserve">Name </t>
  </si>
  <si>
    <t>Phone No</t>
  </si>
  <si>
    <t>Who can Issue Request for WPS (MR) , Mark Weather, Attendance etc</t>
  </si>
  <si>
    <t>listbox2 - In Edit Mode - On Selection Display 4</t>
  </si>
  <si>
    <t>How</t>
  </si>
  <si>
    <t>Staff can be in Multiple PCC especially in small projects</t>
  </si>
  <si>
    <t>All SCC Cost will be added to PCC Cost</t>
  </si>
  <si>
    <t>When Primary Cost is Set to Active each time material is received user has to NOT only Select PCC, SCC but also Primary Activity.</t>
  </si>
  <si>
    <t xml:space="preserve">select Staff Name </t>
  </si>
  <si>
    <t>PA is NOT Material or Service it is Work. To complete a work like Brickworks we need other resources too.</t>
  </si>
  <si>
    <t>Brickworks PA  we need other material like Sand and Cement</t>
  </si>
  <si>
    <t>Project Status</t>
  </si>
  <si>
    <t>Only in Active status - Data Entry Allowed i.e. MR, Attendance, Weather etc Initially set = Active</t>
  </si>
  <si>
    <t>Brickworks PA  we need Equipments i.e. Concrete Mixer</t>
  </si>
  <si>
    <t>Status Date</t>
  </si>
  <si>
    <t>Initially Commencement Date thereafter on changing status &lt;&gt; "Active" Use to renter date.</t>
  </si>
  <si>
    <t>Only Highest authority allow to change 11A &amp; 11B</t>
  </si>
  <si>
    <t>Brickworks PA  we need Labour, Overhead etc.</t>
  </si>
  <si>
    <t>Any Comments information relevent for this PCC</t>
  </si>
  <si>
    <t>Generally PA Cost will be link to PCC &amp; SCC</t>
  </si>
  <si>
    <t>Basically How much it will Cost to Complete a Unit of PA</t>
  </si>
  <si>
    <t>To Allocate Expenses to a Project.</t>
  </si>
  <si>
    <t>8 - Most PA will require Secondary Activity. I.e. In Brickworks we will have SA like</t>
  </si>
  <si>
    <t>11A - PCC Status can be change Only by Highest Authority After initial stage.</t>
  </si>
  <si>
    <t>Cement Sand  Brick 230mm thickness</t>
  </si>
  <si>
    <t>11A - When status Change Clear Status Date and User to enter NEW Date.</t>
  </si>
  <si>
    <t>What this means is Construct 230mm thick brick wall using Cement sand bricks.</t>
  </si>
  <si>
    <t>11A - If User Selects Completed or Closed then AUTO insert this in Every SCC for this PCC</t>
  </si>
  <si>
    <t>Currently Cement Sand Bricks is RM 0.22 we require 116 no's</t>
  </si>
  <si>
    <t>11A - Completed means project has been completed successfully. Nothing else to be done.</t>
  </si>
  <si>
    <t>Clay Brick 115mm thickness</t>
  </si>
  <si>
    <t>11A - Closed - Project prematurely closed for say i.e. Payment Issue, Owner Request or terminating etc</t>
  </si>
  <si>
    <t>What this means is Construct 115mm thick brick wall using Clay bricks.</t>
  </si>
  <si>
    <t>Currently Clay Bricks is RM 0.48 we require 58 no's</t>
  </si>
  <si>
    <t>10A-10C When user selects Staff Name - Auto fill details if available from Staff Profile in 13B,13C,13D,</t>
  </si>
  <si>
    <t>10A-10C Note the site staff keep on changing as they may be reassign to different cost centre, or resign etc</t>
  </si>
  <si>
    <t>7 - In our example of Brickworks the UOM will be in M2</t>
  </si>
  <si>
    <t>Why repeat Data?</t>
  </si>
  <si>
    <t>Staff profile details - Site staff cannot view P&amp;C. But since multiple Staff can receive material/Request WPS mark Attendance it will be easier to access the data for verification</t>
  </si>
  <si>
    <t>In Phase 4 we will develop the User forms to Estimate the Secondary Activity</t>
  </si>
  <si>
    <t xml:space="preserve">All Site Staff are Maker </t>
  </si>
  <si>
    <t>7 - Information will be used in Project Cost Management</t>
  </si>
  <si>
    <t>10A-10C Allow user to select from  Staff Group = Site Staff. (UF HR 001 Field 39)</t>
  </si>
  <si>
    <t>Work In Progress</t>
  </si>
  <si>
    <t>Form Description</t>
  </si>
  <si>
    <t>Form_No</t>
  </si>
  <si>
    <t>Field No</t>
  </si>
  <si>
    <t>Column1</t>
  </si>
  <si>
    <t>User</t>
  </si>
  <si>
    <t>1A</t>
  </si>
  <si>
    <t>Date</t>
  </si>
  <si>
    <t>1B</t>
  </si>
  <si>
    <t>2B</t>
  </si>
  <si>
    <t>2A</t>
  </si>
  <si>
    <t>Based On 2A &amp; 2B Display Existing Material List. Only Item Created V M003. Those Item already Approved by Highest Authority. Listbox1</t>
  </si>
  <si>
    <t xml:space="preserve">Group </t>
  </si>
  <si>
    <t>Filter Based on 2A and allow user to select</t>
  </si>
  <si>
    <t>Enter</t>
  </si>
  <si>
    <t>WPS Description</t>
  </si>
  <si>
    <t>Good &amp; Service</t>
  </si>
  <si>
    <t>2C</t>
  </si>
  <si>
    <t>Display Item selected via Listbox1</t>
  </si>
  <si>
    <t>Brief description of this Classification</t>
  </si>
  <si>
    <t>Brief description of this group</t>
  </si>
  <si>
    <t>Delivery Period - Days</t>
  </si>
  <si>
    <t>Purchase UOM</t>
  </si>
  <si>
    <t>Wastage Factor - %</t>
  </si>
  <si>
    <t>Percentage if Non = "NA"</t>
  </si>
  <si>
    <t>Specification</t>
  </si>
  <si>
    <t>User to Enter Value</t>
  </si>
  <si>
    <t>Base Material</t>
  </si>
  <si>
    <t>UOM</t>
  </si>
  <si>
    <t>Purchasing UOM1</t>
  </si>
  <si>
    <t>BS Code</t>
  </si>
  <si>
    <t>Advertisement</t>
  </si>
  <si>
    <t>Road Signage</t>
  </si>
  <si>
    <t>No's</t>
  </si>
  <si>
    <t>Purchasing UOM2</t>
  </si>
  <si>
    <t>MS Code</t>
  </si>
  <si>
    <t>Length - MM</t>
  </si>
  <si>
    <t>Construction Building Materials</t>
  </si>
  <si>
    <t>Width - MM</t>
  </si>
  <si>
    <t xml:space="preserve">Construction Equipment  </t>
  </si>
  <si>
    <t>7C</t>
  </si>
  <si>
    <t>Weight - Kg</t>
  </si>
  <si>
    <t>Construction Equipment Maintenance</t>
  </si>
  <si>
    <t>Any Other Relevent Information</t>
  </si>
  <si>
    <t xml:space="preserve">Density </t>
  </si>
  <si>
    <t>Construction Equipment Rental</t>
  </si>
  <si>
    <t>BRC</t>
  </si>
  <si>
    <t xml:space="preserve">Packaging </t>
  </si>
  <si>
    <t>Construction General</t>
  </si>
  <si>
    <t>Diameter -mm</t>
  </si>
  <si>
    <t>Construction Services</t>
  </si>
  <si>
    <t>Size</t>
  </si>
  <si>
    <t>Construction Works</t>
  </si>
  <si>
    <t>Grade</t>
  </si>
  <si>
    <t>Direct Overhead</t>
  </si>
  <si>
    <t>Cement</t>
  </si>
  <si>
    <t>Kg</t>
  </si>
  <si>
    <t>Quality</t>
  </si>
  <si>
    <t>Energy</t>
  </si>
  <si>
    <t>Chair</t>
  </si>
  <si>
    <t>Colours</t>
  </si>
  <si>
    <t>Brands</t>
  </si>
  <si>
    <t>General Office Maintenance</t>
  </si>
  <si>
    <t>Min Order</t>
  </si>
  <si>
    <t>Landscaping</t>
  </si>
  <si>
    <t>Max - Per Lorry Load</t>
  </si>
  <si>
    <t xml:space="preserve">Office Supplies </t>
  </si>
  <si>
    <t>Life Span</t>
  </si>
  <si>
    <t>Storage</t>
  </si>
  <si>
    <t>Coverage</t>
  </si>
  <si>
    <t>Usage</t>
  </si>
  <si>
    <t>Drainage System</t>
  </si>
  <si>
    <t>Estimated Delivery Period</t>
  </si>
  <si>
    <t>Purchasing Information</t>
  </si>
  <si>
    <t>WPS Classification</t>
  </si>
  <si>
    <t>Construction Building Material</t>
  </si>
  <si>
    <t>Supplier</t>
  </si>
  <si>
    <t xml:space="preserve">WPS Group </t>
  </si>
  <si>
    <t>Steel Bar</t>
  </si>
  <si>
    <t>R6</t>
  </si>
  <si>
    <t>Field For Future Field1</t>
  </si>
  <si>
    <t>Field For Future Field2</t>
  </si>
  <si>
    <t>Field For Future Field3</t>
  </si>
  <si>
    <t>Paint</t>
  </si>
  <si>
    <t>Wastage Factor</t>
  </si>
  <si>
    <t>Field For Future Field4</t>
  </si>
  <si>
    <t>Field For Future Field5</t>
  </si>
  <si>
    <t>Bundle</t>
  </si>
  <si>
    <t>1 Bundle = 1022.97 Kg</t>
  </si>
  <si>
    <t xml:space="preserve">Website </t>
  </si>
  <si>
    <t>Plywood</t>
  </si>
  <si>
    <t>Length</t>
  </si>
  <si>
    <t>Image</t>
  </si>
  <si>
    <t>Allow Upload of PDF copy &amp; Images</t>
  </si>
  <si>
    <t>Quarry Products</t>
  </si>
  <si>
    <t>Reinforcement</t>
  </si>
  <si>
    <t>Y12</t>
  </si>
  <si>
    <t>Laboratory Testing</t>
  </si>
  <si>
    <t>Road Works</t>
  </si>
  <si>
    <t>Fuel</t>
  </si>
  <si>
    <t>Hard Landscape</t>
  </si>
  <si>
    <t>Portland Cement</t>
  </si>
  <si>
    <t>NA</t>
  </si>
  <si>
    <t>Tonnage</t>
  </si>
  <si>
    <t>Purchasing Documentation</t>
  </si>
  <si>
    <t>WPS Request</t>
  </si>
  <si>
    <t>This is Material Request. I am using this term instead of Material Request because request Material &amp; Services too</t>
  </si>
  <si>
    <t>WPS Request - Approval</t>
  </si>
  <si>
    <t>This is Material Request. But generally we will request Material &amp; Services too</t>
  </si>
  <si>
    <t xml:space="preserve">RFQ - Supplier Selection Process </t>
  </si>
  <si>
    <t xml:space="preserve">RFQ - Compile Document  </t>
  </si>
  <si>
    <t>Request For Quotation - Supplier Price Updating</t>
  </si>
  <si>
    <t xml:space="preserve">Request For Quotation - Supplier Approval </t>
  </si>
  <si>
    <t>Purchase Order -Print</t>
  </si>
  <si>
    <t>Invoice  Register</t>
  </si>
  <si>
    <t>Purchase Voucher - Printing</t>
  </si>
  <si>
    <t>Group_List_Site_Management</t>
  </si>
  <si>
    <t>PD-001</t>
  </si>
  <si>
    <t>PD-002</t>
  </si>
  <si>
    <t>PD-003A</t>
  </si>
  <si>
    <t xml:space="preserve">RFQ - Generate Document  </t>
  </si>
  <si>
    <t>PD-003B</t>
  </si>
  <si>
    <t>PD-003C</t>
  </si>
  <si>
    <t xml:space="preserve">Purchase Order Processing </t>
  </si>
  <si>
    <t>Fotm_No</t>
  </si>
  <si>
    <t>PD-004</t>
  </si>
  <si>
    <t>PD-005</t>
  </si>
  <si>
    <t>DO_No</t>
  </si>
  <si>
    <t>DO_Date</t>
  </si>
  <si>
    <t>PCC</t>
  </si>
  <si>
    <t>SCC</t>
  </si>
  <si>
    <t xml:space="preserve">DO Items </t>
  </si>
  <si>
    <t>Invoice No</t>
  </si>
  <si>
    <t>Select x Multiple</t>
  </si>
  <si>
    <t>PD-007A</t>
  </si>
  <si>
    <t>PD-007B</t>
  </si>
  <si>
    <t>Purchasing Documents</t>
  </si>
  <si>
    <t>WPS Request - MR</t>
  </si>
  <si>
    <t>Listbox2 -Display Supplier List. Selected in Listbox2</t>
  </si>
  <si>
    <t>Listbox2 -All PO Matching Purchase Classification, PCC/SCC and Supplier. At This stage User will have a copy of Supplier DO in Hand with the PO No stated</t>
  </si>
  <si>
    <t>2/5/20224</t>
  </si>
  <si>
    <t xml:space="preserve">Kesang </t>
  </si>
  <si>
    <t>A</t>
  </si>
  <si>
    <t>On Selection Display Invoice Form</t>
  </si>
  <si>
    <t>WPS - Approval</t>
  </si>
  <si>
    <t>Site Management - Attandance</t>
  </si>
  <si>
    <t>Listbox1 - on Selection of 3 - Display All PCC/SCC (2 Column  with Data. Completed UF PD 003B at the Date the User is doing this process &amp; Matching 3. This information will be displayed only if User has Selected 3</t>
  </si>
  <si>
    <t>4/5/20224</t>
  </si>
  <si>
    <t>Merlimau</t>
  </si>
  <si>
    <t>AA</t>
  </si>
  <si>
    <t>C</t>
  </si>
  <si>
    <t>LOGO</t>
  </si>
  <si>
    <t>RIA KISTANA SDN BHD</t>
  </si>
  <si>
    <t>RFQ - Supplier Selection</t>
  </si>
  <si>
    <t>Supplier Selection Process</t>
  </si>
  <si>
    <t>Data Entry Date &amp; Also MR Date</t>
  </si>
  <si>
    <t>4/5/20225</t>
  </si>
  <si>
    <t>Bemban</t>
  </si>
  <si>
    <t>BA</t>
  </si>
  <si>
    <t>D</t>
  </si>
  <si>
    <t>(671466-U)</t>
  </si>
  <si>
    <t>Compiling RFQ</t>
  </si>
  <si>
    <t>MR No</t>
  </si>
  <si>
    <t>Auto Issue a No</t>
  </si>
  <si>
    <t>Display MR No</t>
  </si>
  <si>
    <t xml:space="preserve">Select </t>
  </si>
  <si>
    <t>Select from list</t>
  </si>
  <si>
    <t>1st step.</t>
  </si>
  <si>
    <t>Upon Selection and if applicable display PCC/SCC for this Purchase Classification. Else Skip to Next Step</t>
  </si>
  <si>
    <t>5/5/20225</t>
  </si>
  <si>
    <t>Jaga</t>
  </si>
  <si>
    <t>CA</t>
  </si>
  <si>
    <t>F</t>
  </si>
  <si>
    <t>JC 2439, Jalan BH 1, Taman Bemban Heights, 77200 Bemban, Melaka.</t>
  </si>
  <si>
    <t>Updating Supplier Price</t>
  </si>
  <si>
    <t>Site Management - General</t>
  </si>
  <si>
    <t>List Created Via UF M001 - Sheet WPS</t>
  </si>
  <si>
    <t>WPS Group</t>
  </si>
  <si>
    <t>Display in 2 Column PCC &amp; SCC for user to Select</t>
  </si>
  <si>
    <t>Display 4 Only if Cost Centre is Applicable for 3</t>
  </si>
  <si>
    <t>Listbox2 -Display On Selection</t>
  </si>
  <si>
    <t>On Selection find and display latest 3 trx for this material for this cost centre. If Any. Find and display RFQ Matching PCC &amp; Material in 3</t>
  </si>
  <si>
    <t xml:space="preserve">PCC/SCC </t>
  </si>
  <si>
    <t>Listbox1 - 2 Column - PCC/SCC.Select from list. As Approved in PD-003C</t>
  </si>
  <si>
    <t>On Selection of PCC/SCC display all Supplier approved in Listbox2. Condition - Match Purchase Classification &amp; Match PCC/SCC if relevant.</t>
  </si>
  <si>
    <t>Listbox1 - 2 Column - PCC/SCC Select from list. As Approved in PD-003C</t>
  </si>
  <si>
    <t>On Selection of PCC/SCC User to Select Purchasers</t>
  </si>
  <si>
    <t>7/5/20226</t>
  </si>
  <si>
    <t>DA</t>
  </si>
  <si>
    <t>Select Supplier Name</t>
  </si>
  <si>
    <t>Listbox1 -All Invoice NOT Printed yet Matching PCC/SCC &amp; Supplier</t>
  </si>
  <si>
    <t>Tel : 016-332 1580 / 06-534 1201 ~ Email : riakistana@outlook.com</t>
  </si>
  <si>
    <t>Supplier Price Analysis &amp; Selection</t>
  </si>
  <si>
    <t>PD-003D</t>
  </si>
  <si>
    <t>To Compare Price received and Select a Supplier</t>
  </si>
  <si>
    <t>Work Product &amp; Service Group</t>
  </si>
  <si>
    <t>Select from List - Filter list based on 4</t>
  </si>
  <si>
    <t>Only Matching 4. To Narrow down the Material Selection UF M002</t>
  </si>
  <si>
    <t>Listbox2 - on Selection of Listbox1 - Display All Material Complicated UF PD 003B and Matching PCC/SCC Selected</t>
  </si>
  <si>
    <t>If only One auto display else user to select RFQ No</t>
  </si>
  <si>
    <t>12/5/20226</t>
  </si>
  <si>
    <t>EA</t>
  </si>
  <si>
    <t>Select - Display Only Active PCC</t>
  </si>
  <si>
    <t>M/S:</t>
  </si>
  <si>
    <t>How Ban Hong Enterprise</t>
  </si>
  <si>
    <t>PURCHASE VOUCHER</t>
  </si>
  <si>
    <t>PD-004A</t>
  </si>
  <si>
    <t>After Approved Which Supplier To Purchase - This Document is used To Place the Order</t>
  </si>
  <si>
    <t>Work Product &amp; Service</t>
  </si>
  <si>
    <t>Select from List - Filter list based on 5</t>
  </si>
  <si>
    <t>Only Matching 5. To Narrow down the Material Selection UF M003</t>
  </si>
  <si>
    <t>Listbox1 - Display All the Supplier who can supply this WPS Group. As we have already Mapped the WPS Group to Supplier Via V-003 Organisation Worksheet</t>
  </si>
  <si>
    <t>Quantity</t>
  </si>
  <si>
    <t>On selection of RFQ then display all supplier who have quoted for this Material &amp; this RFQ</t>
  </si>
  <si>
    <t>Display as Selected in Listbox2</t>
  </si>
  <si>
    <t>On Selection of Listbox2 Display aslo the 7A To 7 F</t>
  </si>
  <si>
    <t xml:space="preserve">Select Supplier as per DO </t>
  </si>
  <si>
    <t>User will have a copy of DO with him</t>
  </si>
  <si>
    <t>12/5/20227</t>
  </si>
  <si>
    <t>FA</t>
  </si>
  <si>
    <t xml:space="preserve">Secondary Cost Centre </t>
  </si>
  <si>
    <t>If Applicable Only - Display Only Active SCC</t>
  </si>
  <si>
    <t>Address</t>
  </si>
  <si>
    <t>JA 1786 (B) Pusat Bandar Jasin</t>
  </si>
  <si>
    <t>Purchase Order - Document</t>
  </si>
  <si>
    <t>PD-004B</t>
  </si>
  <si>
    <t>Report - Purchase Order Ready to be send to Seller</t>
  </si>
  <si>
    <t>Auto display UOM set at Material Master UF M003. Allow User To Select Another UOM if necessary</t>
  </si>
  <si>
    <t>Display in 5 Supllier who have quoted their price for this RFQ</t>
  </si>
  <si>
    <t>PO No</t>
  </si>
  <si>
    <t>On Selecting Listbox2 - Display all 7 &amp; 8</t>
  </si>
  <si>
    <t>14/5/20227</t>
  </si>
  <si>
    <t>GA</t>
  </si>
  <si>
    <t>Invoice Number</t>
  </si>
  <si>
    <t>On Selection of Listbox1 Display</t>
  </si>
  <si>
    <t>77000 Jasin</t>
  </si>
  <si>
    <t>P.V. No.</t>
  </si>
  <si>
    <t>Document form Supplier. When he delivers the Items Ordered</t>
  </si>
  <si>
    <t>Cost Centre Details</t>
  </si>
  <si>
    <t>Supplier Name</t>
  </si>
  <si>
    <t>Listbox</t>
  </si>
  <si>
    <t>Compile Supplier Selected for RFQ matching Purchase Classification and PCC/SCC</t>
  </si>
  <si>
    <t>Only Display Supplier who have been selected for RFQ matching Purchase Classification &amp; Selected Cost Centre</t>
  </si>
  <si>
    <t>Compile Supplier Selected for RFQ matching Purchase Classification and PCC/SCC (If Applicable)</t>
  </si>
  <si>
    <t>Only Display Supplier who has RFQ matching Purchase Classification &amp; Cost Centre</t>
  </si>
  <si>
    <t>SORT BY</t>
  </si>
  <si>
    <t>Location</t>
  </si>
  <si>
    <t xml:space="preserve">Material </t>
  </si>
  <si>
    <t>Price/UOM</t>
  </si>
  <si>
    <t>Total Amount</t>
  </si>
  <si>
    <t xml:space="preserve">Checkbox </t>
  </si>
  <si>
    <t>PO Date</t>
  </si>
  <si>
    <t>On Selecting Listbox2 - Display all 7 &amp;8, 9-16</t>
  </si>
  <si>
    <t>PV Date</t>
  </si>
  <si>
    <t>Insert Invoice Month Last Day</t>
  </si>
  <si>
    <t>Fax No</t>
  </si>
  <si>
    <t>06-5294 088</t>
  </si>
  <si>
    <t>Invoice Register</t>
  </si>
  <si>
    <t>PD-006</t>
  </si>
  <si>
    <t>Document form Supplier. Invoice from Seller based on Delivery Order</t>
  </si>
  <si>
    <t>Primary Cost Centre (PCC)</t>
  </si>
  <si>
    <t>Only if Cost Centre Required set in M001. Not All WPS require Cost Centre.</t>
  </si>
  <si>
    <t xml:space="preserve">ABC Enterprice Sdn Bhd                      </t>
  </si>
  <si>
    <t>Based on WPS Group</t>
  </si>
  <si>
    <t>WPS</t>
  </si>
  <si>
    <t>Price _RM</t>
  </si>
  <si>
    <t xml:space="preserve"> Listbox2- Display RFQ Reference To Select </t>
  </si>
  <si>
    <t>Display Price History for This Material</t>
  </si>
  <si>
    <t>This will be useful for us to Know is the price is fair etc</t>
  </si>
  <si>
    <t xml:space="preserve">Calculate </t>
  </si>
  <si>
    <t>If possible display All Matching Material</t>
  </si>
  <si>
    <t>Delivery Order Details</t>
  </si>
  <si>
    <t>PV Number</t>
  </si>
  <si>
    <t>Auto Issue PV No</t>
  </si>
  <si>
    <t>06-5296 485</t>
  </si>
  <si>
    <t>User form To Select Purchase Voucher Toi Be printed</t>
  </si>
  <si>
    <t>Secondary CC (SCC)</t>
  </si>
  <si>
    <t>Select from List. Filter and Display Matching PCC</t>
  </si>
  <si>
    <t>Only if SCC is Applicable. Set in PCC - SCC Required</t>
  </si>
  <si>
    <t>Optad Marketing Sdn Bhd</t>
  </si>
  <si>
    <t>50Kg Bag</t>
  </si>
  <si>
    <t>Tickbox</t>
  </si>
  <si>
    <t>Only Display WPS for this RFQ</t>
  </si>
  <si>
    <t>Purchase Date</t>
  </si>
  <si>
    <t>Town_&amp;_State</t>
  </si>
  <si>
    <t>Qty</t>
  </si>
  <si>
    <t>Price_RM</t>
  </si>
  <si>
    <t>Let User Select Multiple Material</t>
  </si>
  <si>
    <t>Lorry No</t>
  </si>
  <si>
    <t>Enter - Allow Auto Completion</t>
  </si>
  <si>
    <t>DO No</t>
  </si>
  <si>
    <t>Enter 9A &amp; 9B. Based on Lorry No from previous deliver form this supplier if any</t>
  </si>
  <si>
    <t>Narration</t>
  </si>
  <si>
    <t>Insert any Comments to Include in PV for Accounts Department information</t>
  </si>
  <si>
    <t>Attention To</t>
  </si>
  <si>
    <t>Print Copy of Purchase Voucher</t>
  </si>
  <si>
    <t>Budgeted Quantity</t>
  </si>
  <si>
    <t>Only if Cost Centre Applicable</t>
  </si>
  <si>
    <t>Steel Bar -Y12</t>
  </si>
  <si>
    <t>Refer Comments on Steel Bar</t>
  </si>
  <si>
    <t>if Bundle Check Notes</t>
  </si>
  <si>
    <t>If less then 5 then display only that items</t>
  </si>
  <si>
    <t>listbox3</t>
  </si>
  <si>
    <t>Selected Item will included into ONE Purchase Order</t>
  </si>
  <si>
    <t>Driver Name</t>
  </si>
  <si>
    <t>DO Date</t>
  </si>
  <si>
    <t>Enter 10A &amp; 10B. Based on Previous Delivery from this Supplier</t>
  </si>
  <si>
    <t>Ordered Quantity</t>
  </si>
  <si>
    <t>Steel Bar -Y10</t>
  </si>
  <si>
    <t>On Each Selection/Deselect of 7F Display Total in 17</t>
  </si>
  <si>
    <t xml:space="preserve">Received By </t>
  </si>
  <si>
    <t>In case the Maker &amp; Receiver is diff</t>
  </si>
  <si>
    <t>Allow Selection of all staff in this PCC if PCC is Relevant Only. Else Display All staff Names to select Receiver</t>
  </si>
  <si>
    <t>Supplier Invoice Details</t>
  </si>
  <si>
    <t>WPS Supplier Listing</t>
  </si>
  <si>
    <t>PR-001</t>
  </si>
  <si>
    <t>Report - WPS Vendor List</t>
  </si>
  <si>
    <t>Purchasing Details</t>
  </si>
  <si>
    <t>Timber 2 x 3</t>
  </si>
  <si>
    <t>7E Multiple 7C X 7D</t>
  </si>
  <si>
    <t>Listbox2 -All DO Matching Supplier &amp; PCC/SCC and =&lt; then Invoice Date. ONLY DO NOT Match Yet. Allow user to Select One by One. Upon Offseting with invoice move the DO to prevent duplication to Listbox3</t>
  </si>
  <si>
    <t>Listbox2 -All DO Matching Supplier &amp; PCC/SCC and =&lt; then Invoice Date. Allow user to Select One by One. Upon Offseting with invoice move the DO to prevent duplication to Listbox3</t>
  </si>
  <si>
    <t>Chenderah Phase 3</t>
  </si>
  <si>
    <t>INV01753</t>
  </si>
  <si>
    <t>WPS Supplier Price History</t>
  </si>
  <si>
    <t>PR-002</t>
  </si>
  <si>
    <t>Report - WPS Vendor Price Comparison</t>
  </si>
  <si>
    <t>Quantity Required</t>
  </si>
  <si>
    <t>User to Enter Quantity Required</t>
  </si>
  <si>
    <t>Timber 2 x 4</t>
  </si>
  <si>
    <t>PO _Qty</t>
  </si>
  <si>
    <t>Last Balance</t>
  </si>
  <si>
    <t>This_DO</t>
  </si>
  <si>
    <t>Balance</t>
  </si>
  <si>
    <t>Chenderah</t>
  </si>
  <si>
    <t>PR-003</t>
  </si>
  <si>
    <t>Report - For User To Know what is the status of a MR</t>
  </si>
  <si>
    <t>Required Date</t>
  </si>
  <si>
    <t>Enter Date using Date picker</t>
  </si>
  <si>
    <t>If required by specific date</t>
  </si>
  <si>
    <t>Select Suppliers to request Quotation. As price depends on Quantity we will state the quantity to be ordered</t>
  </si>
  <si>
    <t xml:space="preserve">Auto Display </t>
  </si>
  <si>
    <t>Item No.</t>
  </si>
  <si>
    <t>Unit Price</t>
  </si>
  <si>
    <t>Amount</t>
  </si>
  <si>
    <t>Textbox - Other  Information relevant if any</t>
  </si>
  <si>
    <t>User To Enter Any Other relevant Information. I.e. Specification, Size, Colour etc</t>
  </si>
  <si>
    <t>This is the 3rd Process</t>
  </si>
  <si>
    <t>To Group WPS by Cost Centre &amp; Supplier before Auto Generating RFQ</t>
  </si>
  <si>
    <t>On Selection of Listbox3.Display 7A,7B,8A &amp; 8B</t>
  </si>
  <si>
    <t>(RM)</t>
  </si>
  <si>
    <t>Approved/RFQ Date/PO Date &amp; No</t>
  </si>
  <si>
    <t xml:space="preserve">Display if Known </t>
  </si>
  <si>
    <t>Upon User Selecting WPS Request this menu will open and Display the data shown above.</t>
  </si>
  <si>
    <t>This is the 4th Process</t>
  </si>
  <si>
    <t>Total_RM</t>
  </si>
  <si>
    <t>9 t0 12</t>
  </si>
  <si>
    <t>Joint Compound [ASG]</t>
  </si>
  <si>
    <t>Drum</t>
  </si>
  <si>
    <t>Supplier Details</t>
  </si>
  <si>
    <t>If PO issued show Supplier Name so that site staff can coordinate delivery and planning</t>
  </si>
  <si>
    <t>User to Select between 3-5 supplier. Only from listbox1</t>
  </si>
  <si>
    <t>To Update The Supplier price to RFQ</t>
  </si>
  <si>
    <t>Auto Display Supplier With Price</t>
  </si>
  <si>
    <t>Display Price</t>
  </si>
  <si>
    <t>6 x 8B</t>
  </si>
  <si>
    <t>User will have a copy of invoice in hand</t>
  </si>
  <si>
    <t>Order Quantity</t>
  </si>
  <si>
    <t>If known i.e. MR approved quantity or Po Qty etc</t>
  </si>
  <si>
    <t>If a particular Supplier is NOT in the list User to Add 1st Via UF V-003</t>
  </si>
  <si>
    <t>On Selection display Material matching this criteria</t>
  </si>
  <si>
    <t>This is the 5th Process</t>
  </si>
  <si>
    <t>Purchase Order - Total Amount</t>
  </si>
  <si>
    <t>Invoice Details</t>
  </si>
  <si>
    <t>Expected Deliver Date</t>
  </si>
  <si>
    <t>Listbox1 - Display Only Active Supplier</t>
  </si>
  <si>
    <t xml:space="preserve">User will select which items to be group for RFQ </t>
  </si>
  <si>
    <t>Upon Selecting 5 - Automatically Display RFQ matching all 3 Criteria i.e. Purchase Classification, Cost Centre and Supplier in Listbox2</t>
  </si>
  <si>
    <t>Enter Invoice No</t>
  </si>
  <si>
    <t>Amount RM</t>
  </si>
  <si>
    <t>Amount excluding SST</t>
  </si>
  <si>
    <t>In this case Display 6B,7A,7B</t>
  </si>
  <si>
    <t>18-22</t>
  </si>
  <si>
    <t>Move to Material Management</t>
  </si>
  <si>
    <t xml:space="preserve">Decision </t>
  </si>
  <si>
    <t>Proceed/Reject/Hold</t>
  </si>
  <si>
    <t>20A</t>
  </si>
  <si>
    <t>Suggest use Tick Box. If Hold then means do not proceed at the moment.</t>
  </si>
  <si>
    <t xml:space="preserve">Allow User to remove Supplier Selected to replace with another supplier is user wants to change </t>
  </si>
  <si>
    <t>In above example we may ask for RFQ for 6 in one RFQ, 7 &amp; 8 in another RFQ and 9 separately</t>
  </si>
  <si>
    <t xml:space="preserve">Upon Selecting 6 Display WPS , UOM, and Quantity </t>
  </si>
  <si>
    <t>To Select Material For Purchase Order. Note User NOT Allow to Mix Different Purchase Classification, Cost Centre into One PO</t>
  </si>
  <si>
    <t>Calender</t>
  </si>
  <si>
    <t>SST</t>
  </si>
  <si>
    <t>Only SST Amount</t>
  </si>
  <si>
    <t xml:space="preserve">To Documents the Entire Purchasing Process </t>
  </si>
  <si>
    <t>To Request for Supply of Work, Products l &amp; Services (WPS)</t>
  </si>
  <si>
    <t>As Requested/Change Quantity</t>
  </si>
  <si>
    <t>20B</t>
  </si>
  <si>
    <t>Checkbox. If Chane Quantity - enable field 20C</t>
  </si>
  <si>
    <t>I suggest we have a Tick Box to remove selected Supplier</t>
  </si>
  <si>
    <t>OR all 6,7,8,9 in One RFQ</t>
  </si>
  <si>
    <t>User will Enter Price received in 7D,8B ….</t>
  </si>
  <si>
    <t>This is the 7th Process</t>
  </si>
  <si>
    <t>Item Count</t>
  </si>
  <si>
    <t>Invoice Total</t>
  </si>
  <si>
    <t>Auto Total</t>
  </si>
  <si>
    <t>This is the  1st Process in Purchasing</t>
  </si>
  <si>
    <t>Quantity To Order</t>
  </si>
  <si>
    <t>20C</t>
  </si>
  <si>
    <t>If As Requested disable 20C &amp; repeat Quantity in 9 else user to enter value in 20C</t>
  </si>
  <si>
    <t>Fill Names from Top to bottom</t>
  </si>
  <si>
    <t>Reason is because we may not require all at the same time</t>
  </si>
  <si>
    <t>Note sometime supplier will quote for all item and in other case only some item that he wants to supply</t>
  </si>
  <si>
    <t xml:space="preserve">The PO need not be approved by higher authority as it has already been approved in earlier process. After This allow printing and emailing of PO in PO format </t>
  </si>
  <si>
    <t xml:space="preserve">Purchase Order </t>
  </si>
  <si>
    <t>Based on Invoice Display 8A,</t>
  </si>
  <si>
    <t>Person Requesting must state WPS, UOM, Quantity, Specification When Required, Cost Centre if Applicable.</t>
  </si>
  <si>
    <t>20D</t>
  </si>
  <si>
    <t>If user selects more then 5 alert error too many selection</t>
  </si>
  <si>
    <t>All maximum of 5 WPS</t>
  </si>
  <si>
    <t>In other situation he make quote on another day some item and so forth.</t>
  </si>
  <si>
    <t xml:space="preserve">If User wants any further information or request quotation form another supplier he can instruct here. Or Require further information </t>
  </si>
  <si>
    <t>Based on Invoice Display 8A, 8B,8C,8D,9 To13</t>
  </si>
  <si>
    <t>In Purchase Classification already set weather PCC/SCC is required or NOT</t>
  </si>
  <si>
    <t>To Check/Verify/Approve  Request for Supply of Work, Products l &amp; Services (WPS)</t>
  </si>
  <si>
    <t>On Selection and saving auto generate a RFQ in pdf format  will be given to asap</t>
  </si>
  <si>
    <t>Based On This Information - Higher Authority can Check the Price Comparison based on latest information and when decision is to be made.</t>
  </si>
  <si>
    <t>Invoice x DO - Possible 1 To 1 or 1 To Many</t>
  </si>
  <si>
    <t>PCC/SCC Not Required Hide or disable 8A,8B,8C,8D</t>
  </si>
  <si>
    <t>This is the  2nd Process in Purchasing</t>
  </si>
  <si>
    <t>Rifqi date will be the date we complete this process</t>
  </si>
  <si>
    <t>Maker is NOT involved in Next Process</t>
  </si>
  <si>
    <t>Example for office supply like Pen we do not required a PCC</t>
  </si>
  <si>
    <t>Upon Approval this MR can been seen by Purchaser.</t>
  </si>
  <si>
    <t xml:space="preserve">Auto generate a reference No i.e. MR No/Supplier Id/Year </t>
  </si>
  <si>
    <t>Upon Selection of Supplier in Next process then Maker can proceed with PO</t>
  </si>
  <si>
    <t xml:space="preserve">To Select a Supplier To Issue Purchase Order. This is By Authority Level 2 &amp; rest </t>
  </si>
  <si>
    <t xml:space="preserve">To Enter Deliver Order Data </t>
  </si>
  <si>
    <t>Balance Invoice</t>
  </si>
  <si>
    <t>Note All DO No will be displayed in Invoice.</t>
  </si>
  <si>
    <t> 1</t>
  </si>
  <si>
    <t>User Can ONLY order ONE WPS per WPS Request as practice currently.</t>
  </si>
  <si>
    <t>IF Supplier Email is available allow Auto Email copy of RFQ</t>
  </si>
  <si>
    <t>This is the 6th Process</t>
  </si>
  <si>
    <t>This is the 9th Process</t>
  </si>
  <si>
    <t>8th is Printing of PO</t>
  </si>
  <si>
    <t>Total Quanity</t>
  </si>
  <si>
    <t>Invoice Amount</t>
  </si>
  <si>
    <t xml:space="preserve">Have a Control Reference to trek the process of this WPS </t>
  </si>
  <si>
    <t>We will state the date by which they have to submit quotation</t>
  </si>
  <si>
    <t>Construction Steel Bar</t>
  </si>
  <si>
    <t>Start from 2 level Approval</t>
  </si>
  <si>
    <t>9 - In the DO the Supplier will state the PO No</t>
  </si>
  <si>
    <t>Auto Display On Selecting Listbox2</t>
  </si>
  <si>
    <t>Enter Invoice Qty</t>
  </si>
  <si>
    <t>9C * 9E</t>
  </si>
  <si>
    <t xml:space="preserve">9E Not To Exeed 9D. </t>
  </si>
  <si>
    <t xml:space="preserve">We will also send by WhatsApp </t>
  </si>
  <si>
    <t>12C is Original PO Quantity</t>
  </si>
  <si>
    <t>Auto Display On Selecting Listbox3</t>
  </si>
  <si>
    <t>12D is Quantity Received To date</t>
  </si>
  <si>
    <t>Auto Display On Selecting Listbox4</t>
  </si>
  <si>
    <t>  Delivery Order Details</t>
  </si>
  <si>
    <t xml:space="preserve">Example if 1 Length </t>
  </si>
  <si>
    <t>12E This Deliver Quantity</t>
  </si>
  <si>
    <t>Auto Display On Selecting Listbox5</t>
  </si>
  <si>
    <t>  (DO #:INV01753 DATE: 25/05/2024)</t>
  </si>
  <si>
    <t>If we want to make it a bundle what will happen</t>
  </si>
  <si>
    <t>12F Balance Yet to receive else display "0"</t>
  </si>
  <si>
    <t>Note: Always attach necessary documents for reference to support this voucher</t>
  </si>
  <si>
    <t xml:space="preserve">if we put </t>
  </si>
  <si>
    <t xml:space="preserve">98 length in a bundle we get </t>
  </si>
  <si>
    <t>12G If user wants to Move this to Stock then we will add to stock</t>
  </si>
  <si>
    <t>Narration :</t>
  </si>
  <si>
    <t>99 lengths in a bundle we get</t>
  </si>
  <si>
    <t>12G Stock Quantity will be transferred to SCC (if Applicable) and Activity. Refer to SMM002 - Material Management</t>
  </si>
  <si>
    <t xml:space="preserve">So we cannot get exactly 1 ton </t>
  </si>
  <si>
    <t>IF 4A include SCC then from stock we will issue to Activity Only</t>
  </si>
  <si>
    <t>I hereby certify that the above details are correct.</t>
  </si>
  <si>
    <t>Steel Bar is sold in Tonnage</t>
  </si>
  <si>
    <t>Why To Stock</t>
  </si>
  <si>
    <t xml:space="preserve">To March DO with Invoice </t>
  </si>
  <si>
    <t xml:space="preserve">Purchasing is in Bundle </t>
  </si>
  <si>
    <t>Cement for example we buy in Bulk of 400 bags</t>
  </si>
  <si>
    <t>This is the 10th Process</t>
  </si>
  <si>
    <t>Only for this case we will have Purchasing UOM and Price UOM</t>
  </si>
  <si>
    <t>Then we use for multiple SCC if Applicable (Block 1,2,3 and Drain Works)</t>
  </si>
  <si>
    <t>Riza</t>
  </si>
  <si>
    <t>Aston</t>
  </si>
  <si>
    <t xml:space="preserve">Purchasing UOM </t>
  </si>
  <si>
    <t>Then we use for multiple Activity if Applicable (Example for Brickworks, Plastering, Rendering and Lean Concrete)</t>
  </si>
  <si>
    <t>8A-8D display details based on DO Selected</t>
  </si>
  <si>
    <t>Prepared by</t>
  </si>
  <si>
    <t>Approved by</t>
  </si>
  <si>
    <t>Price UOM</t>
  </si>
  <si>
    <t>If Enter This Quantity exceed Last Balance reject data</t>
  </si>
  <si>
    <t>As many Row as Required (9-12) i.e. if more then 4 Material</t>
  </si>
  <si>
    <t xml:space="preserve">Supplier will always quote in price in Tonnage i.e. </t>
  </si>
  <si>
    <t>Note NOT All items may arrive in ONE DO some Material will delivered on another day</t>
  </si>
  <si>
    <t>9A Omit Zero DO Quantities</t>
  </si>
  <si>
    <t>But he will bill us for 1 Bundle Assuming 99 lengths)</t>
  </si>
  <si>
    <t>User To receive and Enter Actual Quantity received in good condition and specification &amp; NOT as per DO Quantity</t>
  </si>
  <si>
    <t>DO Date must be = or &lt; then the Invoice Date. Supplier cannot bill before Delivery in any circumstances</t>
  </si>
  <si>
    <t>Thus when we are dealing with Steel Bar and UOM = Bundle we must convert the price supplier is quoting to Price UOM</t>
  </si>
  <si>
    <t xml:space="preserve">To remark discrepancy i.e. 5 broken </t>
  </si>
  <si>
    <t>Why</t>
  </si>
  <si>
    <t>In the Material Master for each Steel Bar sizes we will state I Bundle = how many Tons</t>
  </si>
  <si>
    <t>12-20 Only row if there is data Only</t>
  </si>
  <si>
    <t>Supplier can invoice only for WPS that already delivered and received by us.</t>
  </si>
  <si>
    <t>14 - On click 14 Deduct 9E Amount from 9D amount. Display Balance in 9D</t>
  </si>
  <si>
    <t>7D</t>
  </si>
  <si>
    <t>1 Bundle</t>
  </si>
  <si>
    <t>14 - On click 14 Clear 9E To 12E</t>
  </si>
  <si>
    <t>14 - On click 14 Clear 9F To 12F, 13F</t>
  </si>
  <si>
    <t>Move DO To Listbox3</t>
  </si>
  <si>
    <t>If we are purchasing Steel Bar in (UOM) Length - Supplier will also quote price in length thus above not applicable</t>
  </si>
  <si>
    <t>Clear 7B &amp; 8B</t>
  </si>
  <si>
    <t>Set focus to Listbox2 to select another DO if 9D To 12D NOT = Zero. Even One item</t>
  </si>
  <si>
    <t>Only Update Record if 9D To 12D = Zero and Listbox3 Total = 5B</t>
  </si>
  <si>
    <t>Allow User to Select from 6A in case need to correct quantity</t>
  </si>
  <si>
    <t>Stock Allocation - Within Cost Centre - Fuel Stocks</t>
  </si>
  <si>
    <t>SMM001</t>
  </si>
  <si>
    <t>Balance Material at Site (Cost Centre) To Stock</t>
  </si>
  <si>
    <t>SMM002</t>
  </si>
  <si>
    <t>Allocate Material From Stock To Cost Centre &amp; Activity</t>
  </si>
  <si>
    <t>Listbox1 - Display all Stock with Balance c/w Quantity (W/o Price). As at Trx date</t>
  </si>
  <si>
    <t>Listbox1 - Display Diesel &amp; Petrol c/w Quantity (W/o Price). As at Trx date</t>
  </si>
  <si>
    <t>Date Fuel was Issued</t>
  </si>
  <si>
    <t xml:space="preserve">Listbox1 - Display all Stock with Balance c/w Quantity (W/o Price). </t>
  </si>
  <si>
    <t xml:space="preserve">Listbox1 - Display all Stock in store with Balance c/w Quantity (W/o Price). </t>
  </si>
  <si>
    <t>SMM003</t>
  </si>
  <si>
    <t>auto issue date user enters data</t>
  </si>
  <si>
    <t>If 1 &amp; 2 is more then 7 days - block transection. Only level 2 can enter if more then 7 days. Display Alert - More then 7 days inform Higher Authority</t>
  </si>
  <si>
    <t>Transection Date</t>
  </si>
  <si>
    <t>SMM004</t>
  </si>
  <si>
    <t>Analysis of SMM003 comparing Actual and Budget (Quantity &amp; Price)</t>
  </si>
  <si>
    <t>Allocation Date</t>
  </si>
  <si>
    <t>Enter Actual date of Allocation</t>
  </si>
  <si>
    <t>This is necessary. If NOT applicable then this process is not required</t>
  </si>
  <si>
    <t>Enter actual date of issue</t>
  </si>
  <si>
    <t>Transfer Date</t>
  </si>
  <si>
    <t>User to Enter Actual Date</t>
  </si>
  <si>
    <t>SMM005</t>
  </si>
  <si>
    <t>Material Description</t>
  </si>
  <si>
    <t>Auto Display on Selection of listbox1</t>
  </si>
  <si>
    <t>Allocate from Stock - Diesel/Petrol</t>
  </si>
  <si>
    <t>SMM006</t>
  </si>
  <si>
    <t>Allocate This From Stock To Cost Centre &amp; Equipment</t>
  </si>
  <si>
    <t>Due to evaporation &amp; theft we have an item adjustment for Loss</t>
  </si>
  <si>
    <t>Quantity Available In Store</t>
  </si>
  <si>
    <t>Allocate from Stock - Personnel Usage Items</t>
  </si>
  <si>
    <t>SMM007</t>
  </si>
  <si>
    <t>Allocate This From Stock (Bought in Bulk) To Individual Workers &amp; Staff (Glove, tools, PPE)</t>
  </si>
  <si>
    <t>Allocate To Equipment</t>
  </si>
  <si>
    <t>Use same UOM when DO was charged to Stock</t>
  </si>
  <si>
    <t>Allocate To Cost Centre</t>
  </si>
  <si>
    <t>If applicable show this Field</t>
  </si>
  <si>
    <t>Machinery Description</t>
  </si>
  <si>
    <t>Select from List. Including and Item Adjustment For Lost.</t>
  </si>
  <si>
    <t>Quantity Available</t>
  </si>
  <si>
    <t xml:space="preserve">Quantity </t>
  </si>
  <si>
    <t>Transfer To Cost Centre</t>
  </si>
  <si>
    <t>3rd Level</t>
  </si>
  <si>
    <t>User to enter Value</t>
  </si>
  <si>
    <t>Alert user if Exceed Stock Quantity</t>
  </si>
  <si>
    <t>Only one UPM = Liters</t>
  </si>
  <si>
    <t>Transfer To Store</t>
  </si>
  <si>
    <t xml:space="preserve">If applicable </t>
  </si>
  <si>
    <t>Last Transection Details</t>
  </si>
  <si>
    <t>Quantity Transfer</t>
  </si>
  <si>
    <t>Enter Qty</t>
  </si>
  <si>
    <t>SUF1 - When Material is bought in Bulk to lock Price then the DO  - SCC or Lower levels - is entered as Stock initially. This items are used at Multiple Secondary &amp; lower levels i.e. Bricks &amp; Cement, Tiles</t>
  </si>
  <si>
    <t>Last Issued Quantity</t>
  </si>
  <si>
    <t>Like Workers attendance we will mark what machine was used for what purpose for how many hours per day</t>
  </si>
  <si>
    <t>Send By</t>
  </si>
  <si>
    <t>Select Staff Name</t>
  </si>
  <si>
    <t>Collected By</t>
  </si>
  <si>
    <t>Those items that can be easily issue to the SCC or Lower level will be charged to that cost centre. Stock NOT applicable. I.e. Door Frame &amp; Door</t>
  </si>
  <si>
    <t>Quantity Allocate</t>
  </si>
  <si>
    <t>Last Issued Date</t>
  </si>
  <si>
    <t xml:space="preserve">Site Staff - To take Equipments Running Hours - meter reading. </t>
  </si>
  <si>
    <t>Received By</t>
  </si>
  <si>
    <t>Same as 1 but Fuel we need to assign the stock to individual Machinery. As Machinery are used daily for multiple SCC &amp; Lower Level. Thus difficult to keep records.</t>
  </si>
  <si>
    <t>Machine Utilisation Hours</t>
  </si>
  <si>
    <t>Auto Display from last issued date</t>
  </si>
  <si>
    <t xml:space="preserve">Site Staff - To take meter reading. </t>
  </si>
  <si>
    <t>Location Of Store</t>
  </si>
  <si>
    <t>Enter Location</t>
  </si>
  <si>
    <t>We will Only charge to Primary Cost Centre. Thereafter allocate to Machinery. Only Machinery where Fuel = Diesel or Petrol will be available for Selection.</t>
  </si>
  <si>
    <t>Machine Meter Reading</t>
  </si>
  <si>
    <t xml:space="preserve">User to read the meter and enter </t>
  </si>
  <si>
    <t>For fuel we only track Primary Cost Centre.</t>
  </si>
  <si>
    <t>Enter Quantity</t>
  </si>
  <si>
    <t>All Fuel Cannot be move to Stock. Either use in that Cost centre or discarded. Normally towards the end of Project we will purchase in small quantity to avoid wastage.</t>
  </si>
  <si>
    <t>When we have Surplus material and project completed and if this Material is useable then it is Move to Stock from Cost Centre.</t>
  </si>
  <si>
    <t>Use last purchase price as Stock unit cost</t>
  </si>
  <si>
    <t xml:space="preserve">11 - We will develop this in Next Phase - Equipment Usage Records </t>
  </si>
  <si>
    <t>When we have Surplus material at the Store then we move the stock to Cost Centre if delivered to the Cost Centre.</t>
  </si>
  <si>
    <t>Use LIFO stock unit Cost.</t>
  </si>
  <si>
    <t>Human Resources Management</t>
  </si>
  <si>
    <t xml:space="preserve">This can be split to multipage </t>
  </si>
  <si>
    <t>Staff Group - Assign Public Holiday</t>
  </si>
  <si>
    <t xml:space="preserve">Yearly Public Holiday - Verification and Approval </t>
  </si>
  <si>
    <t xml:space="preserve">Leave Crediting/Deducting Menu </t>
  </si>
  <si>
    <t>Staff Leave Application On Behalf - Authorised Person</t>
  </si>
  <si>
    <t xml:space="preserve">Staff Leave Approval </t>
  </si>
  <si>
    <t>Staff Time OFF - Application</t>
  </si>
  <si>
    <t>Clinic &amp;  Hospital Register</t>
  </si>
  <si>
    <t>Remuneration  Records</t>
  </si>
  <si>
    <t>Description_of_UserForm</t>
  </si>
  <si>
    <t>Grouping_List_HRM</t>
  </si>
  <si>
    <t>Staff Register</t>
  </si>
  <si>
    <t>HR001A &amp; HR001 B</t>
  </si>
  <si>
    <t>Yearly Public Holiday Marking</t>
  </si>
  <si>
    <t>HR002C</t>
  </si>
  <si>
    <t>HR002D</t>
  </si>
  <si>
    <t>Staff Leave Application On Behalf - Assigning Authorised Person</t>
  </si>
  <si>
    <t>HR002E</t>
  </si>
  <si>
    <t>HR002F</t>
  </si>
  <si>
    <t>Panel Clinic &amp;  Hospital Register</t>
  </si>
  <si>
    <t>Statutory Payment Rates - SOCSO</t>
  </si>
  <si>
    <t xml:space="preserve">User = Maker </t>
  </si>
  <si>
    <t>Auto Display Date</t>
  </si>
  <si>
    <t>Listbox 1 - Only Active Staff Name &amp; Matching Group</t>
  </si>
  <si>
    <t>This person is assign to Enter New Salary for Staffs</t>
  </si>
  <si>
    <t xml:space="preserve">Register Panel Hospital &amp; Clinics </t>
  </si>
  <si>
    <t>Date of Birth:</t>
  </si>
  <si>
    <t>Year - The Year we  are entering the dates</t>
  </si>
  <si>
    <t xml:space="preserve">select from list </t>
  </si>
  <si>
    <t>UF S030</t>
  </si>
  <si>
    <t>Auto Display User Name</t>
  </si>
  <si>
    <t>Auto Display (Maker Name)</t>
  </si>
  <si>
    <t>Staff Details</t>
  </si>
  <si>
    <t xml:space="preserve">Select State  </t>
  </si>
  <si>
    <t>Display list Listbox All PH for This state  or if  National Public Holiday that does NOT have FIX date. Refer S034. If fix date this process is NOT Necessary as we already know the date of PH</t>
  </si>
  <si>
    <t>Including and Item "National" in State Combobox</t>
  </si>
  <si>
    <t>Select  State. Refer UF S032 Field 4</t>
  </si>
  <si>
    <t>Year</t>
  </si>
  <si>
    <t>Select year</t>
  </si>
  <si>
    <t>Name</t>
  </si>
  <si>
    <t>Select from Vendor list</t>
  </si>
  <si>
    <t>Only those Vendor - Primary Activity = "Medical". Refer To UF M003</t>
  </si>
  <si>
    <t>WEF Date</t>
  </si>
  <si>
    <t>Enter Date</t>
  </si>
  <si>
    <t>From which date Salary will be adjusted</t>
  </si>
  <si>
    <t>Existing Rates</t>
  </si>
  <si>
    <t>Full Name as Per IC</t>
  </si>
  <si>
    <t>User to enter year format yyyy</t>
  </si>
  <si>
    <t>Display all States including  All. If ALL it refers to National Holiday. Only display National PH</t>
  </si>
  <si>
    <t>Enter Year. By Default show next year - yyyy</t>
  </si>
  <si>
    <t>Normally Next year Leave will be set this year - Oct - Dec period</t>
  </si>
  <si>
    <t xml:space="preserve">Auto Display State </t>
  </si>
  <si>
    <t>Created via HR002A</t>
  </si>
  <si>
    <t xml:space="preserve">Combo box. Select Staff Name </t>
  </si>
  <si>
    <t>Construction workers are not allowed into this system. A designated person will be apply for leave on behalf. In Staff profile we will set the person who is authorised to apply on behalf</t>
  </si>
  <si>
    <t>Time OFF  Application</t>
  </si>
  <si>
    <t xml:space="preserve">If Not in List user to create Vendor using Vendor Register. </t>
  </si>
  <si>
    <t>If Vendor Classification = Government auto Yes. Refer To UF M001 &amp; UF V002</t>
  </si>
  <si>
    <t>Or use Toggle Button</t>
  </si>
  <si>
    <t>EPF Category</t>
  </si>
  <si>
    <t>Kindly Add all Item in Employee Status - From Table attached at Bottom</t>
  </si>
  <si>
    <t xml:space="preserve">Staff - Annual Leave Crediting Menu </t>
  </si>
  <si>
    <t>Full Name</t>
  </si>
  <si>
    <t>Vethamuthu</t>
  </si>
  <si>
    <t xml:space="preserve">UF S008 </t>
  </si>
  <si>
    <t xml:space="preserve">State Week End </t>
  </si>
  <si>
    <t>Auto display Week Day refer UF S0035</t>
  </si>
  <si>
    <t xml:space="preserve">Staff Group </t>
  </si>
  <si>
    <t>Filter and Display Staff Group = State</t>
  </si>
  <si>
    <t>UF S037. On selection Auto Display Last year list in Listbox3</t>
  </si>
  <si>
    <t>Holiday Year</t>
  </si>
  <si>
    <t>Last Holiday Year</t>
  </si>
  <si>
    <t>Select Staff Group</t>
  </si>
  <si>
    <t>Filter Based on State. Select from List</t>
  </si>
  <si>
    <t>Leave Group</t>
  </si>
  <si>
    <t>Combo Box</t>
  </si>
  <si>
    <t>Enter Date Using Calendar</t>
  </si>
  <si>
    <t>Last Year Total Hours</t>
  </si>
  <si>
    <t xml:space="preserve">Panel </t>
  </si>
  <si>
    <t>If 4 &lt;&gt; Government user to select</t>
  </si>
  <si>
    <t>Display Selected Name</t>
  </si>
  <si>
    <t>If leave deduction show this field</t>
  </si>
  <si>
    <t>Wef Date</t>
  </si>
  <si>
    <t>Last Revision Date</t>
  </si>
  <si>
    <t>Not allow to edit PH</t>
  </si>
  <si>
    <t>On Selection from Listbox1 Display here Selection</t>
  </si>
  <si>
    <t>Compulsory Holidays</t>
  </si>
  <si>
    <t>Since this is Compulsory for All Staff Group - Auto Display.</t>
  </si>
  <si>
    <t>This Year Days</t>
  </si>
  <si>
    <t>Auto display selected count</t>
  </si>
  <si>
    <t>Last Year Days</t>
  </si>
  <si>
    <t xml:space="preserve">Auto display </t>
  </si>
  <si>
    <t>HR002A  must be completed before this process</t>
  </si>
  <si>
    <t xml:space="preserve">Select Staff </t>
  </si>
  <si>
    <t>Filter Based on Staff Group. Select from List</t>
  </si>
  <si>
    <t xml:space="preserve">Panel Hospital </t>
  </si>
  <si>
    <t>Select from Which hospital or clinic or If Panel Hospital is No -  user to Enter Hospital Name</t>
  </si>
  <si>
    <t xml:space="preserve">Time </t>
  </si>
  <si>
    <t>Start Time</t>
  </si>
  <si>
    <t>End Time</t>
  </si>
  <si>
    <t>This Year -To date Hours</t>
  </si>
  <si>
    <t>Wef</t>
  </si>
  <si>
    <t>If 5 = Panel with effect from Date</t>
  </si>
  <si>
    <t>Date Joint</t>
  </si>
  <si>
    <t xml:space="preserve">Auto Display if Any </t>
  </si>
  <si>
    <t>If leave deduction show this field. I.e. Staff resign date</t>
  </si>
  <si>
    <t>Employee Share</t>
  </si>
  <si>
    <t>Employer Share</t>
  </si>
  <si>
    <t>Total - %</t>
  </si>
  <si>
    <t>Short Name For Reports</t>
  </si>
  <si>
    <t>Muthu</t>
  </si>
  <si>
    <t>Format dd-mmm</t>
  </si>
  <si>
    <t>User to Enter Date format dd-mmm</t>
  </si>
  <si>
    <t xml:space="preserve">Additional PH </t>
  </si>
  <si>
    <t>Enter - No of Days Public Holiday for this group for this year approved by Company</t>
  </si>
  <si>
    <t>Select from list box1 &amp; listbox2. Vice Versal</t>
  </si>
  <si>
    <t xml:space="preserve">Holiday </t>
  </si>
  <si>
    <t>Selected item x 2 column x Holiday &amp; date</t>
  </si>
  <si>
    <t>Last Year  listbox2. For Information Only</t>
  </si>
  <si>
    <t>2 column x Holiday &amp; date</t>
  </si>
  <si>
    <t>User have to either accept or reject.</t>
  </si>
  <si>
    <t>Leave Record</t>
  </si>
  <si>
    <t>Leave Type</t>
  </si>
  <si>
    <t>Medical Chit No</t>
  </si>
  <si>
    <t>User to enter No/Reference etc</t>
  </si>
  <si>
    <t>Combo box select</t>
  </si>
  <si>
    <t>This Application</t>
  </si>
  <si>
    <t>Historical Data</t>
  </si>
  <si>
    <t>Rate - %</t>
  </si>
  <si>
    <t>Auto display total</t>
  </si>
  <si>
    <t>SOCSO - Rate - %</t>
  </si>
  <si>
    <t>Staff Leave Approval Notification</t>
  </si>
  <si>
    <t>Send Notifcation Leave approved</t>
  </si>
  <si>
    <t>Time Off</t>
  </si>
  <si>
    <t>NRIC / Passport No:</t>
  </si>
  <si>
    <t>920218-10-5465</t>
  </si>
  <si>
    <t>2D</t>
  </si>
  <si>
    <t>UF S049</t>
  </si>
  <si>
    <t>Day of week</t>
  </si>
  <si>
    <t>Auto display Day of week</t>
  </si>
  <si>
    <t>if Date Enter = Sunday and If Sunday is OFF day in this state prompt ERROR Message</t>
  </si>
  <si>
    <t>PH for Group</t>
  </si>
  <si>
    <t>Total the days</t>
  </si>
  <si>
    <t xml:space="preserve">Verified By </t>
  </si>
  <si>
    <t xml:space="preserve">Approved By </t>
  </si>
  <si>
    <t>Balance C/f</t>
  </si>
  <si>
    <t>Auto Display Leave Balance</t>
  </si>
  <si>
    <t>This Year Leave - Credited</t>
  </si>
  <si>
    <t xml:space="preserve">For Information </t>
  </si>
  <si>
    <t>Emergency Leave To date</t>
  </si>
  <si>
    <t>7A-1 - Refer Notes at Bottom</t>
  </si>
  <si>
    <t>7a - Refer Notes at Bottom</t>
  </si>
  <si>
    <t>Hours Applied</t>
  </si>
  <si>
    <t>Alert if exceed Max hours set in Staff profile 40E</t>
  </si>
  <si>
    <t>Total Hours</t>
  </si>
  <si>
    <t xml:space="preserve">Save Make </t>
  </si>
  <si>
    <t>Save Verifier</t>
  </si>
  <si>
    <t>Confirm/Reject</t>
  </si>
  <si>
    <t>Save Authorised</t>
  </si>
  <si>
    <t>Approve/Reject</t>
  </si>
  <si>
    <t>From</t>
  </si>
  <si>
    <t>To</t>
  </si>
  <si>
    <t>Mode</t>
  </si>
  <si>
    <t xml:space="preserve">Salary </t>
  </si>
  <si>
    <t>Increment - RM</t>
  </si>
  <si>
    <t>Increment %</t>
  </si>
  <si>
    <t>New Rates</t>
  </si>
  <si>
    <t>EIS       - Rate - %</t>
  </si>
  <si>
    <t>Nationality</t>
  </si>
  <si>
    <t xml:space="preserve">Malaysian </t>
  </si>
  <si>
    <t>2E</t>
  </si>
  <si>
    <t>PH Count</t>
  </si>
  <si>
    <t>Display No of PH Selected</t>
  </si>
  <si>
    <t>Listbox1 - Select from listbox1. Display Data in 2 columns - Holiday &amp; Date. Refer To UF HR002A</t>
  </si>
  <si>
    <t>Listbox2 - Selected items display listbox2. 2 columns - Holiday &amp; Date</t>
  </si>
  <si>
    <t>Listbox3 - Last Year  - ONE Column - PH Description. For Information Only</t>
  </si>
  <si>
    <t>Add Leave</t>
  </si>
  <si>
    <t>Select Leave Type</t>
  </si>
  <si>
    <t>This Year - MC Days</t>
  </si>
  <si>
    <t>This Year - Hospitalisation Days</t>
  </si>
  <si>
    <t>Leave Application</t>
  </si>
  <si>
    <t>Listbox with 6 Columns. For Information Only Display Data. Historical Data</t>
  </si>
  <si>
    <t>Employee Share %</t>
  </si>
  <si>
    <t>Employer Share %</t>
  </si>
  <si>
    <t>Staff Leave Records</t>
  </si>
  <si>
    <t>I suggest we display in individual Dashboard. For Staff to See their Leave Records including Days taken and Balance days</t>
  </si>
  <si>
    <t>2F</t>
  </si>
  <si>
    <t>format dd-mm-yyyy</t>
  </si>
  <si>
    <t>Any comments and notes if applicable</t>
  </si>
  <si>
    <t xml:space="preserve">Recommend </t>
  </si>
  <si>
    <t>Approved</t>
  </si>
  <si>
    <t>Radio Button</t>
  </si>
  <si>
    <t>Deduct Leave</t>
  </si>
  <si>
    <t xml:space="preserve">Leave Period </t>
  </si>
  <si>
    <t>Start</t>
  </si>
  <si>
    <t>End Date</t>
  </si>
  <si>
    <t>Last Year Balance C/f</t>
  </si>
  <si>
    <t>To Link all Hospital To Panel or Non Panel list</t>
  </si>
  <si>
    <t>Enter effective date of new rate</t>
  </si>
  <si>
    <t>Gender:</t>
  </si>
  <si>
    <t>Male/Female</t>
  </si>
  <si>
    <t>2G</t>
  </si>
  <si>
    <t>i.e. Radio Button</t>
  </si>
  <si>
    <t>Comment</t>
  </si>
  <si>
    <t>If user rejects to state reason so that Maker can rectify</t>
  </si>
  <si>
    <t>Total Annual Leave</t>
  </si>
  <si>
    <t>Auto Display Leave Balance.</t>
  </si>
  <si>
    <t xml:space="preserve">Half Day </t>
  </si>
  <si>
    <t xml:space="preserve">Tick Box </t>
  </si>
  <si>
    <t>This Year Leave Usable</t>
  </si>
  <si>
    <t xml:space="preserve">9C - Apportion by Months </t>
  </si>
  <si>
    <t xml:space="preserve">Enter Value </t>
  </si>
  <si>
    <t>Compute &amp; Display Total</t>
  </si>
  <si>
    <t>Religion :</t>
  </si>
  <si>
    <t>Christian</t>
  </si>
  <si>
    <t>2H</t>
  </si>
  <si>
    <t>S014</t>
  </si>
  <si>
    <t>To Enter holiday Date. Only Applicable to PH NOT Fix date. Refer to UF S042</t>
  </si>
  <si>
    <t>Verified Date</t>
  </si>
  <si>
    <t>User To Enter reason or Any Information deem Required</t>
  </si>
  <si>
    <t>Reason For Leave</t>
  </si>
  <si>
    <t>Total Available</t>
  </si>
  <si>
    <t>8+9</t>
  </si>
  <si>
    <t>Race:</t>
  </si>
  <si>
    <t>2I</t>
  </si>
  <si>
    <t>UF S050</t>
  </si>
  <si>
    <t xml:space="preserve">This will be done yearly when the government release the Dates </t>
  </si>
  <si>
    <t>Days Selected</t>
  </si>
  <si>
    <t>Auto Count Selected Item &amp; Display here</t>
  </si>
  <si>
    <t>Auto Count Item &amp; Display here</t>
  </si>
  <si>
    <t>Days Applied</t>
  </si>
  <si>
    <t>Alert Message</t>
  </si>
  <si>
    <t>"=" 9A</t>
  </si>
  <si>
    <t xml:space="preserve">For Staffs to Apply for Time off </t>
  </si>
  <si>
    <t>On click Save clear 7 &amp; 8A &amp; 8B</t>
  </si>
  <si>
    <t>Married Status</t>
  </si>
  <si>
    <t>Single/Married</t>
  </si>
  <si>
    <t>2J</t>
  </si>
  <si>
    <t>if Date Enter = Another PH prompt ERROR Message &amp; Suggest Entered Date + 1 Day Request To Click Enter to Accept Date</t>
  </si>
  <si>
    <t>gjrowny</t>
  </si>
  <si>
    <t>In the event the same PH is also applicable to another State On Selecting PH auto display PH Day &amp; Month entered earlier.</t>
  </si>
  <si>
    <t>To Verify &amp; Approve the Holiday List for the year by Holiday Groups</t>
  </si>
  <si>
    <t>Balance Available</t>
  </si>
  <si>
    <t>9A - Leave start date (8A) - Leave Ending Date (8B) (Date Difference)</t>
  </si>
  <si>
    <t>Not more then 3 hours per application</t>
  </si>
  <si>
    <t xml:space="preserve">Allow user to Correct the Date if necessary. But the PH date must be same for all States </t>
  </si>
  <si>
    <t>To assign public holidays for each Staff Group. This is done yearly once.</t>
  </si>
  <si>
    <t>Listbox1 = 2 columns PH &amp; PH Date. So that user knows data entered. Allow use to select and Edit date if necessary</t>
  </si>
  <si>
    <t>To Credit and Deduct Annual  Leave</t>
  </si>
  <si>
    <t>Update list box as user enters data</t>
  </si>
  <si>
    <t>Auto Display the 5 Compulsory Public Holidays in Listbox2</t>
  </si>
  <si>
    <t>Base on log in display AN11:AO14 Or AP11:AQ14</t>
  </si>
  <si>
    <t>When Maker log in do not show Verifier /Approver</t>
  </si>
  <si>
    <t>12A - Leave Application Date (1) - Leave start Date (8A) (Date Difference)</t>
  </si>
  <si>
    <t>6A - Calculate and display time difference</t>
  </si>
  <si>
    <t>This Transection</t>
  </si>
  <si>
    <t xml:space="preserve">To Set EPF Statutory Rate </t>
  </si>
  <si>
    <t>Statutory Contribution</t>
  </si>
  <si>
    <t>Email Id:</t>
  </si>
  <si>
    <t>tamanpetaling@hotmail.com</t>
  </si>
  <si>
    <t>Display Public Holydays marked for This State ONLY in Listbox1. Less the 5 Compulsory PH display this in Listbox2</t>
  </si>
  <si>
    <t>This list can be printed for circulation after approval only</t>
  </si>
  <si>
    <t>When Verifier  log in do not show Maker/Approver</t>
  </si>
  <si>
    <t>3B - Last year Total Hours</t>
  </si>
  <si>
    <t>Salary Mode</t>
  </si>
  <si>
    <t xml:space="preserve">The payment is as per category of Employee Salary &amp; Age </t>
  </si>
  <si>
    <t xml:space="preserve">To Set SOCSO &amp; EIS Statutory Rate </t>
  </si>
  <si>
    <t>OT Rate - Normal</t>
  </si>
  <si>
    <t>Address 1:</t>
  </si>
  <si>
    <t>51, Leboh Bagor, Taman Petaling,</t>
  </si>
  <si>
    <t>PH=Public Holiday</t>
  </si>
  <si>
    <t>Let user select from listbox1 holidays To Add. Criteria NOT to Exceed 5C</t>
  </si>
  <si>
    <t>Printing is under Report. We will print by Holiday group.</t>
  </si>
  <si>
    <t>When Approver r log in do not show Verifier /Maker</t>
  </si>
  <si>
    <t>4C - This year Total Hours</t>
  </si>
  <si>
    <t>Last Salary - RM</t>
  </si>
  <si>
    <t>Find &amp; Display Amount</t>
  </si>
  <si>
    <t>If 7 = Daily then Last Daily Rate  - RM</t>
  </si>
  <si>
    <t>Each time the Staff salary is computed system will check this table and calculate Employer &amp; Employee Contribution.</t>
  </si>
  <si>
    <t>SOCSO covers two social security schemes: </t>
  </si>
  <si>
    <t>OT Rate - Public Holiday</t>
  </si>
  <si>
    <t>Address 2:</t>
  </si>
  <si>
    <t>Taman Petaling Indah</t>
  </si>
  <si>
    <t>On selection move item to Listbox2 and Remove from Listbox1</t>
  </si>
  <si>
    <t>9- when user selects listbox2 in deduction mode then using deduction month calculate the leave to be deducted.</t>
  </si>
  <si>
    <t>5B - = 6A</t>
  </si>
  <si>
    <t>Monthly Increment - RM</t>
  </si>
  <si>
    <t>If 7 = Daily then Daily Rate Increment - RM</t>
  </si>
  <si>
    <t>Do NOT use actual pay but round up to nearest next 100.00  i.e. 1625.00 as 1700 .00or 1655.00 as 1700.00</t>
  </si>
  <si>
    <t>The Employment Injury Scheme: To provide protection for employees against occupational accidents and diseases that may occur during employment. </t>
  </si>
  <si>
    <t>OT Rate - Public Holiday After 8hrs</t>
  </si>
  <si>
    <t>Address 3:</t>
  </si>
  <si>
    <t>Allow user To remove selected item in Listbox2 Except the 5 Compulsory PH</t>
  </si>
  <si>
    <t>9- Leave Credited - (12 - deduction date month)/12. Auto Display.</t>
  </si>
  <si>
    <t>For user to Apply for Annual Leave</t>
  </si>
  <si>
    <t xml:space="preserve">6B - 4C + 5B </t>
  </si>
  <si>
    <t>New Gross Salary - RM</t>
  </si>
  <si>
    <t>Total Deduction</t>
  </si>
  <si>
    <t>If 7 = Daily then New Daily Rate - RM</t>
  </si>
  <si>
    <t>The Invalidity Scheme: This provides protection against invalidity or death due to any cause.</t>
  </si>
  <si>
    <t xml:space="preserve">Postcode </t>
  </si>
  <si>
    <t>In this case Add to Listbox1 and Remove from Listbox2</t>
  </si>
  <si>
    <t>If leave Group is NOT Medical Levee Or Hospitalisation hide 5 &amp; 6</t>
  </si>
  <si>
    <t>Verifying and Approval is based on Leave application approval</t>
  </si>
  <si>
    <t>Monthly Increment %</t>
  </si>
  <si>
    <t>Auto Calculate</t>
  </si>
  <si>
    <t>Net Payment - RM</t>
  </si>
  <si>
    <t>If 7 = Daily then Daily Rate Increment - %</t>
  </si>
  <si>
    <t>EPF Contribution: Employer’s Obligations in Malaysia</t>
  </si>
  <si>
    <r>
      <t>The percentage of SOCSO Contribution shall </t>
    </r>
    <r>
      <rPr>
        <sz val="10"/>
        <color rgb="FF040C28"/>
        <rFont val="Arial"/>
        <family val="2"/>
      </rPr>
      <t>between 3% to 5% of the employee salary</t>
    </r>
    <r>
      <rPr>
        <sz val="10"/>
        <color rgb="FF474747"/>
        <rFont val="Arial"/>
        <family val="2"/>
      </rPr>
      <t xml:space="preserve"> vary accordingly to the employee salary amount.  </t>
    </r>
  </si>
  <si>
    <t>Klang</t>
  </si>
  <si>
    <t>If leave Group is  Medical Leave hide 7</t>
  </si>
  <si>
    <t xml:space="preserve">EPF is a savings fund that private sector employees and employers in Malaysia are obliged to contribute monthly. </t>
  </si>
  <si>
    <t>Employees with a salary more than RM3,000 per month are choose able to pay a SOCSO contribution.</t>
  </si>
  <si>
    <t>UF S002</t>
  </si>
  <si>
    <t>Calculate difference between I &amp; 8A. If less then 3 days alert "Not Complying to company policy". Mark this a Emergency Leave. We will consider this in annual increment or issue show cause letter when repeating again.</t>
  </si>
  <si>
    <t>To Keep Staff Remuneration Records</t>
  </si>
  <si>
    <t xml:space="preserve"> Employers to make the deductions from employees’ and remit to EPF on behalf of employees, whilst</t>
  </si>
  <si>
    <t>One he choose to pay he cannot opt out thereafter</t>
  </si>
  <si>
    <t>019-3399 434</t>
  </si>
  <si>
    <t>7A - Not all Leave Credited user allowed to take leave. If 12 days then if application date is 1st April we will allow Staff to take 4 days only. Leave credit x (leave application month/12).  Round nearest 1</t>
  </si>
  <si>
    <t>7A - Check Rate and Calculate Staff EPF Amount</t>
  </si>
  <si>
    <t xml:space="preserve"> at the same time contribute their share to the each employee’s EPF account.</t>
  </si>
  <si>
    <t>Foreign Staff Correspondence Details - If Applicable</t>
  </si>
  <si>
    <t>7A-1 - Not all Leave Credited user allowed to take leave. If 12 days then if application date is 1st April we will allow Staff to take 4 days only. Leave credit x (leave application month/12).  Round nearest 1</t>
  </si>
  <si>
    <t>If Medical Leave or Hospitalisation leave exceeds - Days set in Staff Profile - Alert "Salary Deduction - Exceeds Max Days Allowed"</t>
  </si>
  <si>
    <t>8A - Check Rate and Calculate Staff SOCSO Amount</t>
  </si>
  <si>
    <t>In April 2023, the mandatory rate of EPF contribution stands at:</t>
  </si>
  <si>
    <t>Understanding the SOCSO fund involves navigating two distinct categories.</t>
  </si>
  <si>
    <t>REPORTS</t>
  </si>
  <si>
    <t>Address1</t>
  </si>
  <si>
    <t>9A - if thick then staff applying half day. If date start &amp; End is same then its 1/2 day</t>
  </si>
  <si>
    <t>9A - Check Rate and Calculate Staff EIS Amount</t>
  </si>
  <si>
    <t>In the first category, applicable to employees below the age of 60, </t>
  </si>
  <si>
    <t>Staff Leave Summary</t>
  </si>
  <si>
    <t>9A - if thick then staff Appling half day. If date start &amp; End is same then its 1/2 day</t>
  </si>
  <si>
    <t>9A - if thick then staff applying half day. If date start &amp; End is not same then its 1/2 + date difference day</t>
  </si>
  <si>
    <t xml:space="preserve">Allow User to edit data displayed </t>
  </si>
  <si>
    <t>13% by employers for employees who earn RM5,000 per month or below; and</t>
  </si>
  <si>
    <t>Employers are mandated to contribute 1.75% of the employee's salary total</t>
  </si>
  <si>
    <t>Staff Leave Details</t>
  </si>
  <si>
    <t>1,2,3</t>
  </si>
  <si>
    <t>9A - if thick then staff Appling half day. If date start &amp; End is not same then its 1/2 + date difference day</t>
  </si>
  <si>
    <t>9A - if thick then staff applying half day. If date start &amp; End is not same &amp; end half date tick then 0.5 + date difference -0.5</t>
  </si>
  <si>
    <t>10B=7B+8B+9B</t>
  </si>
  <si>
    <t>12% by employers for employees who earn more than RM5,000.</t>
  </si>
  <si>
    <t>Simultaneously, employees are required to contribute 0.5% of their salary amount.</t>
  </si>
  <si>
    <t>Yearly Public Holiday List</t>
  </si>
  <si>
    <t>Emergency Contact Details</t>
  </si>
  <si>
    <t>9A - if thick then staff Appling half day. If date start &amp; End is not same &amp; end half date tick then 0.5 + date difference -0.5</t>
  </si>
  <si>
    <t>User can only apply for 1 or 1/2 day no other option.</t>
  </si>
  <si>
    <t>11B=10A-10B</t>
  </si>
  <si>
    <t>EA Form</t>
  </si>
  <si>
    <t>Immd. Contact Name</t>
  </si>
  <si>
    <t>Philomina a/p Amirtharaj</t>
  </si>
  <si>
    <t>Step 1: Calculate Salary for EPF</t>
  </si>
  <si>
    <t xml:space="preserve">Effective from 1st September 2022, SOCSO has increased the </t>
  </si>
  <si>
    <t>Monthly Payslip</t>
  </si>
  <si>
    <t>Immd. Contact Relation</t>
  </si>
  <si>
    <t>Wife</t>
  </si>
  <si>
    <t>For EPF calculation, an employee’s salary is defined as income, excluding the following:</t>
  </si>
  <si>
    <t>monthly salary ceiling limit from RM4,000 to RM5,000 for contributions.</t>
  </si>
  <si>
    <t>Monthly Payroll Summary</t>
  </si>
  <si>
    <t>Immd. Contact No</t>
  </si>
  <si>
    <t>0163325901</t>
  </si>
  <si>
    <t>Service charge;</t>
  </si>
  <si>
    <t>BOTH SOCSO &amp; EIS are same department</t>
  </si>
  <si>
    <t>Banking Details</t>
  </si>
  <si>
    <t>Overtime payment;</t>
  </si>
  <si>
    <t>Same Category for Both SOCSO &amp; EIS</t>
  </si>
  <si>
    <t>Bank</t>
  </si>
  <si>
    <t>CIMB</t>
  </si>
  <si>
    <t>For Payment of Salary Etc</t>
  </si>
  <si>
    <t>Gratuity;</t>
  </si>
  <si>
    <t>Account No:</t>
  </si>
  <si>
    <t>Staff Account No</t>
  </si>
  <si>
    <t>Retirement benefit;</t>
  </si>
  <si>
    <t>For both employers and employees are required to make a 0.2% on employee's monthly salary towards EIS contribution.</t>
  </si>
  <si>
    <t>Statutory Payment Details</t>
  </si>
  <si>
    <t>Retrenchment, temporary lay-off or termination benefits;</t>
  </si>
  <si>
    <t xml:space="preserve"> However, employee that salary &amp; wages below RM30 are exempted for contributing EIS.</t>
  </si>
  <si>
    <t>LHDN Number :</t>
  </si>
  <si>
    <t>Income Tax no</t>
  </si>
  <si>
    <t>Traveling allowance or the value of any travel concession; and</t>
  </si>
  <si>
    <t>EPF Number:</t>
  </si>
  <si>
    <t>Employment Provident fund</t>
  </si>
  <si>
    <t>Any other remuneration or payment as may be exempted by Ministry of Finance Malaysia.</t>
  </si>
  <si>
    <t>EIS - ELIGIBLE</t>
  </si>
  <si>
    <t>EIS - NOT ELIGIBLE</t>
  </si>
  <si>
    <t>SOCSO Number:</t>
  </si>
  <si>
    <t xml:space="preserve">Insurance </t>
  </si>
  <si>
    <t>Normal retrenchment and redundancy</t>
  </si>
  <si>
    <t> Employee misconduct</t>
  </si>
  <si>
    <t>Skill Train Reference</t>
  </si>
  <si>
    <t>Step 2: Employees’ Contribution</t>
  </si>
  <si>
    <t>VSS/MSS (Voluntary/Mutual Separation Scheme)</t>
  </si>
  <si>
    <t> Voluntary resignation</t>
  </si>
  <si>
    <t xml:space="preserve">Green Card </t>
  </si>
  <si>
    <t>Construction Card ID</t>
  </si>
  <si>
    <t xml:space="preserve">Once the salary is derived, multiply the amount with 11% in order to derive the amount of EPF contribution by employee </t>
  </si>
  <si>
    <t>Closure of the company due to natural disasters</t>
  </si>
  <si>
    <t> Retirement</t>
  </si>
  <si>
    <t>(to be deducted from the employee’s salary.</t>
  </si>
  <si>
    <t>Bankruptcy or closure of the company</t>
  </si>
  <si>
    <t> Expiry of fixed-term contract/project completion</t>
  </si>
  <si>
    <t>Constructive dismissal</t>
  </si>
  <si>
    <t>Employment Status:</t>
  </si>
  <si>
    <t>Employee's status</t>
  </si>
  <si>
    <t>Employer's EPF contribution rate</t>
  </si>
  <si>
    <t>Employee's EPF contribution rate</t>
  </si>
  <si>
    <t>Downsizing</t>
  </si>
  <si>
    <t>Joint Date</t>
  </si>
  <si>
    <t>select date</t>
  </si>
  <si>
    <t>select month</t>
  </si>
  <si>
    <t>31A</t>
  </si>
  <si>
    <t>Malaysian below age 60</t>
  </si>
  <si>
    <t>Resignation (sexual harassment/threats) / Ordered to perform dangerous duties that are not within the job scope</t>
  </si>
  <si>
    <t>Confirmation Date</t>
  </si>
  <si>
    <t>31B</t>
  </si>
  <si>
    <t>Permanent resident below age 60</t>
  </si>
  <si>
    <t>Employment Terms</t>
  </si>
  <si>
    <t>Contract/Permanent</t>
  </si>
  <si>
    <t xml:space="preserve">If Contract </t>
  </si>
  <si>
    <t>32A</t>
  </si>
  <si>
    <t>Permanent resident age 60 and above</t>
  </si>
  <si>
    <t>Below 1000</t>
  </si>
  <si>
    <t xml:space="preserve">Active  or Resigned or Terminated </t>
  </si>
  <si>
    <t>Select between Permanent or Contract. If user selects Contract user to enter start &amp; End date</t>
  </si>
  <si>
    <t>Non-Malaysian below age 60</t>
  </si>
  <si>
    <t>MONTHLY WAGES (GAJI) </t>
  </si>
  <si>
    <t>EMPLOYEE CONTRIBUTION (CARUMAN PEKERJA) </t>
  </si>
  <si>
    <t>EMPLOYER CONTRIBUTION (CARUMAN MAJIKAN)</t>
  </si>
  <si>
    <t>TOTAL CONTRIBUTION (JUMLAH CARUMAN)</t>
  </si>
  <si>
    <t>Reason for Leaving</t>
  </si>
  <si>
    <t>Select Reason as Created via UF S051</t>
  </si>
  <si>
    <t>If Active hide this Field or Disable</t>
  </si>
  <si>
    <t>Up to RM30 </t>
  </si>
  <si>
    <t>5 Cent</t>
  </si>
  <si>
    <t>10 Cent</t>
  </si>
  <si>
    <t>Leaving  Date</t>
  </si>
  <si>
    <t>35A</t>
  </si>
  <si>
    <t>If Contract Hide this field or Disable</t>
  </si>
  <si>
    <t>&gt; RM30 to RM50 </t>
  </si>
  <si>
    <t>20 Cent</t>
  </si>
  <si>
    <t>Contract End Date</t>
  </si>
  <si>
    <t>35B</t>
  </si>
  <si>
    <t>If Permanent Hide this field or Disable</t>
  </si>
  <si>
    <t>&gt; RM50 to RM70 </t>
  </si>
  <si>
    <t>15 Cent</t>
  </si>
  <si>
    <t>30 Cent</t>
  </si>
  <si>
    <t>Manager:</t>
  </si>
  <si>
    <t xml:space="preserve">Select from Active Staff List </t>
  </si>
  <si>
    <t>36A</t>
  </si>
  <si>
    <t>Active, Resigned etc</t>
  </si>
  <si>
    <t>&gt; RM70 to RM100 </t>
  </si>
  <si>
    <t>40 Cent</t>
  </si>
  <si>
    <t>Superior:</t>
  </si>
  <si>
    <t>36B</t>
  </si>
  <si>
    <t xml:space="preserve">If 32 = Resigned </t>
  </si>
  <si>
    <t>&gt; RM100 to RM140 </t>
  </si>
  <si>
    <t>25 Cent</t>
  </si>
  <si>
    <t>50 Cent</t>
  </si>
  <si>
    <t>Leave Information</t>
  </si>
  <si>
    <t>&gt; RM140 to RM200 </t>
  </si>
  <si>
    <t>35 Cent</t>
  </si>
  <si>
    <t>70 Cent</t>
  </si>
  <si>
    <t>select from list - Staff Group</t>
  </si>
  <si>
    <t>37A</t>
  </si>
  <si>
    <t>UF S045</t>
  </si>
  <si>
    <t>&gt; RM200 to RM300 </t>
  </si>
  <si>
    <t>RM1.00 </t>
  </si>
  <si>
    <t>40A</t>
  </si>
  <si>
    <t>Combo box</t>
  </si>
  <si>
    <t>&gt; RM300 to RM400 </t>
  </si>
  <si>
    <t>40B</t>
  </si>
  <si>
    <t>If Yes display this field.. Construction site workers' are not allowed to use this system thus we will assign someone to apply for them. Allow as many as required.</t>
  </si>
  <si>
    <t>&gt; RM400 to RM500</t>
  </si>
  <si>
    <t>90 Cent</t>
  </si>
  <si>
    <t>&gt; RM600 to RM700 </t>
  </si>
  <si>
    <t>RM1.30 </t>
  </si>
  <si>
    <t>40C</t>
  </si>
  <si>
    <t>As per Malaysian Labour Law  as an when changed.</t>
  </si>
  <si>
    <t>&gt; RM700 to RM800 </t>
  </si>
  <si>
    <t>RM1.50 </t>
  </si>
  <si>
    <t>40D</t>
  </si>
  <si>
    <t>As per Malaysian Labour Law or Appointment Letter or as an when changed.</t>
  </si>
  <si>
    <t>&gt; RM800 to RM900 </t>
  </si>
  <si>
    <t>40E</t>
  </si>
  <si>
    <t>&gt; RM900 to RM1000</t>
  </si>
  <si>
    <t>Salary</t>
  </si>
  <si>
    <t>Combo box - Monthly/Daily/Hourly</t>
  </si>
  <si>
    <t>Qualification At The Time of Jointing</t>
  </si>
  <si>
    <t>Above 1000</t>
  </si>
  <si>
    <t>Qualification</t>
  </si>
  <si>
    <t>Certificate From</t>
  </si>
  <si>
    <t xml:space="preserve">User to Enter all values </t>
  </si>
  <si>
    <t>https://i0.wp.com/blog.talenox.com/wp-content/uploads/2021/01/EIS-CONTRIBUTION-TABLE-KADAR-CARUMAN-SIP-2-1-scaled-1.jpg?resize=1000%2C2250&amp;ssl=1</t>
  </si>
  <si>
    <t>Drop down button UF S053</t>
  </si>
  <si>
    <t xml:space="preserve">We can formulate a Formula and use it. </t>
  </si>
  <si>
    <t xml:space="preserve">Qualification After Jointing </t>
  </si>
  <si>
    <t xml:space="preserve">User to Enter all other values </t>
  </si>
  <si>
    <t>Experience At Time of Joining</t>
  </si>
  <si>
    <t>Firm/Organisation</t>
  </si>
  <si>
    <t>Start/End</t>
  </si>
  <si>
    <t>Experience Details</t>
  </si>
  <si>
    <t>Period</t>
  </si>
  <si>
    <t>Experience After Jointing</t>
  </si>
  <si>
    <t xml:space="preserve">User to Enter all  values </t>
  </si>
  <si>
    <t xml:space="preserve">Licenses and Other Skill Sets </t>
  </si>
  <si>
    <t>Green Card</t>
  </si>
  <si>
    <t>Noish Cert</t>
  </si>
  <si>
    <t>Excavator Licenses</t>
  </si>
  <si>
    <t xml:space="preserve">Accredited Site Supervisor </t>
  </si>
  <si>
    <t>Pdf Copy</t>
  </si>
  <si>
    <t>Application Form &amp; Attached Documents</t>
  </si>
  <si>
    <t>Appointment  letter</t>
  </si>
  <si>
    <t>Confirmation letter</t>
  </si>
  <si>
    <t>If possible drag and Drop</t>
  </si>
  <si>
    <t>40C-1  - Automatically display based on Company Policy</t>
  </si>
  <si>
    <t>40C-2  - Additional days as the years of service increase base on individual cases</t>
  </si>
  <si>
    <t xml:space="preserve">40C-3  -Total Days 40C-1+40C-2 </t>
  </si>
  <si>
    <t>Allow Pdf file of Staff Application, Appointment &amp; Confirmation letter to be save in pdf.</t>
  </si>
  <si>
    <t>Daily Workers Attendance Record</t>
  </si>
  <si>
    <t>Sub Contractors Attendance Record</t>
  </si>
  <si>
    <t>Worker's - Cost Centre  Link</t>
  </si>
  <si>
    <t>Workers - Cost Centre  Link</t>
  </si>
  <si>
    <t>Listbox1 - Display all Active Workers</t>
  </si>
  <si>
    <t>Listbox1 - Display All Organisation with Purchase Type = Construction Contractor &amp; Status=Active</t>
  </si>
  <si>
    <t>Attendance</t>
  </si>
  <si>
    <t>To Keep Direct Labour Attendance, Activity by Cost Centre</t>
  </si>
  <si>
    <t>Toggle Button</t>
  </si>
  <si>
    <t>Listbox1 - Display Dates On User Selecting SCC ir if SCC NA then PCC - 40 days - Newest to Oldest</t>
  </si>
  <si>
    <t>Weather Records &amp; Ground Condition - For Information</t>
  </si>
  <si>
    <t>User Authority</t>
  </si>
  <si>
    <t>Auto Display - Maker, Checker or Approver</t>
  </si>
  <si>
    <t>Groud Condition</t>
  </si>
  <si>
    <t>To Link Activity with Worker</t>
  </si>
  <si>
    <t>Select Cost Centre. Please check whether this user authorised to mark attendance for This PCC</t>
  </si>
  <si>
    <t xml:space="preserve"> 8:00 -  10:00 AM</t>
  </si>
  <si>
    <t>Select PCC. Please check whether this user authorised to mark attendance for This PCC</t>
  </si>
  <si>
    <t xml:space="preserve">Worker Name </t>
  </si>
  <si>
    <t>Display Name Selected via Listbox1</t>
  </si>
  <si>
    <t>On Selection of Listbox1 - Display any Activity Already Map to Worker in Listbox3</t>
  </si>
  <si>
    <t>Sub Contractor Name</t>
  </si>
  <si>
    <t xml:space="preserve">User Name </t>
  </si>
  <si>
    <t xml:space="preserve">Scondary Cost Centre </t>
  </si>
  <si>
    <t xml:space="preserve">Filter SCC Matching PCC Select from List </t>
  </si>
  <si>
    <t>10:00 - 12:00 AM</t>
  </si>
  <si>
    <t>Attendance Date</t>
  </si>
  <si>
    <t>Select Date. Only Days with Weather Marking</t>
  </si>
  <si>
    <t>If Applicable, Filter and Display SCC for this PCC. Else Disable &amp; Skip</t>
  </si>
  <si>
    <t xml:space="preserve">Activity </t>
  </si>
  <si>
    <t>Display the Activity list in 4A. Item cannot be duplicated in inside Listbox2 &amp; Listbox3</t>
  </si>
  <si>
    <t>Listbox1</t>
  </si>
  <si>
    <t xml:space="preserve">Data </t>
  </si>
  <si>
    <t>Select Date</t>
  </si>
  <si>
    <t xml:space="preserve"> 1:00 -   3:00 PM</t>
  </si>
  <si>
    <t>Select Date with Weather Only. If No Weather Marked user to Mark Weather</t>
  </si>
  <si>
    <t>Activity Listing</t>
  </si>
  <si>
    <t>Existing Worker Activity</t>
  </si>
  <si>
    <t>&amp; Also in both listbox. Example Bar Bending should not be in both listbox only in One listbox.</t>
  </si>
  <si>
    <t>Cost Centre Listing</t>
  </si>
  <si>
    <t>Existing Worker's Cost Centre</t>
  </si>
  <si>
    <t>Secondar Cost Centre</t>
  </si>
  <si>
    <t>Select PCC</t>
  </si>
  <si>
    <t>Required. Status - Active PCC</t>
  </si>
  <si>
    <t xml:space="preserve"> 3:00 -   5:00 PM</t>
  </si>
  <si>
    <t>Sub Contractor</t>
  </si>
  <si>
    <t>Auto Display Day of Week</t>
  </si>
  <si>
    <t>List Box 2 - Status=Active Only. As some Activity may not be required. Created Via UF S062</t>
  </si>
  <si>
    <t>Listbox3 - List all Existing Worker Activity if any here. Ensure that the Activity is Status=Active. If previous selected and the current Status is NOT Active remove the activity from list.</t>
  </si>
  <si>
    <t>4A - Listbox 2 - No Duplication of records</t>
  </si>
  <si>
    <t>Listbox 2 - List PCC X SCC in 2 Columns . Only PCC &amp; SCC Status=Active</t>
  </si>
  <si>
    <t>Listbox3 - List all Existing Selected PCC/SCC Status=Active. Allow PCC/SCC to be removed if Necessary</t>
  </si>
  <si>
    <t>Work Order Information</t>
  </si>
  <si>
    <t>Listbox2 - In Edit Mode allow User To Select WO No. In Other Modes Display for Information Only</t>
  </si>
  <si>
    <t>Filter SCC matching PCC Only. Select SCC</t>
  </si>
  <si>
    <t>Refer CA001 Item 8. If SCC =Yes Else Hide Control</t>
  </si>
  <si>
    <t>Display all active SC With Work Order for this PCC/SCC. &amp; WO Status is Active.</t>
  </si>
  <si>
    <t>4B - Listbox 3 - No Duplication of records</t>
  </si>
  <si>
    <t>4B if previous a PCC/SCC was mapped to the Worker and now the PCC/SCC is No more Active then do NOT display this PCC/SCC for the worker.</t>
  </si>
  <si>
    <t>Work Order No</t>
  </si>
  <si>
    <t>Commence Date</t>
  </si>
  <si>
    <t>Display Calendar</t>
  </si>
  <si>
    <t>In Add New Mode Allow User To Enter Data</t>
  </si>
  <si>
    <t>Weather Date</t>
  </si>
  <si>
    <t>Actual Weather Date - display dd-mmm-yyyy. If possible display Calendar Control</t>
  </si>
  <si>
    <t>Listbox1 - Display all active workers &amp; NOT on Leave. Refer to UF SM004</t>
  </si>
  <si>
    <t xml:space="preserve">Listbox2 -  Display All activity match Worker. We will map using UF SM004 each worker to the Activity (What Work he can Do) </t>
  </si>
  <si>
    <t>Listbox3 - Display Entered Data For this Worker</t>
  </si>
  <si>
    <t>Listbox3 if possible Multiple Column i.e. Activity, Start &amp; End Time and Hours Worked. Allow User To Edit Data by Selecting Listbox3. Only Can Edit if higher Authority has NOT approved etc. Listbox</t>
  </si>
  <si>
    <t>Listbox1 - Display All Work Order Matching PCC/SCC and status = Active.</t>
  </si>
  <si>
    <t>Listbox2 - Display All BQ Data Matching Listbox1 Selected</t>
  </si>
  <si>
    <t>Listbox3 - Display Entered Data For this SC. Activity, Time Slot (8:00 AM-12,1-5PM,&gt;5pm) &amp; Total</t>
  </si>
  <si>
    <t>and Purchase Type = Construction Contractor</t>
  </si>
  <si>
    <t>4B Allow user to Remove and Add to Listbox3</t>
  </si>
  <si>
    <t>WO Date</t>
  </si>
  <si>
    <t>Display Callender</t>
  </si>
  <si>
    <t>When User Remove from Listbox3 - Add Same item to Listbox2</t>
  </si>
  <si>
    <t>To Assign Worker's  To Cost Centre. Only those Mapped will be displayed when User Select Cost Centre To Mark Attendance</t>
  </si>
  <si>
    <t>WO Reference</t>
  </si>
  <si>
    <t>Active/Terminated/Completed</t>
  </si>
  <si>
    <t>4A - IF PCC has NO SCC then Display PCC and Next Column Nothing</t>
  </si>
  <si>
    <t>Work Order Description</t>
  </si>
  <si>
    <t>Time</t>
  </si>
  <si>
    <t>Cloddy</t>
  </si>
  <si>
    <t>4A - IF PCC has SCC then Display PCC and Next Column SCC</t>
  </si>
  <si>
    <t>Listbox 2 &amp; Listbox3 (2 Columns)</t>
  </si>
  <si>
    <t>Listrbox2 - Display All Work Description- Matching Work Order No &amp;  PCC/SCC &amp; Sub Contractor &amp; WO Status=Active</t>
  </si>
  <si>
    <t>6C</t>
  </si>
  <si>
    <t>User Can Tick ONLY one tick box i.e.  6A or 6B or 6C</t>
  </si>
  <si>
    <t>Worker Name</t>
  </si>
  <si>
    <t>Display Listbox1 Selection</t>
  </si>
  <si>
    <t xml:space="preserve"> is for This PCC, SCC, Date &amp; Workers Only. On Selection of Another Worker Clear Listbox2 &amp; Listbox3</t>
  </si>
  <si>
    <t>Activity Description</t>
  </si>
  <si>
    <t>As Selected in Listbox2</t>
  </si>
  <si>
    <t>If Not Applicable then disable.</t>
  </si>
  <si>
    <t>To Link Works Activity (What Work he can do) to Worker. To reduce error i.e. selecting works he cant do. To reduce the no of items in list</t>
  </si>
  <si>
    <t>4B - IF PCC has NO SCC then Display PCC and Next Column Nothing</t>
  </si>
  <si>
    <t>PCC1</t>
  </si>
  <si>
    <t>Upon User Entering WO No</t>
  </si>
  <si>
    <t>As Many rows as Required to display the entire WO Work Descriptions. User will select one of this to mark Sub Contractors Daily Attendance.</t>
  </si>
  <si>
    <t>Display Listbox2 Selection</t>
  </si>
  <si>
    <t>Hide if NOT relevant</t>
  </si>
  <si>
    <t>Site supervisor will be able to  select the right person for the job in hand.</t>
  </si>
  <si>
    <t>4B - IF PCC has SCC then Display PCC and Next Column SCC</t>
  </si>
  <si>
    <t>PCC2</t>
  </si>
  <si>
    <t>SCC1</t>
  </si>
  <si>
    <t>SC Attendance</t>
  </si>
  <si>
    <t>8:00 - 12:00</t>
  </si>
  <si>
    <t>1:00 - 5:00</t>
  </si>
  <si>
    <t>After 5:00 PM</t>
  </si>
  <si>
    <t>Man Hours</t>
  </si>
  <si>
    <t>This is applicable for All Cost Centre</t>
  </si>
  <si>
    <t>Both Listbox2 &amp; Listbox3 No Duplication of Data Allowed</t>
  </si>
  <si>
    <t>SCC2</t>
  </si>
  <si>
    <t xml:space="preserve">HH:MM </t>
  </si>
  <si>
    <t>AM/PM</t>
  </si>
  <si>
    <t>Man Days</t>
  </si>
  <si>
    <t>Numerical Value</t>
  </si>
  <si>
    <t>11A+11B+11C</t>
  </si>
  <si>
    <t>How Many Man Worked For each Time slot</t>
  </si>
  <si>
    <t>Thus only Activity (Work) he does is available for selection in Attendance Marking UF SM002 - Listbox2</t>
  </si>
  <si>
    <t>Allow user to Move from Listbox2 &amp; Listbox3 and Vice Versal. But if User Removes from 4B ensure there is NO Attendance with this Cost Centre</t>
  </si>
  <si>
    <t>15A Auto Total. Max Value 8</t>
  </si>
  <si>
    <t>Hourly Rate</t>
  </si>
  <si>
    <t>OT Rate</t>
  </si>
  <si>
    <t>Select Option (1:1 or 1:1.5 or 1:2)</t>
  </si>
  <si>
    <t>11A Display as set in Salary &amp; Wages UF. Phase 2</t>
  </si>
  <si>
    <t>SAVE</t>
  </si>
  <si>
    <t xml:space="preserve">Next </t>
  </si>
  <si>
    <t>11D Convert To Man Hours</t>
  </si>
  <si>
    <t>Check Sample Data Sheet - Column BA for Sample data from Existing System</t>
  </si>
  <si>
    <t>If PCC has been Deactivate i.e. Already Completed - Remove from both Listbox2 &amp; Listbox3. Check CA001 item 16</t>
  </si>
  <si>
    <t>Hours Worked</t>
  </si>
  <si>
    <t>Calculate Hrs</t>
  </si>
  <si>
    <t>Labour Cost - RM</t>
  </si>
  <si>
    <t>4A Check Sample Data Sheet - Column CA for Sample data from Existing System</t>
  </si>
  <si>
    <t xml:space="preserve">If PCC is NOT Active Automatically Remove all PCC - SCC </t>
  </si>
  <si>
    <t xml:space="preserve">Wet </t>
  </si>
  <si>
    <t xml:space="preserve">Next Worker </t>
  </si>
  <si>
    <t>If SCC has been Deactivate i.e. Already Completed - Remove from both Listbox2 &amp; Listbox3. Check CA002 item 8</t>
  </si>
  <si>
    <t>Work Description</t>
  </si>
  <si>
    <t>User To Enter Description in New Mode or Select from Listbox2 in Edit Mode</t>
  </si>
  <si>
    <t>Required Field</t>
  </si>
  <si>
    <t>Can Work</t>
  </si>
  <si>
    <t>Can't Work</t>
  </si>
  <si>
    <t>Machinery &amp; Equipments difficult to move on wet ground. Delivery also difficult</t>
  </si>
  <si>
    <t xml:space="preserve">To Keep Sub Contractor Attendance. Generally we have a clause Minimum workers must be deployed </t>
  </si>
  <si>
    <t>But if User Removes Cost Centre from 4B ensure there is NO Attendance with this Cost Centre. Note Only Active PCC/SCC will be displayed.</t>
  </si>
  <si>
    <t>WO - Rate Only</t>
  </si>
  <si>
    <t>8:00 - 10:00 AM</t>
  </si>
  <si>
    <t>User Can Tick ONLY one tick box i.e.  11A or 11B or 11C</t>
  </si>
  <si>
    <t>If SC request EOT then we will use this Data and Weather Data to justify approval</t>
  </si>
  <si>
    <t>PCC1 has 4 SCC then i.e. SCC1,SACC2,SCC3,SCC4</t>
  </si>
  <si>
    <t xml:space="preserve">Allow user to remove from Listbox3 even if there is Data in Attendance.  User is stating - with this change this worker is NO more working at this PCC/SCC </t>
  </si>
  <si>
    <t>User To Select UOM</t>
  </si>
  <si>
    <t>12A</t>
  </si>
  <si>
    <t>12B</t>
  </si>
  <si>
    <t>12C</t>
  </si>
  <si>
    <t>Purpose To Mark Daily Workers attendance, Activity &amp; Cost Centre. This will be used to Compute Workers Wages.</t>
  </si>
  <si>
    <t>Display all active SC - Defined as those we have marked Purchase Type = Construction Contractor. Refer to UF V002</t>
  </si>
  <si>
    <t>Selected Work Order has 4 Activity</t>
  </si>
  <si>
    <t>If 9-Yes then Disable this Field Else if No then User required to Enter Quantity this field is Compulsory</t>
  </si>
  <si>
    <t>Optional Based on 9</t>
  </si>
  <si>
    <t>1:00 - 3:00 PM</t>
  </si>
  <si>
    <t>13A</t>
  </si>
  <si>
    <t>13B</t>
  </si>
  <si>
    <t>13C</t>
  </si>
  <si>
    <t>5A On Selection of Date - display Weather Records Matching Date, PCC, SCC. In 3B,3C,4B,4C,5B,5C,6B,6C</t>
  </si>
  <si>
    <t>For Each Activity user will update Man days separately</t>
  </si>
  <si>
    <t>On Attendance Date SC Worked in SCC1 &amp; SCC3</t>
  </si>
  <si>
    <t>Rate Per /UOM - RM</t>
  </si>
  <si>
    <t xml:space="preserve">User To Enter Rate </t>
  </si>
  <si>
    <t>3:00 - 5:00 PM</t>
  </si>
  <si>
    <t>14A</t>
  </si>
  <si>
    <t>14B</t>
  </si>
  <si>
    <t>14C</t>
  </si>
  <si>
    <t>From Time</t>
  </si>
  <si>
    <t>User to select Hours and Minute</t>
  </si>
  <si>
    <t xml:space="preserve">Minute in range of 15minites i.e. 0,15,30,45  i.e. 9:15 or 9:30 or 9:45 </t>
  </si>
  <si>
    <t>Example One work Order we have 3 Activity i.e. Carpenter, Bar Bending and Concreting</t>
  </si>
  <si>
    <t>Bar Bending, Concreting</t>
  </si>
  <si>
    <t>Total - RM</t>
  </si>
  <si>
    <t>Auto Calculate if 11 &amp; 12 is NOT Empty</t>
  </si>
  <si>
    <t>15B Auto Total. Max Value 8</t>
  </si>
  <si>
    <t>15AC Auto Total. Max Value 8</t>
  </si>
  <si>
    <t>To Time</t>
  </si>
  <si>
    <t>Minute in range of 15minites i.e. 0,15,30,45  i.e. 17:15 or 17:30 or 17:45</t>
  </si>
  <si>
    <t>All 3 of this will be display in Listbox2</t>
  </si>
  <si>
    <t>SCC3</t>
  </si>
  <si>
    <t>Formwork</t>
  </si>
  <si>
    <t>To Register All Work Order Issued to Sub Contractor</t>
  </si>
  <si>
    <t>7A  - Listbox1 - ONLY List Workers Who is &lt;&gt; On Leave, Worker Linked to This Cost Centre. (If PCC and SCC if Applicable)</t>
  </si>
  <si>
    <t>User will select what this contractor did for the day. In some days he might do Carpenter &amp; Bar Bending Only</t>
  </si>
  <si>
    <t>Attendance will be entered</t>
  </si>
  <si>
    <t>Each Work Order may have 1 or Many BQ</t>
  </si>
  <si>
    <t>7A - NOT applicable then Skip if possible hide field)</t>
  </si>
  <si>
    <t>In this case User will enter data for Carpenter and then Bar Bending</t>
  </si>
  <si>
    <t>User Will Select SCC1</t>
  </si>
  <si>
    <t>Work Order is in Next Phase of Development</t>
  </si>
  <si>
    <t xml:space="preserve">7A - If SCC is NOT relevant Only Match Who is &lt;&gt; Leave &amp; PCC </t>
  </si>
  <si>
    <t>Another day do only concreting etc. Enter One Activity Data Only</t>
  </si>
  <si>
    <t>1st</t>
  </si>
  <si>
    <t>Bar Bending</t>
  </si>
  <si>
    <t>We will initially enter manually and latter link the data when Work Order  Module is Completed</t>
  </si>
  <si>
    <t>7A - On Selection display workers activity list. If not in the list user to Link Worker To Activity using UF SM004</t>
  </si>
  <si>
    <t>If SC works in 2 SCC on the same &amp; does 2 activity  Carpenter &amp; Bar Bending then</t>
  </si>
  <si>
    <t>2nd</t>
  </si>
  <si>
    <t>Concreting</t>
  </si>
  <si>
    <t>7B When user have selected 4,5,6 find and display WO if Any for this Contractor &amp; Display WO No</t>
  </si>
  <si>
    <t>To Mark Daily Weather. Basic requirement in Construction. Also required as supporting documents to apply Extension of Time (EOT)</t>
  </si>
  <si>
    <t>7B - Is full list of Activity linked to Worker</t>
  </si>
  <si>
    <t>User have to enter data 4 times. One for each Cost Centre.</t>
  </si>
  <si>
    <t>Then User will Change SCC3</t>
  </si>
  <si>
    <t xml:space="preserve">In Edit Mode On Selecting Listbox2 Auto display all information. </t>
  </si>
  <si>
    <t>Applicable for Workers UF SM 002, SM003) &amp; Sub Contractors Attendance</t>
  </si>
  <si>
    <t>7C - Based on Attendance Marked - Display Data i.e. Activity, Start Time ,End Time &amp; Hours Work i.e. 4 Columns</t>
  </si>
  <si>
    <t>11D = (11A*4)+(11B*4)+(11C*2)</t>
  </si>
  <si>
    <t>3rd</t>
  </si>
  <si>
    <t>Formworks</t>
  </si>
  <si>
    <t>In Edit Mode - Allow User to add more Work Description if required.</t>
  </si>
  <si>
    <t>Only Days with Weather - User Can Mark Attendance.</t>
  </si>
  <si>
    <t>7C Kindly Display Total Hours worked</t>
  </si>
  <si>
    <t>11D is calculated as Man Hours and NOT Man Days as No of Man in all time slot may be difference</t>
  </si>
  <si>
    <t>In Edit Mode - Allow User to Select from Listbox2. On Selection Auto display 8-13 were applicable.</t>
  </si>
  <si>
    <t>Only Dates with Weather - Will be display to Mark Attendance. No weather NO Attendance - No Payment</t>
  </si>
  <si>
    <t>Each time User Selects Another Worker clear Listbox2 &amp; Listbox3</t>
  </si>
  <si>
    <t>8A = Display WO No and Work Order Description</t>
  </si>
  <si>
    <t>Generally Saturday is Half day 8-12 but if there are works i.e. OT till 5pm then user to mark attendance to 5pm else until 12:00 noon</t>
  </si>
  <si>
    <t>10A - No overlapping of Work Hours. i.e. User selected 8:00 To 11:00, then selects 10:00 To 12:00</t>
  </si>
  <si>
    <t>Each Work Order may have 1 Activity or as many as 25</t>
  </si>
  <si>
    <t>Suggest - All orange as Tick box. On clicking it will add 2 hours. If another column has a tick then auto Untick</t>
  </si>
  <si>
    <t>Less because rain stop works</t>
  </si>
  <si>
    <t>10A -  Prompt Error reject Data</t>
  </si>
  <si>
    <t>Generally Work Order will be given for all SCC in PCC to One Contractor</t>
  </si>
  <si>
    <t>10A + 10B + 10C Max 8 Hours or less.</t>
  </si>
  <si>
    <t xml:space="preserve">End Time Must be After Start Time else prompt error </t>
  </si>
  <si>
    <t>But Possibility of more then 1 SC due to expediting works or Existing SC is behind schedule and unable to deploy more workers</t>
  </si>
  <si>
    <t>15A + 15B + 15C Max 8 Hours</t>
  </si>
  <si>
    <t>11B disable by default. Enable if Total Hours worked Exceed 10 Hours ONLY</t>
  </si>
  <si>
    <t>If worker starts work at 8am and rain at 10am we still pay 8 -12</t>
  </si>
  <si>
    <t>12A is hours works for this Trx &amp; NOT for the entire date. On Selecting Another Activity Clear 10A,10B 12A &amp; 12B</t>
  </si>
  <si>
    <t>If worker starts work at 1pm and rain at 3pm we still pay 1 - 5pm</t>
  </si>
  <si>
    <t>If launch hour is include then less 1 hour. I.e. User enter 8:00AM  to 5:00 PM in this case less 1 hour for launch</t>
  </si>
  <si>
    <t>When Maker has Enter data allow Checker To Select - Edit and Accept</t>
  </si>
  <si>
    <t>If launch hour is include then less 1 hour. I.e. User enter 8:00 to 2:00 PM in this case less 1 hour for launch</t>
  </si>
  <si>
    <t>User can Select Listbox1 to see data and Edit Data provided Higher authority has not approved</t>
  </si>
  <si>
    <t>If launch hour is NOT include then less 1 hour. I.e. User enter 8:00 to 12:00 in this case do not less 1 hour for launch</t>
  </si>
  <si>
    <t>Data must be enter by the days set in U003 4B</t>
  </si>
  <si>
    <t>If launch hour is include then less 1 hour. I.e. User enter 12:00 to 5:00 PM in this case less 1 hour for launch</t>
  </si>
  <si>
    <t>When Authority Level - 2 Opens this Menu - Display only those Weather Awaiting for his confirmation/Verification.</t>
  </si>
  <si>
    <t>If launch hour is NOT include then  i.e. User enter 13:00 to 5:00 PM in this case do not less 1 hour for launch</t>
  </si>
  <si>
    <t>When Authority Level 3 Opens this Menu - Display only those Weather Awaiting for his Approval</t>
  </si>
  <si>
    <t>Launch break 12:00 To 1:00PM</t>
  </si>
  <si>
    <t>In VIEW Mode - All 1,2,3,4 cannot edit data. Display data for User to select and VIEW Data</t>
  </si>
  <si>
    <t>General - This rule is Applicable for All User forms.  Can be edited only if Higher Authority has NOT Verified/Checked or Approved.</t>
  </si>
  <si>
    <t>Authority  1,2,3 &amp; 4 depends on setting in UF U002 3A</t>
  </si>
  <si>
    <t>11A - To Calculate Hourly Rate. Take Daily Wages and divide by 8</t>
  </si>
  <si>
    <t>If 11B = 1:1 then do nothing use 11A as calculated.</t>
  </si>
  <si>
    <t>If 11B = 1:5 then  1.5 * 11A</t>
  </si>
  <si>
    <t>If 11B = 1:2 then  2 * 11A</t>
  </si>
  <si>
    <t>What is it like this?</t>
  </si>
  <si>
    <t>When OT is given when the company needs to complete works urgently and it important we give OT and pay OT Rate</t>
  </si>
  <si>
    <t xml:space="preserve">When worker request OT to earn extra money then we pay 1:1 </t>
  </si>
  <si>
    <t>11B will be decided by Site Supervisor.</t>
  </si>
  <si>
    <t>Since we are developing the Remuneration in Next Phase for the time being its not possible to get 11A,  &amp; 12B</t>
  </si>
  <si>
    <t>If works stop due to rain we still pay for 0.5 days. I.e. starts raining 10Am we pay for 8:00 To 12:00</t>
  </si>
  <si>
    <t>If works stop due to rain we still pay for 1.0 days. I.e. starts raining 3PM we pay for 1:00PM To 5:00PM</t>
  </si>
  <si>
    <t>If morning raining and works start 1:00PM then we pay 0.5 days from 1:00PM to 5:00PM</t>
  </si>
  <si>
    <t>Chart of Accounts</t>
  </si>
  <si>
    <t>If Building or Land If Motor Vehicle Or Equipment caption = Registration No &amp; Serial No</t>
  </si>
  <si>
    <t>Invoice Date</t>
  </si>
  <si>
    <t>Lot No</t>
  </si>
  <si>
    <t>DO</t>
  </si>
  <si>
    <t xml:space="preserve">Units </t>
  </si>
  <si>
    <t>By default 1</t>
  </si>
  <si>
    <t>Financing Details</t>
  </si>
  <si>
    <t>How many months of repayment</t>
  </si>
  <si>
    <t>Percentage flat rate</t>
  </si>
  <si>
    <t>Instalment Amount</t>
  </si>
  <si>
    <t>How much per Month</t>
  </si>
  <si>
    <t>Total Repayment Amount</t>
  </si>
  <si>
    <t>Calculate. Allow user to Edit as some times not all instalment months are same value</t>
  </si>
  <si>
    <t>1st Due Date</t>
  </si>
  <si>
    <t>Last Due Date</t>
  </si>
  <si>
    <t>Enter disposal date</t>
  </si>
  <si>
    <t>Disposal Price - RM</t>
  </si>
  <si>
    <t>Document No</t>
  </si>
  <si>
    <t>i.e. Do No/Invoice No</t>
  </si>
  <si>
    <t>To Whom</t>
  </si>
  <si>
    <t>Who Authorised</t>
  </si>
  <si>
    <t>Technical Details &amp; Specification</t>
  </si>
  <si>
    <t>Make</t>
  </si>
  <si>
    <t>Model</t>
  </si>
  <si>
    <t>Capacity Measurement</t>
  </si>
  <si>
    <t>Powered By</t>
  </si>
  <si>
    <t>Fuel Tank Capacity</t>
  </si>
  <si>
    <t>Consumption /Hour</t>
  </si>
  <si>
    <t xml:space="preserve">Who Will Update </t>
  </si>
  <si>
    <t>Project - Material Budget</t>
  </si>
  <si>
    <t>Estimate Cost of Project Material (If SCC is Applicable for this Project). This include Material &amp; Material Price.</t>
  </si>
  <si>
    <t>Project - Labour Budget</t>
  </si>
  <si>
    <t>Estimate Cost of Project Material (If SCC is Applicable for this Project). This include Labour &amp; Labour Rate</t>
  </si>
  <si>
    <t xml:space="preserve">select percentage </t>
  </si>
  <si>
    <t>Project Plant &amp; Equipment - Budget</t>
  </si>
  <si>
    <t xml:space="preserve">Estimate Cost of Project Material (If SCC is Applicable for this Project). This include Equipment l &amp; Equipment Rate. I.e. Per Hour - Rental Rate - Backhoe </t>
  </si>
  <si>
    <t>Inflation Factor %</t>
  </si>
  <si>
    <t>Project -Direct Overhead - Budget</t>
  </si>
  <si>
    <t>Estimate Cost of Project Material (If SCC is Applicable for this Project). This is Expenses incurable for the project. I.e. Project Insurance, Water, Electricity, Site Staff Salary etc</t>
  </si>
  <si>
    <t>Bill of Quantity</t>
  </si>
  <si>
    <t xml:space="preserve">Project Works list. All works required to complete Project. PCC, SCC, Work Description, UOM, Quantity and Work Rates &amp; Total </t>
  </si>
  <si>
    <t>PB005</t>
  </si>
  <si>
    <t>1,2,4</t>
  </si>
  <si>
    <t>Work -  Resources &amp; Quantity Components</t>
  </si>
  <si>
    <t>To Calculate the cost of One unit of Work. This UF only creates How many units of Resources required to do ONE unit of work.</t>
  </si>
  <si>
    <t>PB006</t>
  </si>
  <si>
    <t>1,2,5</t>
  </si>
  <si>
    <t>select from list</t>
  </si>
  <si>
    <t>Project Estimation - Direct Cost</t>
  </si>
  <si>
    <t xml:space="preserve">This is obtain by Multipling 1 x 6, 2 x 6, 3 x 6 </t>
  </si>
  <si>
    <t>PB007</t>
  </si>
  <si>
    <t>1,2,6</t>
  </si>
  <si>
    <t xml:space="preserve">Project Estimation </t>
  </si>
  <si>
    <t>This is obtain by Adding Overhead (Item 4) &amp; Profit (As set in PCC)</t>
  </si>
  <si>
    <t>PB008</t>
  </si>
  <si>
    <t xml:space="preserve">3rd Level Cost Centre </t>
  </si>
  <si>
    <t xml:space="preserve">4th Level Cost Centre </t>
  </si>
  <si>
    <t>3rd level Activity</t>
  </si>
  <si>
    <t>Including  SCC if applicable</t>
  </si>
  <si>
    <t>Listbox1. Display latest 10 Supplier price. Supplier &amp; Date &amp; Qty &amp; Price</t>
  </si>
  <si>
    <t>Example - Work Concreting G25 - How Much Material, Labour &amp; Equipment Required to Make ONE M3 of Concrete Grade 25. Including placing in the correct place.</t>
  </si>
  <si>
    <t>Item 1,2,3  - Total (After x Quantity in Item 6) is added to 7  by finding How many % is 4  of 7 (just 1x6,2x6,3x6) referred to as direct cost.)</t>
  </si>
  <si>
    <t>Select Supplier - Price Obtain</t>
  </si>
  <si>
    <t>the 3 resources (Labour, Material &amp; Equipment) cost = 100000.00 and 4=5000.00 then 5% will be added To the cost</t>
  </si>
  <si>
    <t>Material &amp; Material Quantity</t>
  </si>
  <si>
    <t>The project profit set in Project will be used to add profit to the say ie 7% then the profit will be 105000.00 x 7%</t>
  </si>
  <si>
    <t>Estimated Quantity</t>
  </si>
  <si>
    <t>Enter Quantity allow 4 decimal points</t>
  </si>
  <si>
    <t>Add Wastage</t>
  </si>
  <si>
    <t>select percentage. By Default use 1A</t>
  </si>
  <si>
    <t>Estimated Wastage Quantity</t>
  </si>
  <si>
    <t>6D</t>
  </si>
  <si>
    <t>Total Budged Quantity</t>
  </si>
  <si>
    <t>6E</t>
  </si>
  <si>
    <t>Material Price - RM</t>
  </si>
  <si>
    <t>Enter Price</t>
  </si>
  <si>
    <t>Adjustment For Inflation</t>
  </si>
  <si>
    <t>select percentage. By Default use 1B</t>
  </si>
  <si>
    <t>Material Cost - RM</t>
  </si>
  <si>
    <t>Budget Value - RM</t>
  </si>
  <si>
    <t>6A - Display Material - Report UOM  - as Default</t>
  </si>
  <si>
    <t xml:space="preserve">6B - User To Enter Actual Quantity </t>
  </si>
  <si>
    <t>6C - User To Select Wastage % - 0 To 20%</t>
  </si>
  <si>
    <t>6D - System To Calculate 6B x 6C</t>
  </si>
  <si>
    <t>6E - System To Add 6B+6D</t>
  </si>
  <si>
    <t>7A - User To Enter Price with help of data displayed in Listbox1 on left</t>
  </si>
  <si>
    <t>7C - System to Compute - 7A x 7B</t>
  </si>
  <si>
    <t>4A - When user select Group display all Material in This group in 4B</t>
  </si>
  <si>
    <t>2A - When user selects 1 if the is SCC then display all SCC for This PCC in 2</t>
  </si>
  <si>
    <t>2B - When user selects 2 if there is 3rd level CC then display all 3rd CC for This SCC in 2C</t>
  </si>
  <si>
    <t>3A  - something like 2A</t>
  </si>
  <si>
    <t>When user click Next only clear 4B,5,6A,6B,6C,6D,6E,7A-7C,8</t>
  </si>
  <si>
    <t>When user click Next only clear 9-17 Excluding 6C</t>
  </si>
  <si>
    <t>When User selects 4B update 6C &amp; 7B</t>
  </si>
  <si>
    <t>Contract &amp;  Contractor Management (CCM)</t>
  </si>
  <si>
    <t>UF_Description</t>
  </si>
  <si>
    <t>Grouping_List_CCM</t>
  </si>
  <si>
    <t>Work Order - Terms &amp; Codition</t>
  </si>
  <si>
    <t>1,2,7</t>
  </si>
  <si>
    <t>When the retension sum to be release auto create a certificate as item 6.</t>
  </si>
  <si>
    <t>1,2,8</t>
  </si>
  <si>
    <t>1,2,9</t>
  </si>
  <si>
    <t>Project Works are sub contractors to other people</t>
  </si>
  <si>
    <t>This sub contractor may include any combination of Resources - Labour Only, Labour &amp; Material or Labour &amp; Equipments</t>
  </si>
  <si>
    <t>Rate will differ according to time, place and resources</t>
  </si>
  <si>
    <t>There is possibility that the Work Rate may change along the period of the project due to expectation circumstances</t>
  </si>
  <si>
    <t>A work Order is issue to contractor stating the scope of work, rates and also the terms and condition of contract.</t>
  </si>
  <si>
    <t>We basically call this contract as Work Order. Simple easy to understand as most sub contractor are foreign who cannot understand contractual terms &amp; condition</t>
  </si>
  <si>
    <t>Terms</t>
  </si>
  <si>
    <t>Meaning</t>
  </si>
  <si>
    <t>What will be done - A work or service - Resources combination of labour, Material and Equipments</t>
  </si>
  <si>
    <t xml:space="preserve">Direct Overhead </t>
  </si>
  <si>
    <t>That is associated directly to a Cost Centre i.e. Construction Site Water &amp; Electricity</t>
  </si>
  <si>
    <t xml:space="preserve">Direct Workers </t>
  </si>
  <si>
    <t>Also refer to Worker</t>
  </si>
  <si>
    <t>EOT</t>
  </si>
  <si>
    <t>Extension of Time</t>
  </si>
  <si>
    <t xml:space="preserve">Indirect Overhead </t>
  </si>
  <si>
    <t>That is associated indirectly to a Cost Centre i.e. Office Water &amp; Electricity. This is to be shared by All Cost Centre.</t>
  </si>
  <si>
    <t>Material Requisition</t>
  </si>
  <si>
    <t xml:space="preserve">MRA </t>
  </si>
  <si>
    <t>Material Requisition Approval</t>
  </si>
  <si>
    <t>Office Staff</t>
  </si>
  <si>
    <t>Staff working at the office</t>
  </si>
  <si>
    <t>PH</t>
  </si>
  <si>
    <t>PO</t>
  </si>
  <si>
    <t>Preliminary Expenses</t>
  </si>
  <si>
    <t>This are Direct Overhead for Project. This is generally incurred upfront. I.e. Insurance for Project is bought for Cost Centre befor4e commencing</t>
  </si>
  <si>
    <t xml:space="preserve">Primary </t>
  </si>
  <si>
    <t>1st level</t>
  </si>
  <si>
    <t>Document Send to Vendor requesting supply</t>
  </si>
  <si>
    <t>Request for Quotation</t>
  </si>
  <si>
    <t>Document Send to Vendor asking him for Price</t>
  </si>
  <si>
    <t>One or More of Labour, Material &amp; Equipments</t>
  </si>
  <si>
    <t>RFQ</t>
  </si>
  <si>
    <t>SC</t>
  </si>
  <si>
    <t xml:space="preserve">Secondary </t>
  </si>
  <si>
    <t>2nd level</t>
  </si>
  <si>
    <t>Site Staff</t>
  </si>
  <si>
    <t xml:space="preserve">Staff working at Site </t>
  </si>
  <si>
    <t>Site Management System - A Module in Phase 1</t>
  </si>
  <si>
    <t xml:space="preserve">Staff </t>
  </si>
  <si>
    <t>Staff drawing Monthly Salary</t>
  </si>
  <si>
    <t>Trx</t>
  </si>
  <si>
    <t>Transection</t>
  </si>
  <si>
    <t>UF</t>
  </si>
  <si>
    <t>User Form</t>
  </si>
  <si>
    <t>W/O</t>
  </si>
  <si>
    <t xml:space="preserve">Without </t>
  </si>
  <si>
    <t>When Vendor  supplying material, labour, Equipments. If Only Material we issue Purchase Order</t>
  </si>
  <si>
    <t xml:space="preserve">Worker </t>
  </si>
  <si>
    <t>Generally working at the site with Daily payment</t>
  </si>
  <si>
    <t>Work, Product &amp; Services</t>
  </si>
  <si>
    <t xml:space="preserve">Weather Records </t>
  </si>
  <si>
    <t xml:space="preserve">Worker's  ActivityTable </t>
  </si>
  <si>
    <t>Back</t>
  </si>
  <si>
    <t>Workers - Activity List - Bahasa</t>
  </si>
  <si>
    <t>8am - 12pm</t>
  </si>
  <si>
    <t>2pm - 5pm</t>
  </si>
  <si>
    <t>Ignore</t>
  </si>
  <si>
    <t>Date_Numeric_Value</t>
  </si>
  <si>
    <t>Phase_Code</t>
  </si>
  <si>
    <t>Key_Code</t>
  </si>
  <si>
    <t>Weather_Morning</t>
  </si>
  <si>
    <t>Ground Condition1</t>
  </si>
  <si>
    <t>Morn_Hrs</t>
  </si>
  <si>
    <t>Weather_Afternoon</t>
  </si>
  <si>
    <t>Ground Condition2</t>
  </si>
  <si>
    <t>After_Hrs</t>
  </si>
  <si>
    <t xml:space="preserve">Date &amp; Time </t>
  </si>
  <si>
    <t>Worker Code</t>
  </si>
  <si>
    <t>Unique_ID</t>
  </si>
  <si>
    <t>User Name</t>
  </si>
  <si>
    <t>Date &amp; Time</t>
  </si>
  <si>
    <t>Activity_English</t>
  </si>
  <si>
    <t>Activity_Bahasa</t>
  </si>
  <si>
    <t>Activity Code</t>
  </si>
  <si>
    <t>Activity Code2</t>
  </si>
  <si>
    <t>Date_Time</t>
  </si>
  <si>
    <t>16-Aug-2023</t>
  </si>
  <si>
    <t>TAM3P1</t>
  </si>
  <si>
    <t>45154-TAM3P1</t>
  </si>
  <si>
    <t>Active</t>
  </si>
  <si>
    <t>Created By  Vethamuthu</t>
  </si>
  <si>
    <t>17/8/2023   12:20:52 PM</t>
  </si>
  <si>
    <t xml:space="preserve">Kumar </t>
  </si>
  <si>
    <t>Backhoe</t>
  </si>
  <si>
    <t>25/1/2022 5:02:06 PM</t>
  </si>
  <si>
    <t>Apron Works</t>
  </si>
  <si>
    <t>Kerja Apron</t>
  </si>
  <si>
    <t>MW</t>
  </si>
  <si>
    <t>MW-04</t>
  </si>
  <si>
    <t>15-Aug-2023</t>
  </si>
  <si>
    <t>45153-TAM3P1</t>
  </si>
  <si>
    <t>17/8/2023   12:20:45 PM</t>
  </si>
  <si>
    <t>Compactor</t>
  </si>
  <si>
    <t>Wire Mesh &amp; Steel Bar</t>
  </si>
  <si>
    <t>BRC &amp; Bar Keluli</t>
  </si>
  <si>
    <t>RC</t>
  </si>
  <si>
    <t>RC-03</t>
  </si>
  <si>
    <t>14-Aug-2023</t>
  </si>
  <si>
    <t>45152-TAM3P1</t>
  </si>
  <si>
    <t>17/8/2023   12:20:33 PM</t>
  </si>
  <si>
    <t>Dump Truck</t>
  </si>
  <si>
    <t>Brickwork</t>
  </si>
  <si>
    <t>Kerja Batu Bata</t>
  </si>
  <si>
    <t>MW-01</t>
  </si>
  <si>
    <t>13-Aug-2023</t>
  </si>
  <si>
    <t>45151-TAM3P1</t>
  </si>
  <si>
    <t>17/8/2023   12:20:27 PM</t>
  </si>
  <si>
    <t xml:space="preserve">Excavator </t>
  </si>
  <si>
    <t>Casting Bollards</t>
  </si>
  <si>
    <t>RC-04</t>
  </si>
  <si>
    <t>12-Aug-2023</t>
  </si>
  <si>
    <t>45150-TAM3P1</t>
  </si>
  <si>
    <t>17/8/2023   12:20:18 PM</t>
  </si>
  <si>
    <t>Mini Excavator</t>
  </si>
  <si>
    <t>Casting Lintels</t>
  </si>
  <si>
    <t>MW-07</t>
  </si>
  <si>
    <t>11-Aug-2023</t>
  </si>
  <si>
    <t>45149-TAM3P1</t>
  </si>
  <si>
    <t>17/8/2023   12:20:11 PM</t>
  </si>
  <si>
    <t>26-NA</t>
  </si>
  <si>
    <t>Cidb Accreditation</t>
  </si>
  <si>
    <t>Akreditasi Cidb</t>
  </si>
  <si>
    <t>HR</t>
  </si>
  <si>
    <t>HR-02</t>
  </si>
  <si>
    <t>10-Aug-2023</t>
  </si>
  <si>
    <t>45148-TAM3P1</t>
  </si>
  <si>
    <t>17/8/2023   12:20:04 PM</t>
  </si>
  <si>
    <t>Ramesh</t>
  </si>
  <si>
    <t>Cidb Course</t>
  </si>
  <si>
    <t>Kursus Cidb</t>
  </si>
  <si>
    <t>HR-01</t>
  </si>
  <si>
    <t>09-Aug-2023</t>
  </si>
  <si>
    <t>45147-TAM3P1</t>
  </si>
  <si>
    <t>17/8/2023   12:19:55 PM</t>
  </si>
  <si>
    <t>Memkonkritkan</t>
  </si>
  <si>
    <t>SM</t>
  </si>
  <si>
    <t>SM-01</t>
  </si>
  <si>
    <t>08-Aug-2023</t>
  </si>
  <si>
    <t>45146-TAM3P1</t>
  </si>
  <si>
    <t>17/8/2023   12:19:48 PM</t>
  </si>
  <si>
    <t>Course</t>
  </si>
  <si>
    <t>Kursus</t>
  </si>
  <si>
    <t>HR-03</t>
  </si>
  <si>
    <t>07-Aug-2023</t>
  </si>
  <si>
    <t>45145-TAM3P1</t>
  </si>
  <si>
    <t>17/8/2023   12:19:38 PM</t>
  </si>
  <si>
    <t xml:space="preserve">Cube Test </t>
  </si>
  <si>
    <t>Ujian Kiub</t>
  </si>
  <si>
    <t>RC-05</t>
  </si>
  <si>
    <t>05-Aug-2023</t>
  </si>
  <si>
    <t>45143-TAM3P1</t>
  </si>
  <si>
    <t>17/8/2023   12:19:30 PM</t>
  </si>
  <si>
    <t>Cutting Grass</t>
  </si>
  <si>
    <t>Memotong Rumput</t>
  </si>
  <si>
    <t>CC</t>
  </si>
  <si>
    <t>CC-01</t>
  </si>
  <si>
    <t>04-Aug-2023</t>
  </si>
  <si>
    <t>45142-TAM3P1</t>
  </si>
  <si>
    <t>17/8/2023   12:19:22 PM</t>
  </si>
  <si>
    <t>Zeb Khan - Rksb</t>
  </si>
  <si>
    <t>Defect Rectification - House</t>
  </si>
  <si>
    <t>Pembetulan Kecacatan - Rumah</t>
  </si>
  <si>
    <t>DR</t>
  </si>
  <si>
    <t>DR-01</t>
  </si>
  <si>
    <t>03-Aug-2023</t>
  </si>
  <si>
    <t>45141-TAM3P1</t>
  </si>
  <si>
    <t>17/8/2023   12:19:14 PM</t>
  </si>
  <si>
    <t>Defect work</t>
  </si>
  <si>
    <t>29-Defect work</t>
  </si>
  <si>
    <t>Nabila</t>
  </si>
  <si>
    <t>Defect Rectification - Infra</t>
  </si>
  <si>
    <t>Pembetulan Kecacatan - Infra</t>
  </si>
  <si>
    <t>DR-02</t>
  </si>
  <si>
    <t>02-Aug-2023</t>
  </si>
  <si>
    <t>45140-TAM3P1</t>
  </si>
  <si>
    <t>17/8/2023   12:19:06 PM</t>
  </si>
  <si>
    <t>House Cleaning</t>
  </si>
  <si>
    <t>Drain &amp; Road Cleaning</t>
  </si>
  <si>
    <t>Pembersihan Longkang &amp; Jalan</t>
  </si>
  <si>
    <t>CC-03</t>
  </si>
  <si>
    <t>01-Aug-2023</t>
  </si>
  <si>
    <t>45139-TAM3P1</t>
  </si>
  <si>
    <t>17/8/2023   12:08:43 PM</t>
  </si>
  <si>
    <t>Repairing crack</t>
  </si>
  <si>
    <t>29-Repairing crack</t>
  </si>
  <si>
    <t>Drain Cleaning</t>
  </si>
  <si>
    <t>Pembersihan Longkang</t>
  </si>
  <si>
    <t>SM-02</t>
  </si>
  <si>
    <t>31-Jul-2023</t>
  </si>
  <si>
    <t>45138-TAM3P1</t>
  </si>
  <si>
    <t>17/8/2023   12:08:35 PM</t>
  </si>
  <si>
    <t>Drainage Works</t>
  </si>
  <si>
    <t>Kerja-kerja Saliran</t>
  </si>
  <si>
    <t>DW</t>
  </si>
  <si>
    <t>DW-01</t>
  </si>
  <si>
    <t>29-Jul-2023</t>
  </si>
  <si>
    <t>45136-TAM3P1</t>
  </si>
  <si>
    <t>17/8/2023   12:08:26 PM</t>
  </si>
  <si>
    <t>Shah Razimin - Rksb</t>
  </si>
  <si>
    <t>30-Brickwork</t>
  </si>
  <si>
    <t>General Works</t>
  </si>
  <si>
    <t>Kerja Am</t>
  </si>
  <si>
    <t>SM-04</t>
  </si>
  <si>
    <t>28-Jul-2023</t>
  </si>
  <si>
    <t>45135-TAM3P1</t>
  </si>
  <si>
    <t>17/8/2023   12:08:17 PM</t>
  </si>
  <si>
    <t>30-House Cleaning</t>
  </si>
  <si>
    <t>26/9/2022 11:13:47 AM</t>
  </si>
  <si>
    <t>Hacking  - Drain</t>
  </si>
  <si>
    <t>Menggodam - Longkang</t>
  </si>
  <si>
    <t>DW-02</t>
  </si>
  <si>
    <t>27-Jul-2023</t>
  </si>
  <si>
    <t>45134-TAM3P1</t>
  </si>
  <si>
    <t>17/8/2023   12:06:28 PM</t>
  </si>
  <si>
    <t>Levelling platform</t>
  </si>
  <si>
    <t>30-Levelling platform</t>
  </si>
  <si>
    <t>Hacking  - House</t>
  </si>
  <si>
    <t>Penggodaman - Rumah</t>
  </si>
  <si>
    <t>RC-02</t>
  </si>
  <si>
    <t>45132-TAM3P1</t>
  </si>
  <si>
    <t xml:space="preserve">Auto Copied From Excel File </t>
  </si>
  <si>
    <t>Site clearing</t>
  </si>
  <si>
    <t>30-Site clearing</t>
  </si>
  <si>
    <t>Pembersihan rumah</t>
  </si>
  <si>
    <t>SM-05</t>
  </si>
  <si>
    <t>45131-TAM3P1</t>
  </si>
  <si>
    <t>Aqip Zaman - Rksb</t>
  </si>
  <si>
    <t>31-Brickwork</t>
  </si>
  <si>
    <t>Install Exmet</t>
  </si>
  <si>
    <t>Pasang Exmet</t>
  </si>
  <si>
    <t>MW-02</t>
  </si>
  <si>
    <t>45129-TAM3P1</t>
  </si>
  <si>
    <t>Install House Number Plate</t>
  </si>
  <si>
    <t>Pasang Nombor Plat Rumah</t>
  </si>
  <si>
    <t>CC-02</t>
  </si>
  <si>
    <t>45128-TAM3P1</t>
  </si>
  <si>
    <t>31-Levelling platform</t>
  </si>
  <si>
    <t>Lay Crusher Run</t>
  </si>
  <si>
    <t>RW</t>
  </si>
  <si>
    <t>RW-02</t>
  </si>
  <si>
    <t>45127-TAM3P1</t>
  </si>
  <si>
    <t>Setting out</t>
  </si>
  <si>
    <t>31-Setting out</t>
  </si>
  <si>
    <t>Levelling Platform</t>
  </si>
  <si>
    <t>Platform Meratakan</t>
  </si>
  <si>
    <t>EW</t>
  </si>
  <si>
    <t>EW-01</t>
  </si>
  <si>
    <t>45126-TAM3P1</t>
  </si>
  <si>
    <t>Transfering materials</t>
  </si>
  <si>
    <t>31-Transfering materials</t>
  </si>
  <si>
    <t>Machinery Maintainence</t>
  </si>
  <si>
    <t>Penyelenggaraan Jentera</t>
  </si>
  <si>
    <t>MM-01</t>
  </si>
  <si>
    <t>45125-TAM3P1</t>
  </si>
  <si>
    <t>Working for lintol</t>
  </si>
  <si>
    <t>31-Working for lintol</t>
  </si>
  <si>
    <t>Medical Check Up</t>
  </si>
  <si>
    <t>Pemeriksaan kesihatan</t>
  </si>
  <si>
    <t>HR-05</t>
  </si>
  <si>
    <t>45124-TAM3P1</t>
  </si>
  <si>
    <t>Faruk - TW - Ekramul</t>
  </si>
  <si>
    <t>Meeting</t>
  </si>
  <si>
    <t>Mesyuarat</t>
  </si>
  <si>
    <t>HR-04</t>
  </si>
  <si>
    <t>45122-TAM3P1</t>
  </si>
  <si>
    <t>Munir - TW - Ekramul</t>
  </si>
  <si>
    <t>Na</t>
  </si>
  <si>
    <t>NA-01</t>
  </si>
  <si>
    <t>45121-TAM3P1</t>
  </si>
  <si>
    <t>Nur Islam - TW - Ekramul</t>
  </si>
  <si>
    <t>Operate Backhoe</t>
  </si>
  <si>
    <t>Mengendalikan Backhoe</t>
  </si>
  <si>
    <t>OM</t>
  </si>
  <si>
    <t>OM-01</t>
  </si>
  <si>
    <t>45120-TAM3P1</t>
  </si>
  <si>
    <t>Sajib Miah - Rksb</t>
  </si>
  <si>
    <t>Operate Compactor</t>
  </si>
  <si>
    <t>Mengendalikan Compactor</t>
  </si>
  <si>
    <t>OM-02</t>
  </si>
  <si>
    <t>45119-TAM3P1</t>
  </si>
  <si>
    <t>Kesavan A/l Batamalay</t>
  </si>
  <si>
    <t>Operate Dump Truck</t>
  </si>
  <si>
    <t>Mengendalikan Trak Dump</t>
  </si>
  <si>
    <t>OM-03</t>
  </si>
  <si>
    <t>45118-TAM3P1</t>
  </si>
  <si>
    <t>OM-04</t>
  </si>
  <si>
    <t>45117-TAM3P1</t>
  </si>
  <si>
    <t>Operate Excavator Ex200</t>
  </si>
  <si>
    <t>Mengendalikan Excavator Ex200</t>
  </si>
  <si>
    <t>OM-05</t>
  </si>
  <si>
    <t>45115-TAM3P1</t>
  </si>
  <si>
    <t>Operate Excavator Hitachi Mini</t>
  </si>
  <si>
    <t>Mengendalikan Penggali Hitachi Mini</t>
  </si>
  <si>
    <t>OM-06</t>
  </si>
  <si>
    <t>45114-TAM3P1</t>
  </si>
  <si>
    <t>Operate Lorry 3T</t>
  </si>
  <si>
    <t>Mengendalikan Lori 3T</t>
  </si>
  <si>
    <t>OM-07</t>
  </si>
  <si>
    <t>45113-TAM3P1</t>
  </si>
  <si>
    <t>Premaraj A/L Nadarajan</t>
  </si>
  <si>
    <t>Lorry</t>
  </si>
  <si>
    <t xml:space="preserve">Operating Machinery </t>
  </si>
  <si>
    <t>Jentera Operasi</t>
  </si>
  <si>
    <t>OM-08</t>
  </si>
  <si>
    <t>45112-TAM3P1</t>
  </si>
  <si>
    <t>Outside Site Work</t>
  </si>
  <si>
    <t>Kerja Tapak Luar</t>
  </si>
  <si>
    <t>OS</t>
  </si>
  <si>
    <t>OS-01</t>
  </si>
  <si>
    <t>45111-TAM3P1</t>
  </si>
  <si>
    <t>40-Transfering materials</t>
  </si>
  <si>
    <t>Plastering</t>
  </si>
  <si>
    <t>Melepa</t>
  </si>
  <si>
    <t>MW-03</t>
  </si>
  <si>
    <t>45110-TAM3P1</t>
  </si>
  <si>
    <t>Salleh</t>
  </si>
  <si>
    <t>41-Brickwork</t>
  </si>
  <si>
    <t>Platform Preparation - House</t>
  </si>
  <si>
    <t>Penyediaan Platform - Rumah</t>
  </si>
  <si>
    <t>EW-04</t>
  </si>
  <si>
    <t>45108-TAM3P1</t>
  </si>
  <si>
    <t>41-Plastering</t>
  </si>
  <si>
    <t>26/9/2022 11:28:51 AM</t>
  </si>
  <si>
    <t>Platform Preparation - Road</t>
  </si>
  <si>
    <t>Penyediaan Platform - Jalan</t>
  </si>
  <si>
    <t>EW-05</t>
  </si>
  <si>
    <t>45107-TAM3P1</t>
  </si>
  <si>
    <t>Misria</t>
  </si>
  <si>
    <t>42-Brickwork</t>
  </si>
  <si>
    <t>Platform Preparation - Tnb</t>
  </si>
  <si>
    <t>Penyediaan Platform - Tnb</t>
  </si>
  <si>
    <t>TS</t>
  </si>
  <si>
    <t>TS-01</t>
  </si>
  <si>
    <t>45105-TAM3P1</t>
  </si>
  <si>
    <t>Marhawi</t>
  </si>
  <si>
    <t>43-Brickwork</t>
  </si>
  <si>
    <t>Road Cleaning</t>
  </si>
  <si>
    <t>Pembersihan Jalan</t>
  </si>
  <si>
    <t>SM-03</t>
  </si>
  <si>
    <t>45104-TAM3P1</t>
  </si>
  <si>
    <t>Musyarraf</t>
  </si>
  <si>
    <t>44-Brickwork</t>
  </si>
  <si>
    <t>SM-06</t>
  </si>
  <si>
    <t>45103-TAM3P1</t>
  </si>
  <si>
    <t>Bahriyah</t>
  </si>
  <si>
    <t>45-Brickwork</t>
  </si>
  <si>
    <t>Road Testing</t>
  </si>
  <si>
    <t>Ujian Jalan Raya</t>
  </si>
  <si>
    <t>RW-01</t>
  </si>
  <si>
    <t>45101-TAM3P1</t>
  </si>
  <si>
    <t>Mat Razak</t>
  </si>
  <si>
    <t>46-Brickwork</t>
  </si>
  <si>
    <t>Septic Tank Installation</t>
  </si>
  <si>
    <t>Pemasangan Tangki Septik</t>
  </si>
  <si>
    <t>MW-05</t>
  </si>
  <si>
    <t>45100-TAM3P1</t>
  </si>
  <si>
    <t>49-Brickwork</t>
  </si>
  <si>
    <t>EW-02</t>
  </si>
  <si>
    <t>45099-TAM3P1</t>
  </si>
  <si>
    <t>Haider Khan - Rksb</t>
  </si>
  <si>
    <t>Site Clearing</t>
  </si>
  <si>
    <t>Pembersihan Tapak</t>
  </si>
  <si>
    <t>SM-07</t>
  </si>
  <si>
    <t>45098-TAM3P1</t>
  </si>
  <si>
    <t>4-Drain Cleaning</t>
  </si>
  <si>
    <t>15/2/2022 9:50:25 PM</t>
  </si>
  <si>
    <t>SS</t>
  </si>
  <si>
    <t>SS-01</t>
  </si>
  <si>
    <t>45097-TAM3P1</t>
  </si>
  <si>
    <t>Spah Tank</t>
  </si>
  <si>
    <t>Tangki Spah</t>
  </si>
  <si>
    <t>MW-06</t>
  </si>
  <si>
    <t>45096-TAM3P1</t>
  </si>
  <si>
    <t>Transfering Materials</t>
  </si>
  <si>
    <t>Memindahkan Bahan</t>
  </si>
  <si>
    <t>MM-02</t>
  </si>
  <si>
    <t>45094-TAM3P1</t>
  </si>
  <si>
    <t>4-Transfering materials</t>
  </si>
  <si>
    <t>Trurfing</t>
  </si>
  <si>
    <t>LC</t>
  </si>
  <si>
    <t>LC-01</t>
  </si>
  <si>
    <t>45093-TAM3P1</t>
  </si>
  <si>
    <t>Unloading Material</t>
  </si>
  <si>
    <t>Memunggah Bahan</t>
  </si>
  <si>
    <t>MM-03</t>
  </si>
  <si>
    <t>45092-TAM3P1</t>
  </si>
  <si>
    <t>Wash Lorry Tyre</t>
  </si>
  <si>
    <t>Basuh Tayar Lori</t>
  </si>
  <si>
    <t>EW-03</t>
  </si>
  <si>
    <t>45091-TAM3P1</t>
  </si>
  <si>
    <t xml:space="preserve">Work Permit </t>
  </si>
  <si>
    <t>Permit bekerja</t>
  </si>
  <si>
    <t>HR-06</t>
  </si>
  <si>
    <t>45090-TAM3P1</t>
  </si>
  <si>
    <t>Working For Sub Contractor</t>
  </si>
  <si>
    <t>Bekerja Untuk Sub Kontraktor</t>
  </si>
  <si>
    <t>RC-01</t>
  </si>
  <si>
    <t>45089-TAM3P1</t>
  </si>
  <si>
    <t>45087-TAM3P1</t>
  </si>
  <si>
    <t>45086-TAM3P1</t>
  </si>
  <si>
    <t>45085-TAM3P1</t>
  </si>
  <si>
    <t>45084-TAM3P1</t>
  </si>
  <si>
    <t>45083-TAM3P1</t>
  </si>
  <si>
    <t>45080-TAM3P1</t>
  </si>
  <si>
    <t>45079-TAM3P1</t>
  </si>
  <si>
    <t>45078-TAM3P1</t>
  </si>
  <si>
    <t>45077-TAM3P1</t>
  </si>
  <si>
    <t>45076-TAM3P1</t>
  </si>
  <si>
    <t>45075-TAM3P1</t>
  </si>
  <si>
    <t>45073-TAM3P1</t>
  </si>
  <si>
    <t>45072-TAM3P1</t>
  </si>
  <si>
    <t>45071-TAM3P1</t>
  </si>
  <si>
    <t>45070-TAM3P1</t>
  </si>
  <si>
    <t>45069-TAM3P1</t>
  </si>
  <si>
    <t>45068-TAM3P1</t>
  </si>
  <si>
    <t>45066-TAM3P1</t>
  </si>
  <si>
    <t>45065-TAM3P1</t>
  </si>
  <si>
    <t>45064-TAM3P1</t>
  </si>
  <si>
    <t>45063-TAM3P1</t>
  </si>
  <si>
    <t>45062-TAM3P1</t>
  </si>
  <si>
    <t>45061-TAM3P1</t>
  </si>
  <si>
    <t>45059-TAM3P1</t>
  </si>
  <si>
    <t>45058-TAM3P1</t>
  </si>
  <si>
    <t>45057-TAM3P1</t>
  </si>
  <si>
    <t>45056-TAM3P1</t>
  </si>
  <si>
    <t>45055-TAM3P1</t>
  </si>
  <si>
    <t>45054-TAM3P1</t>
  </si>
  <si>
    <t>45052-TAM3P1</t>
  </si>
  <si>
    <t>45051-TAM3P1</t>
  </si>
  <si>
    <t>45049-TAM3P1</t>
  </si>
  <si>
    <t>45048-TAM3P1</t>
  </si>
  <si>
    <t>45045-TAM3P1</t>
  </si>
  <si>
    <t>45044-TAM3P1</t>
  </si>
  <si>
    <t>45043-TAM3P1</t>
  </si>
  <si>
    <t>45042-TAM3P1</t>
  </si>
  <si>
    <t>45041-TAM3P1</t>
  </si>
  <si>
    <t>45036-TAM3P1</t>
  </si>
  <si>
    <t>45035-TAM3P1</t>
  </si>
  <si>
    <t>45034-TAM3P1</t>
  </si>
  <si>
    <t>45033-TAM3P1</t>
  </si>
  <si>
    <t>45030-TAM3P1</t>
  </si>
  <si>
    <t>45029-TAM3P1</t>
  </si>
  <si>
    <t>45028-TAM3P1</t>
  </si>
  <si>
    <t>45027-TAM3P1</t>
  </si>
  <si>
    <t>45026-TAM3P1</t>
  </si>
  <si>
    <t>45024-TAM3P1</t>
  </si>
  <si>
    <t>45023-TAM3P1</t>
  </si>
  <si>
    <t>45022-TAM3P1</t>
  </si>
  <si>
    <t>45021-TAM3P1</t>
  </si>
  <si>
    <t>45020-TAM3P1</t>
  </si>
  <si>
    <t>45019-TAM3P1</t>
  </si>
  <si>
    <t>45018-TAM3P1</t>
  </si>
  <si>
    <t>45017-TAM3P1</t>
  </si>
  <si>
    <t>TSBP1</t>
  </si>
  <si>
    <t>45017-TSBP1</t>
  </si>
  <si>
    <t>45016-TAM3P1</t>
  </si>
  <si>
    <t>45016-TSBP1</t>
  </si>
  <si>
    <t>45015-TAM3P1</t>
  </si>
  <si>
    <t>45015-TSBP1</t>
  </si>
  <si>
    <t>45014-TAM3P1</t>
  </si>
  <si>
    <t>45014-TSBP1</t>
  </si>
  <si>
    <t>45013-TAM3P1</t>
  </si>
  <si>
    <t>45013-TSBP1</t>
  </si>
  <si>
    <t>45012-TAM3P1</t>
  </si>
  <si>
    <t>45012-TSBP1</t>
  </si>
  <si>
    <t>45010-TAM3P1</t>
  </si>
  <si>
    <t>45010-TSBP1</t>
  </si>
  <si>
    <t>45009-TAM3P1</t>
  </si>
  <si>
    <t>45009-TSBP1</t>
  </si>
  <si>
    <t>45008-TAM3P1</t>
  </si>
  <si>
    <t>45007-TAM3P1</t>
  </si>
  <si>
    <t>45007-TSBP1</t>
  </si>
  <si>
    <t>45006-TAM3P1</t>
  </si>
  <si>
    <t>45006-TSBP1</t>
  </si>
  <si>
    <t>45005-TAM3P1</t>
  </si>
  <si>
    <t>45004-TAM3P1</t>
  </si>
  <si>
    <t>45003-TAM3P1</t>
  </si>
  <si>
    <t>45003-TSBP1</t>
  </si>
  <si>
    <t>45002-TAM3P1</t>
  </si>
  <si>
    <t>45002-TSBP1</t>
  </si>
  <si>
    <t>45001-TAM3P1</t>
  </si>
  <si>
    <t>45001-TSBP1</t>
  </si>
  <si>
    <t>45000-TAM3P1</t>
  </si>
  <si>
    <t>45000-TSBP1</t>
  </si>
  <si>
    <t>44999-TAM3P1</t>
  </si>
  <si>
    <t>44999-TSBP1</t>
  </si>
  <si>
    <t>44998-TAM3P1</t>
  </si>
  <si>
    <t>44998-TSBP1</t>
  </si>
  <si>
    <t>44997-TAM3P1</t>
  </si>
  <si>
    <t>44996-TAM3P1</t>
  </si>
  <si>
    <t>44996-TSBP1</t>
  </si>
  <si>
    <t>44995-TAM3P1</t>
  </si>
  <si>
    <t>44995-TSBP1</t>
  </si>
  <si>
    <t>44994-TAM3P1</t>
  </si>
  <si>
    <t>44994-TSBP1</t>
  </si>
  <si>
    <t>44993-TAM3P1</t>
  </si>
  <si>
    <t>44993-TSBP1</t>
  </si>
  <si>
    <t>44992-TAM3P1</t>
  </si>
  <si>
    <t>44992-TSBP1</t>
  </si>
  <si>
    <t>44991-TAM3P1</t>
  </si>
  <si>
    <t>44991-TSBP1</t>
  </si>
  <si>
    <t>44990-TAM3P1</t>
  </si>
  <si>
    <t>44989-TAM3P1</t>
  </si>
  <si>
    <t>44989-TSBP1</t>
  </si>
  <si>
    <t>44988-TAM3P1</t>
  </si>
  <si>
    <t>44988-TSBP1</t>
  </si>
  <si>
    <t>44987-TAM3P1</t>
  </si>
  <si>
    <t>44987-TSBP1</t>
  </si>
  <si>
    <t>44986-TAM3P1</t>
  </si>
  <si>
    <t>44985-TAM3P1</t>
  </si>
  <si>
    <t>44984-TAM3P1</t>
  </si>
  <si>
    <t>44983-TAM3P1</t>
  </si>
  <si>
    <t>44982-TAM3P1</t>
  </si>
  <si>
    <t>44981-TAM3P1</t>
  </si>
  <si>
    <t>44980-TAM3P1</t>
  </si>
  <si>
    <t>44979-TAM3P1</t>
  </si>
  <si>
    <t>44978-TAM3P1</t>
  </si>
  <si>
    <t>44977-TAM3P1</t>
  </si>
  <si>
    <t>44976-TAM3P1</t>
  </si>
  <si>
    <t>44975-TAM3P1</t>
  </si>
  <si>
    <t>44974-TAM3P1</t>
  </si>
  <si>
    <t>44973-TAM3P1</t>
  </si>
  <si>
    <t>44972-TAM3P1</t>
  </si>
  <si>
    <t>44971-TAM3P1</t>
  </si>
  <si>
    <t>44971-TSBP1</t>
  </si>
  <si>
    <t>44970-TAM3P1</t>
  </si>
  <si>
    <t>44970-TSBP1</t>
  </si>
  <si>
    <t>44968-TAM3P1</t>
  </si>
  <si>
    <t>44968-TSBP1</t>
  </si>
  <si>
    <t>44967-TAM3P1</t>
  </si>
  <si>
    <t>44967-TSBP1</t>
  </si>
  <si>
    <t>44966-TAM3P1</t>
  </si>
  <si>
    <t>44966-TSBP1</t>
  </si>
  <si>
    <t>44965-TAM3P1</t>
  </si>
  <si>
    <t>44965-TSBP1</t>
  </si>
  <si>
    <t>44964-TAM3P1</t>
  </si>
  <si>
    <t>44964-TSBP1</t>
  </si>
  <si>
    <t>44963-TAM3P1</t>
  </si>
  <si>
    <t>44963-TSBP1</t>
  </si>
  <si>
    <t>BUSINESS RULES</t>
  </si>
  <si>
    <t xml:space="preserve">General  - 3 Stage - 1 Maker &amp; 2 Checker &amp; 3 Approved If 4th Stage Required then </t>
  </si>
  <si>
    <t>4 Stage - 1 Maker - 2 Checked -  3 Verified -  4 Approved</t>
  </si>
  <si>
    <t xml:space="preserve">We will set the No of Stage in the respective Authority Groups. </t>
  </si>
  <si>
    <t>Each of the Modules we will have different Groups</t>
  </si>
  <si>
    <t>Smaller Organisation may opt to have only 1 Stage example One man show</t>
  </si>
  <si>
    <t>Where for example Husband &amp; Wife are only people working in the organisation they may opt of 2 stages</t>
  </si>
  <si>
    <t xml:space="preserve">Where they have few staffs they may opt for 3 stages </t>
  </si>
  <si>
    <t>In Menu Show Existing Data in List so That user does not Duplicate Data especially in Setting User forms.</t>
  </si>
  <si>
    <t>All user forms in Setting MUST have a field for BAHASA. If not indicated kindly add one</t>
  </si>
  <si>
    <t>For any reason if person given authority say at level 2 makes the document then we will consider 1 &amp; 2 as same person.</t>
  </si>
  <si>
    <t xml:space="preserve">This is like small companies who have only I maker and that person in on leave. </t>
  </si>
  <si>
    <t xml:space="preserve">In this case level 2 will make &amp; auto Checked. Next document need to be approved </t>
  </si>
  <si>
    <t>For any reason if person given authority say at level 3 makes the document then we will consider 1 &amp; 2 &amp; 3 as same person.</t>
  </si>
  <si>
    <t xml:space="preserve">This is like small companies who have only ONE  maker &amp; ONE Checker and this people are on leave. </t>
  </si>
  <si>
    <t>In this Level 3 will be Maker, Checker &amp; Approver. When user makes the document Auto complete 2 &amp; 3</t>
  </si>
  <si>
    <t>Updating Documents - General Rule</t>
  </si>
  <si>
    <t>Time to update Document will be set in User Profile - Authority UF</t>
  </si>
  <si>
    <t>However if within the SET days he is on leave for whatsoever reason allow additional 2 days after leave completion.</t>
  </si>
  <si>
    <t>In User Profile - Authority UF we will set the Max days to update documents</t>
  </si>
  <si>
    <t xml:space="preserve">i.e. </t>
  </si>
  <si>
    <t>Workers Attendance Date</t>
  </si>
  <si>
    <t>2nd May 2024</t>
  </si>
  <si>
    <t xml:space="preserve">To Update UF by </t>
  </si>
  <si>
    <t>5th May 2024</t>
  </si>
  <si>
    <t>assuming we have set 3 days</t>
  </si>
  <si>
    <t>If on leave on 4th to 6th May</t>
  </si>
  <si>
    <t>8th May 2024</t>
  </si>
  <si>
    <t>Failing which only a higher level person can mark the attendance.</t>
  </si>
  <si>
    <t>By this the staff will update the work promptly else higher authority will no he did not do his work</t>
  </si>
  <si>
    <t xml:space="preserve">REPORTS </t>
  </si>
  <si>
    <t>View Status of MR</t>
  </si>
  <si>
    <t>Approved, RFQ, PO issued</t>
  </si>
  <si>
    <t>Site People Information</t>
  </si>
  <si>
    <t>View Status of PO</t>
  </si>
  <si>
    <t>Weather Delivered or Not, Supplier. Site People Cannot see the price.</t>
  </si>
  <si>
    <t>View Status of DO</t>
  </si>
  <si>
    <t>Weather DO has been   Invoice received</t>
  </si>
  <si>
    <t>View Status of Invoice</t>
  </si>
  <si>
    <t>Weather Purchase Voucher has been  Issued For Invoice</t>
  </si>
  <si>
    <t>Supplier Material Link</t>
  </si>
  <si>
    <t>Which Supplier Can supply this Material</t>
  </si>
  <si>
    <t>Supplier, Material</t>
  </si>
  <si>
    <t xml:space="preserve">Last Material Price Listing. </t>
  </si>
  <si>
    <t>By Company,  Project, Supplier</t>
  </si>
  <si>
    <t>Date, Project, Supplier,UOM,Qty,Price,Amount</t>
  </si>
  <si>
    <t xml:space="preserve">Material Ledgar </t>
  </si>
  <si>
    <t>By Company, Project, Period, Supplier</t>
  </si>
  <si>
    <t>RFQ Comparison Report</t>
  </si>
  <si>
    <t>Site Wages Computation</t>
  </si>
  <si>
    <t>Staff Payroll</t>
  </si>
  <si>
    <t xml:space="preserve">Project Take off </t>
  </si>
  <si>
    <t>Bill of Quantity List</t>
  </si>
  <si>
    <t>BQ &amp; Estimation</t>
  </si>
  <si>
    <t>Vendor Management</t>
  </si>
  <si>
    <t>Direct Labour  Management</t>
  </si>
  <si>
    <t>Company Management</t>
  </si>
  <si>
    <t>Staff  Management</t>
  </si>
  <si>
    <t>Productivity Measurement</t>
  </si>
  <si>
    <t>Certification of Works</t>
  </si>
  <si>
    <t>Cost Estimation</t>
  </si>
  <si>
    <t xml:space="preserve">General </t>
  </si>
  <si>
    <t xml:space="preserve">Objective </t>
  </si>
  <si>
    <t>To document the entire purchasing process.</t>
  </si>
  <si>
    <t>To Create and Manage Cost Centre and Works. Both Primary and Secondary Cost Centre</t>
  </si>
  <si>
    <t xml:space="preserve">To Create Material Database.  </t>
  </si>
  <si>
    <t>To assist user to Calculate the Quantity of SA</t>
  </si>
  <si>
    <t>To Creat a Creat List of All Works (BQ Items) for a Project. Without Rate. Rates will be Handle by another Module.</t>
  </si>
  <si>
    <t xml:space="preserve">Next Phase </t>
  </si>
  <si>
    <t>This is Next Phase of Development</t>
  </si>
  <si>
    <t>2nd Phase of Development</t>
  </si>
  <si>
    <t>Material Request(MR). User form</t>
  </si>
  <si>
    <t>Material Request. Site or Anyone who request Material. Use this Document to Request for Material. Information include Cost Centre, Material Description, Quantity, Require Date and material specification if necessary. User can request up to 5 material per MR.</t>
  </si>
  <si>
    <t>Primary Cost Centre  (PCC)</t>
  </si>
  <si>
    <t>Each project is a Primary Cost Centre (PCC). All expenses will be charged to the PCC</t>
  </si>
  <si>
    <t xml:space="preserve">All Purchase are Classified under one of the Type Based on Industry </t>
  </si>
  <si>
    <t>Project Material Quantity(PMQ)</t>
  </si>
  <si>
    <t>How much Material is Required to Complete the Project. Including Wastage. As wastage is different ratio for different material the ration will be set in Material Master. Cost Centre, Sub Cost Centre, Activity, Material, UOM, Quantity and Units, Amount</t>
  </si>
  <si>
    <t>Refer to  Cost Centre &amp; Activity</t>
  </si>
  <si>
    <t>Supplier Data</t>
  </si>
  <si>
    <t>Name, Contact Details, Status (Active, Black Listed, Dormant). If Supplier is a problem or we have bad experience we will classify as Black Listed so that no future transection can be done with this party. However Admin may revert the status later.</t>
  </si>
  <si>
    <t>Worker Data</t>
  </si>
  <si>
    <t>Name, Nationality, Join Date, Resign Date, Age, Passport No, HP, Email, Home Address, Home Contact Person, Home Contact No</t>
  </si>
  <si>
    <t xml:space="preserve">Memo </t>
  </si>
  <si>
    <t>To issue Memo For All purpose. To, From, Subject, Date, Content, Response Required, If response required then status of Response, Response date.</t>
  </si>
  <si>
    <t>Staff Data</t>
  </si>
  <si>
    <t>Name, Nationality, Join Date, Resign Date, Age, IC No, HP, Email, Home Address, Home Contact Person, Home Contact No</t>
  </si>
  <si>
    <t>Weather Records</t>
  </si>
  <si>
    <t>CC, Date, Time Weather. Records every 2 or 4 hours to be set as necessary hours. Ground Condition</t>
  </si>
  <si>
    <t>Work Completion</t>
  </si>
  <si>
    <t>Date, BQ Item, UOM&lt; Quantity, Value of Work , In House or Out Source, If Out Source SC Name. Daily Work Completed</t>
  </si>
  <si>
    <t>Work Order Register</t>
  </si>
  <si>
    <t>WO No, Reference, Vendor, Date, Trade, Cost Centre</t>
  </si>
  <si>
    <t>Measurement of Works</t>
  </si>
  <si>
    <t>Joint Measure of Works. How Much Work Completed. Month, UOM, Quantity</t>
  </si>
  <si>
    <t>BQ Material Quantity</t>
  </si>
  <si>
    <t xml:space="preserve">How much of Each Material To Complete I unit of Work. Work is Also BQ Item. Created in BQ Menu. I BQ Item may have One or Many Material. This Computation is Applicable for all project. It will remain the same for all project. </t>
  </si>
  <si>
    <t>Each UOM will be in One or Many UOM Group. Narrow the selection.</t>
  </si>
  <si>
    <t>MR Approval (MRA). User form</t>
  </si>
  <si>
    <t>MR is to be approved before any further action can be taken. To Be Approved By Person With Authority (PWA). PWA may edit the MR as necessary example change the quantity.</t>
  </si>
  <si>
    <t>Secondary Cost Centre (SCC)_</t>
  </si>
  <si>
    <t>Each PCC is sub divided into Sub Cost Centre (SCC). Example there may be 5 blocks in a PCC, each is a SCC. Each Infra Type is Also a SCC. I.e. Water Reticulation, Sewer Main, TNB. Fields include PCC, SCC Description and Construction Type i.e. Building, Infra, Services</t>
  </si>
  <si>
    <t xml:space="preserve">Each Purchase Type is sub divided into Groups. </t>
  </si>
  <si>
    <t>Project Material Price(PMP)</t>
  </si>
  <si>
    <t>After user has enter the Material &amp; Quantity for Each SCC. To Enter the Building Material Price. Fields include Material Group. System Displays Listbox of All Materials. User selects Material and Select UOM set in Material. Auto display by Default Purchasing UOM. User To Enter Price. System to Convert to the unit entered in Project Quantity.</t>
  </si>
  <si>
    <t>Supplier Contact Data</t>
  </si>
  <si>
    <t>Staffs Details. Include Name, Salutation, Position, Department, In Charge of , HP, Email</t>
  </si>
  <si>
    <t>Wages Record</t>
  </si>
  <si>
    <t>Wef date, Per Month Rate, P hour Rate, OT Rate, Public Holiday Rate</t>
  </si>
  <si>
    <t>Task Management</t>
  </si>
  <si>
    <t>Date, Task, Response, Due Date, Response, Continue until close or completed</t>
  </si>
  <si>
    <t>Salary Record</t>
  </si>
  <si>
    <t>Who visited the site . Name, From, Reason, Arrival Time, Exit Time, No of Persons</t>
  </si>
  <si>
    <t>Commence &amp; Completion Details</t>
  </si>
  <si>
    <t>Certification</t>
  </si>
  <si>
    <t>Based on Measurement of Work Create Payment Certification</t>
  </si>
  <si>
    <t>BQ Labour Quantity</t>
  </si>
  <si>
    <t>How much of Each Labour To Complete I unit of Work. Work is Also BQ Item. Created in BQ Menu. I BQ Item may have One or Many Labour. I.e. Frain we need Brick Laying, Plaster, Concrete and Drain Installation</t>
  </si>
  <si>
    <t>Unit used for Measuring. Include UOM Group</t>
  </si>
  <si>
    <t>Request For Quotation (RFQ). Document To Send to Vendor.</t>
  </si>
  <si>
    <t xml:space="preserve">Upon Approval of MRA, the next process is to identify whom to purchase from. The RFQ is send to Max of 5 supplier, Minimum of 3 Suppliers. For each material to invite Supplier. This document is to be send by Fax/Email/WhatsApp. Information included in documents Date, Vendor Name, Material, quantity, UOM. Price Validity period, Delivery TNC, Payment TNC. Last 3 to be filled by Vendor. The document to be prepared individually to each Vendor selected. Up to 5 material if same cost centre can be included. </t>
  </si>
  <si>
    <t>Professional Register</t>
  </si>
  <si>
    <t>Each PCC has a set (Architect, C&amp;S Engineer, MNE Consultant, QS, Landscape Architect, etc) of Professionals. To Link Project Professionals to PCC. All Vendor Classified as Project Professional will be displayed for Selection. One Field for Professional Description i.e. Architect, C&amp;S Consultant, M&amp;E Consultant, Quantity Surveyor &amp; Landscape Architect</t>
  </si>
  <si>
    <t>This is the Individual Material Description</t>
  </si>
  <si>
    <t>Back end system will match Project Quantity Material with Project Price and calculate Material cost</t>
  </si>
  <si>
    <t>Component Register</t>
  </si>
  <si>
    <t>Supplier Classification</t>
  </si>
  <si>
    <t>Just Like Material Vendor To be Classified or Grouped. Example Building Material Supplier, Sub Contractor, Construction Professional, Non Construction Professional etc. Vendor may be in One or More Group. I.e. Be Supplier and Also Sub Contractor. Not More then 2</t>
  </si>
  <si>
    <t>Leave Data</t>
  </si>
  <si>
    <t>No of Leave days, Wef Date, Type of leave</t>
  </si>
  <si>
    <t>Staff Duty  List</t>
  </si>
  <si>
    <t>Wef, Duty List Description, Required Time, Frequency, Due Date, Reincurring, UOM</t>
  </si>
  <si>
    <t>Wef Annual Leave, Medical Leave, Hospitalise Leave</t>
  </si>
  <si>
    <t>Machinery &amp; Equipment Register</t>
  </si>
  <si>
    <t>Inc fuel type, make, model, Purchase date, location, cost, Vendor</t>
  </si>
  <si>
    <t>Bill OF Quantity</t>
  </si>
  <si>
    <t>Work Scope, UOM, Rate Amount</t>
  </si>
  <si>
    <t>Certificate Summary</t>
  </si>
  <si>
    <t>Summary of Work Certification.</t>
  </si>
  <si>
    <t>BQ Machinery &amp; Equipment Quantity.</t>
  </si>
  <si>
    <t>How much of Each Equipment To Complete I unit of Work. Work is Also BQ Item. Created in BQ Menu. I BQ Item may have One or Many Equipment. I.e. Drain we need Backhoe, Concrete Mixer etc</t>
  </si>
  <si>
    <t>RFQ Received User form/Data Entry</t>
  </si>
  <si>
    <t>This user form is used to enter the prices received from the Vendor. Information include, Date, Vendor Name, UOM, Price, Price Validity Period, Total, Delivery T&amp;C, Payment T&amp;C Period, and Any T&amp;C stated. I.e. Advance payment, Cash on Delivery, Own Collection etc.</t>
  </si>
  <si>
    <t>Project Owner</t>
  </si>
  <si>
    <t>Each PCC will have one Owner. To Register the PCC Owner.</t>
  </si>
  <si>
    <t>This has few parts. Information Relevant to Purchasing, Storage, How to use, Supplier in case a specialise item. A field for Wastage, Coverage - Amount of Material Required for 1 Unit of Work.</t>
  </si>
  <si>
    <t>Using the DO Quantity we will be able to produce a report at any one time the Material Price Variance and Material Quantity Variance.</t>
  </si>
  <si>
    <t>Grid Line Register</t>
  </si>
  <si>
    <t>Register Grid Line &amp; Length</t>
  </si>
  <si>
    <t>BQ Item List</t>
  </si>
  <si>
    <t>Using combination of the above 3 together with Component the BQ Item is Created. User to Enter UOM ( Auto Display Report UOM). What is the difference between BQ Item List and SA.SA is applicable for all projects and does not have Qty. This is for a particular project. Here we will include SA, Specification &amp; Component. A BQ item No will also be entered ie if PA=2 then BQ Item No will be 2.1, 2.2 etc</t>
  </si>
  <si>
    <t>BQ Item</t>
  </si>
  <si>
    <t>Using combination of the above 3 together with Component the BQ Item is Created</t>
  </si>
  <si>
    <t>Supplier V Material</t>
  </si>
  <si>
    <t>Link Supplier With Material and Services. This information will be used to identify Supplier for Request of Quotation. One To Many Relationship.</t>
  </si>
  <si>
    <t>Type of leave, from to, If MC source private panel, private non panel,  or Government. Leave application - Emergency or normal. If application less then 3 days or after leave consider as Emergency leave. Reason for leave</t>
  </si>
  <si>
    <t>Machinery Utilisation Records</t>
  </si>
  <si>
    <t>Which machinery and equipment were used on the day. Hours, Operator.</t>
  </si>
  <si>
    <t>TC Header</t>
  </si>
  <si>
    <t>List of Work Order T&amp;C Header</t>
  </si>
  <si>
    <t>Sub Contracting</t>
  </si>
  <si>
    <t xml:space="preserve">If work to be sub contracted completely what is the Sub Contracting Rate. Sub Contracting may be a combination of Material, Labour and Equipment. Some Sub Contracting is only Labour and Equipment. </t>
  </si>
  <si>
    <t>Delivery Term</t>
  </si>
  <si>
    <t>Delivered or Ex Factory (To Be Collected) or Not Applicable</t>
  </si>
  <si>
    <t>RFQ Comparison. User Form/Report</t>
  </si>
  <si>
    <t>This is a REPORT. System will prepare a summary of prices received from Vendor. Place all Vendor in same page and their quoted details. Selection of Vendor is by Each Material. Display One Material at a Time.  Not necessary all material form one vendor. PWA will approve the Supplier in this User Form</t>
  </si>
  <si>
    <t>Primary Activity (PA) Also refered to as BQ  Header</t>
  </si>
  <si>
    <t>Actvity is WORK. Each SCC may have one or many Activity. Example Concreting, Brick Laying, Plastering, Roof , Drain. Each PA may have mutiple SCC. Generally what work was done by Sub Contractor and Workers. PA include works related to Building and Infra Works.</t>
  </si>
  <si>
    <t>With this Data User can also know total quantity of any one material for this PCC and use this information to negotiate best price.</t>
  </si>
  <si>
    <t>Marking Register</t>
  </si>
  <si>
    <t>To Register All RC Marking. PCC, SCC, Marking Code, Marking Description (Sele3ct From Component) and shape. If Regular shape Length, Width, Depth, Height, Diameter, Area and Volume(Calculated By System)  Else Area and Volume</t>
  </si>
  <si>
    <t>BQ Specification</t>
  </si>
  <si>
    <t>Addition Information for BQ. This are are in every project. Applicable when entering a specific project.</t>
  </si>
  <si>
    <t>SST/GST Records</t>
  </si>
  <si>
    <t xml:space="preserve">Supplier where SST and GSYT is relevant. Where Quotation is taken and Vendor is SST applicable the Price need to be adjusted when preparing price Comparison </t>
  </si>
  <si>
    <t>Workers Records</t>
  </si>
  <si>
    <t>Memo and notes on this workers. Including Skill sets experience etc Including Memo issued to them</t>
  </si>
  <si>
    <t>Machinery Maintenance Records &amp; Service</t>
  </si>
  <si>
    <t>Repair service etc of machinery. Date,  DO NO, Vendor, Parts Replace, Cost, Supervised By</t>
  </si>
  <si>
    <t>TC Clause</t>
  </si>
  <si>
    <t>For each header there will be many terms and Condition</t>
  </si>
  <si>
    <t>Company Overhead Cost. Fix as Percentage of Direct Cost. Direct Cost = Material + Labour + Equipment + Sub Contracting</t>
  </si>
  <si>
    <t xml:space="preserve">Entire PO Immediate, On Notification Entire  Immediately , Progressive On Notification, On </t>
  </si>
  <si>
    <t>System to auto generate PO for one or max 5 Material if same supplier and same Cost Centre. Basically as practice currently.</t>
  </si>
  <si>
    <t>Secondary Activity (SA). Also referred as BQ Item</t>
  </si>
  <si>
    <t>Each PA is sub divide and referred to as Secondary Activity (SA). Example Brick Works May Include 125mm Cement Sand Brickworks, 225mm Clay Bricks Works etc. The total cost of SA is equal to PA for a SCC or PCC</t>
  </si>
  <si>
    <t>Detail Take of Quantity</t>
  </si>
  <si>
    <t>Each PCC has its unique way of calculating Quantity. This we will only design USF for most common PCC. Rest user has to calculate and enter quantity into BQ</t>
  </si>
  <si>
    <t>BQ Estimation Breakdown</t>
  </si>
  <si>
    <t>To compute the cost of one unit of BQ Item.  Ie 225mm Cement Sand Brickworks. There are 6 parts. Material, Labour, Machinery, Sub Contracting, Overhead and Profit Margin</t>
  </si>
  <si>
    <t>Medical Expenses Records</t>
  </si>
  <si>
    <t>Since each worker is allocated a Budget. This is to track within budget or else the staff has to bear the cost of  medical expenses.</t>
  </si>
  <si>
    <t>Machinery Movement Record</t>
  </si>
  <si>
    <t>Cost Centre the Machine is Kept.</t>
  </si>
  <si>
    <t>Profit</t>
  </si>
  <si>
    <t>Company Profit Margin on Total Cost. Total Cost= Direct Cost + Overhead</t>
  </si>
  <si>
    <t>Delivery Order (DO) - Userform/Data Entry</t>
  </si>
  <si>
    <t>Supplier will issue this document. Possible one PO to many DO. User to enter DO Data into system. Same as existing.</t>
  </si>
  <si>
    <t>Building Register</t>
  </si>
  <si>
    <t>To Register Building List. This Description will be used in all Projects. Information Include Building Code i.e. DSTH = Double Storey Terrace , No of Floors,Build Up Area, Land Area etc. Each Building will have multiple PA and SA</t>
  </si>
  <si>
    <t xml:space="preserve">For each PCC which we will design USF they are for Concreting, Formworks, Bar Bending, Brick wall, Plastering, Painting, Tiling, Ceiling, Rendering and Skim Coating. General they will Fields PCC, SCC, PA,CA, UOM, Shape, Length,WidthDepth,Diameter etc. Computed amswer will ne in length (MR), Area(M2), Volumne *M3) and Numbers </t>
  </si>
  <si>
    <t>Suggest we have Multipage. 4 pages. 1st page we have PCC, SCC, BQ Specification, Material Cost, Labour Cost, Equipment Cost, Sub Contracting Cost. (This 4 are Transferred from Page 2,3,4,5)</t>
  </si>
  <si>
    <t>Attendance Productivity Records</t>
  </si>
  <si>
    <t>Worked Hour, OT Hour, CC, SCC, Activity, Productivity</t>
  </si>
  <si>
    <t>Attendance Records</t>
  </si>
  <si>
    <t>Machinery &amp; Equipment Insurance &amp; JPJ Records</t>
  </si>
  <si>
    <t>Date of Inspection, Insurance, Insurance Period</t>
  </si>
  <si>
    <t>Project Material Price</t>
  </si>
  <si>
    <t>Material Price Applicable for a Project. Allow User to Copy Price of Another project and Edit the price. This price will be used for Project Material  Budget Also</t>
  </si>
  <si>
    <t>Occupation</t>
  </si>
  <si>
    <t>Good Return Advice (GRA). User form/ Data Entry</t>
  </si>
  <si>
    <t>When Good received and need to be return i.e. damage, wrong size etc Good Return Advice (GRA) to be issued. System to deduct the quantity from DO Quantity. Information required, include Vendor, Cost Centre, Do No, Reason for Return. and GRA Quantity. Supplier to Issue Credit Note.</t>
  </si>
  <si>
    <t>Infra  Register</t>
  </si>
  <si>
    <t>To Register Infra List. This Description will be used in all Projects. Information will be different for each Infra Type.  Each Infra will have multiple PA and SA</t>
  </si>
  <si>
    <t xml:space="preserve">Permit </t>
  </si>
  <si>
    <t>Permit Renewal date, Permit No, Medical Check Up Date</t>
  </si>
  <si>
    <t>Time off  Application</t>
  </si>
  <si>
    <t>Date, from time to time reason, To date accumulated hours (This Year)</t>
  </si>
  <si>
    <t>Machinery Rental Records</t>
  </si>
  <si>
    <t>Customer Name, Date, Transport that Collected the Machinery (Reg No), Who sent out  the Machinery, Date, Time, When Return, Rental Rate, Rental UOM. With or Without Driver, With or Without Fuel.</t>
  </si>
  <si>
    <t>Labour Rate</t>
  </si>
  <si>
    <t>Company Type</t>
  </si>
  <si>
    <t>Invoice (IO) User form/Data Entry</t>
  </si>
  <si>
    <t xml:space="preserve">Supplier will issue this document. Possible one PO to many Invoice. One invoice to many DO. Here system will display DO less GRA if any. </t>
  </si>
  <si>
    <t>This are sub division of Building and Infra. I.e. Building we have rooms, Kitchen, Wall, Toilet, Ground Beam etc. Also parts of Infra i.e. Sewer Main, Manhole &amp; Pipe line</t>
  </si>
  <si>
    <t>Time Management</t>
  </si>
  <si>
    <t>Each Day, Start &amp; End Hour, What staff did?</t>
  </si>
  <si>
    <t>Diesel Purchase Records</t>
  </si>
  <si>
    <t>Date, Do/Invoice No, Liters. Add to Stock. Stock Balance</t>
  </si>
  <si>
    <t>Machinery Rates</t>
  </si>
  <si>
    <t>Machinery Rate</t>
  </si>
  <si>
    <t>Type of Leave</t>
  </si>
  <si>
    <t>Purchase Voucher - (PVR) Document</t>
  </si>
  <si>
    <t>System to match PO, DO, GRA and Invoice and if in order issue Purchase Voucher (PVR). Final document in Purchase documentation. This document will be used for payment by Accounts.</t>
  </si>
  <si>
    <t>Travelling Claim</t>
  </si>
  <si>
    <t>Date, from time to time reason, To date accumulated travel Claim. Both KM &amp; Amount (This Year). Data to be called from Travel Milage Table. In General Menu</t>
  </si>
  <si>
    <t>Petrol Purchase Records</t>
  </si>
  <si>
    <t>Sub Contracting Rates</t>
  </si>
  <si>
    <t>Sub Contractor Rate</t>
  </si>
  <si>
    <t>Milage Setting</t>
  </si>
  <si>
    <t>From Where to Where. How many KM. Toll Applicable how much. Data will be used to process staff travelling Claim</t>
  </si>
  <si>
    <t>Transfer To Stock (TTS) Userform/Document</t>
  </si>
  <si>
    <t>When there is balance of Material in a cost centre then this User Form is used to transferred to Store/Stock. Document to be printed for acknowledgement by person sending and receiving. Include Vehicle No, Date From Cost Centre and To Cost Centre. Toi exclude this Quantity in Material Report.</t>
  </si>
  <si>
    <t>Diesel Issue Records</t>
  </si>
  <si>
    <t>Issued to which machinery, Liters and Date, By Whom, Stock Balance, Last Issue Date, Last Issued Qty. Hrs Operated. Consumption Average (Liters/Hour)</t>
  </si>
  <si>
    <t>Trade Register</t>
  </si>
  <si>
    <t>Construction Trade</t>
  </si>
  <si>
    <t>Stock Issue/Transfer (TRS) User Form/Document</t>
  </si>
  <si>
    <t xml:space="preserve">Reversal of TTS. Transfer from Stock to Cost Centre. FIFO. Or Write Off or Sold </t>
  </si>
  <si>
    <t>Petrol Issue Records</t>
  </si>
  <si>
    <t>Issued to which machinery, Liters and Date</t>
  </si>
  <si>
    <t>Milage Claim Rate</t>
  </si>
  <si>
    <t>Set the Mileage Claim Payable. Information Include From To, KM,</t>
  </si>
  <si>
    <t>Machinery Maintenance Service Schedule</t>
  </si>
  <si>
    <t>When Next Service Required. Km To Be services. What need to Be changed.</t>
  </si>
  <si>
    <t>Works Productivity List</t>
  </si>
  <si>
    <t>What specifically Each Worker Did for The Day</t>
  </si>
  <si>
    <t>Machinery Spare Parts List</t>
  </si>
  <si>
    <t>For Each Machinery Spare Parts List.</t>
  </si>
  <si>
    <t>Milage Claim Distance in KM</t>
  </si>
  <si>
    <t xml:space="preserve">Utility Register </t>
  </si>
  <si>
    <t>To Register New Utility. CC, Date connection, Date termination. Deposit Amount, Date Deposit Received.</t>
  </si>
  <si>
    <t>Work Group</t>
  </si>
  <si>
    <t>Any One of This - Building. Infrastructure, Services, Housing Project. To be used when creating Primary Cost Centre.</t>
  </si>
  <si>
    <t xml:space="preserve">Monthly TNB Usage Records </t>
  </si>
  <si>
    <t>Date, Meter reading, Monthly Meter Reading By TNB, Units, Bill Amount, Average No of People at Site</t>
  </si>
  <si>
    <t>Property Type</t>
  </si>
  <si>
    <t>To Register All The Building</t>
  </si>
  <si>
    <t>Monthly Water Usage Records</t>
  </si>
  <si>
    <t>Date, Meter reading, Monthly Meter Reading By SAMB, Units, Bill Amount, Average No of People at Site</t>
  </si>
  <si>
    <t>Professional Trade Register</t>
  </si>
  <si>
    <t>I.e Architect, C&amp;S Consultant, Landscape Architect, Land Sirveyor etc</t>
  </si>
  <si>
    <t>Sub Contractor Register</t>
  </si>
  <si>
    <t>SC Name, Contact No, Activity, Commence Date, Completion Date</t>
  </si>
  <si>
    <t>Sub Contractor Workers Register</t>
  </si>
  <si>
    <t>CC, Name, Passport, Permit No, Expiry Date, WO No, WO Date</t>
  </si>
  <si>
    <t>Sub Contractors Attendance</t>
  </si>
  <si>
    <t xml:space="preserve">SC Name, SCC, Activity,  No of Man-days, Productivity, Worked Hour. Morning and Evening </t>
  </si>
  <si>
    <t>Sub Contractor Date, SCC, No of Man, Activity, Sub Activity</t>
  </si>
  <si>
    <t>Drawing Register</t>
  </si>
  <si>
    <t xml:space="preserve">CC, Plan Description, Reference, date, received from, Consultant Name </t>
  </si>
  <si>
    <t>We are Catering for Malaysian Market</t>
  </si>
  <si>
    <t>Companies with Maximum turnover of 5.0M</t>
  </si>
  <si>
    <t>Bigger compaies their specification is too complex.</t>
  </si>
  <si>
    <t>The class determine what is the maximum contract they can undertake any one contract</t>
  </si>
  <si>
    <t>Class 1 is the smallest. They can take any one works NOT more then RM100,000.00</t>
  </si>
  <si>
    <t>Class 7 is the biggest. Ther can take any value. NO limit.</t>
  </si>
  <si>
    <t>We ourself started with Class 3 and now we are in Class 6. Class 6 Maximum of RM10,000,000.00 per contract.</t>
  </si>
  <si>
    <t>All class can take any NO of contract per year.</t>
  </si>
  <si>
    <t>In order To apply for CIDB registration the applicant has to register his Business. Must have valid Business Registration.</t>
  </si>
  <si>
    <t>This software is ONLY for Medium and Small Construction Companies.</t>
  </si>
  <si>
    <t>There are 80,000 Contractors registered with CIDB. - Construction Industry Development Board</t>
  </si>
  <si>
    <t>There are 7 class of Contractor from 1 to 7</t>
  </si>
  <si>
    <t>There are various type of Business Model in Malaysia similar to most part of the world</t>
  </si>
  <si>
    <t>Comment - Private Limited - Locally Referred to as Sdn Bhd</t>
  </si>
  <si>
    <t>Limited - Locally Referred to as Bhd</t>
  </si>
  <si>
    <t>Partnership and Sole Proprietor</t>
  </si>
  <si>
    <t>In Each Phase we may have many Block - last level Cost Centre</t>
  </si>
  <si>
    <t>Every Contract we refer to as Cost Center</t>
  </si>
  <si>
    <t>We may have a housing Project say My Taman</t>
  </si>
  <si>
    <t>Design Consideration</t>
  </si>
  <si>
    <t>Kindly Consider that this System is for Malaysian Market.</t>
  </si>
  <si>
    <t>We will develop as dual language. Namely English and Malay</t>
  </si>
  <si>
    <t>We are developing this system primary for  A Construction Company - Ria Kistana Sdn Bhd hereafter referred to as RKSB</t>
  </si>
  <si>
    <t>After Completing the 1st Module we will Test and after settling ALL error (Testing Period 2 Months)</t>
  </si>
  <si>
    <t xml:space="preserve">We intent to Sell on Subscription bases to minimum of 3 customer. </t>
  </si>
  <si>
    <t>To Check easy of use, ease of learning and the issue that  arises.</t>
  </si>
  <si>
    <t>Meanwhile the other Modules will be developed</t>
  </si>
  <si>
    <t>The IT literacy rate is basically low in Malaysia in general and in Construction Industry more so.</t>
  </si>
  <si>
    <t>Each User is allow to Use this system for use of ONE company only</t>
  </si>
  <si>
    <t>Other then Monthly subscription we will also set for storage exceed certain limit. Just like Amazon.com</t>
  </si>
  <si>
    <t>Under Malaysian law ewe are NOT to keep Data Oversee. We will on completing Module 1 testing will open an account in Malaysia with a Cloud Server</t>
  </si>
  <si>
    <t>General Consideration</t>
  </si>
  <si>
    <t>This is the Major consideration in this System design.</t>
  </si>
  <si>
    <t>This My Taman may be built in 3 phases. Each Phase is Next Level of Cost Centre</t>
  </si>
  <si>
    <t>The Basic salary in Malaysia is RM1,800.00. No one can pay any worker be it Malaysian or Foreigner less then this.</t>
  </si>
  <si>
    <t>My Sales pitch is that we can reduce at least ONE staff by using this System</t>
  </si>
  <si>
    <t>For all this we will sent out a pdf document</t>
  </si>
  <si>
    <t>All Data will be available to person concern any where anytime.</t>
  </si>
  <si>
    <t>System will be developed to be used in Handphone</t>
  </si>
  <si>
    <t xml:space="preserve">WhatsApp will be send to those who have register phone with WhatsApp for the following </t>
  </si>
  <si>
    <t>Leave Application, Leave Approved, Time Off Application, Time Off Approval, Request for Quotation</t>
  </si>
  <si>
    <t>For your information we are using the Ria Kistana Portal - especially for Purchasing for more then 10 years.</t>
  </si>
  <si>
    <t>However we will like to carry out improvement. This are stated in the excel file.</t>
  </si>
  <si>
    <t>We will give the Building Material and BQ Master with the purchase.</t>
  </si>
  <si>
    <t>In order to do construction One must register with CIDB to operate business</t>
  </si>
  <si>
    <t>Class is awarded based on firm capacity. This include No of Staffs and their Qualification &amp; Experience. Paid Up Capital, Past Contract Undertake,</t>
  </si>
  <si>
    <t>In this System we will have up to 3 levels of Cost Trekking.</t>
  </si>
  <si>
    <t>We will market this product by giving assurance that the purchaser will be able to at leaset reduce ONE staff.</t>
  </si>
  <si>
    <t>The saving is enough to pay for this product</t>
  </si>
  <si>
    <t>Initially we are palnning to sell - Per user (One Company x 5 staff) for RM500.00 per month</t>
  </si>
  <si>
    <t>Additional charges will be imposed based on the data size.</t>
  </si>
  <si>
    <t>We will mak market research to fix this amount</t>
  </si>
  <si>
    <t xml:space="preserve">Initaillay I am palnning to appoint agents and pay about RM25.00 for each sales </t>
  </si>
  <si>
    <t>As long as the Customer remains with us we will pay RM25.00 per month on condition the custoimer pays</t>
  </si>
  <si>
    <t>By this every new Customers he bring he will be getting additional payment.</t>
  </si>
  <si>
    <t>This agents will be also trained to operate this system.</t>
  </si>
  <si>
    <t>A one time payment of RM100.00 will be paid to agent if he does the training.</t>
  </si>
  <si>
    <t>Else he can pass the training to us.</t>
  </si>
  <si>
    <t xml:space="preserve">Initial Module will conisit of </t>
  </si>
  <si>
    <t>Workers Remuneration</t>
  </si>
  <si>
    <t>Mileage Claim</t>
  </si>
  <si>
    <t>Workers Attendance</t>
  </si>
  <si>
    <t>Payment Request and Approval</t>
  </si>
  <si>
    <t>User Setting -  Which UF he can View, Add &amp; Edit</t>
  </si>
  <si>
    <t>Master Setting at Company Level. Then at UF level</t>
  </si>
  <si>
    <t>C O N T E N T S</t>
  </si>
  <si>
    <t>Evaluation</t>
  </si>
  <si>
    <t>General_Information</t>
  </si>
  <si>
    <t>Work_Schedule</t>
  </si>
  <si>
    <t>Cutomer_UF</t>
  </si>
  <si>
    <t>Cost_Centre</t>
  </si>
  <si>
    <t>Purchase_Doc</t>
  </si>
  <si>
    <t>Material_Management</t>
  </si>
  <si>
    <t>Human_Resources</t>
  </si>
  <si>
    <t>Site_manangement</t>
  </si>
  <si>
    <t>Project_Cost_Management</t>
  </si>
  <si>
    <t>Contractor_Management</t>
  </si>
  <si>
    <t>Defination</t>
  </si>
  <si>
    <t>Sample_Data</t>
  </si>
  <si>
    <t>Business_Rule</t>
  </si>
  <si>
    <t>General_Userform</t>
  </si>
  <si>
    <t>Master_Menu</t>
  </si>
  <si>
    <t>Observation_Inprovement</t>
  </si>
  <si>
    <t>Observation and Improvement</t>
  </si>
  <si>
    <t>Suggestion</t>
  </si>
  <si>
    <t>Action Taken</t>
  </si>
  <si>
    <t>HRM</t>
  </si>
  <si>
    <t>Sub Subject</t>
  </si>
  <si>
    <t>Company Leave Report</t>
  </si>
  <si>
    <t>My Leave Report</t>
  </si>
  <si>
    <t>Company Time Off Report</t>
  </si>
  <si>
    <t>Time Off Reason Analysis Report</t>
  </si>
  <si>
    <t>my time off report</t>
  </si>
  <si>
    <t>Travelling Claim Summary Report</t>
  </si>
  <si>
    <t>travelling claim analysis report</t>
  </si>
  <si>
    <t>My Travelling Claim Report</t>
  </si>
  <si>
    <t>Company Level</t>
  </si>
  <si>
    <t xml:space="preserve">Company Level </t>
  </si>
  <si>
    <r>
      <t xml:space="preserve">Personnel - Relabel </t>
    </r>
    <r>
      <rPr>
        <sz val="11"/>
        <color rgb="FFFF0000"/>
        <rFont val="Calibri"/>
        <family val="2"/>
        <scheme val="minor"/>
      </rPr>
      <t>Time Off Summary</t>
    </r>
    <r>
      <rPr>
        <sz val="11"/>
        <color theme="1"/>
        <rFont val="Calibri"/>
        <family val="2"/>
        <scheme val="minor"/>
      </rPr>
      <t>. Since Report Suggest Remove the work Report</t>
    </r>
  </si>
  <si>
    <r>
      <t xml:space="preserve">Company Level. Relabel - </t>
    </r>
    <r>
      <rPr>
        <sz val="11"/>
        <color rgb="FFFF0000"/>
        <rFont val="Calibri"/>
        <family val="2"/>
        <scheme val="minor"/>
      </rPr>
      <t>Travelling Claim Analysis Report</t>
    </r>
    <r>
      <rPr>
        <sz val="11"/>
        <color theme="1"/>
        <rFont val="Calibri"/>
        <family val="2"/>
        <scheme val="minor"/>
      </rPr>
      <t>. Since Report Suggest Remove the work Report</t>
    </r>
  </si>
  <si>
    <t>Generally - Split Report To Company Level &amp; Individual Level. Basically Company Level Only Admin Can View. Individual Level - Only USER &amp; Admin can View.</t>
  </si>
  <si>
    <t xml:space="preserve">Task </t>
  </si>
  <si>
    <t xml:space="preserve">Refer To Sheet Task </t>
  </si>
  <si>
    <t>Task</t>
  </si>
  <si>
    <t xml:space="preserve">TASK MENU </t>
  </si>
  <si>
    <t>Existing</t>
  </si>
  <si>
    <t>Change Task Type - To Task Management</t>
  </si>
  <si>
    <t>Create Task</t>
  </si>
  <si>
    <t>Assign To Allow Multiple Name Selection</t>
  </si>
  <si>
    <t>Due Date as Optional. Some Task is a Process we can't fix a Date</t>
  </si>
  <si>
    <t>Include Date User is Creating The Task</t>
  </si>
  <si>
    <r>
      <t xml:space="preserve">When User Click </t>
    </r>
    <r>
      <rPr>
        <b/>
        <sz val="11"/>
        <color rgb="FFFF0000"/>
        <rFont val="Calibri"/>
        <family val="2"/>
        <scheme val="minor"/>
      </rPr>
      <t>Create</t>
    </r>
    <r>
      <rPr>
        <sz val="11"/>
        <color theme="1"/>
        <rFont val="Calibri"/>
        <family val="2"/>
        <scheme val="minor"/>
      </rPr>
      <t xml:space="preserve"> Task &amp; Decide To Cancel UNABLE TO Go back To Earlier Screen</t>
    </r>
  </si>
  <si>
    <t>Displaying Task Sent Or Received Screen</t>
  </si>
  <si>
    <t>Kindly Display the Date Created and Beside this the Due Date if any.</t>
  </si>
  <si>
    <r>
      <t xml:space="preserve">Allow User To Filter Only a </t>
    </r>
    <r>
      <rPr>
        <b/>
        <sz val="11"/>
        <color rgb="FF00B050"/>
        <rFont val="Calibri"/>
        <family val="2"/>
        <scheme val="minor"/>
      </rPr>
      <t>Specific Person</t>
    </r>
  </si>
  <si>
    <t>Title - OK</t>
  </si>
  <si>
    <t>Task Description - Ok</t>
  </si>
  <si>
    <r>
      <t>Allow User To Filter Only Already</t>
    </r>
    <r>
      <rPr>
        <b/>
        <sz val="11"/>
        <color rgb="FF00B050"/>
        <rFont val="Calibri"/>
        <family val="2"/>
        <scheme val="minor"/>
      </rPr>
      <t xml:space="preserve"> Due</t>
    </r>
  </si>
  <si>
    <r>
      <t xml:space="preserve">Allow User To Filter Only </t>
    </r>
    <r>
      <rPr>
        <b/>
        <sz val="11"/>
        <color rgb="FF00B050"/>
        <rFont val="Calibri"/>
        <family val="2"/>
        <scheme val="minor"/>
      </rPr>
      <t>Active Task</t>
    </r>
    <r>
      <rPr>
        <sz val="11"/>
        <color theme="1"/>
        <rFont val="Calibri"/>
        <family val="2"/>
        <scheme val="minor"/>
      </rPr>
      <t xml:space="preserve"> - NOT Complete Yet</t>
    </r>
  </si>
  <si>
    <r>
      <t xml:space="preserve">Suggest we have BOTH - </t>
    </r>
    <r>
      <rPr>
        <b/>
        <sz val="11"/>
        <color rgb="FF00B050"/>
        <rFont val="Calibri"/>
        <family val="2"/>
        <scheme val="minor"/>
      </rPr>
      <t>SAVE &amp; CANCEL</t>
    </r>
    <r>
      <rPr>
        <sz val="11"/>
        <color theme="1"/>
        <rFont val="Calibri"/>
        <family val="2"/>
        <scheme val="minor"/>
      </rPr>
      <t xml:space="preserve"> (To Delete Before SAVING)</t>
    </r>
  </si>
  <si>
    <t xml:space="preserve">Create To Do </t>
  </si>
  <si>
    <t>Example when we issue bulk PO - One PO for entire project - Bricks</t>
  </si>
  <si>
    <t>This will be delivery over a long period.</t>
  </si>
  <si>
    <t>If price NO more applicable - Price when up or down.</t>
  </si>
  <si>
    <t>We close this PO using Force Close. You Can Check Ria Kistana Portal - PO</t>
  </si>
  <si>
    <r>
      <t>So User can ONLY Force Close that was</t>
    </r>
    <r>
      <rPr>
        <b/>
        <sz val="11"/>
        <color theme="4" tint="-0.249977111117893"/>
        <rFont val="Calibri"/>
        <family val="2"/>
        <scheme val="minor"/>
      </rPr>
      <t xml:space="preserve"> Created BY User</t>
    </r>
    <r>
      <rPr>
        <sz val="11"/>
        <color theme="1"/>
        <rFont val="Calibri"/>
        <family val="2"/>
        <scheme val="minor"/>
      </rPr>
      <t>. NOT created by another person.</t>
    </r>
  </si>
  <si>
    <t>Those he is Sending and NOT Receiving. Receiving - Only the Sender force Close.</t>
  </si>
  <si>
    <t>Sample</t>
  </si>
  <si>
    <r>
      <t xml:space="preserve">If User Click CANCEL then Go Back To </t>
    </r>
    <r>
      <rPr>
        <b/>
        <sz val="11"/>
        <color rgb="FFFF0000"/>
        <rFont val="Calibri"/>
        <family val="2"/>
        <scheme val="minor"/>
      </rPr>
      <t>Previous Screen</t>
    </r>
  </si>
  <si>
    <r>
      <t xml:space="preserve">Clicking To Do and then Clicking Task will also </t>
    </r>
    <r>
      <rPr>
        <sz val="11"/>
        <color rgb="FFFF0000"/>
        <rFont val="Calibri"/>
        <family val="2"/>
        <scheme val="minor"/>
      </rPr>
      <t>NOT work</t>
    </r>
    <r>
      <rPr>
        <sz val="11"/>
        <rFont val="Calibri"/>
        <family val="2"/>
        <scheme val="minor"/>
      </rPr>
      <t>.</t>
    </r>
  </si>
  <si>
    <r>
      <t xml:space="preserve">BUT User </t>
    </r>
    <r>
      <rPr>
        <b/>
        <sz val="11"/>
        <color rgb="FFFF0000"/>
        <rFont val="Calibri"/>
        <family val="2"/>
        <scheme val="minor"/>
      </rPr>
      <t>MUST REENTER his Password</t>
    </r>
    <r>
      <rPr>
        <sz val="11"/>
        <color theme="1"/>
        <rFont val="Calibri"/>
        <family val="2"/>
        <scheme val="minor"/>
      </rPr>
      <t xml:space="preserve"> to DO this. To avoid unintentional Cancellation.</t>
    </r>
  </si>
  <si>
    <r>
      <t>Have NEW Menu Called</t>
    </r>
    <r>
      <rPr>
        <sz val="11"/>
        <rFont val="Calibri"/>
        <family val="2"/>
        <scheme val="minor"/>
      </rPr>
      <t xml:space="preserve"> Crate </t>
    </r>
    <r>
      <rPr>
        <b/>
        <sz val="11"/>
        <rFont val="Calibri"/>
        <family val="2"/>
        <scheme val="minor"/>
      </rPr>
      <t>To Do List</t>
    </r>
    <r>
      <rPr>
        <sz val="11"/>
        <color theme="1"/>
        <rFont val="Calibri"/>
        <family val="2"/>
        <scheme val="minor"/>
      </rPr>
      <t xml:space="preserve"> - Just As Create Task</t>
    </r>
  </si>
  <si>
    <r>
      <t xml:space="preserve">To Do List is User </t>
    </r>
    <r>
      <rPr>
        <b/>
        <sz val="11"/>
        <color rgb="FFFF0000"/>
        <rFont val="Calibri"/>
        <family val="2"/>
        <scheme val="minor"/>
      </rPr>
      <t>Assigning Something To Himself.</t>
    </r>
  </si>
  <si>
    <t>We have Button in Creating Stage - SAVE &amp; CANCELL</t>
  </si>
  <si>
    <t>Sample - To Do List</t>
  </si>
  <si>
    <t>User Enter Details</t>
  </si>
  <si>
    <t>User Does NOT Want To Proceed with Details. Does NOT Want To Save</t>
  </si>
  <si>
    <t>Go Back To Previous Screen</t>
  </si>
  <si>
    <t>Current Date &amp; Time</t>
  </si>
  <si>
    <t>Check Chenderah Share Register</t>
  </si>
  <si>
    <t>Do Not Allow Overwriting of Previous Entered &amp; Saved Details</t>
  </si>
  <si>
    <t>When User Opens this Again - Display New Date in NEW ROW and allow user to add details in NEW ROW.</t>
  </si>
  <si>
    <t>Subject Details</t>
  </si>
  <si>
    <t>CANCEL</t>
  </si>
  <si>
    <t>User Can ADD To List Each Time something. Provided User Has NOT Closed The Subject.</t>
  </si>
  <si>
    <t>Each Time User Opens the Subject Display Date, Time and Details Up To This Date</t>
  </si>
  <si>
    <t>User Can SAVE and Then ENTER Another Row of Details</t>
  </si>
  <si>
    <t>DO NOT Allow User To ENTER Next Row Without Save</t>
  </si>
  <si>
    <t>To Do List -  SAMPLE - User form</t>
  </si>
  <si>
    <r>
      <t xml:space="preserve">In Ria Kistna Portal This is a menu by it self. You can consider in </t>
    </r>
    <r>
      <rPr>
        <b/>
        <sz val="11"/>
        <color rgb="FFFF0000"/>
        <rFont val="Calibri"/>
        <family val="2"/>
        <scheme val="minor"/>
      </rPr>
      <t>SEND</t>
    </r>
    <r>
      <rPr>
        <sz val="11"/>
        <color theme="1"/>
        <rFont val="Calibri"/>
        <family val="2"/>
        <scheme val="minor"/>
      </rPr>
      <t xml:space="preserve"> - User Can Select (List Displayed) and Click Cancel. Or Each Item we have Tick box To Click. This are applicable for ACTIVE Task Only</t>
    </r>
  </si>
  <si>
    <t>Now User have To Select Another Menu i.e. From Dashboard Click HRM and then Click Dashboard.</t>
  </si>
  <si>
    <r>
      <rPr>
        <b/>
        <sz val="11"/>
        <rFont val="Calibri"/>
        <family val="2"/>
        <scheme val="minor"/>
      </rPr>
      <t>Force Close</t>
    </r>
    <r>
      <rPr>
        <sz val="11"/>
        <color theme="1"/>
        <rFont val="Calibri"/>
        <family val="2"/>
        <scheme val="minor"/>
      </rPr>
      <t xml:space="preserve"> - We are Using This Term in </t>
    </r>
    <r>
      <rPr>
        <i/>
        <sz val="11"/>
        <color theme="4" tint="-0.249977111117893"/>
        <rFont val="Calibri"/>
        <family val="2"/>
        <scheme val="minor"/>
      </rPr>
      <t>RiaKIstana Portal</t>
    </r>
    <r>
      <rPr>
        <sz val="11"/>
        <color theme="1"/>
        <rFont val="Calibri"/>
        <family val="2"/>
        <scheme val="minor"/>
      </rPr>
      <t>. To Delete a transection. NOT Remove from Database. Up to this stage it is Considered Completed or Cancelled.</t>
    </r>
  </si>
  <si>
    <t>New</t>
  </si>
  <si>
    <t>Please Check</t>
  </si>
  <si>
    <t>Enable/Disable Hyper Link</t>
  </si>
  <si>
    <t>Master Menu</t>
  </si>
  <si>
    <t>Items</t>
  </si>
  <si>
    <t>Primary, Secondary and 2 Levels Down</t>
  </si>
  <si>
    <t xml:space="preserve">Including UOM, Procurement Classification, Group </t>
  </si>
  <si>
    <t>Vendor Creation and Assign Class and Group</t>
  </si>
  <si>
    <t>Similar To Material Master. This is this Work Description</t>
  </si>
  <si>
    <t>HR - Time Off</t>
  </si>
  <si>
    <t>HR - Milage Claim</t>
  </si>
  <si>
    <t>Procurement - Work Order</t>
  </si>
  <si>
    <t>Procurement - BQ Master</t>
  </si>
  <si>
    <t>Procurement - Purchase Order</t>
  </si>
  <si>
    <t>Create Staff Data. Including Password and Setting Authority</t>
  </si>
  <si>
    <t>Pricing</t>
  </si>
  <si>
    <t>Basic Access</t>
  </si>
  <si>
    <t>Data Size</t>
  </si>
  <si>
    <t>Marketing</t>
  </si>
  <si>
    <t xml:space="preserve">Marketing </t>
  </si>
  <si>
    <t>Sub_Menu</t>
  </si>
  <si>
    <t xml:space="preserve">SUB MENU </t>
  </si>
  <si>
    <t>Below Main Menu</t>
  </si>
  <si>
    <t>HR - Manage Staff</t>
  </si>
  <si>
    <t>HR - Leave Management</t>
  </si>
  <si>
    <t>Procurement - Material Master</t>
  </si>
  <si>
    <t>Weather Recording</t>
  </si>
  <si>
    <t>Equipment Management - Master</t>
  </si>
  <si>
    <t>Equipment Management - Fuel</t>
  </si>
  <si>
    <t>Labour Management - Direct Worker -Master</t>
  </si>
  <si>
    <t>BQ Estimation - Quantity - Equipment</t>
  </si>
  <si>
    <t>BQ Estimation - Quantity - Labour</t>
  </si>
  <si>
    <t xml:space="preserve">BQ Estimation - Quantity - Material </t>
  </si>
  <si>
    <t>BQ Estimation - Rates - Labour</t>
  </si>
  <si>
    <t xml:space="preserve">BQ Estimation - Price - Material </t>
  </si>
  <si>
    <t>BQ Estimation - Rates - Equipment</t>
  </si>
  <si>
    <t>BQ Estimation - Quantity - Overheads</t>
  </si>
  <si>
    <t>BQ Estimation - Cost - Overheads</t>
  </si>
  <si>
    <t>Account - Bank Master</t>
  </si>
  <si>
    <t>Account - Payee Master</t>
  </si>
  <si>
    <t>Account - Payment Voucher</t>
  </si>
  <si>
    <t>Account - Revenue Master</t>
  </si>
  <si>
    <t>Account - Receipt Voucher</t>
  </si>
  <si>
    <t xml:space="preserve">Create All Bank Details </t>
  </si>
  <si>
    <t>Payment Purpose List</t>
  </si>
  <si>
    <t>Revenue Received Details</t>
  </si>
  <si>
    <t xml:space="preserve">Commence with Request, Approval &amp; Printing &amp; Payment. Digital Approval. </t>
  </si>
  <si>
    <t>BQ Taking Off - RC</t>
  </si>
  <si>
    <t>BQ Taking Off - Non RC</t>
  </si>
  <si>
    <t>BQ Taking Off - Grid Line</t>
  </si>
  <si>
    <t>Including Component Register</t>
  </si>
  <si>
    <t>Contractor Management - Work Completion</t>
  </si>
  <si>
    <t>Contractor Management - Certification</t>
  </si>
  <si>
    <t>Contractor Management - Memo/NCR</t>
  </si>
  <si>
    <t>Project Budget - Material</t>
  </si>
  <si>
    <t>Project Budget - Labour</t>
  </si>
  <si>
    <t>Project Budget - Overhead</t>
  </si>
  <si>
    <t>Project Budget - Equipment</t>
  </si>
  <si>
    <t>Customer Management - Work Completion</t>
  </si>
  <si>
    <t>Customer Management - Certification</t>
  </si>
  <si>
    <t>Customer Management - Correspondence</t>
  </si>
  <si>
    <t>Consultant Management - Correspondence</t>
  </si>
  <si>
    <t>Construction Plan  - Register</t>
  </si>
  <si>
    <t>HR - Correspondence</t>
  </si>
  <si>
    <t>Admin - Task Management</t>
  </si>
  <si>
    <t>Admin - To Do List</t>
  </si>
  <si>
    <t>Admin - Time Management</t>
  </si>
  <si>
    <t>HR - Remuneration Data</t>
  </si>
  <si>
    <t>Labour Management - Remuneration Rates</t>
  </si>
  <si>
    <t xml:space="preserve">Labour Management - Direct Worker - Attendance </t>
  </si>
  <si>
    <t>Contractor Management - Attendance</t>
  </si>
  <si>
    <t>Equipment Management - Maintenance</t>
  </si>
  <si>
    <t>Account - Expenses Master</t>
  </si>
  <si>
    <t>Account - Asset Master</t>
  </si>
  <si>
    <t>Account - Depreciation</t>
  </si>
  <si>
    <t>Account - Petty Voucher</t>
  </si>
  <si>
    <t>Phone App</t>
  </si>
  <si>
    <t>Prepared</t>
  </si>
  <si>
    <t>Ria Kistana Sdn Bhd</t>
  </si>
  <si>
    <t>Kindly Note Each of this Menu has Numerous UI &amp; Reports</t>
  </si>
  <si>
    <t>Starts from MR &amp; Ends With Purchase Voucher</t>
  </si>
  <si>
    <t>Starts from Request For Questation To Work Order</t>
  </si>
  <si>
    <t>Contractor Management</t>
  </si>
  <si>
    <t>Direct Labour Management</t>
  </si>
  <si>
    <t>Work Certification</t>
  </si>
  <si>
    <t>Race</t>
  </si>
  <si>
    <t>BQ Master</t>
  </si>
  <si>
    <t>Level 1 - Where The Work is Being Done</t>
  </si>
  <si>
    <t>List of All States in the Country</t>
  </si>
  <si>
    <t>Religion</t>
  </si>
  <si>
    <t>Phone Code By State or Telephone Company</t>
  </si>
  <si>
    <t>level 2 - Register All Sub Industry</t>
  </si>
  <si>
    <t>level 1 - Register All Industry</t>
  </si>
  <si>
    <t>level 1 - Construction Works Description Group</t>
  </si>
  <si>
    <t>BQ Group Master</t>
  </si>
  <si>
    <t>level 2 - Construction Works Description for each Group</t>
  </si>
  <si>
    <t>List of the Various Race in the Country</t>
  </si>
  <si>
    <t>List of the Various Religion in the Country</t>
  </si>
  <si>
    <t>Level 1 - What Work is Direct Workers Doing</t>
  </si>
  <si>
    <t>Level 2 - What Work is Direct Workers - For Each Primary Activity Master</t>
  </si>
  <si>
    <t>Project BQ Master</t>
  </si>
  <si>
    <t>Material Request Approval</t>
  </si>
  <si>
    <t>Wages Computation</t>
  </si>
  <si>
    <t>Usage Records</t>
  </si>
  <si>
    <t>Time Off Management</t>
  </si>
  <si>
    <t>Travelling Claims</t>
  </si>
  <si>
    <t>Accounts</t>
  </si>
  <si>
    <t>Request For Payment</t>
  </si>
  <si>
    <t>Request For Payment - Approval</t>
  </si>
  <si>
    <t>Receipts</t>
  </si>
  <si>
    <t>Sales - Delivery Order</t>
  </si>
  <si>
    <t>Sales - Invoice</t>
  </si>
  <si>
    <t>Sales - Order Received</t>
  </si>
  <si>
    <t>Bank Account Master</t>
  </si>
  <si>
    <t>Assets Management</t>
  </si>
  <si>
    <t>Asset Disposal Records</t>
  </si>
  <si>
    <t>List of All Preliminaries for a Project</t>
  </si>
  <si>
    <t xml:space="preserve">Staff Correspondence </t>
  </si>
  <si>
    <t>Permit Management</t>
  </si>
  <si>
    <t xml:space="preserve">Cidb Green Card </t>
  </si>
  <si>
    <t>SOCSO Records</t>
  </si>
  <si>
    <t>EPF Records</t>
  </si>
  <si>
    <t>EIS Records</t>
  </si>
  <si>
    <t>Equipment's</t>
  </si>
  <si>
    <t>Repair &amp; Maintenance Records</t>
  </si>
  <si>
    <t>Parts of House for Taking of Quantity</t>
  </si>
  <si>
    <t>Public Holiday List</t>
  </si>
  <si>
    <t>List of All Public Holiday - Applicable to Specific State, National level or Workers Grouping</t>
  </si>
  <si>
    <t>Workers Grouping List</t>
  </si>
  <si>
    <t>Each worker is assign to a Group. The Group will determine the Working Day and Times and Public Holidays Applicable</t>
  </si>
  <si>
    <t>MASTER MENU</t>
  </si>
  <si>
    <t>List describing Organisation i.e. Sole Proprietor, Private Limited etc</t>
  </si>
  <si>
    <t>Listing of Common Packing. 25L Tin , 50Kg Bag</t>
  </si>
  <si>
    <t>Delivery Terms</t>
  </si>
  <si>
    <t>T&amp;C on Delivery - Delivered or Own Collection</t>
  </si>
  <si>
    <t>Asset Status</t>
  </si>
  <si>
    <t>Reason For Moving Asset</t>
  </si>
  <si>
    <t>list - Why was the Asset Moved</t>
  </si>
  <si>
    <t>Travelling Mode List</t>
  </si>
  <si>
    <t>Reason For Travelling</t>
  </si>
  <si>
    <t>Millage Rates</t>
  </si>
  <si>
    <t>Reason For Time Off</t>
  </si>
  <si>
    <t>List - Travelling By Car, Motor Cycle, Air Plane etc</t>
  </si>
  <si>
    <t>List - Purpose of Travel</t>
  </si>
  <si>
    <t xml:space="preserve">Payment Terms </t>
  </si>
  <si>
    <t>Cash, Credit - Days, Cash Before Delivery</t>
  </si>
  <si>
    <t>2 Process - Apply and Approval</t>
  </si>
  <si>
    <t>To Correct Error and Abnormal Transection, Accounting Adjustments</t>
  </si>
  <si>
    <t>Tenancy Management</t>
  </si>
  <si>
    <t>Tenant Master</t>
  </si>
  <si>
    <t>Tenancy Details</t>
  </si>
  <si>
    <t>Rates Management</t>
  </si>
  <si>
    <t>Rates Master</t>
  </si>
  <si>
    <t>To register Land Tax and Quit Rent Details</t>
  </si>
  <si>
    <t>Contact Organisation</t>
  </si>
  <si>
    <t>Link To Contact Organisation. Working there and what they are in Charge off</t>
  </si>
  <si>
    <t>List of All Accounts. Including Account Classification - Asset, Loan, Debtors, Creditor, Bank etc</t>
  </si>
  <si>
    <t>Memo</t>
  </si>
  <si>
    <t>Work Order - Commence &amp; Completion Listing</t>
  </si>
  <si>
    <t>Main Menu Description</t>
  </si>
  <si>
    <t>Sub Menu Description</t>
  </si>
  <si>
    <t>UI_No</t>
  </si>
  <si>
    <t>Setting - List Creation (A)</t>
  </si>
  <si>
    <t>Sub Menu - Purpose</t>
  </si>
  <si>
    <t>To Do List</t>
  </si>
  <si>
    <t>For Staff to List Out What they have to Do</t>
  </si>
  <si>
    <t>For Another Person to Delegate and Monitor Task. More then One Person</t>
  </si>
  <si>
    <t>Staff Duty Listing</t>
  </si>
  <si>
    <t>What Are there responsibility. Will be edit regularly. Adding and Removing.</t>
  </si>
  <si>
    <t>What they did during the working day</t>
  </si>
  <si>
    <t>Monthly Payroll Processing</t>
  </si>
  <si>
    <t>Sales - Claim For Works Done</t>
  </si>
  <si>
    <t>Equipment Spare Part Listing</t>
  </si>
  <si>
    <t xml:space="preserve">To Keep list of Spare Parts </t>
  </si>
  <si>
    <t>Asset are Grouped - Office Equipment, Heavy Equipment, Computer Hardware etc. Including Depreciation Rates</t>
  </si>
  <si>
    <t>PPE Records</t>
  </si>
  <si>
    <t>Complain Register</t>
  </si>
  <si>
    <t>Defect Register</t>
  </si>
  <si>
    <t>Defect Rectification Update</t>
  </si>
  <si>
    <t>E-01</t>
  </si>
  <si>
    <t>A-01</t>
  </si>
  <si>
    <t>Future Development</t>
  </si>
  <si>
    <t>B</t>
  </si>
  <si>
    <t>E</t>
  </si>
  <si>
    <t>Infra List</t>
  </si>
  <si>
    <t>RC Component Register</t>
  </si>
  <si>
    <t>BQ Resources - Break Down</t>
  </si>
  <si>
    <t xml:space="preserve">BQ Take Off  RC </t>
  </si>
  <si>
    <t xml:space="preserve">BQ Take Off  Wall </t>
  </si>
  <si>
    <t>BQ Take Off  Ceiling</t>
  </si>
  <si>
    <t>BQ Take Off  Roof</t>
  </si>
  <si>
    <t>BQ Take Off - Tiling</t>
  </si>
  <si>
    <t>BQ Take Off - Door &amp; Window</t>
  </si>
  <si>
    <t>BQ Take Off - Plumbing</t>
  </si>
  <si>
    <t>BQ Take Off - Electrical</t>
  </si>
  <si>
    <t>Project Register</t>
  </si>
  <si>
    <t>Phase Register</t>
  </si>
  <si>
    <t>Block Register</t>
  </si>
  <si>
    <t>Unit Register</t>
  </si>
  <si>
    <t>Building Type Register</t>
  </si>
  <si>
    <t>Infra Woks Register</t>
  </si>
  <si>
    <t>Project Master</t>
  </si>
  <si>
    <t>A-02</t>
  </si>
  <si>
    <t>A-03</t>
  </si>
  <si>
    <t>A-04</t>
  </si>
  <si>
    <t>A-05</t>
  </si>
  <si>
    <t>A-06</t>
  </si>
  <si>
    <t>A-07</t>
  </si>
  <si>
    <t>A-08</t>
  </si>
  <si>
    <t>A-09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</si>
  <si>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</si>
  <si>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</si>
  <si>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</si>
  <si>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</si>
  <si>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</si>
  <si>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</si>
  <si>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</si>
  <si>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</si>
  <si>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</si>
  <si>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</si>
  <si>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</si>
  <si>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</si>
  <si>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</si>
  <si>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</si>
  <si>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</si>
  <si>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</si>
  <si>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</si>
  <si>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</si>
  <si>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</si>
  <si>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</si>
  <si>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</si>
  <si>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</si>
  <si>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</si>
  <si>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</si>
  <si>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</si>
  <si>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</si>
  <si>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</si>
  <si>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</si>
  <si>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</si>
  <si>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</si>
  <si>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</si>
  <si>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</si>
  <si>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</si>
  <si>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</si>
  <si>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How much Material, Labour and Equipment Required To Complete One Unit of BQ</t>
  </si>
  <si>
    <t>Project  Initiation Stage - (B)</t>
  </si>
  <si>
    <t>B-01</t>
  </si>
  <si>
    <t>B-02</t>
  </si>
  <si>
    <t>B-03</t>
  </si>
  <si>
    <t>B-04</t>
  </si>
  <si>
    <t>B-05</t>
  </si>
  <si>
    <t>B-06</t>
  </si>
  <si>
    <t>Resources Price Data</t>
  </si>
  <si>
    <t>Material Prices</t>
  </si>
  <si>
    <t>Labour Rates</t>
  </si>
  <si>
    <t>Project Preliminaries Costing</t>
  </si>
  <si>
    <t>Project Estimation</t>
  </si>
  <si>
    <t>Project Implementation Stage  (C)</t>
  </si>
  <si>
    <t>Foreign Works Management</t>
  </si>
  <si>
    <t>Medical Check Management</t>
  </si>
  <si>
    <t>Petty Cash - Request</t>
  </si>
  <si>
    <t>Petty Cash - Approval</t>
  </si>
  <si>
    <t>Apply &amp; Approval Process</t>
  </si>
  <si>
    <t>Payroll Records</t>
  </si>
  <si>
    <t>Post Project  Stage -(D)</t>
  </si>
  <si>
    <t>Defect Liability Period</t>
  </si>
  <si>
    <t>Human Resources Management (E)</t>
  </si>
  <si>
    <t xml:space="preserve">Staff Register </t>
  </si>
  <si>
    <t>including Job Description, Qualification and terms and condition of employment</t>
  </si>
  <si>
    <t>Workers Insurance Scheme</t>
  </si>
  <si>
    <t>Works Saving Scheme</t>
  </si>
  <si>
    <t>Updating Salary and Wages Records As and When applicable</t>
  </si>
  <si>
    <t>Workers Training and reskilling Scheme</t>
  </si>
  <si>
    <t>Holiday Calendar Marking</t>
  </si>
  <si>
    <t xml:space="preserve">Those Holidays that Changes by Year we mark the Date. Entire Nation </t>
  </si>
  <si>
    <t>Map Holiday To Worker Group</t>
  </si>
  <si>
    <t>B-07</t>
  </si>
  <si>
    <t>B-08</t>
  </si>
  <si>
    <t>B-09</t>
  </si>
  <si>
    <t>B-10</t>
  </si>
  <si>
    <t>B-11</t>
  </si>
  <si>
    <t>B-12</t>
  </si>
  <si>
    <t>B-13</t>
  </si>
  <si>
    <t>B-14</t>
  </si>
  <si>
    <t>B-15</t>
  </si>
  <si>
    <t>B-16</t>
  </si>
  <si>
    <t>B-17</t>
  </si>
  <si>
    <t>B-18</t>
  </si>
  <si>
    <t>B-19</t>
  </si>
  <si>
    <t>B-20</t>
  </si>
  <si>
    <t>B-21</t>
  </si>
  <si>
    <t>B-22</t>
  </si>
  <si>
    <t>C-01</t>
  </si>
  <si>
    <t>C-02</t>
  </si>
  <si>
    <t>C-03</t>
  </si>
  <si>
    <t>C-04</t>
  </si>
  <si>
    <t>C-05</t>
  </si>
  <si>
    <t>C-06</t>
  </si>
  <si>
    <t>C-07</t>
  </si>
  <si>
    <t>C-08</t>
  </si>
  <si>
    <t>C-09</t>
  </si>
  <si>
    <t>C-10</t>
  </si>
  <si>
    <t>C-11</t>
  </si>
  <si>
    <t>C-12</t>
  </si>
  <si>
    <t>C-13</t>
  </si>
  <si>
    <t>C-14</t>
  </si>
  <si>
    <t>C-15</t>
  </si>
  <si>
    <t>C-16</t>
  </si>
  <si>
    <t>C-17</t>
  </si>
  <si>
    <t>C-18</t>
  </si>
  <si>
    <t>C-19</t>
  </si>
  <si>
    <t>C-20</t>
  </si>
  <si>
    <t>D-01</t>
  </si>
  <si>
    <t>D-02</t>
  </si>
  <si>
    <t>D-03</t>
  </si>
  <si>
    <t>E-02</t>
  </si>
  <si>
    <t>E-03</t>
  </si>
  <si>
    <t>E-04</t>
  </si>
  <si>
    <t>E-05</t>
  </si>
  <si>
    <t>E-06</t>
  </si>
  <si>
    <t>E-07</t>
  </si>
  <si>
    <t>E-08</t>
  </si>
  <si>
    <t>E-09</t>
  </si>
  <si>
    <t>E-10</t>
  </si>
  <si>
    <t>E-11</t>
  </si>
  <si>
    <t>E-12</t>
  </si>
  <si>
    <t>E-13</t>
  </si>
  <si>
    <t>E-14</t>
  </si>
  <si>
    <t>E-15</t>
  </si>
  <si>
    <t>E-16</t>
  </si>
  <si>
    <t>E-17</t>
  </si>
  <si>
    <t>E-18</t>
  </si>
  <si>
    <t>E-19</t>
  </si>
  <si>
    <t>E-20</t>
  </si>
  <si>
    <t>E-21</t>
  </si>
  <si>
    <t>E-22</t>
  </si>
  <si>
    <t>E-23</t>
  </si>
  <si>
    <t>E-24</t>
  </si>
  <si>
    <t>F-01</t>
  </si>
  <si>
    <t>F-02</t>
  </si>
  <si>
    <t>F-03</t>
  </si>
  <si>
    <t>F-04</t>
  </si>
  <si>
    <t>F-05</t>
  </si>
  <si>
    <t>F-06</t>
  </si>
  <si>
    <t>F-07</t>
  </si>
  <si>
    <t>F-08</t>
  </si>
  <si>
    <t>F-09</t>
  </si>
  <si>
    <t>F-10</t>
  </si>
  <si>
    <t>F-11</t>
  </si>
  <si>
    <t>F-12</t>
  </si>
  <si>
    <t>F-13</t>
  </si>
  <si>
    <t>F-14</t>
  </si>
  <si>
    <t xml:space="preserve">Add, Edit </t>
  </si>
  <si>
    <t>F-15</t>
  </si>
  <si>
    <t>F-16</t>
  </si>
  <si>
    <t>F-17</t>
  </si>
  <si>
    <t>F-18</t>
  </si>
  <si>
    <t>Staff P&amp;C Notes</t>
  </si>
  <si>
    <t>B-23</t>
  </si>
  <si>
    <t>B-24</t>
  </si>
  <si>
    <t>B-25</t>
  </si>
  <si>
    <t>B-26</t>
  </si>
  <si>
    <t>Building - Grid Line Register</t>
  </si>
  <si>
    <t>To Get Grid Line Reference and Length</t>
  </si>
  <si>
    <t>To Obtain Distance Between One Sump To Another</t>
  </si>
  <si>
    <t>To Obtain Distance Between One Manhole To Another</t>
  </si>
  <si>
    <t>G-01</t>
  </si>
  <si>
    <t>G-02</t>
  </si>
  <si>
    <t>G-03</t>
  </si>
  <si>
    <t>G-04</t>
  </si>
  <si>
    <t>G-05</t>
  </si>
  <si>
    <t>Example in IT Industry</t>
  </si>
  <si>
    <t>What Business are they Doing - Example Developing Software</t>
  </si>
  <si>
    <t>Contact Organisation Master (CO)</t>
  </si>
  <si>
    <t xml:space="preserve">CO Classification </t>
  </si>
  <si>
    <t xml:space="preserve">CO Trade </t>
  </si>
  <si>
    <t>CO Individuals Register</t>
  </si>
  <si>
    <t xml:space="preserve">CO Correspondence </t>
  </si>
  <si>
    <t>List - Describing reason taking Time Off</t>
  </si>
  <si>
    <t>List Describing individual Salutation i.e. Mr, Mrs, Sir, Ir, Ar etc</t>
  </si>
  <si>
    <t xml:space="preserve">Terms and Condition for Commencing WO </t>
  </si>
  <si>
    <t>List of Penalty and Amount For Each Offence. Amount will be revised Occasionally. Thus must have effective date</t>
  </si>
  <si>
    <t>Drain Sump Register</t>
  </si>
  <si>
    <t>To Obtain Sump Reference, Dimension and Invert Level</t>
  </si>
  <si>
    <t>Drain Sump To Sump Distance Register</t>
  </si>
  <si>
    <t>Sewerage Manhole Register</t>
  </si>
  <si>
    <t>To Obtain Manhole Reference, Dimension and Invert Level</t>
  </si>
  <si>
    <t>Sewerage Manhole To Manhole Distance Register</t>
  </si>
  <si>
    <t>Equipment's Rates</t>
  </si>
  <si>
    <t>Project BQ Rates - This is a Process - No Inputs</t>
  </si>
  <si>
    <t>Non Compliance Certificate</t>
  </si>
  <si>
    <t>Contractor Attendance</t>
  </si>
  <si>
    <t>Maintenance Scheduling</t>
  </si>
  <si>
    <t>To Capture the Rates by Effective Date. Rates Depends on travelling mode, CC and Staff Pay Bracket.</t>
  </si>
  <si>
    <t>Only For management to Note any sensitive information</t>
  </si>
  <si>
    <t>Medical Expenses Trekking</t>
  </si>
  <si>
    <t>Personal Asset Listing</t>
  </si>
  <si>
    <t>Utility Master</t>
  </si>
  <si>
    <t>To register All Utility Bills i.e. Water, Electricity, Telephone, WIFI, Sewerage Service</t>
  </si>
  <si>
    <t>To Make Notes of Discussion between Staff and CO</t>
  </si>
  <si>
    <t xml:space="preserve">To Inform Contractor of Commence and Completion time or period </t>
  </si>
  <si>
    <t>For Each WO How many people worked in Morning (8 - 12:00 &amp; 1:00 To 5:00)</t>
  </si>
  <si>
    <t>Attendance &amp; Productivity</t>
  </si>
  <si>
    <t>Based on C-14 System will compute this. This is a Process</t>
  </si>
  <si>
    <t>Hours Worked, Cost Centre  and What Activity they did</t>
  </si>
  <si>
    <t>Hours Used, Cost Centre  and What Activity they did</t>
  </si>
  <si>
    <t>Fuel Stock</t>
  </si>
  <si>
    <t>C-21</t>
  </si>
  <si>
    <t>Fuel Issue Records</t>
  </si>
  <si>
    <t>How much Fuel issued, Cost Centre and Equipments. From DO we will get the Purchase Quantity.</t>
  </si>
  <si>
    <t>Building &amp; Infra  Components</t>
  </si>
  <si>
    <t>Material - Purchase Type</t>
  </si>
  <si>
    <t>List of All Infra Works. This information will be used in A-07</t>
  </si>
  <si>
    <t>Material  -Master</t>
  </si>
  <si>
    <t>Preliminaries List</t>
  </si>
  <si>
    <t>Activity Master - Primary</t>
  </si>
  <si>
    <t>Activity Master - Secondary</t>
  </si>
  <si>
    <t>Cost Centre - Secondary</t>
  </si>
  <si>
    <t>Industry - Trade List</t>
  </si>
  <si>
    <t>Cost Centre - Primary</t>
  </si>
  <si>
    <t>Industry - Master</t>
  </si>
  <si>
    <t>1st Level - All Purchase of Material is Group by Purchase Type. Example Construction Material, Office Equipment, Stationery</t>
  </si>
  <si>
    <t>2nd Level - Each Purchase Type is sub divided further. Purchase - Construction Material - Purchase Group = Steel Bar</t>
  </si>
  <si>
    <t>3rd Level - Each Purchase Group is sub divided further. Purchase Group = Steel Bar, Material Master - Steel bar - Y16</t>
  </si>
  <si>
    <t>Material - Group</t>
  </si>
  <si>
    <t>UOM - Group Master</t>
  </si>
  <si>
    <t>UOM - Master</t>
  </si>
  <si>
    <t>Work Order - Penalty List</t>
  </si>
  <si>
    <t>Work Order - Terms &amp; Condition - Grouping</t>
  </si>
  <si>
    <t>1st Level - Each Work Order has Terms and Condition. Like T&amp;C are Group together.</t>
  </si>
  <si>
    <t>2nd Level - Each Group may have one or many T&amp;C. Some similar example user can choose one of ii ONLY</t>
  </si>
  <si>
    <t>List - Location Where Asset are Kept</t>
  </si>
  <si>
    <t>1st Layer - Example Volume, Area, Length etc</t>
  </si>
  <si>
    <t>2nd - Layer - MR, FR, No's, Kg,M2 etc</t>
  </si>
  <si>
    <t>Reason For Disposing Asset</t>
  </si>
  <si>
    <t xml:space="preserve">Reason For Resigning </t>
  </si>
  <si>
    <t>Why The Staff Resigned from position</t>
  </si>
  <si>
    <t>Why was the Asset written off</t>
  </si>
  <si>
    <t>Level 2 - In Cost Centre - Where The Work is Being Done</t>
  </si>
  <si>
    <t>Details of the Project.</t>
  </si>
  <si>
    <t>How Many Phase in Project</t>
  </si>
  <si>
    <t>How Many Blocks in Project</t>
  </si>
  <si>
    <t>How Many Units in Project</t>
  </si>
  <si>
    <t xml:space="preserve">Description of Building </t>
  </si>
  <si>
    <t>Infra Types in Project</t>
  </si>
  <si>
    <t>To Enter the Project - Material Price. System will Display the Material Required for the project.. Using B-21 &amp; A-08</t>
  </si>
  <si>
    <t>To Enter the Project - Material Price. System will Display the Material Required for the project.. Using B-21 &amp; A-09</t>
  </si>
  <si>
    <t>To Enter the Project - Material Price. System will Display the Material Required for the project.. Using B-21 &amp; A-10</t>
  </si>
  <si>
    <t>System will Calculate using B-21 &amp; B-23 To B-25</t>
  </si>
  <si>
    <t>Site People will request Material and Services</t>
  </si>
  <si>
    <t>Generally Owner will approve or reject MR</t>
  </si>
  <si>
    <t>Reason For Rejecting MR</t>
  </si>
  <si>
    <t>A-44</t>
  </si>
  <si>
    <t>Then Purchasing Staff will Ask for Quotation</t>
  </si>
  <si>
    <t>Supplier - Approval</t>
  </si>
  <si>
    <t xml:space="preserve">User will Enter price received </t>
  </si>
  <si>
    <t>Supplier Price Input</t>
  </si>
  <si>
    <t>Generally Owner will Select the Supplier</t>
  </si>
  <si>
    <t>System will Auto Generate PO</t>
  </si>
  <si>
    <t>System will Auto Generate PV</t>
  </si>
  <si>
    <t>PO Compile</t>
  </si>
  <si>
    <t>One PO can have One or More Material. BUT Cost Centre and Vendor MUST be the same. Selecting the Material to put into ONE PO</t>
  </si>
  <si>
    <t>Supplier will deliver the material - one PO One DO or Multiple DO</t>
  </si>
  <si>
    <t>Delivery Order (DO)</t>
  </si>
  <si>
    <t>Purchase Order (PO)</t>
  </si>
  <si>
    <t>Supplier will Bill for DO send normally once a Month. All DO must be before Invoice Date</t>
  </si>
  <si>
    <t>Payment Voucher (PV)</t>
  </si>
  <si>
    <t>Request for Quotation - Approval</t>
  </si>
  <si>
    <t>NO MR. Document is compiled by User Selecting from B-21</t>
  </si>
  <si>
    <t>Multiple Page - WO Basic Info, Commencement Date, T&amp;C</t>
  </si>
  <si>
    <t>2 Stage Approval</t>
  </si>
  <si>
    <t>Work Order - Compiling</t>
  </si>
  <si>
    <t>Work Order - Verification</t>
  </si>
  <si>
    <t>Work Order -Approval</t>
  </si>
  <si>
    <t>C-22</t>
  </si>
  <si>
    <t>C-23</t>
  </si>
  <si>
    <t>C-24</t>
  </si>
  <si>
    <t>C-25</t>
  </si>
  <si>
    <t>C-26</t>
  </si>
  <si>
    <t>C-27</t>
  </si>
  <si>
    <t>C-28</t>
  </si>
  <si>
    <t>NO DO and Invoice. We issue Work Certfication</t>
  </si>
  <si>
    <t>When Supplier does not comply to WO T&amp;C we issue a NCR</t>
  </si>
  <si>
    <t>NCR Closing</t>
  </si>
  <si>
    <t>C-29</t>
  </si>
  <si>
    <t>On Compliance we Close the NCR</t>
  </si>
  <si>
    <t>Simple Record By hours what they have done. Including Cost Centre if Applicable. Basically Selecting from E-10</t>
  </si>
  <si>
    <t>Memo System. Staf To Staff, Management To Staff</t>
  </si>
  <si>
    <t>Based On E-12 assign the Holidays applicable to the Group. In our Company we have 4 Groups. 2 Each for the 2 States.</t>
  </si>
  <si>
    <t>Apply &amp; Approval Process. Based on Rates in E-014</t>
  </si>
  <si>
    <t>When we receive the Bill from Panel Clicnic we enter who was treated and amount</t>
  </si>
  <si>
    <t>Then G</t>
  </si>
  <si>
    <t>A-45</t>
  </si>
  <si>
    <t>A-46</t>
  </si>
  <si>
    <t>A-47</t>
  </si>
  <si>
    <t>A-48</t>
  </si>
  <si>
    <t>A-49</t>
  </si>
  <si>
    <t>A-50</t>
  </si>
  <si>
    <t>A-51</t>
  </si>
  <si>
    <t>A-52</t>
  </si>
  <si>
    <t>A-53</t>
  </si>
  <si>
    <t>A-54</t>
  </si>
  <si>
    <t>A-55</t>
  </si>
  <si>
    <t>A-56</t>
  </si>
  <si>
    <t>A-57</t>
  </si>
  <si>
    <t>A-58</t>
  </si>
  <si>
    <t>Description of Group - Wet, Slippery, Dry</t>
  </si>
  <si>
    <t>Job Description Available in the Company</t>
  </si>
  <si>
    <t>Annual Leave, Unpaid Leave, Maternity Leave, Sick Leave etc</t>
  </si>
  <si>
    <t>Why Staff Taking Leave</t>
  </si>
  <si>
    <t>Why Leave is being Credited. Annual Leave, Replacement Leave etc</t>
  </si>
  <si>
    <t>Basic Salary, EPF,SOCSO,EIS, Bonus, Unpaid Leave, Overtime,</t>
  </si>
  <si>
    <t>Set the Working Hours and Working Days For Each State.</t>
  </si>
  <si>
    <t>Convert One UOM To Another</t>
  </si>
  <si>
    <t>Raining, Windy, Cloudy etc</t>
  </si>
  <si>
    <t>List - Describing condition of assets i.e. Usable,</t>
  </si>
  <si>
    <t>Name of All Banks in Malaysian.</t>
  </si>
  <si>
    <t>How Communication was done. AR Register, Email, WhatsApp, SMS, Call</t>
  </si>
  <si>
    <t>List Of Countries we are dealing with. Our Direct Workers are from Nepal, India, Bangladesh, Pakistan, Indonesia etc</t>
  </si>
  <si>
    <t>Primary School, Secondary School,  SPM,  STPM, Certificate, Diploma, Degree, Master PhD</t>
  </si>
  <si>
    <t>Why the MR was Rejected. Buy Later, Current Price Too high, Mobilising from another site, To Be substitute with another Material</t>
  </si>
  <si>
    <t>Why Item Delivered was rejected or return back. Broken, Not To Specification</t>
  </si>
  <si>
    <t>Listbox1 - 2 Column - Display Existing List. Allow user to Select &amp; For Edit/Delete</t>
  </si>
  <si>
    <t>This Information will be Used While Creating Staffs.</t>
  </si>
  <si>
    <t>Sample Data</t>
  </si>
  <si>
    <t xml:space="preserve">Bangladesh </t>
  </si>
  <si>
    <t>Pakistani</t>
  </si>
  <si>
    <t>Nepal</t>
  </si>
  <si>
    <t>Nepalese</t>
  </si>
  <si>
    <t>UI No</t>
  </si>
  <si>
    <t>UI</t>
  </si>
  <si>
    <t>Optional - If Applicable Only</t>
  </si>
  <si>
    <t>Listbox1 - 3 Column - Display Existing List. Allow user to Select &amp; Edit/Delete Mode</t>
  </si>
  <si>
    <t>Government - Local Authority</t>
  </si>
  <si>
    <t>Kerajaan - Kerajaan Tempatan</t>
  </si>
  <si>
    <t>Government - Ministry</t>
  </si>
  <si>
    <t xml:space="preserve">Government - State </t>
  </si>
  <si>
    <t>Government - Quisi</t>
  </si>
  <si>
    <t>Kerajaan - Kementerian</t>
  </si>
  <si>
    <t>Kerajaan - Negeri</t>
  </si>
  <si>
    <t>Kerajaan - Agensi</t>
  </si>
  <si>
    <t>To Classify the Third Party Business Model i.e. Sdn Bhd or Bhd</t>
  </si>
  <si>
    <t>In New Mode User Will Type in Data</t>
  </si>
  <si>
    <t>In Edit/Delete Mode User Will Select From Listbox</t>
  </si>
  <si>
    <t xml:space="preserve">Listbox1 - 2 Column - Display Existing List. </t>
  </si>
  <si>
    <t>A-59</t>
  </si>
  <si>
    <t xml:space="preserve">To List Telephone Code BY State and Telephone Company </t>
  </si>
  <si>
    <t>Johore</t>
  </si>
  <si>
    <t>Max 4 Digit.</t>
  </si>
  <si>
    <t>Kuala Lumpur &amp; Selangor</t>
  </si>
  <si>
    <t>If Yes User Selects State. List Created in State - UI- A47</t>
  </si>
  <si>
    <t>To Create list of Phone Code</t>
  </si>
  <si>
    <t>Listbox1 - 3 Column - Display Existing List. For Each Field</t>
  </si>
  <si>
    <t>Sabah &amp; Sarawak</t>
  </si>
  <si>
    <t>Malaysia</t>
  </si>
  <si>
    <t>Johore Darul Ehsan</t>
  </si>
  <si>
    <t xml:space="preserve">Kedah Darum Makmur </t>
  </si>
  <si>
    <t>etc</t>
  </si>
  <si>
    <t>Listbox1 - On Selecting Country -  Display 2 Column - Display Existing List. Allow user to Select &amp; Edit. Display Field 2,3</t>
  </si>
  <si>
    <t>To Create list - How Communication Took Place</t>
  </si>
  <si>
    <t>SAMPLE DATA</t>
  </si>
  <si>
    <t>Peralatan Kecil</t>
  </si>
  <si>
    <t>Each Company will have their own Standard for Each Asset Group</t>
  </si>
  <si>
    <t>What happen if NOT Capitalise (For Information Only)</t>
  </si>
  <si>
    <t>Why Asset Not Capitalise BUT is Register</t>
  </si>
  <si>
    <t>Listbox1 - Display Existing List. Allow user to Select &amp; Edit. Display 1 &amp; 2</t>
  </si>
  <si>
    <t>Asset_Group_English</t>
  </si>
  <si>
    <t>Asset_Group_Bahasa</t>
  </si>
  <si>
    <t xml:space="preserve">If the asset can be used for 5 years in case of Office Furniture &amp; Fitting . Deprecation Rate is 20% </t>
  </si>
  <si>
    <t>Each Company will have their own Standard - For Minimum Capitalisation Amount (Field 4)</t>
  </si>
  <si>
    <t>Construction Equipment's</t>
  </si>
  <si>
    <t xml:space="preserve">Office Equipment's </t>
  </si>
  <si>
    <t>Small Equipment's</t>
  </si>
  <si>
    <t xml:space="preserve">If the asset can be used for  4 years in case of Construction Equipment's. Deprecation Rate is 25% </t>
  </si>
  <si>
    <t>This is our Current Company Policy</t>
  </si>
  <si>
    <t>To Create list of Salutation.  These will be Used While Creating Workers &amp; Staff Database. Also Contact Person Database</t>
  </si>
  <si>
    <t>Listbox1 - Display Existing List. Allow user to Select &amp; Edit. Display Field 1 &amp; 2</t>
  </si>
  <si>
    <t>Listbox1 - Display Existing List. Allow user to Select &amp; Edit. Display 1 &amp;2</t>
  </si>
  <si>
    <t>To Create Race Listing. Used in UI Staff and Workers</t>
  </si>
  <si>
    <t>To Create list of Staff &amp; Workers Qualification</t>
  </si>
  <si>
    <t>Masters</t>
  </si>
  <si>
    <t>Sarjana</t>
  </si>
  <si>
    <t>PMR</t>
  </si>
  <si>
    <t>Trade Certificate</t>
  </si>
  <si>
    <t>Sijil Perdagangan</t>
  </si>
  <si>
    <t>To Create List of Salary and Wages Component &amp; Set weather this is to be  Add or Deduct Remuneration</t>
  </si>
  <si>
    <t>Is This Statutory Rate</t>
  </si>
  <si>
    <t xml:space="preserve">Yes </t>
  </si>
  <si>
    <t>Rate Set By Government Based on Salary. Rate will be change occassionally. Goverbmnet has a Table and for each Salary Range ther is a fixed Amount.</t>
  </si>
  <si>
    <t>Staff Income Tax</t>
  </si>
  <si>
    <t>Cukai Perkerja</t>
  </si>
  <si>
    <t>Amount will be advised by LHDN</t>
  </si>
  <si>
    <t>Statutory_Rate</t>
  </si>
  <si>
    <t>Sales Commission</t>
  </si>
  <si>
    <t>Komisen Jualan</t>
  </si>
  <si>
    <t>Enter if relevant. Description of Remuneration Or Deduction. Optional</t>
  </si>
  <si>
    <t>Remuneration Components</t>
  </si>
  <si>
    <t>Basically Comment for Most Companies. Some company may have More Components</t>
  </si>
  <si>
    <t>Permit Deduction</t>
  </si>
  <si>
    <t>Fomema Medical Checkup</t>
  </si>
  <si>
    <t>Levy Payment</t>
  </si>
  <si>
    <t>Pemeriksaan Perubatan Fomema</t>
  </si>
  <si>
    <t>Potongan Permit</t>
  </si>
  <si>
    <t>Bayaran Levi</t>
  </si>
  <si>
    <t>State Details</t>
  </si>
  <si>
    <t>Statutory Payment</t>
  </si>
  <si>
    <t>Group Description</t>
  </si>
  <si>
    <t>Select Which State This Group is - From List</t>
  </si>
  <si>
    <t>Select From State List</t>
  </si>
  <si>
    <t>To Group Staff and Workers for easy Management of Public Holiday, Working Days, Working Hours</t>
  </si>
  <si>
    <t>Each state has its own State Public Holidays</t>
  </si>
  <si>
    <t>Some States work  Monday to Saturday 1pm</t>
  </si>
  <si>
    <t>Some States work  Saturday to Thursday. Thursday 1pm. Friday Off.</t>
  </si>
  <si>
    <t>Office staff and field staff within the state works different hours</t>
  </si>
  <si>
    <t>Group_English</t>
  </si>
  <si>
    <t>Group_Bahasa</t>
  </si>
  <si>
    <t>Office Staff - Melaka</t>
  </si>
  <si>
    <t>Kakitangan Pejabat - Melaka</t>
  </si>
  <si>
    <t>Kakitangan Pejabat - Selangor</t>
  </si>
  <si>
    <t>Office Staff - Selangor</t>
  </si>
  <si>
    <t>Site Staff - Malaysian - Melaka</t>
  </si>
  <si>
    <t>Site Staff - Malaysian  - Selangor</t>
  </si>
  <si>
    <t>Site Staff - Non Malaysian - Melaka</t>
  </si>
  <si>
    <t>Site Staff - Non Malaysian - Selangor</t>
  </si>
  <si>
    <t>Kakitangan Tapak - Warganegeri Malaysia - Melaka</t>
  </si>
  <si>
    <t>Kakitangan Tapak - Warganegeri Malaysia - Selangor</t>
  </si>
  <si>
    <t>Kakitangan Tapak - Bukan Warganegeri Malaysia - Melaka</t>
  </si>
  <si>
    <t>Kakitangan Tapak - Bukan Warganegeri Malaysia - Selangor</t>
  </si>
  <si>
    <t>Brief description of the Grouping. Who will be Group in this Group. Optional</t>
  </si>
  <si>
    <t>Listbox1 - Display Existing List. Allow user to Select &amp; Edit. Display 1 To 7</t>
  </si>
  <si>
    <t xml:space="preserve">Min Days Allowed </t>
  </si>
  <si>
    <t>Brief Description - Optional</t>
  </si>
  <si>
    <t>Statutory Requirement</t>
  </si>
  <si>
    <t>To Create Leave Types and mark this leave type will be Add or Deducted From Annual Leave.</t>
  </si>
  <si>
    <t>Annual Leave - Emergency Leave</t>
  </si>
  <si>
    <t>Compulsory Annual Leave</t>
  </si>
  <si>
    <t xml:space="preserve">The law allows the company to deduct compulsory annual leave. </t>
  </si>
  <si>
    <t>Annual Leave Taken without giving prior notice</t>
  </si>
  <si>
    <t>Is Annual Leave</t>
  </si>
  <si>
    <t>Is This Annual Leave. If Annual Leave System will Add and Deduct from Annual Leave</t>
  </si>
  <si>
    <t>Add To Annual Leave</t>
  </si>
  <si>
    <t>Only If 3 = Yes. Else Disable Field</t>
  </si>
  <si>
    <t>Replacement Leave</t>
  </si>
  <si>
    <t>Cuti Ganti</t>
  </si>
  <si>
    <t>Taking Leave with sufficent notice</t>
  </si>
  <si>
    <t xml:space="preserve">When staff required to work on off day we replace add annual leave </t>
  </si>
  <si>
    <t>Annual Leave - Normal Leave</t>
  </si>
  <si>
    <t>Annual Leave Crediting</t>
  </si>
  <si>
    <t xml:space="preserve">Carry Forward Leave </t>
  </si>
  <si>
    <t xml:space="preserve">When we migrate to this system we will carry forward the leave </t>
  </si>
  <si>
    <t>Only if PB7 = Yes Enter Starting Hour</t>
  </si>
  <si>
    <t>Only if PB8 = Yes Enter Starting Hour</t>
  </si>
  <si>
    <t>Only if PB9 = Yes Enter Starting Hour</t>
  </si>
  <si>
    <t>Only if PB10 = Yes Enter Starting Hour</t>
  </si>
  <si>
    <t>Only if PB11 = Yes Enter Starting Hour</t>
  </si>
  <si>
    <t>Only if PB12 = Yes Enter Starting Hour</t>
  </si>
  <si>
    <t>Only if PB13 = Yes Enter Starting Hour</t>
  </si>
  <si>
    <t xml:space="preserve">9A = Minimum of 5.5 Days </t>
  </si>
  <si>
    <t>9B = Minimum of 44 Hours</t>
  </si>
  <si>
    <t>Total Working Hours</t>
  </si>
  <si>
    <t>Total Working Days</t>
  </si>
  <si>
    <t>From &amp; To Only if Working Day = Yes Column PB</t>
  </si>
  <si>
    <t>Calculate Column PB and PF Totals.</t>
  </si>
  <si>
    <t xml:space="preserve">NOTES </t>
  </si>
  <si>
    <t>Will They User Carry Forward Leave</t>
  </si>
  <si>
    <t>OR Should we have a UI to Carry forward All their Leave</t>
  </si>
  <si>
    <t>When a Customer Subscribe for this SaaS - How will they Carry forward their Staff Current Balance</t>
  </si>
  <si>
    <t>Race Listing</t>
  </si>
  <si>
    <t>Religion Listing</t>
  </si>
  <si>
    <t>Public Holiday - English</t>
  </si>
  <si>
    <t>Public Holiday - Bahasa</t>
  </si>
  <si>
    <t>All Public Holidays Be it National, States or In pronto</t>
  </si>
  <si>
    <t>Boolean - Yes No</t>
  </si>
  <si>
    <t>Yes - If Every Employee MUST declare this as public holiday. There are 5 Such Public Holidays in Malaysia.</t>
  </si>
  <si>
    <t>If Yes - Enter The MONTH &amp; DATE it will occur each year. Else Disable Field No 5</t>
  </si>
  <si>
    <t>Enter Date &amp; Month ONLY. This will be applicable for ALL Years</t>
  </si>
  <si>
    <t>Any other relevant Information</t>
  </si>
  <si>
    <t>Hari Tahun Baru</t>
  </si>
  <si>
    <t>Hari Wilayah Persekutuan</t>
  </si>
  <si>
    <t>Tahun Baru Cina</t>
  </si>
  <si>
    <t>Hari Pengisytiharan Kemerdekaan</t>
  </si>
  <si>
    <t>Hari Keputeraan Sultan Johor</t>
  </si>
  <si>
    <t>Pengasam Hari Raya</t>
  </si>
  <si>
    <t>Hari Wesak</t>
  </si>
  <si>
    <t>Hari Keputeraan Agong</t>
  </si>
  <si>
    <t>Hari Jadi Gabenor Melaka</t>
  </si>
  <si>
    <t>Hari Merdeka</t>
  </si>
  <si>
    <t>Hari Keputeraan Nabi Muhammad</t>
  </si>
  <si>
    <t>Hari Malaysia</t>
  </si>
  <si>
    <t>Hari Keputeraan Sultan Selangor</t>
  </si>
  <si>
    <t>Hari Krismas</t>
  </si>
  <si>
    <t>Hari Pekerja</t>
  </si>
  <si>
    <t>Note This is Sample Only</t>
  </si>
  <si>
    <t xml:space="preserve">There are many more </t>
  </si>
  <si>
    <t xml:space="preserve">Suggest Combobox, with list 1 and 2 Only. How many days. Either 1 or 2 Days. There are PH with 2 days i.e. Chinese New Year and Hari Raya </t>
  </si>
  <si>
    <t>To Create list - How Material &amp; Goods will be Delivered.</t>
  </si>
  <si>
    <t>Delivered or Own Collection</t>
  </si>
  <si>
    <t>Listbox1 - Display Existing List. Allow user to Select &amp; Edit. Display 1 To 3</t>
  </si>
  <si>
    <t>Delivered With Charge</t>
  </si>
  <si>
    <t>EX Site</t>
  </si>
  <si>
    <t>EX Workshop</t>
  </si>
  <si>
    <t>Dihantar Dengan Caj</t>
  </si>
  <si>
    <t>Tapak EX</t>
  </si>
  <si>
    <t>Bengkel EX</t>
  </si>
  <si>
    <t>Supplier will Deliver and Charge for Delivery</t>
  </si>
  <si>
    <t>Equipment will be repaired and Supplier Workshop</t>
  </si>
  <si>
    <t>This Does NOT concern Transportation</t>
  </si>
  <si>
    <t>Equipment will be repaired at Site</t>
  </si>
  <si>
    <t>Any Other Relevant Information - Optional</t>
  </si>
  <si>
    <t>To Create UOM Group.  Rach UOM will belong To a Group</t>
  </si>
  <si>
    <t>Density</t>
  </si>
  <si>
    <t>Ketumpatan</t>
  </si>
  <si>
    <t>Kaki Padu</t>
  </si>
  <si>
    <t>Listbox1 - Display Existing List. Allow user to Select &amp; Edit. Display 1 To 5</t>
  </si>
  <si>
    <t>Enter how many 2 required for 1 unit of 1</t>
  </si>
  <si>
    <t>To Create UOM Conversation Table. This will be used in Material Master, PO and in Reports</t>
  </si>
  <si>
    <t>Listbox1 - Display Existing List. Allow user to Select &amp; Edit. Display 1 To 4</t>
  </si>
  <si>
    <t>To description the  Site - Weather Condition</t>
  </si>
  <si>
    <t>To description the  Site - Ground Condition</t>
  </si>
  <si>
    <t>Backlane Construction</t>
  </si>
  <si>
    <t>Brickworks and Plastering</t>
  </si>
  <si>
    <t>Defect Rectification Works</t>
  </si>
  <si>
    <t>Wall Repair</t>
  </si>
  <si>
    <t>Check and Monitoring</t>
  </si>
  <si>
    <t>Repairs Works</t>
  </si>
  <si>
    <t>Cleaning</t>
  </si>
  <si>
    <t>Earthworks</t>
  </si>
  <si>
    <t>Landscape Works</t>
  </si>
  <si>
    <t>Turfing</t>
  </si>
  <si>
    <t>Site Clearing Work</t>
  </si>
  <si>
    <t>Demolish and Remove</t>
  </si>
  <si>
    <t>Store</t>
  </si>
  <si>
    <t>Structural Works</t>
  </si>
  <si>
    <t>G Beam</t>
  </si>
  <si>
    <t>G Slab</t>
  </si>
  <si>
    <t>Direct Labour Activity Listing</t>
  </si>
  <si>
    <t xml:space="preserve">Direct Labour Activity Group List </t>
  </si>
  <si>
    <t>To create Activity Group List. Each Group will have one or many Activity. This information will indicate for what the Labour cost was incurred.</t>
  </si>
  <si>
    <t>Pembinaan Lorong Belakang</t>
  </si>
  <si>
    <t>Kerja-kerja Pembetulan Kecacatan</t>
  </si>
  <si>
    <t>Sistem Saliran</t>
  </si>
  <si>
    <t>Kerja Tanah</t>
  </si>
  <si>
    <t>Kerja-kerja Landskap</t>
  </si>
  <si>
    <t>Kerja Pembersihan Tapak</t>
  </si>
  <si>
    <t>Stor</t>
  </si>
  <si>
    <t>Kerja-kerja Struktur</t>
  </si>
  <si>
    <t>Direct Labour Activity Group Listing</t>
  </si>
  <si>
    <t>Activity Group</t>
  </si>
  <si>
    <t>Active or Dormant or Deleted</t>
  </si>
  <si>
    <t>Dormant is Temporary Deactivating. Why. This Activity Completed.</t>
  </si>
  <si>
    <t>Dormant is Temporary Deactivating. Why. This Activity Completed. Deleted is Permanently Removed.</t>
  </si>
  <si>
    <t>Dormant</t>
  </si>
  <si>
    <t>Do NOT show Deleted Groups in Editing &amp; Deleting Mode</t>
  </si>
  <si>
    <t>Listbox1 - Display existing List. Allow user to select &amp; Edit. Display 1 to 5. Only Status = Active &amp; Dormant</t>
  </si>
  <si>
    <t>Kerja Bata dan Plaster</t>
  </si>
  <si>
    <t>Pemeriksaan dan Pemantauan</t>
  </si>
  <si>
    <t>Pembersihan</t>
  </si>
  <si>
    <t>Konkrit di antara dinding Saliran dan Hse</t>
  </si>
  <si>
    <t>Roboh dan Buang</t>
  </si>
  <si>
    <t>Umum</t>
  </si>
  <si>
    <t>Plaster</t>
  </si>
  <si>
    <t>Kerja-kerja Pembaikan</t>
  </si>
  <si>
    <t>Penyelenggaraan Kedai Serkam</t>
  </si>
  <si>
    <t>Pembaikan Dinding</t>
  </si>
  <si>
    <t>Concreting Btw Drain and House wall</t>
  </si>
  <si>
    <t>Upkeep Of Serkam Store</t>
  </si>
  <si>
    <t>To create list of What the worker did during the Working hours</t>
  </si>
  <si>
    <t>Any other relevant information. i.e. Describing the Activity</t>
  </si>
  <si>
    <t>Reason for Annual Leave Application</t>
  </si>
  <si>
    <t>Select - Active or Delete</t>
  </si>
  <si>
    <t>Listbox1 - Display existing List. Allow user to select &amp; Edit. Display 1 To 3. Only Status = Active Show</t>
  </si>
  <si>
    <t xml:space="preserve">Attending To Parents Medical </t>
  </si>
  <si>
    <t>Natural Calamity</t>
  </si>
  <si>
    <t>Melayani Ibu Bapa yang Sakit</t>
  </si>
  <si>
    <t>Ahli Keluarga yang Sakit</t>
  </si>
  <si>
    <t>Bencana Alam</t>
  </si>
  <si>
    <t>Hal Perbadi</t>
  </si>
  <si>
    <t>Rest</t>
  </si>
  <si>
    <t>Reason for Annual Leave Crediting</t>
  </si>
  <si>
    <t>To Create a List of Reason Why Staff are taking Annual leave.</t>
  </si>
  <si>
    <t>To Create a List of Reason Why Annual Leave is being Credited</t>
  </si>
  <si>
    <t>Replacement For Working on Off Day or Off Time</t>
  </si>
  <si>
    <t>Payment in Kind</t>
  </si>
  <si>
    <t xml:space="preserve">Compensate Leave </t>
  </si>
  <si>
    <t>Penggantian Bekerja pada Hari Cuti atau Waktu Cuti</t>
  </si>
  <si>
    <t>Cuti Pampasan</t>
  </si>
  <si>
    <t>Bayaran dalam Bentuk Barangan</t>
  </si>
  <si>
    <t>To Create a List of Reason Why Staff Resigned from Company or Was Terminated.</t>
  </si>
  <si>
    <t>Take Care of Family</t>
  </si>
  <si>
    <t>Compulsory Retirement Age</t>
  </si>
  <si>
    <t>Sickness</t>
  </si>
  <si>
    <t>Death</t>
  </si>
  <si>
    <t>Better Offer of Employment</t>
  </si>
  <si>
    <t>Seek New Experience</t>
  </si>
  <si>
    <t>Unhappy with Work Environment &amp; Condition</t>
  </si>
  <si>
    <t>Insufficient Remuneration</t>
  </si>
  <si>
    <t>Jaga Keluarga</t>
  </si>
  <si>
    <t>Umur Persaraan Wajib</t>
  </si>
  <si>
    <t>Sakit</t>
  </si>
  <si>
    <t>Kematian</t>
  </si>
  <si>
    <t>Tawaran Pekerjaan yang Lebih Baik</t>
  </si>
  <si>
    <t>Cari Pengalaman Baharu</t>
  </si>
  <si>
    <t>Tidak Berpuas Hati dengan Persekitaran &amp; Keadaan Kerja</t>
  </si>
  <si>
    <t>To Create a List of Reason Why Staff are taking time off</t>
  </si>
  <si>
    <t>Car/Motor Cycle Breakdown</t>
  </si>
  <si>
    <t>Minor Accident</t>
  </si>
  <si>
    <t>Kerosakan Kereta/Motosikal</t>
  </si>
  <si>
    <t>Kemalangan Kecil</t>
  </si>
  <si>
    <t>Doctor Appointment</t>
  </si>
  <si>
    <t>Children School Matter</t>
  </si>
  <si>
    <t>Perkara Sekolah Kanak-kanak</t>
  </si>
  <si>
    <t>To Create a List of Reason Why Material were Return back to supplier</t>
  </si>
  <si>
    <t>Not as Ordered Specification</t>
  </si>
  <si>
    <t>Broken or Damaged</t>
  </si>
  <si>
    <t>Delivered before Due Date</t>
  </si>
  <si>
    <t>Exceed Order Quantity</t>
  </si>
  <si>
    <t>Melebihi Kuantiti Pesanan</t>
  </si>
  <si>
    <t>Tidak Seperti Spesifikasi Pesanan</t>
  </si>
  <si>
    <t>Rosak atau Rosak</t>
  </si>
  <si>
    <t>Dihantar sebelum Tarikh Akhir</t>
  </si>
  <si>
    <t>To Create a List of Reason Why Asset was Disposed.</t>
  </si>
  <si>
    <t>Unserviceable</t>
  </si>
  <si>
    <t>Stolen</t>
  </si>
  <si>
    <t>Not Economical</t>
  </si>
  <si>
    <t>No Spare parts</t>
  </si>
  <si>
    <t>To often breaking down</t>
  </si>
  <si>
    <t>Tidak Boleh Diservis</t>
  </si>
  <si>
    <t>Dicuri</t>
  </si>
  <si>
    <t>Tidak Menjimatkan</t>
  </si>
  <si>
    <t>Tiada Alat Ganti</t>
  </si>
  <si>
    <t>Sering rosak</t>
  </si>
  <si>
    <t>To Create a List of Reason Why Asset was moved from one place to another.</t>
  </si>
  <si>
    <t>Rented Out</t>
  </si>
  <si>
    <t xml:space="preserve">Sold </t>
  </si>
  <si>
    <t>Send For Repairing</t>
  </si>
  <si>
    <t>Moved to Another Company Site</t>
  </si>
  <si>
    <t>Hantar Untuk Pembaikan</t>
  </si>
  <si>
    <t>Dipindahkan ke Tapak Syarikat Lain</t>
  </si>
  <si>
    <t>Disewakan</t>
  </si>
  <si>
    <t>Dijual</t>
  </si>
  <si>
    <t>list - Why was the Asset was moved one place to another</t>
  </si>
  <si>
    <t>Storage -at Company Store</t>
  </si>
  <si>
    <t>Simpan to stor Syarikat</t>
  </si>
  <si>
    <t>To Create a List of Reason Why Material Request was Rejected by Approving person</t>
  </si>
  <si>
    <t>Not required at the moment</t>
  </si>
  <si>
    <t>Find alternative material</t>
  </si>
  <si>
    <t>Alternative design being considered</t>
  </si>
  <si>
    <t>Current NO stock</t>
  </si>
  <si>
    <t xml:space="preserve">Not suitable weather </t>
  </si>
  <si>
    <t>Tidak diperlukan pada masa ini</t>
  </si>
  <si>
    <t>Cari bahan alternatif</t>
  </si>
  <si>
    <t>Reka bentuk alternatif sedang dipertimbangkan</t>
  </si>
  <si>
    <t>TIADA stok semasa</t>
  </si>
  <si>
    <t>Cuaca tidak sesuai</t>
  </si>
  <si>
    <t>To Create a List of Reason Why Staff travelled.</t>
  </si>
  <si>
    <t>Postage</t>
  </si>
  <si>
    <t>Banking</t>
  </si>
  <si>
    <t>Government Agencies</t>
  </si>
  <si>
    <t>Collecting &amp; Sending Documents</t>
  </si>
  <si>
    <t>To Site</t>
  </si>
  <si>
    <t>To Office</t>
  </si>
  <si>
    <t>Pos</t>
  </si>
  <si>
    <t>Mengumpul dan Menghantar Dokumen</t>
  </si>
  <si>
    <t>Perbankan</t>
  </si>
  <si>
    <t>Agensi Kerajaan</t>
  </si>
  <si>
    <t>Ke Tapak</t>
  </si>
  <si>
    <t>Ke Pejabat</t>
  </si>
  <si>
    <t>Payment Schedule</t>
  </si>
  <si>
    <t>On Appointment</t>
  </si>
  <si>
    <t>%</t>
  </si>
  <si>
    <t>Amount_RM</t>
  </si>
  <si>
    <t>Supplier's Invoice</t>
  </si>
  <si>
    <t>Upon Completing Entire System</t>
  </si>
  <si>
    <t>On Completion - A</t>
  </si>
  <si>
    <t>On Completing Testing - A</t>
  </si>
  <si>
    <t>On Completion - G</t>
  </si>
  <si>
    <t>G - On Completing Testing - G</t>
  </si>
  <si>
    <t>r</t>
  </si>
  <si>
    <t>On Completion - F</t>
  </si>
  <si>
    <t>On Completing Testing - F</t>
  </si>
  <si>
    <t>On Completion - E</t>
  </si>
  <si>
    <t>On Completing Testing - E</t>
  </si>
  <si>
    <t>On Completion - C1-C10</t>
  </si>
  <si>
    <t>On Completing Testing - C1-C10</t>
  </si>
  <si>
    <t>On Completion - C11-C27</t>
  </si>
  <si>
    <t>On Completing Testing -C11-C27</t>
  </si>
  <si>
    <t>On Completion - B1-B18</t>
  </si>
  <si>
    <t>On Completing Testing -B1-B18</t>
  </si>
  <si>
    <t>On Completion - B19-B26</t>
  </si>
  <si>
    <t>On Completing Testing - B19-B26</t>
  </si>
  <si>
    <t>Schedule A</t>
  </si>
  <si>
    <t>Schedule B</t>
  </si>
  <si>
    <t>Main Menu Code</t>
  </si>
  <si>
    <t>Milestone</t>
  </si>
  <si>
    <t xml:space="preserve"> 6 Months after 18</t>
  </si>
  <si>
    <t>Future UI</t>
  </si>
  <si>
    <t>Sub Menu Caption</t>
  </si>
  <si>
    <t>Setting - List Creation</t>
  </si>
  <si>
    <t>Project  Initiation Stage</t>
  </si>
  <si>
    <t>Project Implementation Stage</t>
  </si>
  <si>
    <t>Post Project  Stage</t>
  </si>
  <si>
    <t>Finance &amp; Accounts</t>
  </si>
  <si>
    <t>People Management</t>
  </si>
  <si>
    <t>Bank Account List</t>
  </si>
  <si>
    <t>Bank Branch</t>
  </si>
  <si>
    <t>Select from Third Paty List</t>
  </si>
  <si>
    <t>Short Account Description</t>
  </si>
  <si>
    <t>Commencement Date</t>
  </si>
  <si>
    <t>Closing Date</t>
  </si>
  <si>
    <t>Account No</t>
  </si>
  <si>
    <t>Opening Balance</t>
  </si>
  <si>
    <t>Select Bank Name. Filter and Display Third Party - Classification is Bank</t>
  </si>
  <si>
    <t>Branch in which state</t>
  </si>
  <si>
    <t>Short Description of Account</t>
  </si>
  <si>
    <t>When This Bank Account was Closed - Optional</t>
  </si>
  <si>
    <t>When This Bank Account was Opened -Optional</t>
  </si>
  <si>
    <t>Account Type</t>
  </si>
  <si>
    <t>Current Account Without Overdraft</t>
  </si>
  <si>
    <t>Listbox1 - Display existing List. Allow user to select &amp; Edit. Display 1 To 9. Only Status = Active Show</t>
  </si>
  <si>
    <t>To avoid Creating another UI</t>
  </si>
  <si>
    <t>To Create List of Bank Accounts Operated by Company</t>
  </si>
  <si>
    <t>RHB Bank Bhd</t>
  </si>
  <si>
    <t>Klang -  Bukit Tinggi</t>
  </si>
  <si>
    <t>RHB Bukit Tinggi</t>
  </si>
  <si>
    <t>MBB Melaka Raya</t>
  </si>
  <si>
    <t>Cimb Bukit Raja</t>
  </si>
  <si>
    <t>Klang Selatan - Bukit Raja</t>
  </si>
  <si>
    <t>Select From State List - Short Name</t>
  </si>
  <si>
    <t>1234-0012-4512</t>
  </si>
  <si>
    <t>Current Account W/o Overdraft</t>
  </si>
  <si>
    <t>Current Account With Overdraft</t>
  </si>
  <si>
    <t>Current Account W/0thout Overdraft, Current Account With Overdraft</t>
  </si>
  <si>
    <t>Which Branche</t>
  </si>
  <si>
    <t>Allow special Characters like - and /</t>
  </si>
  <si>
    <t>To Transfer Opening Balance in Our System</t>
  </si>
  <si>
    <t>Melaka - Melaka Raya Jalan 1</t>
  </si>
  <si>
    <t>To register All Company Accounts</t>
  </si>
  <si>
    <t>Bank Account Register</t>
  </si>
  <si>
    <t>Is Balance Sheet Item</t>
  </si>
  <si>
    <t>Is Trading Account</t>
  </si>
  <si>
    <t>Is Profit &amp; Loss Account</t>
  </si>
  <si>
    <t>Fix Asset</t>
  </si>
  <si>
    <t>Sales</t>
  </si>
  <si>
    <t>Income</t>
  </si>
  <si>
    <t>Liability</t>
  </si>
  <si>
    <t>A-60</t>
  </si>
  <si>
    <t>To Classify ever Account Description</t>
  </si>
  <si>
    <t>Account Classification Description</t>
  </si>
  <si>
    <t>Is Current Liability</t>
  </si>
  <si>
    <t>Is Current Asset</t>
  </si>
  <si>
    <t>Is Fix Asset</t>
  </si>
  <si>
    <t>Is Long Term Liability</t>
  </si>
  <si>
    <t>A-61</t>
  </si>
  <si>
    <t>To Create Account Ledgers.</t>
  </si>
  <si>
    <t>Accounts Classification List</t>
  </si>
  <si>
    <t>Enter Account Classification in English</t>
  </si>
  <si>
    <t>Select from Combobox</t>
  </si>
  <si>
    <t>Enter Account Classification in Bahasa</t>
  </si>
  <si>
    <t>A-62</t>
  </si>
  <si>
    <t>Serial No - With Year</t>
  </si>
  <si>
    <t>Serial No - W/O Year</t>
  </si>
  <si>
    <t>Sales Voucher</t>
  </si>
  <si>
    <t>Purchasing Voucher</t>
  </si>
  <si>
    <t>Baucar Bayaran</t>
  </si>
  <si>
    <t>Baucar Resit</t>
  </si>
  <si>
    <t>Baucar Jualan</t>
  </si>
  <si>
    <t>Baucar Pembelian</t>
  </si>
  <si>
    <t>Petty Cash Voucher</t>
  </si>
  <si>
    <t>Construction Classification</t>
  </si>
  <si>
    <t xml:space="preserve">Either Building Or Infra </t>
  </si>
  <si>
    <t>If Building Then Display Combobox - Below Ground, On Ground, Above Ground</t>
  </si>
  <si>
    <t>If Infra Display Infra Listing</t>
  </si>
  <si>
    <t xml:space="preserve">Select - Combobox </t>
  </si>
  <si>
    <t>Load UOM List. UOM1,UOM2,UOM3 cannot be same</t>
  </si>
  <si>
    <t>But Not compulsory. Required. BUT UOM1 Cannot be empty</t>
  </si>
  <si>
    <t>Building</t>
  </si>
  <si>
    <t>Infra</t>
  </si>
  <si>
    <t>Below Ground</t>
  </si>
  <si>
    <t>On Ground</t>
  </si>
  <si>
    <t>Above Ground</t>
  </si>
  <si>
    <t>Construction Sub Classification</t>
  </si>
  <si>
    <t xml:space="preserve">Building Construction </t>
  </si>
  <si>
    <t xml:space="preserve">Infrastructure </t>
  </si>
  <si>
    <t>Highways, bridges, railways, airports) and Utility Infrastructure (water treatment plants, pipelines, power grids</t>
  </si>
  <si>
    <t>Classification - English</t>
  </si>
  <si>
    <t>Classification - Bahasa</t>
  </si>
  <si>
    <t>Enter - English</t>
  </si>
  <si>
    <t xml:space="preserve">Pembinaan Bangunan </t>
  </si>
  <si>
    <t>Infrastruktur</t>
  </si>
  <si>
    <t>Enter - Bahasa</t>
  </si>
  <si>
    <t>Any Other relevant Information if required</t>
  </si>
  <si>
    <t>Residential / Institutional (offices, schools, hospitals, retail centres).</t>
  </si>
  <si>
    <t>A-63</t>
  </si>
  <si>
    <t>Di Bawah Tanah</t>
  </si>
  <si>
    <t>Di Tanah</t>
  </si>
  <si>
    <t>Kerja-kerja Jalan</t>
  </si>
  <si>
    <t>Di Atas Tanah</t>
  </si>
  <si>
    <t>Listbox1 - Display existing List. Allow user to select &amp; Edit. Display 1,2, 3.4</t>
  </si>
  <si>
    <t>Pengukuhan</t>
  </si>
  <si>
    <t>To Create List To Describe Construction Classification. Level 1</t>
  </si>
  <si>
    <t>To Create List To Describe Construction Sub Classification. Level 2</t>
  </si>
  <si>
    <t>Business Legal Entity</t>
  </si>
  <si>
    <t>Telephone Code Listing</t>
  </si>
  <si>
    <t xml:space="preserve">Employee  Grouping </t>
  </si>
  <si>
    <t>Malaysian Public Holiday List</t>
  </si>
  <si>
    <t>A-64</t>
  </si>
  <si>
    <t xml:space="preserve">Overheads </t>
  </si>
  <si>
    <t>Checkbox</t>
  </si>
  <si>
    <t xml:space="preserve">To Create a List of Preliminaries, Overhead Expenses. This will be budgeted and monitored </t>
  </si>
  <si>
    <t>Overhead basically over the period of Construction including post construction period. Will be apportion built into BQ Rate</t>
  </si>
  <si>
    <t>Listbox1 - Display existing List. Allow user to select &amp; Edit. Display 1,2, and Either 3 or 4</t>
  </si>
  <si>
    <t>Temporary Electricity Connection</t>
  </si>
  <si>
    <t>Sambungan Electricity Sementara</t>
  </si>
  <si>
    <t>Insuran Projek</t>
  </si>
  <si>
    <t>Site Vehicle Maintenance</t>
  </si>
  <si>
    <t xml:space="preserve">Diesel </t>
  </si>
  <si>
    <t>Petrol</t>
  </si>
  <si>
    <t>Penginapan Sementara</t>
  </si>
  <si>
    <t>Contract Documentation &amp; Stamp Duty</t>
  </si>
  <si>
    <t>Insurance - Car</t>
  </si>
  <si>
    <t>Insurance - Wc</t>
  </si>
  <si>
    <t>Machinery And Equipment</t>
  </si>
  <si>
    <t>Cidb Levy</t>
  </si>
  <si>
    <t>Clearing &amp; Making Good Completion</t>
  </si>
  <si>
    <t>Testing And Record Keeping</t>
  </si>
  <si>
    <t>Storage Welfare &amp; Site Accommodation</t>
  </si>
  <si>
    <t>Insurans - Car</t>
  </si>
  <si>
    <t>Insurans - Wc</t>
  </si>
  <si>
    <t>Jentera Dan Peralatan</t>
  </si>
  <si>
    <t>Levi Cidb</t>
  </si>
  <si>
    <t>Membersihkan &amp; Membuat Penyiapan Yang Baik</t>
  </si>
  <si>
    <t>Temporary Accommodation</t>
  </si>
  <si>
    <t>Pembuangan Sampah</t>
  </si>
  <si>
    <t>Menetap</t>
  </si>
  <si>
    <t>Kebajikan Simpanan &amp; Penginapan Tapak</t>
  </si>
  <si>
    <t>A-65</t>
  </si>
  <si>
    <t xml:space="preserve">To Create Preliminaries &amp; Overhead </t>
  </si>
  <si>
    <t>A-66</t>
  </si>
  <si>
    <t>A-67</t>
  </si>
  <si>
    <t>A-68</t>
  </si>
  <si>
    <t>A-69</t>
  </si>
  <si>
    <t>A-70</t>
  </si>
  <si>
    <t>Project - Phase Register</t>
  </si>
  <si>
    <t>Project - Block Register</t>
  </si>
  <si>
    <t>Project - Floor Register</t>
  </si>
  <si>
    <t>To Register Project has More Then One Phase To More Then One Block To Register Block</t>
  </si>
  <si>
    <t>To Register Project has More Then One Block To Register Block</t>
  </si>
  <si>
    <t>To Register The Building Description for Each Project</t>
  </si>
  <si>
    <t>To Register Building Components and Infra Components.</t>
  </si>
  <si>
    <t>Select Third Party - Classification = Customer</t>
  </si>
  <si>
    <t>Minium 1</t>
  </si>
  <si>
    <t>Blocks</t>
  </si>
  <si>
    <t>Units</t>
  </si>
  <si>
    <t>Building Types</t>
  </si>
  <si>
    <t>Is Building</t>
  </si>
  <si>
    <t>Is Infra</t>
  </si>
  <si>
    <t>Enter Numerical Value</t>
  </si>
  <si>
    <t>To Create list Religious Belief. Used in Staff and Workers User form</t>
  </si>
  <si>
    <t>If 4 = Yes and 5 = Yes this Leave Type will be added to Leave Balance. Else If 5=No then it will Deduct from Annual Leave</t>
  </si>
  <si>
    <t>By Law What is  Minimum Days</t>
  </si>
  <si>
    <t>By Law What is  Maximum Days</t>
  </si>
  <si>
    <t>Enter Date if Known</t>
  </si>
  <si>
    <t>Contact Sump - RM</t>
  </si>
  <si>
    <t>Enter Amount</t>
  </si>
  <si>
    <t>Listbox1 - Display existing List. Allow user to select &amp; Edit. Display As Many as Possible</t>
  </si>
  <si>
    <t>Select Short Name</t>
  </si>
  <si>
    <t>Enter No of Phase in Project</t>
  </si>
  <si>
    <t>Enter No of Block in Project</t>
  </si>
  <si>
    <t>Enter No of Units in Project</t>
  </si>
  <si>
    <t>Select Project Status. Initially Active</t>
  </si>
  <si>
    <t>District</t>
  </si>
  <si>
    <t>Only Active Project Will be Displayed</t>
  </si>
  <si>
    <t>Optional - Generally will follow Phase or Project</t>
  </si>
  <si>
    <t>Select Building Type</t>
  </si>
  <si>
    <t>Total Units</t>
  </si>
  <si>
    <t>To Register Project. Level 1</t>
  </si>
  <si>
    <t>Block No</t>
  </si>
  <si>
    <t>If Only 1 - Auto Display Else User To Select Phase No</t>
  </si>
  <si>
    <t>If Only 1 - Auto Display Else User To Select Block No</t>
  </si>
  <si>
    <t>Enter No of Units in Floor</t>
  </si>
  <si>
    <t>Taman Hajjah Yon</t>
  </si>
  <si>
    <t>0 = Floor Not Applicable</t>
  </si>
  <si>
    <t>I</t>
  </si>
  <si>
    <t>Each Project will have its own Building Design, No of Rooms, Room Size, Building Size, Heigh diff finishing and even within a block position.</t>
  </si>
  <si>
    <t>Each of this factor will effect the cost of the units. Thus they must be priced separately.</t>
  </si>
  <si>
    <t>Building Description</t>
  </si>
  <si>
    <t>Building Code</t>
  </si>
  <si>
    <t>Contract Sum</t>
  </si>
  <si>
    <t>Enter Description of Building</t>
  </si>
  <si>
    <t>No of Rooms</t>
  </si>
  <si>
    <t>No Of Toilets</t>
  </si>
  <si>
    <t>Building Land Area - M2</t>
  </si>
  <si>
    <t>Built Up Area - M2</t>
  </si>
  <si>
    <t>Building Height - M</t>
  </si>
  <si>
    <t>22x65-C</t>
  </si>
  <si>
    <t>22x70-E</t>
  </si>
  <si>
    <t>Listbox1 - Display existing List. Allow user to select &amp; Edit. Display 1 to 9</t>
  </si>
  <si>
    <t>Single Storey Terrace 22x 65 - Cornor Lot</t>
  </si>
  <si>
    <t>Single Storey Terrace 22x 70 - End Lot</t>
  </si>
  <si>
    <t xml:space="preserve">Only Active Project Will be Displayed </t>
  </si>
  <si>
    <t>Is Reinforcement RC Works</t>
  </si>
  <si>
    <t>Component - English</t>
  </si>
  <si>
    <t>Component - Bahasa</t>
  </si>
  <si>
    <t>Based on Component then Trade</t>
  </si>
  <si>
    <t>Based on Trade and then Component</t>
  </si>
  <si>
    <t xml:space="preserve">Example </t>
  </si>
  <si>
    <t>Ground Beam</t>
  </si>
  <si>
    <t>Concreting - Footing, Stump, Ground Beam, Column etc</t>
  </si>
  <si>
    <t>Ground Beam  - Reinforcement, Formwork and Concreting</t>
  </si>
  <si>
    <t>Listbox1 - Display existing List. Allow user to select &amp; Edit. Display 1 to 6</t>
  </si>
  <si>
    <t>Stump</t>
  </si>
  <si>
    <t>Pre Cast - U Drain</t>
  </si>
  <si>
    <t>Pre Cast - Box Culvert</t>
  </si>
  <si>
    <t>Pre Cast - V Drain</t>
  </si>
  <si>
    <t>Rasuk Tanah</t>
  </si>
  <si>
    <t>Topi Cerucuk</t>
  </si>
  <si>
    <t>Pile Cap</t>
  </si>
  <si>
    <t>Tunggul</t>
  </si>
  <si>
    <t>Pra Cas - Longkang V</t>
  </si>
  <si>
    <t>Pra Cas -Longkang  U</t>
  </si>
  <si>
    <t>Pra Cas - Longkang Kotak</t>
  </si>
  <si>
    <t>If Component is a RC Component then Check Box</t>
  </si>
  <si>
    <t>Applicable for All Project</t>
  </si>
  <si>
    <t>Any Other Relevant Information</t>
  </si>
  <si>
    <t>Taking of Quantity is basically by 2 Methods</t>
  </si>
  <si>
    <t>Enter Description in English. At least One of 3,4 Required.</t>
  </si>
  <si>
    <t>Enter Description in Bahasa. At least One of 3,4 Required.</t>
  </si>
  <si>
    <t>Asset Status Description</t>
  </si>
  <si>
    <t>Asset - Status Description</t>
  </si>
  <si>
    <t>Asset - Location Description</t>
  </si>
  <si>
    <t>Either Or Both 1 &amp; 2. But One of this Required.</t>
  </si>
  <si>
    <t>Any Other Information</t>
  </si>
  <si>
    <t>Is Active</t>
  </si>
  <si>
    <t>Can be used after Repair</t>
  </si>
  <si>
    <t>Sold</t>
  </si>
  <si>
    <t>Require Repair</t>
  </si>
  <si>
    <t>Stolen To be written Off from Asset List</t>
  </si>
  <si>
    <t>Sold To be written Off from Asset List</t>
  </si>
  <si>
    <t xml:space="preserve">Sold For Scrap. </t>
  </si>
  <si>
    <t>Trade In</t>
  </si>
  <si>
    <t>Trade in for another Asset</t>
  </si>
  <si>
    <t>Tidak boleh diservis</t>
  </si>
  <si>
    <t>Memerlukan Pembaikan</t>
  </si>
  <si>
    <t>Tukar Untuk Aset lain</t>
  </si>
  <si>
    <t>Nilai Besi Buruk</t>
  </si>
  <si>
    <t>Building Heights. General in Malysia 3.048 (10ft)</t>
  </si>
  <si>
    <t>Preliminaries &amp; Overheads List</t>
  </si>
  <si>
    <t>To Create a List of Infra Works</t>
  </si>
  <si>
    <t>Listbox1 - Display existing List. Allow user to select &amp; Edit. Display 1,2, 3</t>
  </si>
  <si>
    <t>Sewer Treatment Plant</t>
  </si>
  <si>
    <t>OSD</t>
  </si>
  <si>
    <t>Sewer Reticulation</t>
  </si>
  <si>
    <t xml:space="preserve">Water Reticulation </t>
  </si>
  <si>
    <t>Kerja tanah</t>
  </si>
  <si>
    <t>Loji Rawatan Pembetung</t>
  </si>
  <si>
    <t>Retikulasi pembetung</t>
  </si>
  <si>
    <t>Retikulasi Air</t>
  </si>
  <si>
    <t>Next level will be entered in Construction - Building &amp; Infra  Components</t>
  </si>
  <si>
    <t>Construction - Building &amp; Infra  - Trade</t>
  </si>
  <si>
    <t>Construction - Building &amp; Infra  - Components</t>
  </si>
  <si>
    <t>Trade - English</t>
  </si>
  <si>
    <t>Trade - Bahasa</t>
  </si>
  <si>
    <t>To take of quantity of each of the Building and Infra Works Components</t>
  </si>
  <si>
    <t>Next Level is BQ Item</t>
  </si>
  <si>
    <t>Choose Building, Infra or Both</t>
  </si>
  <si>
    <t xml:space="preserve">Applicable </t>
  </si>
  <si>
    <t xml:space="preserve">Combobox </t>
  </si>
  <si>
    <t>Brick Works</t>
  </si>
  <si>
    <t>Penggalian</t>
  </si>
  <si>
    <t>Kerja-kerja Bata</t>
  </si>
  <si>
    <t>Both</t>
  </si>
  <si>
    <t>Listbox1 - Display existing List. Allow user to select &amp; Edit. Display 1 to 5</t>
  </si>
  <si>
    <t>Is  RC Component</t>
  </si>
  <si>
    <t>Tiling</t>
  </si>
  <si>
    <t>Kerja Jubin</t>
  </si>
  <si>
    <t>Plaster Ceiling Works</t>
  </si>
  <si>
    <t>Kerja-kerja Siling Plaster</t>
  </si>
  <si>
    <t>To take of quantity of each of the Building and Infra Works - Trade i.e. Reinforcement</t>
  </si>
  <si>
    <t>Excavations</t>
  </si>
  <si>
    <t>Kerja acuan</t>
  </si>
  <si>
    <t>Why Employee Applying for Annual Leave.</t>
  </si>
  <si>
    <t>Packaging Description</t>
  </si>
  <si>
    <t>Tin - 1L</t>
  </si>
  <si>
    <t>Bag - 50kg</t>
  </si>
  <si>
    <t>Bag - 25kg</t>
  </si>
  <si>
    <t>Bag - 40kg</t>
  </si>
  <si>
    <t>Tin - 3L</t>
  </si>
  <si>
    <t>Tin - 5L</t>
  </si>
  <si>
    <t>Tin - 7L</t>
  </si>
  <si>
    <t>Drum - 45 Gallon</t>
  </si>
  <si>
    <t>Roll</t>
  </si>
  <si>
    <t>Beg - 50kg</t>
  </si>
  <si>
    <t>Timah - 1L</t>
  </si>
  <si>
    <t>Beg - 25kg</t>
  </si>
  <si>
    <t>Beg - 40kg</t>
  </si>
  <si>
    <t>Timah - 3L</t>
  </si>
  <si>
    <t>Timah - 5L</t>
  </si>
  <si>
    <t>Timah - 7L</t>
  </si>
  <si>
    <t>Gendang - 45 Gelen</t>
  </si>
  <si>
    <t>Himpunan</t>
  </si>
  <si>
    <t>Gulung</t>
  </si>
  <si>
    <t>Box - 13kg</t>
  </si>
  <si>
    <t>Box - 0.5kg</t>
  </si>
  <si>
    <t>Kotak - 13Kg</t>
  </si>
  <si>
    <t>Kotak - 0.5Kg</t>
  </si>
  <si>
    <t>Enter Description in English</t>
  </si>
  <si>
    <t>Enter Description in Bahasa</t>
  </si>
  <si>
    <t xml:space="preserve">Basically listing of how Material will be packet. </t>
  </si>
  <si>
    <t>Payment Term</t>
  </si>
  <si>
    <t>Basically listing of how Payment will be made for supply of labour, Material and Services.</t>
  </si>
  <si>
    <t>Cash</t>
  </si>
  <si>
    <t>Cash Before Delivery</t>
  </si>
  <si>
    <t xml:space="preserve">30 Days </t>
  </si>
  <si>
    <t>60 Days</t>
  </si>
  <si>
    <t>90 Days</t>
  </si>
  <si>
    <t>Tunai</t>
  </si>
  <si>
    <t>Tunai Sebelum Penghantaran</t>
  </si>
  <si>
    <t xml:space="preserve">30 Hari </t>
  </si>
  <si>
    <t>60 Hari</t>
  </si>
  <si>
    <t>90 Hari</t>
  </si>
  <si>
    <t>Building Material Supplier</t>
  </si>
  <si>
    <t>Procurement  Classification - Group</t>
  </si>
  <si>
    <t>Listbox1 - Display existing List. Allow user to select &amp; Edit. Display 1,2, 3,4</t>
  </si>
  <si>
    <t xml:space="preserve">Each Procurement Classificationis further subdivided to Groups. </t>
  </si>
  <si>
    <t>Roof Cover</t>
  </si>
  <si>
    <t>Water Proof Material</t>
  </si>
  <si>
    <t>Bricks</t>
  </si>
  <si>
    <t>Bar Keluli</t>
  </si>
  <si>
    <t>Papan lapis</t>
  </si>
  <si>
    <t>Penutup Bumbung</t>
  </si>
  <si>
    <t>Bahan Kalis Air</t>
  </si>
  <si>
    <t>Produk Kuari</t>
  </si>
  <si>
    <t>Batu bata</t>
  </si>
  <si>
    <t>Cat</t>
  </si>
  <si>
    <t>Simen</t>
  </si>
  <si>
    <t xml:space="preserve">Procurement Classification </t>
  </si>
  <si>
    <t>Classification - Group</t>
  </si>
  <si>
    <t>Steel Bar Y16</t>
  </si>
  <si>
    <t>BRC A7</t>
  </si>
  <si>
    <t>Plywood 3mm</t>
  </si>
  <si>
    <t>Cement Sand - Standard Roof Tiles</t>
  </si>
  <si>
    <t xml:space="preserve">Sika 105 </t>
  </si>
  <si>
    <t>Which UOM to Use when Preparing Reports</t>
  </si>
  <si>
    <t>Purchasing UOM3</t>
  </si>
  <si>
    <t>Purchasing UOM4</t>
  </si>
  <si>
    <t>Select UOM</t>
  </si>
  <si>
    <t xml:space="preserve">Select UOM - Optional </t>
  </si>
  <si>
    <t>Select UOM - Required</t>
  </si>
  <si>
    <t>Is equal to how many of Field 8</t>
  </si>
  <si>
    <t>GST Applicable - Checkbox</t>
  </si>
  <si>
    <t>Additional Information Required</t>
  </si>
  <si>
    <t xml:space="preserve">SST Applicable </t>
  </si>
  <si>
    <t>Check if Applicable</t>
  </si>
  <si>
    <t>Listbox1 - Display existing List. Allow user to select &amp; Edit. Display 1 To 8</t>
  </si>
  <si>
    <t>9a,9b</t>
  </si>
  <si>
    <t>10a,10b</t>
  </si>
  <si>
    <t>11a,11b</t>
  </si>
  <si>
    <t>12a,12b</t>
  </si>
  <si>
    <t>If Reporting UOM and 9a is in Conversation Table Kindly insert value Automatically</t>
  </si>
  <si>
    <t>If Reporting UOM and 10a is in Conversation Table Kindly insert value Automatically</t>
  </si>
  <si>
    <t>If Reporting UOM and 11a is in Conversation Table Kindly insert value Automatically</t>
  </si>
  <si>
    <t>If Reporting UOM and 12a is in Conversation Table Kindly insert value Automatically</t>
  </si>
  <si>
    <t>Get List From UOM List. 9a is Required</t>
  </si>
  <si>
    <t>Get List From UOM List. Optional</t>
  </si>
  <si>
    <t>Conversion Factor Purchasing UOM x Reporting UOM</t>
  </si>
  <si>
    <t>Fine Sand</t>
  </si>
  <si>
    <t xml:space="preserve">Clay Bricks </t>
  </si>
  <si>
    <t>Weather Proof Paint</t>
  </si>
  <si>
    <t>Simen Portland</t>
  </si>
  <si>
    <t>Bar Keluli Y16</t>
  </si>
  <si>
    <t>Papan lapis 3mm</t>
  </si>
  <si>
    <t>Pasir Simen - Jubin Bumbung Standard</t>
  </si>
  <si>
    <t>Pasir Halus</t>
  </si>
  <si>
    <t xml:space="preserve">Bata Tanah Liat </t>
  </si>
  <si>
    <t>Cat Kalis Cuaca</t>
  </si>
  <si>
    <t>Is Yes User can Enter additional information like Paint Code, Dimension and Specification.</t>
  </si>
  <si>
    <t>If Field 8 and any item in 9a To 12a is same then Conversation factor is1</t>
  </si>
  <si>
    <t>User is selecting Reporting UOM and Purchasing UOM same. Thus 1</t>
  </si>
  <si>
    <t>User NOT allow to repeat 9a To 12a</t>
  </si>
  <si>
    <t>Business Rules</t>
  </si>
  <si>
    <t>Keep all Conversation Units To Max of 4 Decimal Points</t>
  </si>
  <si>
    <t>Minimum of 1 Purchasing UOM is Required. This can be same as Reporting UOM</t>
  </si>
  <si>
    <t>Ground Condition Description List</t>
  </si>
  <si>
    <t>Travelling Mode</t>
  </si>
  <si>
    <t>Transport Description</t>
  </si>
  <si>
    <t xml:space="preserve">Car </t>
  </si>
  <si>
    <t>Motor Cycle</t>
  </si>
  <si>
    <t>Kereta</t>
  </si>
  <si>
    <t>Motor Dua Roda</t>
  </si>
  <si>
    <t>This information will be Used for Travelling Claim. Each transport mode will have its own travelling claim rate per KM</t>
  </si>
  <si>
    <t>Commencement &amp; Completion Terms</t>
  </si>
  <si>
    <t>On Advice - Start &amp; End Date</t>
  </si>
  <si>
    <t>On Advice - Multiple Start &amp; Multiple End Date</t>
  </si>
  <si>
    <t xml:space="preserve">On Advice - Specific Start Date &amp; End Date Based on Per Unit </t>
  </si>
  <si>
    <t>Tarikh Mula dan Tamat Ditentukan</t>
  </si>
  <si>
    <t>Tarikh Mula dan Tamat Ditentukan Berdasarkan Kadar Unit</t>
  </si>
  <si>
    <t>Atas Pemberitahuan - Tarikh Mula &amp; Tamat</t>
  </si>
  <si>
    <t>Atas Pemberitahuan - Berbilang Tarikh Mula &amp; Berbilang Tarikh Tamat</t>
  </si>
  <si>
    <t>Atas Pemberitahuan - Tarikh Mula &amp; Tarikh Tamat Berdasarkan Per Unit</t>
  </si>
  <si>
    <t>The Dates will be stated in Work Order</t>
  </si>
  <si>
    <t>Specified Start Date and End Date Based on Units</t>
  </si>
  <si>
    <t>Starting Date will be sated in Work Order. Ending Date will be Starting Date + Per Unit Days. User will Enter Units</t>
  </si>
  <si>
    <t>On Advice - Multiple Start &amp; Multiple End Date Based on Units</t>
  </si>
  <si>
    <t>Atas Pemberitahuan - Berbilang Tarikh Mula &amp; Berbilang Tarikh Tamat Asas Unit</t>
  </si>
  <si>
    <t xml:space="preserve">Specified Start and End Date </t>
  </si>
  <si>
    <t>Starting Date and Ending Date will be Notified after Work Order has been Issued. At the time of Work Order difficult to determine the dates.</t>
  </si>
  <si>
    <t>Starting Date and Ending Date will be Notified after Work Order has been Issued. At the time of Work Order difficult to determine the dates. BUT End Date is Calculated by Number of Units. User to Enter Units.</t>
  </si>
  <si>
    <t>Multiple Starting Date and Ending Date will be Notified after Work Order has been Issued. At the time of Work Order difficult to determine the dates. This is because have to wait for another Contractor to finish work for a block before the next can start.</t>
  </si>
  <si>
    <t>Multiple Starting Date and Ending Date will be Notified after Work Order has been Issued. At the time of Work Order difficult to determine the dates. This is because have to wait for another Contractor to finish work for a block before the next can start. End Date is Calculated based on units.</t>
  </si>
  <si>
    <t>Tiada Berkaitan</t>
  </si>
  <si>
    <t>Where Completion Date is Not Applicable. Wxample Equipment Breakdown the Vendor will come only when he is free.</t>
  </si>
  <si>
    <t>Penalty Description</t>
  </si>
  <si>
    <t>Penalty Code</t>
  </si>
  <si>
    <t>Code</t>
  </si>
  <si>
    <t>Not Wearing PPE</t>
  </si>
  <si>
    <t>Throwing Rubbish</t>
  </si>
  <si>
    <t>Work Delayed</t>
  </si>
  <si>
    <t>Bring in Third Party</t>
  </si>
  <si>
    <t>Using Accommodation Without Consent</t>
  </si>
  <si>
    <t>Tidak Memakai PPE</t>
  </si>
  <si>
    <t>Membuang Sampah</t>
  </si>
  <si>
    <t>Kerja Tertangguh</t>
  </si>
  <si>
    <t>Menggunakan Penginapan Tanpa Keizinan</t>
  </si>
  <si>
    <t>Bawa masuk Pihak Ketiga</t>
  </si>
  <si>
    <t>RK001</t>
  </si>
  <si>
    <t>RK002</t>
  </si>
  <si>
    <t>RK003</t>
  </si>
  <si>
    <t>RK004</t>
  </si>
  <si>
    <t>RK005</t>
  </si>
  <si>
    <t>We use a Code. When creating Terms and Condition we will NOT state the penalty.</t>
  </si>
  <si>
    <t>But will state the Code. Each time we issue WO we will Edit this UI.</t>
  </si>
  <si>
    <t>System will replace the Code to Amount Stated.</t>
  </si>
  <si>
    <t>Penalty Amount</t>
  </si>
  <si>
    <t>4a, 4b</t>
  </si>
  <si>
    <t>Listbox1 - Display existing List. Allow user to select &amp; Edit. Display 1,2, 3,4a,4b</t>
  </si>
  <si>
    <t>Combobox</t>
  </si>
  <si>
    <t xml:space="preserve">Per Incident </t>
  </si>
  <si>
    <t>Per Day</t>
  </si>
  <si>
    <t>2 Item in Combobox</t>
  </si>
  <si>
    <t>4a</t>
  </si>
  <si>
    <t>4b</t>
  </si>
  <si>
    <t>Per Incident</t>
  </si>
  <si>
    <t>For each bridge of Work Order terms and condition there will be a penalty.</t>
  </si>
  <si>
    <t>NOT All T&amp;C Groups are applicable to All Work Order</t>
  </si>
  <si>
    <t>There are WO that does not required any T&amp;C</t>
  </si>
  <si>
    <t>Work Scope</t>
  </si>
  <si>
    <t>Skop Kerja</t>
  </si>
  <si>
    <t>Commencement and Completion Date</t>
  </si>
  <si>
    <t>Tarikh Mula dan Siap</t>
  </si>
  <si>
    <t>Measurement, Valuation and Certification of Works</t>
  </si>
  <si>
    <t>Pengukuran dan Pensijilan Kerja</t>
  </si>
  <si>
    <t>Valuation, Certification And Payment</t>
  </si>
  <si>
    <t>Penilaian, Pensijilan Dan Pembayaran</t>
  </si>
  <si>
    <t>Payment</t>
  </si>
  <si>
    <t>Bayaran</t>
  </si>
  <si>
    <t>Retention Sum  &amp; Release of Retention Sum</t>
  </si>
  <si>
    <t>Jumlah Pengekalan &amp; Pengeluaran Jumlah Pengekalan</t>
  </si>
  <si>
    <t>Bahan Pembinaan</t>
  </si>
  <si>
    <t>Machinery and Equipment</t>
  </si>
  <si>
    <t>Jentera dan Peralatan</t>
  </si>
  <si>
    <t>Workers</t>
  </si>
  <si>
    <t>Pekerja</t>
  </si>
  <si>
    <t>Accommodation</t>
  </si>
  <si>
    <t>Penginapan</t>
  </si>
  <si>
    <t>Work and Material Specification</t>
  </si>
  <si>
    <t>Spesifikasi Kerja</t>
  </si>
  <si>
    <t>Quality of Works</t>
  </si>
  <si>
    <t>Kualiti Kerja</t>
  </si>
  <si>
    <t>Sampel</t>
  </si>
  <si>
    <t>Communication</t>
  </si>
  <si>
    <t>Komunikasi</t>
  </si>
  <si>
    <t>CIDB Registration, Trade Registration and Permit &amp; CIDB Card</t>
  </si>
  <si>
    <t>Pendaftaran CIDB, ??Pendaftaran Perdagangan dan Permit &amp; Kad CIDB</t>
  </si>
  <si>
    <t>Safety and Site Maintenance</t>
  </si>
  <si>
    <t>Keselamatan dan Penyelenggaraan Tapak</t>
  </si>
  <si>
    <t>Tempoh Tanggungan Kecacatan</t>
  </si>
  <si>
    <t>Extension of Time (EOT)</t>
  </si>
  <si>
    <t>Lanjutan Masa (EOT)</t>
  </si>
  <si>
    <t>Penalty</t>
  </si>
  <si>
    <t>Penalti</t>
  </si>
  <si>
    <t>Penalty Rates</t>
  </si>
  <si>
    <t>Kadar Penalti</t>
  </si>
  <si>
    <t>Late Completion of Works</t>
  </si>
  <si>
    <t>Lewat Siap Kerja</t>
  </si>
  <si>
    <t>Termination of Work Order</t>
  </si>
  <si>
    <t>Penamatan Perintah Kerja</t>
  </si>
  <si>
    <t>Disputes, Interpretation of Drawings and Industrial Practice</t>
  </si>
  <si>
    <t>Pertikaian, Tafsiran Lukisan dan Amalan Perindustrian</t>
  </si>
  <si>
    <t>General Terms  and Conditions</t>
  </si>
  <si>
    <t>Terma dan Syarat Am</t>
  </si>
  <si>
    <t>Acceptance Of Work Order</t>
  </si>
  <si>
    <t>Penerimaan Perintah Kerja</t>
  </si>
  <si>
    <t xml:space="preserve">This are  Work Order Terms of Condition Groups. Currently we have 25 Terms and Condition </t>
  </si>
  <si>
    <t>Brief Description of Work to be Carried Out</t>
  </si>
  <si>
    <t>Work Order - Terms &amp; Condition - Header</t>
  </si>
  <si>
    <t>Terms &amp; Condition Header - Description</t>
  </si>
  <si>
    <t>Terms and Condition Description</t>
  </si>
  <si>
    <t xml:space="preserve">T&amp;C Header </t>
  </si>
  <si>
    <t>Is Unique</t>
  </si>
  <si>
    <t>T&amp;C Code</t>
  </si>
  <si>
    <t>Enter Code</t>
  </si>
  <si>
    <t>In Listbox Only Display T&amp;C Matching T&amp;C Header</t>
  </si>
  <si>
    <t>Example - Concrete Mixer will be provided</t>
  </si>
  <si>
    <t>Example - Concrete Mixer will NOT be provided</t>
  </si>
  <si>
    <t>User Cannot set both Only ONE of this.</t>
  </si>
  <si>
    <t>In my system I give Same T&amp;C Code No. Buth will have extension like 100-1</t>
  </si>
  <si>
    <t xml:space="preserve">For Unique Codes I give Code </t>
  </si>
  <si>
    <t>Similar Another T&amp;C</t>
  </si>
  <si>
    <t>The Work Order Terms and Condition. This are Link to T&amp;C Header</t>
  </si>
  <si>
    <t>TNC-01</t>
  </si>
  <si>
    <t>TNC-02</t>
  </si>
  <si>
    <t>TNC-04</t>
  </si>
  <si>
    <t>TNC-05</t>
  </si>
  <si>
    <t>TNC-06</t>
  </si>
  <si>
    <t>TNC-07</t>
  </si>
  <si>
    <t>TNC-08</t>
  </si>
  <si>
    <t>TNC-09</t>
  </si>
  <si>
    <t>TNC-10</t>
  </si>
  <si>
    <t>TNC-11</t>
  </si>
  <si>
    <t>TNC-12</t>
  </si>
  <si>
    <t>TNC-13</t>
  </si>
  <si>
    <t>TNC-14</t>
  </si>
  <si>
    <t>TNC-15</t>
  </si>
  <si>
    <t>TNC-16</t>
  </si>
  <si>
    <t>TNC-17</t>
  </si>
  <si>
    <t>TNC-18</t>
  </si>
  <si>
    <t>TNC-19</t>
  </si>
  <si>
    <t>TNC-20</t>
  </si>
  <si>
    <t>TNC-21</t>
  </si>
  <si>
    <t>TNC-22</t>
  </si>
  <si>
    <t>TNC-23</t>
  </si>
  <si>
    <t>TNC-24</t>
  </si>
  <si>
    <t>TNC-25</t>
  </si>
  <si>
    <t>TNC-26</t>
  </si>
  <si>
    <t>This is from my System</t>
  </si>
  <si>
    <t>Ranking</t>
  </si>
  <si>
    <t>Enter Numerical Value. Duplication NOT Allowed</t>
  </si>
  <si>
    <t>If NOT Required User Can Uncheck the box</t>
  </si>
  <si>
    <t>Status - Active</t>
  </si>
  <si>
    <t>Only display Active T&amp;C Header in Listbox1</t>
  </si>
  <si>
    <t>Field 3 - In Report the Header will be Sorted and Printed in Work Order in This Sequence.</t>
  </si>
  <si>
    <t>Only Display Active Headers</t>
  </si>
  <si>
    <t>Consider Auto Generate Code</t>
  </si>
  <si>
    <t>If NOT Unique User To Enter Field 6. To copy From Listbox1 Column 4</t>
  </si>
  <si>
    <t>Provide skilled workers and equipment to lay bricks including installation of Lintol, Exmet and others</t>
  </si>
  <si>
    <t>Menyediakan perkerja mahir dan peralatan untuk mengikat batu-bata termasuk pemasangan Lintol, exmet dan lain-lain</t>
  </si>
  <si>
    <t>Tarikh Permulaan</t>
  </si>
  <si>
    <t>Notice Period To Commence Works</t>
  </si>
  <si>
    <t>Tempoh Notis Untuk Memulakan Kerja</t>
  </si>
  <si>
    <t>Tarikh Siap</t>
  </si>
  <si>
    <t>Days To Complete Per Unit</t>
  </si>
  <si>
    <t>Bilangan Hari Untuk Disiapkan Seunit</t>
  </si>
  <si>
    <t>Total Days</t>
  </si>
  <si>
    <t>Jumlah Hari</t>
  </si>
  <si>
    <t>All risk has been considered by the SC in arriving at the above commencement and completion date. Factors including bad weather, shortage of workforce, public holidays and staff leave has been factored.</t>
  </si>
  <si>
    <t>Semua risiko telah dipertimbangkan oleh SK apabila tiba pada tarikh permulaan dan penyiapan di atas. Faktor termasuk cuaca buruk, kekurangan tenaga kerja, cuti umum dan cuti kakitangan telah diambil kira.</t>
  </si>
  <si>
    <t>If works are not completed within the completion period, and NO request for Extension of time (EOT) received before the due date then penalty will be imposed. No back dating of EOT will be considered.</t>
  </si>
  <si>
    <t>Sekiranya kerja-kerja tidak disiapkan dalam tempoh penyiapan, dan TIADA permintaan untuk Lanjutan Masa (EOT) diterima sebelum tarikh tamat tempoh maka penalti akan dikenakan. Tarikh pemohonan  EOT tidak boleh diundurkan.</t>
  </si>
  <si>
    <t>If works are delayed by more then 20% of the Work Order period MC can terminated the Work Order.</t>
  </si>
  <si>
    <t>Jika kerja-kerja ditangguhkan lebih daripada 20% daripada tempoh kontrak MC boleh menamatkan kontrak.</t>
  </si>
  <si>
    <t>As the quantities are estimated, the payment will be based on actual quantity of work done. Site measurement will be carried out jointly with SC.</t>
  </si>
  <si>
    <t>Memandangkan kuantiti dianggarkan, bayaran akan berdasarkan kuantiti kerja sebenar yang telah dilakukan. Pengukuran tapak akan dijalankan bersama SK.</t>
  </si>
  <si>
    <t>As this Work Order is rate Only. The payment will be based on actual quantity of work done. Site measurement will be carried out jointly with SC.</t>
  </si>
  <si>
    <t>Oleh kerana Perintah Kerja ini adalah kadar Sahaja. Bayaran akan berdasarkan kuantiti sebenar kerja yang telah dilakukan. Pengukuran tapak akan dijalankan bersama SK.</t>
  </si>
  <si>
    <t>MC supervisor at the construction site will supervise the SK works to ensure that the work goes according to plan. If the work is unsatisfactory or wrong, SK have to correct the work that has been raised.</t>
  </si>
  <si>
    <t xml:space="preserve">Penyelia MC di tapak pembinaan akan menyelia kerja-kerja SK bagi memastikan kerja berjalan mengikut pelan. Sekiranya kerja tidak memuaskan atau salah SK perlu membetulkan kerja kerja yang dibangkit. </t>
  </si>
  <si>
    <t>MC supervisors will make measurements together with SK for each unit that is 100% complete.</t>
  </si>
  <si>
    <t>Penyelia MC akan membuat pengukuran bersama dengan SK untuk setiap unit yang telah siap 100%.</t>
  </si>
  <si>
    <t>Payment will be made according to the amount of work that has been completed.</t>
  </si>
  <si>
    <t>Bayaran akan dibuat mengikut jumlah kerja yang telah disiapkan.</t>
  </si>
  <si>
    <t>Interim certificate will be issued every month. Payment will be made within  14 days from certification date.</t>
  </si>
  <si>
    <t>Sijil bayaran akan dikeluarkan pada setiap bulan. Bayaran akan diberikan dalam 14 hari dari tarikh sijil dikeluarkan.</t>
  </si>
  <si>
    <t>Sub Contractor to submit claim before the 7th of following months for work completed satisfactory the previous month.</t>
  </si>
  <si>
    <t>SK perlu masuk tuntutan sebelum 7hb bulan berikutnya bagi kerja yang disiapkan memuaskan bulan tuntutan.</t>
  </si>
  <si>
    <t>Interim Certificates of payment will be issued on a monthly basis by the 12th day of the following month.</t>
  </si>
  <si>
    <t>Sijil pembayaran akan dikeluarkan secara bulanan pada hari ke-12 bulan berikutnya.</t>
  </si>
  <si>
    <t>Payment will be made within 14 days form interim certification of works.</t>
  </si>
  <si>
    <t>Pembayaran akan dibuat dalam tempoh 14 hari melalui perakuan kerja.</t>
  </si>
  <si>
    <t>Deposit/Advance Payment</t>
  </si>
  <si>
    <t>Deposit/Bayaran Pendahuluan</t>
  </si>
  <si>
    <t>Deduction of Deposit/Advance</t>
  </si>
  <si>
    <t>Potongan Deposit/Pendahuluan</t>
  </si>
  <si>
    <t>Payment Mode</t>
  </si>
  <si>
    <t>Mod Pembayaran</t>
  </si>
  <si>
    <t>Tempoh bayaran</t>
  </si>
  <si>
    <t>All instructions for additional work or reductions in works scope and other matters relating to the increase or decrease in the Work Order value shall be notified by MC via official letter.</t>
  </si>
  <si>
    <t>Semua arahan untuk kerja tambahan atau pengurangan skop kerja dan perkara lain yang berkaitan dengan kenaikan atau penurunan nilai Perintah Kerja hendaklah dimaklumkan oleh MC melalui surat rasmi.</t>
  </si>
  <si>
    <t>IF MC delay the payment exceeding 30 days from Certificate due date SC may claim interest at 6% per annum by writing to MC. No Back dating of interest claim.</t>
  </si>
  <si>
    <t>JIKA MC menangguhkan pembayaran selepas 30 hari dari tarikh tamat Sijil SK boleh menuntut faedah pada kadar 6% setahun dengan menulis kepada MC. Tiada Back dating tuntutan faedah.</t>
  </si>
  <si>
    <t>Retention Sum</t>
  </si>
  <si>
    <t>Jumlah Pengekalan</t>
  </si>
  <si>
    <t>Retention Sum - 1st Release</t>
  </si>
  <si>
    <t>Jumlah Pengekalan - Keluaran Pertama</t>
  </si>
  <si>
    <t>Retention Sum - 2nd Release</t>
  </si>
  <si>
    <t>Jumlah Pengekalan - Keluaran Ke-2</t>
  </si>
  <si>
    <t>If SC absconds without completing the entire works all retention sum will be forfeited.</t>
  </si>
  <si>
    <t>Jika SK melarikan diri tanpa menyelesaikan keseluruhan kerja semua jumlah pengekalan akan dilucuthakkan.</t>
  </si>
  <si>
    <t>If works are not completed within the time period and MC terminate this work order, all retention sum shall be forfeited.</t>
  </si>
  <si>
    <t>Jika kerja-kerja tidak disiapkan dalam tempoh masa dan MC menamatkan perintah kerja ini, semua jumlah pengekalan akan dilucuthakkan.</t>
  </si>
  <si>
    <t>If the retention sum is insufficient to carry out all the defects or complete the works  then MC to claim this amount form SC. SC to make payment of all monies by 14 days from notification.</t>
  </si>
  <si>
    <t>Jika jumlah simpanan tidak mencukupi untuk melaksanakan semua kecacatan atau menyiapkan kerja-kerja maka MC untuk menuntut jumlah ini dari SK. SK perlu membuat pembayaran semua wang dalam tempoh 14 hari dari pemberitahuan.</t>
  </si>
  <si>
    <t>MC to supply all tiles, sand, cement, aversive cement and other material to complete works.</t>
  </si>
  <si>
    <t>MC untuk membekalkan semua jubin, pasir, simen, simen adversive dan bahan lain untuk menyiapkan kerja.</t>
  </si>
  <si>
    <t>Nail for formworks to be provided by SC</t>
  </si>
  <si>
    <t>Paku untuk Kerja Kayu akan disediakan oleh SK</t>
  </si>
  <si>
    <t>Nail for Formwork To Be supplied by MC</t>
  </si>
  <si>
    <t>Paku untuk Kerja Kayu dibekal oleh MC</t>
  </si>
  <si>
    <t>Steel Wire for Bar Bending to be provided by SC</t>
  </si>
  <si>
    <t>Wayar Keluli untuk Lenturan Bar akan disediakan oleh SK</t>
  </si>
  <si>
    <t>Steel Wire For Bar Bending to be provided by MC</t>
  </si>
  <si>
    <t>Wayar Keluli untuk Lenturan Bar akan disediakan oleh MC</t>
  </si>
  <si>
    <t>MC will provide Water and Electricity. Without any charges.</t>
  </si>
  <si>
    <t>MC akan menyediakan Air dan Elektrik. Tanpa sebarang caj.</t>
  </si>
  <si>
    <t>MC will provide fuel to operate the Concrete Mixer.</t>
  </si>
  <si>
    <t>MC akan menyediakan bahan api untuk mengendalikan Pembancuh Konkrit.</t>
  </si>
  <si>
    <t>SC will provide fuel to operate the Concrete Mixer.</t>
  </si>
  <si>
    <t>SK akan menyediakan bahan api untuk mengendalikan Pembancuh Konkrit.</t>
  </si>
  <si>
    <t>SC to provide all equipment and tools to complete this works</t>
  </si>
  <si>
    <t>SK untuk menyediakan semua peralatan dan alatan untuk menyiapkan kerja-kerja ini</t>
  </si>
  <si>
    <t>MC to provide all Concrete Mixer for Works</t>
  </si>
  <si>
    <t>MC untuk menyediakan semua Concrete Mixer for Works</t>
  </si>
  <si>
    <t>It is the responsibility of the SC to maintain Concrete mixer in good working condition. Including changing and toping lubricants.</t>
  </si>
  <si>
    <t>Adalah menjadi tanggungjawab SK untuk mengekalkan pengadun konkrit dalam keadaan berfungsi dengan baik. Termasuk pelincir tukar dan toping.</t>
  </si>
  <si>
    <t>The cost of renting Crane  will be borne by the Sub-Contractor for each day to lift the bricks.</t>
  </si>
  <si>
    <t>Kos sewa Kren akan ditanggung oleh Sub-Kontraktor untuk setiap hari untuk angkat batu bata.</t>
  </si>
  <si>
    <t>Every employee is required to wear Personal Protection Equipment (PPE) such as shoes, helmet and safety vest.</t>
  </si>
  <si>
    <t>Setiap pekerja diwajibkan memakai Peralatan Perlindungan Diri (PPE) seperti kasut, topi keledar dan vest keselamatan.</t>
  </si>
  <si>
    <t>Employees must have the skills to carry out the works</t>
  </si>
  <si>
    <t>Pekerja mesti mempunyai kemahiran untuk melaksanakan kerja</t>
  </si>
  <si>
    <t>A copy of a valid work permit and passport should be submitted to Our Site Representative before entering the site.</t>
  </si>
  <si>
    <t>Salinan permit kerja dan pasport yang sah hendaklah diserahkan kepada Wakil Tapak Kami sebelum memasuki tapak.</t>
  </si>
  <si>
    <t>To ensure each and every one of your employee has a valid work permit to work in the construction industry.</t>
  </si>
  <si>
    <t>Untuk memastikan setiap pekerja anda mempunyai permit kerja yang sah untuk bekerja dalam industri pembinaan.</t>
  </si>
  <si>
    <t>In the event the workers do not have the proper papers and are caught and fined by the authorities then SC to compensate MC all cost, inconvenience, and expenses.</t>
  </si>
  <si>
    <t>Sekiranya pekerja tidak mempunyai kertas yang sepatutnya dan ditangkap dan didenda oleh pihak berkuasa maka SK untuk membayar pampasan kepada MC semua kos, kesulitan dan perbelanjaan.</t>
  </si>
  <si>
    <t>Only workers working at this  site who have provided copies of their passports and permits are allowed to stay in accommodation provided by MC</t>
  </si>
  <si>
    <t>Hanya pekerja yang bekerja di tapak pembinaan yang telah memberikan salinan paspot dan permit sahaja dibenarkan untuk tinggal di rumah kongsi yang disediakan oleh MC</t>
  </si>
  <si>
    <t>Accommodation provided cannot be used for business purposes.</t>
  </si>
  <si>
    <t>Rumah Kongsi yang disediakan tidak boleh digunakan untuk tujuan perniagaan.</t>
  </si>
  <si>
    <t>SC and employees are not allowed to bring outsiders to the house provided.</t>
  </si>
  <si>
    <t>SK dan pekerja tidak dibenarkan membawa orang luar ke rumah yang disediakan.</t>
  </si>
  <si>
    <t>SC is only allowed to use the units  that has been allocated to SC only.</t>
  </si>
  <si>
    <t>SK hanya di benarkan menggunakan bilik rumah kongsi yang telah di peruntukkan kepada SK sahaja.</t>
  </si>
  <si>
    <t>If there are outsiders or people who haven't registered with MC, a fine will be imposed.</t>
  </si>
  <si>
    <t>Jika terdapat orang luar atau orang yang belum berdaftar dengan KU, denda akan dikenakan.</t>
  </si>
  <si>
    <t>If SC uses units not allocated, a fine will be imposed.</t>
  </si>
  <si>
    <t>Jika SK menggunakan bilik lebih dari yang di peruntukkan, denda akan dikenakan.</t>
  </si>
  <si>
    <t>SC to submit samples of material before installation.</t>
  </si>
  <si>
    <t>SK perlu menyerahkan sampes bahan sebelum dipasang.</t>
  </si>
  <si>
    <t>SC can use Bahasa Malayu or English to communicate with us.</t>
  </si>
  <si>
    <t>SK boleh menggunakan Bahasa Malayu atau Inggeris untuk berkomunikasi dengan kami.</t>
  </si>
  <si>
    <t>Notice to be in written form and send to address stated in work order by AR Registered Post or by Hand. If by hand to be acknowledged by receiving party.</t>
  </si>
  <si>
    <t>Notis hendaklah dalam bentuk bertulis dan hantar ke alamat yang dinyatakan dalam perintah kerja oleh Pos Berdaftar AR atau dengan Tangan. Jika dengan tangan untuk diakui oleh pihak yang menerima.</t>
  </si>
  <si>
    <t>The SC should appoint a representative to communicate with the MC Site Representative.</t>
  </si>
  <si>
    <t>SK harus melantik wakil untuk berkomunikasi dengan Wakil Tapak MC.</t>
  </si>
  <si>
    <t>At least one SC employee's should be able to read and interpreted the construction drawings correctly.</t>
  </si>
  <si>
    <t>Sekurang-kurangnya seorang pekerja SK seharusnya boleh membaca dan mentafsir lukisan pembinaan dengan betul.</t>
  </si>
  <si>
    <t>All changes to rates, works scope and specification must in written form, from our office.</t>
  </si>
  <si>
    <t>Semua perubahan pada kadar, skop kerja dan spesifikasi mestilah dalam bentuk bertulis, daripada pejabat kami.</t>
  </si>
  <si>
    <t>All variation works must be in written approval from our office.</t>
  </si>
  <si>
    <t>Semua kerja variasi mestilah mendapat kelulusan bertulis daripada pejabat kami.</t>
  </si>
  <si>
    <t>Our site staff does NOT have authority to commit on financial matters.</t>
  </si>
  <si>
    <t>Kakitangan tapak kami TIDAK mempunyai kuasa untuk komited dalam hal kewangan.</t>
  </si>
  <si>
    <t>SC to liaise with MC Site Representative as mention above. To take instruction and follow instruction as given by him/her.</t>
  </si>
  <si>
    <t>SK untuk berhubung dengan Wakil Tapak MC seperti yang dinyatakan di atas. Untuk mengambil arahan dan mengikuti arahan yang diberikan olehnya.</t>
  </si>
  <si>
    <t>SC hereby confirms has the necessary licenses to carry out this works and to submit the necessary forms to the approving authorities if relevant.</t>
  </si>
  <si>
    <t>SK dengan ini mengesahkan mempunyai lesen yang diperlukan untuk menjalankan kerja-kerja ini dan menyerahkan borang yang diperlukan kepada pihak berkuasa yang meluluskan jika berkaitan.</t>
  </si>
  <si>
    <t>SC confirms that by accepting this Work Order, he has a valid CIDB Registration and Business Registration, to carry out this works.</t>
  </si>
  <si>
    <t>SK mengesahkan bahawa dengan menerima Perintah Kerja ini, beliau mempunyai Pendaftaran CIDB dan Pendaftaran Perniagaan yang sah, untuk melaksanakan kerja-kerja ini.</t>
  </si>
  <si>
    <t>Only employee's with a green Card from CIDB are allowed to enter the construction site.</t>
  </si>
  <si>
    <t>Hanya pekerja yang mempunyai Kad hijau daripada CIDB dibenarkan memasuki tapak pembinaan.</t>
  </si>
  <si>
    <t>Every SK employee is required to have a valid permit to work in the construction industry.</t>
  </si>
  <si>
    <t>Setiap pekerja SK dikehendaki mempunyai permit yang sah untuk bekerja dalam industri pembinaan.</t>
  </si>
  <si>
    <t>A valid copy of the permit and passport must be given to the MC office before entering the construction site.</t>
  </si>
  <si>
    <t xml:space="preserve">Satu salinan permit dan passport yang sah dan aktif perlu diberikan pada pejabat MC sebelum memasuki tapak pembinaan. </t>
  </si>
  <si>
    <t>Every new worker mobilised to the site, SK must submit a copy of valid work permit and passport to MC office before commencing work.</t>
  </si>
  <si>
    <t xml:space="preserve">Untuk setiap pekerja baru yang dibawa ke tapak pembina perlu menghantar satu salinan permit dan passport yang sah kepada pejabat MC sebelum memulakan kerja pembinaan. </t>
  </si>
  <si>
    <t>Only workers with CIDB Green card allowed to enter and work within the site.</t>
  </si>
  <si>
    <t>Hanya pekerja memiliki Kad hijau daripada CIDB dibenarkan memasuk tapak binaan.</t>
  </si>
  <si>
    <t>Safety is job Number ONE. Ensure that you and your works take all the necessary measure to prevent accident both to your employee and to others working at the site.</t>
  </si>
  <si>
    <t>Keselamatan adalah pekerjaan Nombor SATU. Pastikan anda dan kerja-kerja anda mengambil semua langkah yang perlu untuk mengelakkan kemalangan kepada pekerja anda dan orang lain yang bekerja di tapak.</t>
  </si>
  <si>
    <t>Site safety and security will be instructed by our Safety officer or our Site Representative.</t>
  </si>
  <si>
    <t>Keselamatan dan keselamatan tapak akan diarahkan oleh pegawai Keselamatan kami atau Wakil Tapak kami.</t>
  </si>
  <si>
    <t>Kindly bring to our attention immediately if you find anyone causing any safety issue at the site so that we can address this immediately.</t>
  </si>
  <si>
    <t>Sila maklumkan kepada kami dengan segera jika anda mendapati sesiapa yang menyebabkan sebarang isu keselamatan di tapak supaya kami dapat menanganinya dengan segera.</t>
  </si>
  <si>
    <t>Workers are not allowed to dispose of food packages within the construction site. To place them at the rubbish bin.</t>
  </si>
  <si>
    <t>Pekerja tidak dibenarkan membuang bungkusan makanan di dalam tapak pembinaan. Untuk meletakkannya di tong sampah.</t>
  </si>
  <si>
    <t>The construction site must be kept clean. Workers are not allowed to dispose construction waste at the site BUT to cart away the debris to allocated place.</t>
  </si>
  <si>
    <t>Tapak pembinaan mesti sentiasa bersih. Pekerja tidak dibenarkan membuang sisa pembinaan di tapak TETAPI mengangkut serpihan ke tempat yang diperuntukkan.</t>
  </si>
  <si>
    <t>The period 12 months from CCC is referred to as the defect liability period.</t>
  </si>
  <si>
    <t>Tempoh 12 bulan dari CCC dirujuk sebagai tempoh liabiliti kecacatan.</t>
  </si>
  <si>
    <t>When we get a complaints from the house owner we will give you written instruction to rectify the works within 7 days by sending a email/Fax to you.</t>
  </si>
  <si>
    <t>Apabila kami mendapat aduan daripada pemilik rumah, kami akan memberi arahan bertulis kepada anda untuk membetulkan kerja-kerja dalam masa 7 hari dengan menghantar e-mel/Faks kepada anda.</t>
  </si>
  <si>
    <t>The cost of repairs plus 30% (Administrative Cost) will be charged against your retention sum.</t>
  </si>
  <si>
    <t>Kos pembaikan ditambah 30% (Kos Pentadbiran) akan dicaj terhadap jumlah pengekalan anda.</t>
  </si>
  <si>
    <t>It the retention sum is insufficient to carry out all the defects then MC to claim this amount form SC. SC To all monies 14 days from notification.</t>
  </si>
  <si>
    <t>Apabila jumlah pengekalan tidak mencukupi untuk melaksanakan semua kecacatan maka MC untuk menuntut jumlah ini dari SK. SK Kepada semua wang 14 hari dari pemberitahuan.</t>
  </si>
  <si>
    <t>If works are NOT carry out within the period MC may carry out the works using another contractor.</t>
  </si>
  <si>
    <t>Sekiranya kerja-kerja TIDAK dijalankan dalam tempoh MC boleh menjalankan kerja-kerja menggunakan kontraktor lain.</t>
  </si>
  <si>
    <t>Any delay caused by MC, SC can write in with the reason complete with supporting documents like, DO, photos for EOT before the completion date.</t>
  </si>
  <si>
    <t>Sebarang kelewatan yang disebabkan oleh MC, SK boleh menulis dengan alasan lengkap dengan dokumen sokongan seperti, DO, gambar untuk EOT sebelum tarikh siap.</t>
  </si>
  <si>
    <t>SC may apply for EOT if works are delayed due to SC, by stating valid reasons in writing supported by documents before the completion period.</t>
  </si>
  <si>
    <t>SK boleh memohon EOT jika kerja-kerja tertunda disebabkan oleh SK, dengan menyatakan alasan yang sah secara bertulis yang disokong oleh dokumen sebelum tempoh penyiapan.</t>
  </si>
  <si>
    <t>Back dating for Extension of time for what's so ever reason is unacceptable.</t>
  </si>
  <si>
    <t>Kembali dating untuk Pelanjutan masa atas sebab apa pun tidak boleh diterima.</t>
  </si>
  <si>
    <t>Extension of time is at the discretion of MC.</t>
  </si>
  <si>
    <t>Lanjutan masa adalah atas budi bicara MC.</t>
  </si>
  <si>
    <t>Late completion Penalty will be imposed if works are not completed within the stipulated time frame for each block.</t>
  </si>
  <si>
    <t>Penalti lewat siap akan dikenakan sekiranya kerja tidak disiapkan dalam tempoh masa yang ditetapkan bagi setiap blok.</t>
  </si>
  <si>
    <t>Late completion Penalty will be imposed if works are not completed within the stipulated time frame.</t>
  </si>
  <si>
    <t>Penalti lewat siap akan dikenakan sekiranya kerja tidak disiapkan dalam tempoh masa yang ditetapkan.</t>
  </si>
  <si>
    <t>MC will charge late completion Penalty after MC has given Notice to SC in writing . Minium of ONE Week Notice. Penalty can commence only after notice period.</t>
  </si>
  <si>
    <t>MC akan mengenakan Denda lewat siap selepas MC memberi Notis kepada SK secara tulisan. Minimum 1 Minggu Notis. Penalti boleh bermula hanya selepas tempoh notis.</t>
  </si>
  <si>
    <t>MC NOT allow to backdate Notice.</t>
  </si>
  <si>
    <t>MC TIDAK membenarkan untuk memundurkan Notis.</t>
  </si>
  <si>
    <t>If workers are caught throwing rubbish or construction waste inside or around the site, penalty will be imposed as stated.</t>
  </si>
  <si>
    <t>Jika pekerja ditangkap membuang sampah atau sisa pembinaan di dalam atau di sekitar tapak, penalti akan dikenakan seperti yang dinyatakan.</t>
  </si>
  <si>
    <t>If workers occupy accommodation not allotted to them, penalty will be imposed</t>
  </si>
  <si>
    <t>Jika pekerja menduduki tempat tinggal yang tidak diperuntukkan kepada mereka, penalti akan dikenakan</t>
  </si>
  <si>
    <t>Penalty will be deducted from progress payment, retention sum or request SC to make payment if these amounts is insufficient.</t>
  </si>
  <si>
    <t>Penalti akan ditolak daripada bayaran kemajuan, jumlah pengekalan atau meminta SK membuat pembayaran jika jumlah ini tidak mencukupi.</t>
  </si>
  <si>
    <t>NOT Wearing PPE</t>
  </si>
  <si>
    <t>TIDAK Memakai PPE</t>
  </si>
  <si>
    <t>Throwing Food Packages</t>
  </si>
  <si>
    <t>Membuang Bungkusan Makanan</t>
  </si>
  <si>
    <t>Not removing Construction Waste after work completion</t>
  </si>
  <si>
    <t>Tidak membuang Sisa Pembinaan selepas kerja siap</t>
  </si>
  <si>
    <t>MC can impose penalty only after the Notice date.</t>
  </si>
  <si>
    <t>MC boleh mengenakan penalti hanya selepas tarikh Notis.</t>
  </si>
  <si>
    <t>Occupying Accommodation without permission.</t>
  </si>
  <si>
    <t>Menduduki Penginapan tanpa kebenaran.</t>
  </si>
  <si>
    <t>Dimensions of specification shown in the drawings shall be final unless otherwise stated in writing.</t>
  </si>
  <si>
    <t>Dimensi spesifikasi yang ditunjukkan dalam lukisan adalah muktamad melainkan dinyatakan sebaliknya secara bertulis.</t>
  </si>
  <si>
    <t>Work should be done neatly, carefully and to industrial standard.</t>
  </si>
  <si>
    <t>Kerja hendaklah dilakukan dengan kemas, berhati-hati dan mengikut piawaian industri.</t>
  </si>
  <si>
    <t>Work done must be acceptable to the PA.</t>
  </si>
  <si>
    <t>Kerja yang dilakukan mestilah boleh diterima oleh PA.</t>
  </si>
  <si>
    <t>When there is a dispute on any matters regarding this work order including quality and quantity of works the dispute is to be referred to the PA.</t>
  </si>
  <si>
    <t>Apabila terdapat pertikaian mengenai apa-apa perkara mengenai perintah kerja ini termasuk kualiti dan kuantiti kerja pertikaian itu hendaklah dirujuk kepada PA.</t>
  </si>
  <si>
    <t>PA may consult the other project professional or seek help if its not within PA expertise.</t>
  </si>
  <si>
    <t>PA boleh berunding dengan profesional projek lain atau mendapatkan bantuan jika ia bukan dalam kepakaran PA.</t>
  </si>
  <si>
    <t xml:space="preserve">If the PA request rectification, it is the duty of the SC to propose a method statement complete with detail material description. </t>
  </si>
  <si>
    <t>Jika PA meminta pembetulan, adalah menjadi kewajipan SK untuk mencadangkan pernyataan kaedah yang lengkap dengan penerangan terperinci bahan.</t>
  </si>
  <si>
    <t>If the proposal is NOT acceptable to PA then PA may instruct how the rectification is to be done.</t>
  </si>
  <si>
    <t>Sekiranya cadangan itu TIDAK diterima oleh PA maka PA boleh mengarahkan bagaimana pembetulan itu dilakukan.</t>
  </si>
  <si>
    <t>If the proposal is acceptable to PA then SC to rectify the works as approved by PA.</t>
  </si>
  <si>
    <t>Sekiranya cadangan itu diterima oleh PA maka SK akan membetulkan kerja-kerja seperti yang diluluskan oleh PA.</t>
  </si>
  <si>
    <t>If PA rejects any works NO payment will be made. PA finding is final.</t>
  </si>
  <si>
    <t>Jika PA menolak sebarang kerja TIADA bayaran akan dibuat. Penemuan PA adalah muktamad.</t>
  </si>
  <si>
    <t>The PA decision is final and both parties must comply to their decision made.</t>
  </si>
  <si>
    <t>Keputusan PA adalah muktamad dan kedua-dua pihak mesti mematuhi keputusan yang dibuat.</t>
  </si>
  <si>
    <t>By MC making the progress payment does not mean the quality is accepted.</t>
  </si>
  <si>
    <t>Dengan MC membuat bayaran kemajuan tidak bermakna kualiti diterima.</t>
  </si>
  <si>
    <t>If payment has already been made to be deducted from subsequent payment or deduct from retention sum or request SC to refund payment within 14 days.</t>
  </si>
  <si>
    <t>Jika pembayaran telah dibuat untuk ditolak daripada pembayaran berikutnya atau ditolak daripada jumlah pengekalan atau meminta SK mengembalikan bayaran dalam tempoh 14 hari.</t>
  </si>
  <si>
    <t>SC is not allowed to (Sub Let) these works to any other party without MC written consent..</t>
  </si>
  <si>
    <t>SK tidak dibenarkan (Sub Let) kerja-kerja ini kepada mana-mana pihak lain tanpa kebenaran bertulis kami..</t>
  </si>
  <si>
    <t>SC to attend Site meeting whenever requested by MC. MC to issue notice of 1 Week.</t>
  </si>
  <si>
    <t>SK untuk menghadiri mesyuarat tapak apabila diminta oleh MC. MC akan mengeluarkan notis 1 Minggu.</t>
  </si>
  <si>
    <t>SC being knowledgeable and experience, in this particular trade is duty borne to inform the MC of any matter which need to be consider before the works commencing.</t>
  </si>
  <si>
    <t>SK kerana berpengetahuan dan berpengalaman, dalam bidang perdagangan ini adalah menjadi kewajipan untuk memaklumkan MC tentang sebarang perkara yang perlu dipertimbangkan sebelum kerja-kerja dilaksanakan.</t>
  </si>
  <si>
    <t>SC to state Work Order Number in all Correspondence.</t>
  </si>
  <si>
    <t>SK menyatakan Nombor Perintah Kerja dalam semua Surat-menyurat.</t>
  </si>
  <si>
    <t>Both parties not allowed to change any of the terms and condition  of this work order without mutual consent.</t>
  </si>
  <si>
    <t>SK tidak dibenarkan mengubah mana - mana tema dan syarat perintah kerja.</t>
  </si>
  <si>
    <t>SK will not be paid for work done without written permission from MC.</t>
  </si>
  <si>
    <t>SK tidak akan dibayar untuk kerja-kerja yang dibuat tanpa kebenaran bertulis dari MC</t>
  </si>
  <si>
    <t>MC Site staff do not have authority to commit on financial matters. All instruction that will incur additional cost to be inform to MC Office. To obtain Variation Order before carry out works.</t>
  </si>
  <si>
    <t>No payment will be made for works carried out NOT stated in this Work Order or Variation Order issued by MC office.</t>
  </si>
  <si>
    <t>Tiada bayaran akan dibuat untuk kerja-kerja yang dijalankan TIDAK dinyatakan dalam Perintah Kerja atau Perintah Perubahan yang dikeluarkan oleh pejabat MC.</t>
  </si>
  <si>
    <t>Acceptance of Work Order is by signing, rubber stamp, attach a copy of business registration, CIDB registration and return a copy to MC</t>
  </si>
  <si>
    <t>Penerimaan Perintah Kerja adalah dengan menandatangani, cop getah, melampirkan salinan pendaftaran perniagaan, pendaftaran CIDB dan mengembalikan salinan kepada MC</t>
  </si>
  <si>
    <t>This Work Order must be accepted and return to the MC before commencement of works</t>
  </si>
  <si>
    <t>Perintah Kerja ini mesti diterima dan dikembalikan kepada MC sebelum kerja dimulakan</t>
  </si>
  <si>
    <t>Payment will be made only after Receipt of acceptance of Work Order</t>
  </si>
  <si>
    <t>Pembayaran hanya akan dibuat selepas Penerimaan Arahan Kerja</t>
  </si>
  <si>
    <t>Do not carry out any works without accepting the Work Order.</t>
  </si>
  <si>
    <t>Jangan menjalankan sebarang kerja tanpa menerima Perintah Kerja.</t>
  </si>
  <si>
    <t>SC is to study the plans, specification, visit the job site and inform MC if anything is NOT in order so that the project professionals and MC can decide on the action or decision to be made.</t>
  </si>
  <si>
    <t>SK perlu mengkaji pelan, spesifikasi, melawat tapak kerja dan memaklumkan kepada MC jika ada yang TIDAK teratur supaya profesional projek dan MC boleh memutuskan tindakan atau keputusan yang perlu diambil.</t>
  </si>
  <si>
    <t>TNC-01-01-VO</t>
  </si>
  <si>
    <t>TNC-02-01-V1</t>
  </si>
  <si>
    <t>TNC-02-01-V2</t>
  </si>
  <si>
    <t>TNC-02-02-V1</t>
  </si>
  <si>
    <t>TNC-02-02-V2</t>
  </si>
  <si>
    <t>TNC-02-03-V0</t>
  </si>
  <si>
    <t>TNC-02-04-V0</t>
  </si>
  <si>
    <t>TNC-02-05-V0</t>
  </si>
  <si>
    <t>TNC-02-06-V0</t>
  </si>
  <si>
    <t>TNC-04-01-V1</t>
  </si>
  <si>
    <t>TNC-04-01-V2</t>
  </si>
  <si>
    <t>TNC-04-02-V0</t>
  </si>
  <si>
    <t>TNC-04-03-V0</t>
  </si>
  <si>
    <t>TNC-04-04-V0</t>
  </si>
  <si>
    <t>TNC-04-05-V0</t>
  </si>
  <si>
    <t>TNC-04-07-V0</t>
  </si>
  <si>
    <t>TNC-04-08-V0</t>
  </si>
  <si>
    <t>TNC-04-09-V0</t>
  </si>
  <si>
    <t>TNC-06-01-V0</t>
  </si>
  <si>
    <t>TNC-06-02-V0</t>
  </si>
  <si>
    <t>TNC-06-03-V0</t>
  </si>
  <si>
    <t>TNC-06-04-V0</t>
  </si>
  <si>
    <t>TNC-06-05-V0</t>
  </si>
  <si>
    <t>TNC-065-6-VO</t>
  </si>
  <si>
    <t>TNC-07-01-V0</t>
  </si>
  <si>
    <t>TNC-07-02-V0</t>
  </si>
  <si>
    <t>TNC-07-03-V0</t>
  </si>
  <si>
    <t>TNC-076-4-VO</t>
  </si>
  <si>
    <t>TNC-07-05-V0</t>
  </si>
  <si>
    <t>TNC-07-06-V0</t>
  </si>
  <si>
    <t>TNC-07-07-V0</t>
  </si>
  <si>
    <t>TNC-08-01-V0</t>
  </si>
  <si>
    <t>TNC-08-02-V1</t>
  </si>
  <si>
    <t>TNC-08-02-V2</t>
  </si>
  <si>
    <t>TNC-08-03-V1</t>
  </si>
  <si>
    <t>TNC-08-03-V2</t>
  </si>
  <si>
    <t>TNC-08-04-V0</t>
  </si>
  <si>
    <t>TNC-08-05-V1</t>
  </si>
  <si>
    <t>TNC-08-05-V2</t>
  </si>
  <si>
    <t>TNC-09-01-V0</t>
  </si>
  <si>
    <t>TNC-09-02-V0</t>
  </si>
  <si>
    <t>TNC-09-03-V0</t>
  </si>
  <si>
    <t>TNC-09-05-VO</t>
  </si>
  <si>
    <t>TNC-10-01-V0</t>
  </si>
  <si>
    <t>TNC-10-02-V0</t>
  </si>
  <si>
    <t>TNC-10-03-V0</t>
  </si>
  <si>
    <t>TNC-10-04-V0</t>
  </si>
  <si>
    <t>TNC-10-05-V0</t>
  </si>
  <si>
    <t>TNC-11-01-V0</t>
  </si>
  <si>
    <t>TNC-11-02-V0</t>
  </si>
  <si>
    <t>TNC-11-03-V0</t>
  </si>
  <si>
    <t>TNC-11-04-V0</t>
  </si>
  <si>
    <t>TNC-11-05-V0</t>
  </si>
  <si>
    <t>TNC-11-06-V0</t>
  </si>
  <si>
    <t>TNC-14-01-V0</t>
  </si>
  <si>
    <t>TNC-15-01-V0</t>
  </si>
  <si>
    <t>TNC-15-02-V0</t>
  </si>
  <si>
    <t>TNC-15-03-V0</t>
  </si>
  <si>
    <t>TNC-15-04-V0</t>
  </si>
  <si>
    <t>TNC-15-05-V0</t>
  </si>
  <si>
    <t>TNC-15-06-V0</t>
  </si>
  <si>
    <t>TNC-15-07-V0</t>
  </si>
  <si>
    <t>TNC-15-08-V0</t>
  </si>
  <si>
    <t>TNC-16-01-V0</t>
  </si>
  <si>
    <t>TNC-16-02-V0</t>
  </si>
  <si>
    <t>TNC-16-03-V0</t>
  </si>
  <si>
    <t>TNC-16-04-V0</t>
  </si>
  <si>
    <t>TNC-16-05-V0</t>
  </si>
  <si>
    <t>TNC-16-06-V0</t>
  </si>
  <si>
    <t>TNC-16-07-V0</t>
  </si>
  <si>
    <t>TNC-17-01-V0</t>
  </si>
  <si>
    <t>TNC-17-02-V0</t>
  </si>
  <si>
    <t>TNC-17-03-V0</t>
  </si>
  <si>
    <t>TNC-17-04-V0</t>
  </si>
  <si>
    <t>TNC-17-05-V0</t>
  </si>
  <si>
    <t>TNC-18-01-V0</t>
  </si>
  <si>
    <t>TNC-18-02-V0</t>
  </si>
  <si>
    <t>TNC-18-04-V0</t>
  </si>
  <si>
    <t>TNC-18-05-V0</t>
  </si>
  <si>
    <t>TNC-18-06-V0</t>
  </si>
  <si>
    <t>TNC-19-01-V0</t>
  </si>
  <si>
    <t>TNC-19-02-V0</t>
  </si>
  <si>
    <t>TNC-19-03-V0</t>
  </si>
  <si>
    <t>TNC-19-04-V0</t>
  </si>
  <si>
    <t>TNC-20-01-V1</t>
  </si>
  <si>
    <t>TNC-20-01-V2</t>
  </si>
  <si>
    <t>TNC-20-02-V0</t>
  </si>
  <si>
    <t>TNC-20-03-V0</t>
  </si>
  <si>
    <t>TNC-20-04-V0</t>
  </si>
  <si>
    <t>TNC-20-05-V0</t>
  </si>
  <si>
    <t>TNC-20-06-V0</t>
  </si>
  <si>
    <t>TNC-21-01-V0</t>
  </si>
  <si>
    <t>TNC-21-02-V0</t>
  </si>
  <si>
    <t>TNC-21-03-V0</t>
  </si>
  <si>
    <t>TNC-21-04-V0</t>
  </si>
  <si>
    <t>TNC-21-05-V0</t>
  </si>
  <si>
    <t>TNC-21-06-V0</t>
  </si>
  <si>
    <t>TNC-24-01-V0</t>
  </si>
  <si>
    <t>TNC-24-02-V0</t>
  </si>
  <si>
    <t>TNC-24-03-V0</t>
  </si>
  <si>
    <t>TNC-24-04-V0</t>
  </si>
  <si>
    <t>TNC-24-05-V0</t>
  </si>
  <si>
    <t>TNC-24-06-V0</t>
  </si>
  <si>
    <t>TNC-24-07-V0</t>
  </si>
  <si>
    <t>TNC-24-08-V0</t>
  </si>
  <si>
    <t>TNC-24-09-V0</t>
  </si>
  <si>
    <t>TNC-24-10-V0</t>
  </si>
  <si>
    <t>TNC-24-11-V0</t>
  </si>
  <si>
    <t>TNC-24-12-V0</t>
  </si>
  <si>
    <t>TNC-25-01-V0</t>
  </si>
  <si>
    <t>TNC-25-02-V0</t>
  </si>
  <si>
    <t>TNC-25-03-V0</t>
  </si>
  <si>
    <t>TNC-25-04-V0</t>
  </si>
  <si>
    <t>TNC-25-05-V0</t>
  </si>
  <si>
    <t>TNC-25-06-V0</t>
  </si>
  <si>
    <t>TNC-25-07-V0</t>
  </si>
  <si>
    <t>TNC-25-08-V0</t>
  </si>
  <si>
    <t>TNC-26-01-V0</t>
  </si>
  <si>
    <t>TNC-26-02-V0</t>
  </si>
  <si>
    <t>TNC-26-03-V0</t>
  </si>
  <si>
    <t>TNC-26-04-V0</t>
  </si>
  <si>
    <t>TNC-26-05-V0</t>
  </si>
  <si>
    <t>100-V1</t>
  </si>
  <si>
    <t>100-V2</t>
  </si>
  <si>
    <t>100-V0</t>
  </si>
  <si>
    <t>Ranking Within Header</t>
  </si>
  <si>
    <t>Input Required</t>
  </si>
  <si>
    <t>Does This T&amp;C Require an Input from user</t>
  </si>
  <si>
    <t>Listbox1 - Display existing List. Allow user to select &amp; Edit. Display 1,2, 3,4,5,6</t>
  </si>
  <si>
    <t>Field 7 - If Unique = True then there is NO other T&amp;C like this</t>
  </si>
  <si>
    <t>Field 7 - If Unique = False then there is similar T&amp;C. This T&amp;C User can Select One of this only</t>
  </si>
  <si>
    <t>If VO Then True</t>
  </si>
  <si>
    <t>If NOT VO Then False</t>
  </si>
  <si>
    <t>For Each BQ Item - What Material and How Much Material is Required</t>
  </si>
  <si>
    <t>BQ Item - Material Quantity</t>
  </si>
  <si>
    <t>BQ Group</t>
  </si>
  <si>
    <t>Select - Listbox1</t>
  </si>
  <si>
    <t>BQ Item - UOM</t>
  </si>
  <si>
    <t>Describe how the Quantity was Calculated.</t>
  </si>
  <si>
    <t>5a- 5d</t>
  </si>
  <si>
    <t>4a- 4d</t>
  </si>
  <si>
    <t>6a- 6d</t>
  </si>
  <si>
    <t>7a- 7d</t>
  </si>
  <si>
    <t>8a- 8d</t>
  </si>
  <si>
    <t>9a- 9d</t>
  </si>
  <si>
    <t xml:space="preserve">Listbox1 - BQ Groups </t>
  </si>
  <si>
    <t>Select From Combobox</t>
  </si>
  <si>
    <t xml:space="preserve">Listbox2 - Material Groups </t>
  </si>
  <si>
    <t>Select - Listbox2</t>
  </si>
  <si>
    <t>Select From Combobox UOM</t>
  </si>
  <si>
    <t>This information Combined with Project Material Quantity &amp; Material Price will give User Material Quantity and Also Material Cost</t>
  </si>
  <si>
    <t>Cement Sand Bricks - 125mm Thickness</t>
  </si>
  <si>
    <t>Toggle Button User Can Select English Or Bahasa</t>
  </si>
  <si>
    <t>Brickworks</t>
  </si>
  <si>
    <t>Quarry Product</t>
  </si>
  <si>
    <t>Cement sand Plaster - 20mm</t>
  </si>
  <si>
    <t>Cement Sand Bricks</t>
  </si>
  <si>
    <t>Cement Sand Bricks - 225mm Thickness</t>
  </si>
  <si>
    <t>Material Wastage Factor</t>
  </si>
  <si>
    <t>Enter a Numerical Value</t>
  </si>
  <si>
    <t>6a,6b</t>
  </si>
  <si>
    <t>If 6a = True then 6b required</t>
  </si>
  <si>
    <t>Select from list -A-54</t>
  </si>
  <si>
    <t>In Malysia this is 5 Digit Numerical</t>
  </si>
  <si>
    <t>14a,14b,14c</t>
  </si>
  <si>
    <t>Phone Or Fax</t>
  </si>
  <si>
    <t>Phone Number</t>
  </si>
  <si>
    <t xml:space="preserve">Status - Active </t>
  </si>
  <si>
    <t>Reason If Not Active</t>
  </si>
  <si>
    <t>13a,13b,13c</t>
  </si>
  <si>
    <t>Legal Entity</t>
  </si>
  <si>
    <t xml:space="preserve">Stakeholder  Register </t>
  </si>
  <si>
    <t>Stakeholder Management (G)</t>
  </si>
  <si>
    <t xml:space="preserve">Stakeholder Procurement Classification </t>
  </si>
  <si>
    <t>Stakeholder Procure Group</t>
  </si>
  <si>
    <t>Stakeholder Individuals Register</t>
  </si>
  <si>
    <t xml:space="preserve">Stakeholder Correspondence </t>
  </si>
  <si>
    <t>Stakeholder Master</t>
  </si>
  <si>
    <t>G-06</t>
  </si>
  <si>
    <t>Stakeholder Branch Register</t>
  </si>
  <si>
    <t>When Stakeholder has Mote then One Place of Business</t>
  </si>
  <si>
    <t>All parties dealing with the company. They can be Debtors, Creditors, Suppliers, Government Agency, Non Government Organisation, Customer etc</t>
  </si>
  <si>
    <t>To register All Outside People Dealing with the Company be it Customer, Supplier etc</t>
  </si>
  <si>
    <t>To Register the People working in Stakeholder and their responsibilities. Correspondence with Stakeholder</t>
  </si>
  <si>
    <t>5 Digit.   htStakeholders://yarnpkg.com/package?name=postcodes-malaysia#getCities</t>
  </si>
  <si>
    <t xml:space="preserve">Select from Listbox1. </t>
  </si>
  <si>
    <t>Allow User to Select from Combobox List</t>
  </si>
  <si>
    <t>Branch Description</t>
  </si>
  <si>
    <t>Branch Function</t>
  </si>
  <si>
    <t>Example Bank Code and Location</t>
  </si>
  <si>
    <t>6a, 6b</t>
  </si>
  <si>
    <t>8a,8b,8c</t>
  </si>
  <si>
    <t>9a,9b,9c</t>
  </si>
  <si>
    <t>10a,10b,10c</t>
  </si>
  <si>
    <t>If Active skip 14</t>
  </si>
  <si>
    <t>Enter - MBB - Taman Chi Liung</t>
  </si>
  <si>
    <t>Stakeholder Name</t>
  </si>
  <si>
    <t>Listbox1. Display Company Name Created in UI G01 and Marked Multiple as True Only. Display Stakeholder Name Only</t>
  </si>
  <si>
    <t>Listbox2. Display Field 2, 3 Created Before This if Any.</t>
  </si>
  <si>
    <t>Communication Details (Only If Multiple Location is False)</t>
  </si>
  <si>
    <t>If Multiple Location is True Then Disable Field 7 To 16</t>
  </si>
  <si>
    <t>Example Branch Relocated.</t>
  </si>
  <si>
    <t>Works, Product and Services (WPS) -  Group</t>
  </si>
  <si>
    <t>Works, Product and Services (WPS) -  Classification</t>
  </si>
  <si>
    <t>Works, Product and Services (WPS)  - Master</t>
  </si>
  <si>
    <t>WPS Classification - Description</t>
  </si>
  <si>
    <t>WPS Classification Group - Description</t>
  </si>
  <si>
    <t>WPS Master - Description</t>
  </si>
  <si>
    <t>To register Stakeholder branch Address</t>
  </si>
  <si>
    <t>Follow as in Stakeholder Register</t>
  </si>
  <si>
    <t>To keep records of communication with Stakeholders</t>
  </si>
  <si>
    <t>Only Allow data entry for Stakeholder Status is = Active</t>
  </si>
  <si>
    <t>Stakeholder Communication Records</t>
  </si>
  <si>
    <t>Stakeholder Legal Entity. Sole Proprietor, Private Limited etc</t>
  </si>
  <si>
    <t>Display As Selected in Listbox1</t>
  </si>
  <si>
    <t>Select From List UI A52</t>
  </si>
  <si>
    <t>Some will leave the Organisation or Move to another Branch</t>
  </si>
  <si>
    <t>UI A52 - Salutation List</t>
  </si>
  <si>
    <t>If User deleted or Mark as NOT Active - Branch the Automatically Change Active = False</t>
  </si>
  <si>
    <t>If User deleted or Mark as NOT Active - Stakeholder Register Automatically Change Active = False</t>
  </si>
  <si>
    <t>Only Active Ones</t>
  </si>
  <si>
    <t>Listbox1 Display All Stakeholder Name Sorted Alphabetical, and Branch Name.</t>
  </si>
  <si>
    <t>To keep records of people working in Stakeholder Organisation.</t>
  </si>
  <si>
    <t>To Keep records of Stakeholders WPS Group</t>
  </si>
  <si>
    <t>Display Stakeholder Selected From Listbox1</t>
  </si>
  <si>
    <t>Kindly Record the Date this Record was Created and Who is the Maker and Approver</t>
  </si>
  <si>
    <t>listbox3 - Based on WPS Class - Display All WPS Group Matching this Class and have been selected for this Stakeholder before if ANY</t>
  </si>
  <si>
    <t>Example Double Click On Listbox 2 - Remove Item and Display in Listbox4</t>
  </si>
  <si>
    <t>Example Double Click On Listbox 3 - Remove Item and Display in Listbox2</t>
  </si>
  <si>
    <t>User Can Select as many as possible</t>
  </si>
  <si>
    <t>Display Selected Stakeholder Name</t>
  </si>
  <si>
    <t>Past Communication Details</t>
  </si>
  <si>
    <t>User To Select from Listbox1. Selected Stakeholder will be displayed</t>
  </si>
  <si>
    <t xml:space="preserve">Responsible </t>
  </si>
  <si>
    <t>Auto Display - G03- Field 4 Data</t>
  </si>
  <si>
    <t>Display Sorted By Person Name - All Communication With Stakeholder - All Staffs. Include Filter by Person Name</t>
  </si>
  <si>
    <t>New Communication Details</t>
  </si>
  <si>
    <t>By Default Enter Current Date</t>
  </si>
  <si>
    <t>Enter Subject matter. Example Request quotation for Sewerage pipe - Taman Hajjah Yon</t>
  </si>
  <si>
    <t>By Default display by Correspondence Sort By Date - Newest To Oldest.</t>
  </si>
  <si>
    <t>Past Correspondence -  Allow Filtering By Name and Details</t>
  </si>
  <si>
    <t>Everyone can communicate with Stakeholder Persons. So Need not be verified by another person. Communication records can Be DELETED  ONLY by Admin</t>
  </si>
  <si>
    <t>System Designer  can propose any other format deem more suitable.</t>
  </si>
  <si>
    <t xml:space="preserve">Listbox1 Display All Stakeholder Name </t>
  </si>
  <si>
    <t>Combobox. Select Name To Proceed</t>
  </si>
  <si>
    <t>If Name does NOT exist  - Message - User To add Person Name Via G04</t>
  </si>
  <si>
    <t>Filter and Load into Combobox Person Name Matching Stakeholder Name. If None Prompt Message</t>
  </si>
  <si>
    <t>Tenancy Monthly Billing</t>
  </si>
  <si>
    <t>Tenant Register</t>
  </si>
  <si>
    <t>To Register All Tenants for Company Properties</t>
  </si>
  <si>
    <t>Tenancy Details like Dates, Period, Amount etc</t>
  </si>
  <si>
    <t>Monthly Billing for Tenants</t>
  </si>
  <si>
    <t>Future Modules</t>
  </si>
  <si>
    <t>Request For Payment - Verification</t>
  </si>
  <si>
    <t>A Medium sized Company may oft for 2 level.  2 User - One is Maker, and the Other is Approver.</t>
  </si>
  <si>
    <t>A larger size Company may set 3 levels. 3 User. Maker, Verifier and Approver.</t>
  </si>
  <si>
    <t>Request For Payment - Maker</t>
  </si>
  <si>
    <t>Request For Petty Cash - Maker</t>
  </si>
  <si>
    <t>Request For Petty Cash - Verification</t>
  </si>
  <si>
    <t>Sales - Order Received - Maker</t>
  </si>
  <si>
    <t>Sales - Order Received - Verifier</t>
  </si>
  <si>
    <t>Sales - Order Received - Approver</t>
  </si>
  <si>
    <t>Sales Order Received. Enter the Order Details. Maker</t>
  </si>
  <si>
    <t>If User opt to 3 Level Approval Can see all Verified Documents NOT yet Approved or NOT Rejected yet</t>
  </si>
  <si>
    <t>User Asking for payment Whatsoever Reason. Provided he has authority.</t>
  </si>
  <si>
    <t>Document To Acknowledge receipt of payment. Maker</t>
  </si>
  <si>
    <t>Sales - Delivery Order - Maker</t>
  </si>
  <si>
    <t>Sales - Delivery Order - Verifier</t>
  </si>
  <si>
    <t>Sales - Delivery Order - Approver</t>
  </si>
  <si>
    <t>Request For Petty Cash - Approver</t>
  </si>
  <si>
    <t>Sales - Delivery Order - Printing</t>
  </si>
  <si>
    <t>To Create Delivery Order - A copy will be Given to Customer. Hardcopy - Multiple Copy.</t>
  </si>
  <si>
    <t>Sales - Invoice - Maker</t>
  </si>
  <si>
    <t>Sales - Invoice - Verifier</t>
  </si>
  <si>
    <t>Sales - Invoice - Approver</t>
  </si>
  <si>
    <t>Sales - Invoice - Printing</t>
  </si>
  <si>
    <t>Sales Invoice. To Bill the Customer. Maker. Multiple Copy</t>
  </si>
  <si>
    <t>Printing of Sale Invoice - Hardcopy Copy. We will Have As Much as 3 Formats. User To Select Format in User Setting. Can Select Only One.</t>
  </si>
  <si>
    <t>Printing of Sales Delivery Order - Hardcopy Copy. We will Have As Much as 3 Formats. User To Select Format in User Setting. Can Select Only One.</t>
  </si>
  <si>
    <t>Journal - Maker</t>
  </si>
  <si>
    <t>Journal - Verifier</t>
  </si>
  <si>
    <t>Journal - Approver</t>
  </si>
  <si>
    <t>Journal - Printing</t>
  </si>
  <si>
    <t>Printing of Journal - Hardcopy Copy. We will Have As Much as 3 Formats. User To Select Format in User Setting. Can Select Only One.</t>
  </si>
  <si>
    <t>To Keep track of Property taxes payable. Such as Land tax and Assessment (Locally Known as  Cukai Tanah &amp; Cukai Pintu)</t>
  </si>
  <si>
    <t>Keep  track of all Water, Electricity, Telephone, Internet, Sewerage Master. Some are temporary like those in Site.</t>
  </si>
  <si>
    <t>Keep  track of all deposit paid and received from Stakeholders.</t>
  </si>
  <si>
    <t>Asset Register - Maker</t>
  </si>
  <si>
    <t>Asset Register - Verifier</t>
  </si>
  <si>
    <t>Asset Register - Approver</t>
  </si>
  <si>
    <t>Asset Disposal Register - Maker</t>
  </si>
  <si>
    <t>Asset Disposal Register - Verifier</t>
  </si>
  <si>
    <t>Asset Disposal Register - Approver</t>
  </si>
  <si>
    <t>Rates Register - Maker</t>
  </si>
  <si>
    <t>Utility Register - Maker</t>
  </si>
  <si>
    <t>Utility Register - Verifier</t>
  </si>
  <si>
    <t>Utility Register - Approver</t>
  </si>
  <si>
    <t>Deposit Register - Maker</t>
  </si>
  <si>
    <t>Deposit Register - Verifier</t>
  </si>
  <si>
    <t>Deposit Register - Approver</t>
  </si>
  <si>
    <t>Is it Compulsory By Law.</t>
  </si>
  <si>
    <t xml:space="preserve">Each Procurement Classifications further subdivided to Groups. </t>
  </si>
  <si>
    <t>This information will be used in Material Master and during purchasing - MR, PO, Invoice etc</t>
  </si>
  <si>
    <t>This information will be used in during purchasing - MR, PO, Invoice, Work Order etc</t>
  </si>
  <si>
    <t>Combobox - UI A05</t>
  </si>
  <si>
    <t>select name created in Stakeholder from list or Enter Stakeholder</t>
  </si>
  <si>
    <t>Enter the Town or City Name</t>
  </si>
  <si>
    <t>Select Phone Code. A-55</t>
  </si>
  <si>
    <t>Select Phone Code. A-56</t>
  </si>
  <si>
    <t>Select Phone Code. A-57</t>
  </si>
  <si>
    <t>Enter Numerical Number</t>
  </si>
  <si>
    <t>enter reason why Status is Changed to NOT Active</t>
  </si>
  <si>
    <t>Any other relevant information</t>
  </si>
  <si>
    <t>Immoveable Assets</t>
  </si>
  <si>
    <t>If relevant Only</t>
  </si>
  <si>
    <t>Dimension</t>
  </si>
  <si>
    <t>Colour</t>
  </si>
  <si>
    <t xml:space="preserve">Land Title </t>
  </si>
  <si>
    <t>Land Status</t>
  </si>
  <si>
    <t>Land Use</t>
  </si>
  <si>
    <t>Enter Title No</t>
  </si>
  <si>
    <t>Enter Lot No</t>
  </si>
  <si>
    <t>Mukim</t>
  </si>
  <si>
    <t>Enter Mukim No something like Village</t>
  </si>
  <si>
    <t>Which District</t>
  </si>
  <si>
    <t>Select from Combobox A-00</t>
  </si>
  <si>
    <t>Enter Loan provider. Select From Stakeholder Name</t>
  </si>
  <si>
    <t>Funded With</t>
  </si>
  <si>
    <t>Funder</t>
  </si>
  <si>
    <t>HP Interest Rate - %</t>
  </si>
  <si>
    <t>Instalment Months</t>
  </si>
  <si>
    <t>Combobox - Petrol, Diesel, Single Phase,  3 Phase etc</t>
  </si>
  <si>
    <t xml:space="preserve">Enter Horse Power/CC </t>
  </si>
  <si>
    <t>Enter Registration No if Applicable MEF5808</t>
  </si>
  <si>
    <t>Enter Full Tank Capacity if Applicable</t>
  </si>
  <si>
    <t>Enter If Applicable</t>
  </si>
  <si>
    <t>Enter If Known and Applicable</t>
  </si>
  <si>
    <t>Purchase Price RM</t>
  </si>
  <si>
    <t>List - Describing condition of assets i.e. Usable, Need Repairs</t>
  </si>
  <si>
    <t>Scraped</t>
  </si>
  <si>
    <t>Rates Register - Verifier</t>
  </si>
  <si>
    <t>Rates Register - Approver</t>
  </si>
  <si>
    <t>Stakeholder Master - Maker</t>
  </si>
  <si>
    <t>G-01-01</t>
  </si>
  <si>
    <t>G-01-02</t>
  </si>
  <si>
    <t>G-01-03</t>
  </si>
  <si>
    <t>Stakeholder Master - Approver</t>
  </si>
  <si>
    <t>G-02-01</t>
  </si>
  <si>
    <t>G-02-02</t>
  </si>
  <si>
    <t>G-02-03</t>
  </si>
  <si>
    <t>Stakeholder Branch Register - Maker</t>
  </si>
  <si>
    <t>Stakeholder Branch Register - Verifier</t>
  </si>
  <si>
    <t>Stakeholder Branch Register - Approver</t>
  </si>
  <si>
    <t>G-03-01</t>
  </si>
  <si>
    <t>G-03-02</t>
  </si>
  <si>
    <t>G-03-03</t>
  </si>
  <si>
    <t>Stakeholder Individuals Register - Maker</t>
  </si>
  <si>
    <t>Stakeholder Individuals Register - Verifier</t>
  </si>
  <si>
    <t>Stakeholder Individuals Register - Approver</t>
  </si>
  <si>
    <t>G-04-01</t>
  </si>
  <si>
    <t>G-04-02</t>
  </si>
  <si>
    <t>G-04-03</t>
  </si>
  <si>
    <t>Stakeholder WPS Group - Maker</t>
  </si>
  <si>
    <t>Stakeholder WPS Group - Verifier</t>
  </si>
  <si>
    <t>Stakeholder WPS Group - Approver</t>
  </si>
  <si>
    <t>Correspondence with Stakeholder. Need Not Verify and be Approved.</t>
  </si>
  <si>
    <t>Stakeholder Master - Verifier</t>
  </si>
  <si>
    <t>Verify G-01-01</t>
  </si>
  <si>
    <t>Verify G-02-01</t>
  </si>
  <si>
    <t>Verify G-03-01</t>
  </si>
  <si>
    <t>Approve G-01-02</t>
  </si>
  <si>
    <t>Approve G-02-02</t>
  </si>
  <si>
    <t>Approve G-03-02</t>
  </si>
  <si>
    <t>Approve G-04-02</t>
  </si>
  <si>
    <t>Verify G-04-01</t>
  </si>
  <si>
    <t>G-05-01</t>
  </si>
  <si>
    <t>F-01-01</t>
  </si>
  <si>
    <t>F-01-03</t>
  </si>
  <si>
    <t>F-03-01</t>
  </si>
  <si>
    <t>F-01-04</t>
  </si>
  <si>
    <t>F-03-03</t>
  </si>
  <si>
    <t>F-03-04</t>
  </si>
  <si>
    <t>F-04-01</t>
  </si>
  <si>
    <t>F-04-03</t>
  </si>
  <si>
    <t>F-05-01</t>
  </si>
  <si>
    <t>F-05-03</t>
  </si>
  <si>
    <t>F-05-04</t>
  </si>
  <si>
    <t>F-06-01</t>
  </si>
  <si>
    <t>F-06-03</t>
  </si>
  <si>
    <t>F-07-01</t>
  </si>
  <si>
    <t>F-07-03</t>
  </si>
  <si>
    <t>F-07-04</t>
  </si>
  <si>
    <t>F-10-01</t>
  </si>
  <si>
    <t>F-10-03</t>
  </si>
  <si>
    <t>F-11-01</t>
  </si>
  <si>
    <t>F-11-03</t>
  </si>
  <si>
    <t>F-13-01</t>
  </si>
  <si>
    <t>F-14-01</t>
  </si>
  <si>
    <t>Verify F-01-01</t>
  </si>
  <si>
    <t>Verify F-03-01</t>
  </si>
  <si>
    <t>Verify F-04-01</t>
  </si>
  <si>
    <t>Verify F-05-01</t>
  </si>
  <si>
    <t>Verify F-06-01</t>
  </si>
  <si>
    <t>Verify F-07-01</t>
  </si>
  <si>
    <t>Verify F-11-01</t>
  </si>
  <si>
    <t>Verify F-10-01</t>
  </si>
  <si>
    <t>F-16-01</t>
  </si>
  <si>
    <t>F-15-01</t>
  </si>
  <si>
    <t xml:space="preserve">If One Level </t>
  </si>
  <si>
    <t xml:space="preserve">If Two Level </t>
  </si>
  <si>
    <t>If User Click On Report or Do a Process - Include this Record</t>
  </si>
  <si>
    <t>If User Click On Report or Do a Process - DO NOT Include this Record</t>
  </si>
  <si>
    <t>When Maker Fills and Saves. Consider as Completed</t>
  </si>
  <si>
    <t>When Maker Fills and Saves. Consider as NOT Completed</t>
  </si>
  <si>
    <t>When Approver Checks and  Saves.  It is considered as Completed</t>
  </si>
  <si>
    <t xml:space="preserve">If Three Level </t>
  </si>
  <si>
    <t>When Verifier Checks and Saves. Consider as NOT Completed</t>
  </si>
  <si>
    <t xml:space="preserve">Kindly For All Forms </t>
  </si>
  <si>
    <t>Keep Record of Maker, Verifier and Approver if Applicable</t>
  </si>
  <si>
    <t>One User - All 3 Step. Maker, Verifier and Approver. In one Process. After Making and Saving It consider Done.</t>
  </si>
  <si>
    <t xml:space="preserve">If User opt to 2 Level. We Will have Maker and Approver ONLY. </t>
  </si>
  <si>
    <t>Until Approved Maker Can Edit NEW Record</t>
  </si>
  <si>
    <t>Once Approved Maker Cannot amend record BUT can Use Edit Mode to edit records</t>
  </si>
  <si>
    <t>Once Maker has Edited this record has to be Approved</t>
  </si>
  <si>
    <t>In This Case - If User Runs a Report Or Process like Depreciation</t>
  </si>
  <si>
    <t>This record will be include Using existing approved data and NOT the Edited data that has NOT been approved.</t>
  </si>
  <si>
    <t>If User Click On Report or Do a Process - DO  Include this Record</t>
  </si>
  <si>
    <t>Until Verified - Maker Can Edit NEW Record</t>
  </si>
  <si>
    <t>Until Approved - Verifier Can Edit NEW Record</t>
  </si>
  <si>
    <t>Upon Approval - Verifier Cannot Edit NEW Record</t>
  </si>
  <si>
    <t>Combobox Choose Lease Or Freehold</t>
  </si>
  <si>
    <t>Choose Agriculture, Housing, Commercial, Industry</t>
  </si>
  <si>
    <t>Enter Make i.e. Honda</t>
  </si>
  <si>
    <t>Enter Make i.e. Honda CRV</t>
  </si>
  <si>
    <t>Our Company we will have 3 Levels. Nik will Maker, Aston or Asidah will be Verifier and I will approver.</t>
  </si>
  <si>
    <t>NOT her Higher Authority Can do all features of lower authority.</t>
  </si>
  <si>
    <t>Example Approver Can do be Verifier and Maker</t>
  </si>
  <si>
    <t>The Date of each of this was entered.</t>
  </si>
  <si>
    <t>Example Verifier Can be Maker and then Verify it too.</t>
  </si>
  <si>
    <t>BUT a lower Authority NOT allowed to do Higher authority function.</t>
  </si>
  <si>
    <t xml:space="preserve">Note </t>
  </si>
  <si>
    <t>Standard Verifier Forms</t>
  </si>
  <si>
    <t>Field1</t>
  </si>
  <si>
    <t>Field2</t>
  </si>
  <si>
    <t>Field3</t>
  </si>
  <si>
    <t>Approve</t>
  </si>
  <si>
    <t>Standard Approval Forms</t>
  </si>
  <si>
    <t>Only Records Not Verified will be displayed</t>
  </si>
  <si>
    <t>Only Records Not Verified will be displayed If 2 Levels</t>
  </si>
  <si>
    <t>Only Records Verified will be displayed If 3 Levels</t>
  </si>
  <si>
    <t xml:space="preserve">Icon </t>
  </si>
  <si>
    <t>All Above User forms Will Have Maker, Verifier, Approver</t>
  </si>
  <si>
    <t>When a UI has More then 3 Fields or More then the Fields Can be Displayed - By Click Icon system will Display Maker Form for viewing and correction</t>
  </si>
  <si>
    <t>If all Field are Displayed we done need the Icon</t>
  </si>
  <si>
    <t>Verified</t>
  </si>
  <si>
    <t>Stakeholder Management</t>
  </si>
  <si>
    <t>Verify</t>
  </si>
  <si>
    <t>Date Created or Edited</t>
  </si>
  <si>
    <t>Only Display those Records NOT Verified yet</t>
  </si>
  <si>
    <t>Display as Selected By Maker. One of This - NEW, EDIT,DELETE</t>
  </si>
  <si>
    <t>Column 1</t>
  </si>
  <si>
    <t>Column 2</t>
  </si>
  <si>
    <t>Column 3</t>
  </si>
  <si>
    <t>Column 4</t>
  </si>
  <si>
    <t>Column 5</t>
  </si>
  <si>
    <t>Column 6</t>
  </si>
  <si>
    <t>Column 7</t>
  </si>
  <si>
    <t>Column 8</t>
  </si>
  <si>
    <t>Allow Sorting By Column1, Column2 and Column 3</t>
  </si>
  <si>
    <t>Date Created or Edited Or Requested By Maker</t>
  </si>
  <si>
    <t>What are we Going to do with Record</t>
  </si>
  <si>
    <t>On Accepting  -  Will go to Next Process</t>
  </si>
  <si>
    <t>Person Name</t>
  </si>
  <si>
    <t xml:space="preserve">Display UI </t>
  </si>
  <si>
    <t>On Selecting Listbox1. Display Stakeholder Name in Field1</t>
  </si>
  <si>
    <t xml:space="preserve">Using Field2 Value Find and Display in Listbox2 all matching WPS Group. </t>
  </si>
  <si>
    <t>Using Field2 Value Find and Display in Listbox3. If any previous data. Kindly do not duplicate WPS Group in Both Listbox2 &amp; Listbox3</t>
  </si>
  <si>
    <t>Display Stakeholder Name</t>
  </si>
  <si>
    <t>Display Selected Classification</t>
  </si>
  <si>
    <t xml:space="preserve">As General Business Rule - User NOT Allowed to Select BOTH Accept and Reject </t>
  </si>
  <si>
    <t>Column6</t>
  </si>
  <si>
    <t>Checkbox. Accept</t>
  </si>
  <si>
    <t>Checkbox Reject</t>
  </si>
  <si>
    <t>User Can Click Column 6 "Display"  and Edit Data. Then can Accept.</t>
  </si>
  <si>
    <t>However You can Proposed Other means or methods.</t>
  </si>
  <si>
    <t>Since Multiple - Show One Group for One Row. Example Repeat Column 1 To 4</t>
  </si>
  <si>
    <t>If he does this refresh the Data. To display Just edited Data</t>
  </si>
  <si>
    <t>Display as Selected By Verifier/Maker. One of This - NEW, EDIT,DELETE</t>
  </si>
  <si>
    <t>Kindly Take NOT if there are Payment Voucher, Purchase Order, Work Order etc Data This Stakeholder Cannot be permanently removed from Database.</t>
  </si>
  <si>
    <t>Generally when communication with this stakeholder - User will select whom he is communication.</t>
  </si>
  <si>
    <t>Example G-03-01 and G-03-02</t>
  </si>
  <si>
    <t>Checkbox-Accept</t>
  </si>
  <si>
    <t>Checkbox-Delete</t>
  </si>
  <si>
    <t>As Selected by User</t>
  </si>
  <si>
    <t>Display Entered Person Name</t>
  </si>
  <si>
    <t>User Can Click Column 6 "Display"  then Edit Data. Then can Accept.</t>
  </si>
  <si>
    <t xml:space="preserve">On Clicking Display - System will Display Maker User form </t>
  </si>
  <si>
    <t>If User does this refresh the Data. To display Just edited Data</t>
  </si>
  <si>
    <t>Display Selected Branch Function</t>
  </si>
  <si>
    <t>Display Entered Branch Description</t>
  </si>
  <si>
    <t>As Selected By User. Stakeholder Name</t>
  </si>
  <si>
    <t>To register all Stakeholder Branch Details.</t>
  </si>
  <si>
    <t>If Not in Listbox1. User to  Register Stakeholder Via G01</t>
  </si>
  <si>
    <t>Required. Select from list - Created in A-09</t>
  </si>
  <si>
    <t>If 5a = True then 5b required</t>
  </si>
  <si>
    <t>This information will be Entered in Branch Register</t>
  </si>
  <si>
    <t>c - Enter Numerical Values Only</t>
  </si>
  <si>
    <t>a - Only Selection from Combobox i.e. Phone, Fax</t>
  </si>
  <si>
    <t>b - Only Selection from Combobox i.e. State Phone Code OR Telephone Company Code</t>
  </si>
  <si>
    <t>Only Display those Records Verified But NOT Approved</t>
  </si>
  <si>
    <t>Those item User did NOT Accept or Reject Keep the Data here until ONE of This is decided</t>
  </si>
  <si>
    <t>On Accepting Or Rejecting -  Process Completed</t>
  </si>
  <si>
    <t>If Accepted will be Shown in Report and Process. Else will be Marked as Deleted in Data base NUT NOT Removed.</t>
  </si>
  <si>
    <t>Only Records Not Verified will be displayed. If 2 Levels</t>
  </si>
  <si>
    <t>Only Records Verified But NOT Approved will be displayed If 3 Levels</t>
  </si>
  <si>
    <t>Only Records Not Verified will be displayed. If 3 Levels</t>
  </si>
  <si>
    <t>Only Maker Form Applicable.</t>
  </si>
  <si>
    <t>If Two Level  (Maker &amp; Approver Only)</t>
  </si>
  <si>
    <t>If One Level  (Only Maker)</t>
  </si>
  <si>
    <t>If Three Level  (Maker, Verifier &amp; Approver)</t>
  </si>
  <si>
    <t>For 2 Level this User form will NOT be used. Skip</t>
  </si>
  <si>
    <t>Sales - Delivery Order - Compile &amp; Printing</t>
  </si>
  <si>
    <t>Sales - Invoice - Compile &amp; Printing</t>
  </si>
  <si>
    <t>Stakeholder</t>
  </si>
  <si>
    <t>Enter - Payable Amount</t>
  </si>
  <si>
    <t>G-05-02</t>
  </si>
  <si>
    <t>G-05-03</t>
  </si>
  <si>
    <t>To Keep records of Stakeholders Relationship</t>
  </si>
  <si>
    <t>Verify G-05-01</t>
  </si>
  <si>
    <t>Approve G-05-02</t>
  </si>
  <si>
    <t>G-06-01</t>
  </si>
  <si>
    <t>User Can Click Column 5 "Display"  and Edit Data. Then can Accept.</t>
  </si>
  <si>
    <t>If Accepted will be Shown in Report and Process. Else will be Marked as Deleted in Data base BUT NOT Removed.</t>
  </si>
  <si>
    <t>This are WPS Groups provided by this Stakeholder</t>
  </si>
  <si>
    <t>Allow User To Accept some WPS Groups and Reject Others.</t>
  </si>
  <si>
    <t>Allow User To Accept some WPS Groups AND Reject Others.</t>
  </si>
  <si>
    <t>If User Rejects. Process Completed. Approver will NOT see this Record.</t>
  </si>
  <si>
    <t>How will the stakeholder be delt in accounting records. Vouchers, Profit and Loss and Balance Sheet</t>
  </si>
  <si>
    <t>$C$11</t>
  </si>
  <si>
    <t>$C$29</t>
  </si>
  <si>
    <t>$C$56</t>
  </si>
  <si>
    <t>Reason For Annual Leave Crediting</t>
  </si>
  <si>
    <t>Reason For Annual Leave Application</t>
  </si>
  <si>
    <t>Reason For Returning Material</t>
  </si>
  <si>
    <t>Reason For Resignation/Termination</t>
  </si>
  <si>
    <t>Account Classification</t>
  </si>
  <si>
    <t>Accounting Classification</t>
  </si>
  <si>
    <t>Loan</t>
  </si>
  <si>
    <t>Remuneration - Site</t>
  </si>
  <si>
    <t>Remuneration - Office</t>
  </si>
  <si>
    <t>Indirect Expenses</t>
  </si>
  <si>
    <t>Statutory Contribution - Site</t>
  </si>
  <si>
    <t>Cost of Sales</t>
  </si>
  <si>
    <t>Long Term Liability</t>
  </si>
  <si>
    <t>Is Indirect Expenses</t>
  </si>
  <si>
    <t>Options Button</t>
  </si>
  <si>
    <t>Our Customers</t>
  </si>
  <si>
    <t>Purchases</t>
  </si>
  <si>
    <t>Is Cost of Sales</t>
  </si>
  <si>
    <t>Option Button</t>
  </si>
  <si>
    <t>Example Material</t>
  </si>
  <si>
    <t>Direct Labour</t>
  </si>
  <si>
    <t>Workers working at the Site</t>
  </si>
  <si>
    <t>Site Staff - EPF,SOCSO, EIS etc</t>
  </si>
  <si>
    <t>Site Staff Salary &amp; Statutory Contribution, Bonus and Overtime etc</t>
  </si>
  <si>
    <t>Non Site Staff Salary &amp; Statutory Contribution, Bonus and Overtime etc</t>
  </si>
  <si>
    <t xml:space="preserve">Amount Owing to Bank, Financial Institution regardless of purpose. </t>
  </si>
  <si>
    <t>Capital</t>
  </si>
  <si>
    <t>Retain Earning</t>
  </si>
  <si>
    <t>Money invested by Owner</t>
  </si>
  <si>
    <t>Profit or Loss Owner did NOT withdrawal from the company. Or Losses accumulated</t>
  </si>
  <si>
    <t>Pemiutang</t>
  </si>
  <si>
    <t>Penghutang</t>
  </si>
  <si>
    <t>Buruh Langsung</t>
  </si>
  <si>
    <t>Betulkan Aset</t>
  </si>
  <si>
    <t>Pinjaman</t>
  </si>
  <si>
    <t>Pembelian</t>
  </si>
  <si>
    <t>Imbuhan - Pejabat</t>
  </si>
  <si>
    <t>Imbuhan - Tapak</t>
  </si>
  <si>
    <t>Jualan</t>
  </si>
  <si>
    <t>Sumbangan Berkanun - Tapak</t>
  </si>
  <si>
    <t>Kekalkan Pendapatan</t>
  </si>
  <si>
    <t>Will Be Used To Classify Work, Product and Services (WPS)</t>
  </si>
  <si>
    <t>Level 1 - All Procurement of WPS  are Classified. Each Classification has Numerous Groups. Each Group has Numerous WPS Master (Details Description of WPS)</t>
  </si>
  <si>
    <t>Supplier are Linked To Classification. Thus easy to Identify who can supply the WPS. Helpful for RFQ to identify Supplier. As there are thousands of building material in the market.</t>
  </si>
  <si>
    <t>Each Supplier  are Linked To WPS Group in Stakeholder Group UI G-04-01</t>
  </si>
  <si>
    <t>Each Supplier  are Linked To WPS Classification in Stakeholder Master. UI G-01-01</t>
  </si>
  <si>
    <t>Construction Equipment Repairing</t>
  </si>
  <si>
    <t>Construction Equipment's Spare Parts</t>
  </si>
  <si>
    <t>Construction Related Services</t>
  </si>
  <si>
    <t>Government Bodies &amp; Authorities</t>
  </si>
  <si>
    <t>Misc.</t>
  </si>
  <si>
    <t>Non Construction Material</t>
  </si>
  <si>
    <t>Non Construction Related Services</t>
  </si>
  <si>
    <t>Professional Service</t>
  </si>
  <si>
    <t>Transport of Construction Equipment</t>
  </si>
  <si>
    <t>Membaiki Peralatan/Jentera Pembinaan</t>
  </si>
  <si>
    <t>Peralatan &amp; Jentera Pembinaan</t>
  </si>
  <si>
    <t>Alat Ganti Peralatan/Jentera Pembinaan</t>
  </si>
  <si>
    <t>Perkhidmatan Berkaitan Pembinaan</t>
  </si>
  <si>
    <t>Kerja-kerja Pembinaan</t>
  </si>
  <si>
    <t>Pihak Berkuasa &amp; Jabatan Kerjaan</t>
  </si>
  <si>
    <t>Bahan Bukan Binaan</t>
  </si>
  <si>
    <t>Perkhidmatan Bukan Berkaitan Pembinaan</t>
  </si>
  <si>
    <t>Perkhidmatan Profesional</t>
  </si>
  <si>
    <t>Sewaan Peralatan Pembinaan</t>
  </si>
  <si>
    <t>Sewaan Peralatan Bukan Binaan</t>
  </si>
  <si>
    <t>Pengangkutan Peralatan &amp; Jentera Pembinaan</t>
  </si>
  <si>
    <t>Above Data is from our company</t>
  </si>
  <si>
    <t>Our emphasis is for construction sector</t>
  </si>
  <si>
    <t>Rental of Construction Equipment's</t>
  </si>
  <si>
    <t xml:space="preserve">Rental of Non Construction Equipment's </t>
  </si>
  <si>
    <t>Listbox1 - Display existing List. Allow user to select &amp; Edit. Display 1 To 3</t>
  </si>
  <si>
    <t>As User enter Stakeholder Name display list filter if he starts with A display all A and if he adds l then filter those Stakeholder starting with A. Only Show in Active stakeholders.</t>
  </si>
  <si>
    <r>
      <t xml:space="preserve">By Default on Creating (NEW MODE) set has </t>
    </r>
    <r>
      <rPr>
        <sz val="8"/>
        <color rgb="FFFF0000"/>
        <rFont val="Times New Roman"/>
        <family val="1"/>
      </rPr>
      <t>Active</t>
    </r>
    <r>
      <rPr>
        <sz val="8"/>
        <color theme="1"/>
        <rFont val="Times New Roman"/>
        <family val="1"/>
      </rPr>
      <t>. If Active then Skip 20. In Edit Mode allow Editing. In Delete mode (Earlier Active) Auto Set by Default - Delete.</t>
    </r>
  </si>
  <si>
    <t>Example - Black listed for Dishonesty. Or Closed Business. Optional. BUT if Delete Required.</t>
  </si>
  <si>
    <t>Enter Value - Alphabet Numerical Accepted. Check using this information for duplication. This info cannot be duplicating value.</t>
  </si>
  <si>
    <t>User To set to True If This Stakeholder has Numerous Address. Example Bank Branches</t>
  </si>
  <si>
    <t>To register all Stakeholder Data. This information will be used for Procurement and Accounts (Payment &amp; Receipt). Also as CRM.</t>
  </si>
  <si>
    <t>Any Other relevant information</t>
  </si>
  <si>
    <t>If Field No 4 is Multiple then user will Enter Correspondence Details - in Branch Address UI - G-02-01</t>
  </si>
  <si>
    <t xml:space="preserve">Status </t>
  </si>
  <si>
    <t xml:space="preserve">Active </t>
  </si>
  <si>
    <t>Suspended</t>
  </si>
  <si>
    <t>The record to be displayed in other User forms and reports.</t>
  </si>
  <si>
    <t>Deleted</t>
  </si>
  <si>
    <t>Permanently removed. But in Database kept. Because there could be existing records for this. Example Stakeholder - Have Purchase Order</t>
  </si>
  <si>
    <t>Temporary NOT active. While suspended this record will not be displayed in other User Forms and Reports</t>
  </si>
  <si>
    <t>Listing - Generally for All forms where Status is Required.</t>
  </si>
  <si>
    <t>Icon - Display user Form</t>
  </si>
  <si>
    <t>Rejected</t>
  </si>
  <si>
    <t>Approver</t>
  </si>
  <si>
    <t>If Approver is the Maker all other process NOT required</t>
  </si>
  <si>
    <t>You can share your view on this and w can collectively make a decision on this.</t>
  </si>
  <si>
    <t>As Selected By User. Stakeholder Registration No</t>
  </si>
  <si>
    <t>As Selected By User. Stakeholder Classification. If 2 Then show in 2 Row. Repeat Column 1 to 4</t>
  </si>
  <si>
    <t>User Form Design</t>
  </si>
  <si>
    <t>You can share your view on this and we can collectively make a decision on this.</t>
  </si>
  <si>
    <t xml:space="preserve">Icon - Display UI </t>
  </si>
  <si>
    <t>Business Rule - User NOT Allowed to Select BOTH Accept and Reject. Required.</t>
  </si>
  <si>
    <t>If Accepted will be Shown in Report and Reports and Process. Else will be Marked as Deleted in Data base BUT NOT Removed.</t>
  </si>
  <si>
    <t>Modes</t>
  </si>
  <si>
    <t>To Keep the System for the intend target Market we will limit to 3 MODES</t>
  </si>
  <si>
    <t>NEW</t>
  </si>
  <si>
    <t>User creating a NEW Record</t>
  </si>
  <si>
    <t>EDIT</t>
  </si>
  <si>
    <t>User Editing and existing Record</t>
  </si>
  <si>
    <t>DELETE</t>
  </si>
  <si>
    <t>The later is to prevent deleting a record which has data in another table</t>
  </si>
  <si>
    <t>User requesting that this Record be marked as Deleted. Will be in Database BUT will not be displayed in User form, Reports and process.</t>
  </si>
  <si>
    <t>MAKER</t>
  </si>
  <si>
    <t>VIEW</t>
  </si>
  <si>
    <t>To Keep the System for the intend target Market we will limit to 4 Authorities.</t>
  </si>
  <si>
    <t>ONLY can View information that the user has Authority</t>
  </si>
  <si>
    <t>VERIFIER</t>
  </si>
  <si>
    <t>APPROVER</t>
  </si>
  <si>
    <t>If Approver MAKES records it is Automatically consider Verified and Approved.</t>
  </si>
  <si>
    <t>The user is allowed to Create, Edit the User form.</t>
  </si>
  <si>
    <t>The user is allowed to verify those Records created By MAKER. He is Automatically allowed to be MAKER also.</t>
  </si>
  <si>
    <t>The user is allowed to Approve Records. This record will be added to Database</t>
  </si>
  <si>
    <t>What Price was the Asset Purchase For. Suggest we round to Nearing RM1.00</t>
  </si>
  <si>
    <t>Warranty Period - Months</t>
  </si>
  <si>
    <t>How Many Months will the Supplier take responsibility.</t>
  </si>
  <si>
    <t>If More then 1 Unit then User To Enter Quantity</t>
  </si>
  <si>
    <t>Deliver Order No and Date. For Depreciation and Accounting Records we take this Date as Asset Purchased Date.</t>
  </si>
  <si>
    <t>Invoice No and Date.</t>
  </si>
  <si>
    <t>If Asset Grout = Land Or Building User To Enter 8 To 14. Else Disable Fields.</t>
  </si>
  <si>
    <t>The Registered Title No. Alpha/Numeric</t>
  </si>
  <si>
    <t>The Plot No. Numeric. Generally NOT more then 6 Digits</t>
  </si>
  <si>
    <t>Land Use stated in Title.</t>
  </si>
  <si>
    <t>Select Land Status Stated in tile. If Leasehold User to Enter in 10b The Commencement year of lease.</t>
  </si>
  <si>
    <t>The State the Land is located</t>
  </si>
  <si>
    <t>The Village the Land is located</t>
  </si>
  <si>
    <t>The District the Land is located</t>
  </si>
  <si>
    <t>Listbox3 - Display Stakeholders Name. Stakeholder Marked as Bank UI G-01-01 Field 17d</t>
  </si>
  <si>
    <t>Listbox2 - Display Stakeholders Name. Stakeholder Marked as Supplier UI G-01-01 Field 17c</t>
  </si>
  <si>
    <t>Select Combobox - HP, Lease, Bank Loan, Internal Fund. 4 Items.</t>
  </si>
  <si>
    <t>If 15a &lt;&gt; Cash then To Select from Listbox3</t>
  </si>
  <si>
    <t>Loan Amount - RM</t>
  </si>
  <si>
    <t>User To Enter Loan Amount</t>
  </si>
  <si>
    <t>If 15a &lt;&gt; Cash then Enter Loan Amount.</t>
  </si>
  <si>
    <t>If 15a &lt;&gt; Cash then Enter - No of Instalments Payable.</t>
  </si>
  <si>
    <t>If 15a &lt;&gt; Cash then Enter - Each Instalments Payable Amount</t>
  </si>
  <si>
    <t>If 15a &lt;&gt; Cash then Enter - Field 19 x Field 20. Display Calculation.</t>
  </si>
  <si>
    <t>If Vehicle then User To Enter Registration No is by Transport Department. Option.</t>
  </si>
  <si>
    <t>If Asset Grout = x &amp; Y User To Enter 8 To 14. Else Disable Fields.</t>
  </si>
  <si>
    <t>The entire asset cost is charge to the financial year of purchase as Expenses.</t>
  </si>
  <si>
    <r>
      <t>Some may cost</t>
    </r>
    <r>
      <rPr>
        <sz val="11"/>
        <color rgb="FFFF0000"/>
        <rFont val="Calibri"/>
        <family val="2"/>
        <scheme val="minor"/>
      </rPr>
      <t xml:space="preserve"> less the RM500.00</t>
    </r>
    <r>
      <rPr>
        <sz val="11"/>
        <color theme="1"/>
        <rFont val="Calibri"/>
        <family val="2"/>
        <scheme val="minor"/>
      </rPr>
      <t xml:space="preserve"> but can be used for a long period more then a year. Commonly Measuring Equipment's. Digital measuring tape, Protometer, Digital Scale.</t>
    </r>
  </si>
  <si>
    <t>Each Company will have their own  Nominal Value - Based Generally on Purchase Price</t>
  </si>
  <si>
    <t>7a,7b</t>
  </si>
  <si>
    <t xml:space="preserve">The Make of the Asset. Honda </t>
  </si>
  <si>
    <t>The Model of the Asset. Honda CRV</t>
  </si>
  <si>
    <t>The CC or HP of the Asset. 1905cc</t>
  </si>
  <si>
    <t>Fuel Tank Capacity - Optional</t>
  </si>
  <si>
    <t>This UI is For Maker.</t>
  </si>
  <si>
    <t>Enter year</t>
  </si>
  <si>
    <t>Lease Start Yr</t>
  </si>
  <si>
    <t>Lease End Yr</t>
  </si>
  <si>
    <t>Refer to F-09-01</t>
  </si>
  <si>
    <t>Refer to F-09-02</t>
  </si>
  <si>
    <t>Refer to F-09-06</t>
  </si>
  <si>
    <t>Disposal Date</t>
  </si>
  <si>
    <t>User To Enter Name of Purchaser</t>
  </si>
  <si>
    <t>Combobox - Staff Names</t>
  </si>
  <si>
    <t>What Price was it Sold</t>
  </si>
  <si>
    <t>Allow Zero Value. Just throw away. Sometimes we have to pay to dispose it.</t>
  </si>
  <si>
    <t>Do, Invoice issued by Purchaser. If 37&gt;0 then this is required.</t>
  </si>
  <si>
    <t>Disposal/Written Off Asset - Information</t>
  </si>
  <si>
    <t>Select Item Created from Via - Combobox UI A-04.</t>
  </si>
  <si>
    <t>Only Show This in Desposal of Asset Only</t>
  </si>
  <si>
    <t>Only Show This in Asset Register - F-08-02</t>
  </si>
  <si>
    <t>Good Work Condition</t>
  </si>
  <si>
    <t>Keadaan Baik</t>
  </si>
  <si>
    <t>To Create a list of Asset Status Description. To describe the Condition of Asset. Also List for Disposing the Asset.</t>
  </si>
  <si>
    <t>Disposal of Asset</t>
  </si>
  <si>
    <t>Can be used after Repair Only Show This in Asset Register - F-08-02</t>
  </si>
  <si>
    <t>Stolen To be written Off from Asset List Only Show This in Desposal of Asset Only</t>
  </si>
  <si>
    <t>Sold For Scrap.  Only Show This in Desposal of Asset Only</t>
  </si>
  <si>
    <t>Sold To be written Off from Asset List Only Show This in Desposal of Asset Only</t>
  </si>
  <si>
    <t>Trade in for another Asset Only Show This in Desposal of Asset Only</t>
  </si>
  <si>
    <t xml:space="preserve">Can not  Repaired. Either No Spare parts or Uneconomical to repair Only </t>
  </si>
  <si>
    <t>Only Show This in Asset Register</t>
  </si>
  <si>
    <t>Select form Item Created in UI A03. If Disposed then Update from U A-04</t>
  </si>
  <si>
    <t>Enter Any other Relevant information.</t>
  </si>
  <si>
    <t>Enter 1st Instalment Date</t>
  </si>
  <si>
    <t>Calculate and display last instalment Date. Using Field 19 &amp; 22</t>
  </si>
  <si>
    <t>the Information will be updated here. From UI F-09-01</t>
  </si>
  <si>
    <t>Who Authorised the Sales</t>
  </si>
  <si>
    <t>Listbox1. List Assets in This Asset Group. Status is = Active. In Edit Mode Also Include Suspended in case User wants to Change Status To Active.</t>
  </si>
  <si>
    <t>How was this Asset purchased. Allow Hire Purchase, Bank Loan, Internal Fund</t>
  </si>
  <si>
    <t>If 15a &lt;&gt; Cash then Interest Charged By Lender</t>
  </si>
  <si>
    <t>Asset Description - English</t>
  </si>
  <si>
    <t>Asset Description - Bahasa</t>
  </si>
  <si>
    <t>New - User To Enter Description in English</t>
  </si>
  <si>
    <t>New - User To Enter Description in Bahasa</t>
  </si>
  <si>
    <t>New - User To Enter Description in English. In Edit Mode User To Select From Listbox1. 1b or 1c</t>
  </si>
  <si>
    <t>New - User To Enter Description in Bahasa. In Edit Mode User To Select From Listbox2. User Must enter either 1b or 1c.</t>
  </si>
  <si>
    <t>1a</t>
  </si>
  <si>
    <t>1b</t>
  </si>
  <si>
    <t>1c</t>
  </si>
  <si>
    <t>Select from Combobox.</t>
  </si>
  <si>
    <t>As Selected By User. Asset Group. Field 1a</t>
  </si>
  <si>
    <t>Asset Description English</t>
  </si>
  <si>
    <t>Asset Description Bahasa</t>
  </si>
  <si>
    <t>As Selected By User. Asset Description. Field 1c</t>
  </si>
  <si>
    <t>As Selected By User. Asset Description. Field 1b</t>
  </si>
  <si>
    <t>User Can Click Column 6 "Display" and Edit Data. Then proceed to Accept.</t>
  </si>
  <si>
    <t xml:space="preserve">Business Rule - User NOT Allowed to Select BOTH Accept and Reject </t>
  </si>
  <si>
    <t>However You can Proposed Other means or methods to do this process</t>
  </si>
  <si>
    <t>Only Display those Records that has Verified and NOT Approved yet</t>
  </si>
  <si>
    <t>On Accepting  -  Process Ends</t>
  </si>
  <si>
    <t>Caption</t>
  </si>
  <si>
    <t>Disposal Details</t>
  </si>
  <si>
    <t>Select from Combobox. On Selection Display BOTH Active &amp; Suspended.</t>
  </si>
  <si>
    <t>Select from Listbox2</t>
  </si>
  <si>
    <t>Who Authorised the Sales. Display Staff List</t>
  </si>
  <si>
    <t>To record the Disposal of the Asset. No more with the company.</t>
  </si>
  <si>
    <t>Change Status in Asset in Register Accordingly</t>
  </si>
  <si>
    <t>Who Purchased this. If Applicable Only</t>
  </si>
  <si>
    <t>Who Authorised Disposal. Required.</t>
  </si>
  <si>
    <t>Date of Disposal. Example Document Date. Required NO matter how disposed.</t>
  </si>
  <si>
    <t>Purchased Price - RM</t>
  </si>
  <si>
    <t>Total Depreciation RM</t>
  </si>
  <si>
    <t>Auto Display - For Information.</t>
  </si>
  <si>
    <t>Calculate 9 Minus 10. Display here. If Loss Show in Red Else Black</t>
  </si>
  <si>
    <t>We will Create this Document in Report.</t>
  </si>
  <si>
    <t>Allow this UI To be Printed after Approval</t>
  </si>
  <si>
    <t>We will include  Maker, Verifier and Approver Name and Signature</t>
  </si>
  <si>
    <t>Include Date of Deposal.</t>
  </si>
  <si>
    <t>Document no i.e. DO No or Invoice No. If Applicable</t>
  </si>
  <si>
    <t>User To Enter Value. Minium 0 Value</t>
  </si>
  <si>
    <t>Profit/Loss On Assets</t>
  </si>
  <si>
    <t>Any Other Relevant information.</t>
  </si>
  <si>
    <t>Enter Account No</t>
  </si>
  <si>
    <t xml:space="preserve">Select Bank Name. Display in Combo Box all Stakeholder </t>
  </si>
  <si>
    <t>Disposal Value</t>
  </si>
  <si>
    <t>Column 9</t>
  </si>
  <si>
    <t>Column 10</t>
  </si>
  <si>
    <t xml:space="preserve">As Entered Disposal Value. </t>
  </si>
  <si>
    <t>As Entered Disposed To Whom</t>
  </si>
  <si>
    <t>User Can Click Column 8 "Display" and Edit Data. Then proceed to Accept.</t>
  </si>
  <si>
    <t>Reason For Disposal</t>
  </si>
  <si>
    <t>Combobox. Select from List. A-43</t>
  </si>
  <si>
    <t>Why this asset was Disposed. List is in A -43</t>
  </si>
  <si>
    <t>As Selected By User. Asset Group. Field 1</t>
  </si>
  <si>
    <t>As Selected By User. Asset Description. Field 2. If User Select to Work in English then Display Description of Asset in English</t>
  </si>
  <si>
    <t>As Selected By User. Asset Description. Field 3. If User Select to Work in Bahasa then Display Description of Asset in Bahasa</t>
  </si>
  <si>
    <t>Asset Description - As Seelcted by User - Either English Or Bahasa</t>
  </si>
  <si>
    <t>Reason for Disposal</t>
  </si>
  <si>
    <t>Reason For Disposal. If User Selected English then English Else Bahasa</t>
  </si>
  <si>
    <t xml:space="preserve">Balance Sheet </t>
  </si>
  <si>
    <t xml:space="preserve">Profit and Loss </t>
  </si>
  <si>
    <t>Account Classification - Bahasa</t>
  </si>
  <si>
    <t>Account Classification - English</t>
  </si>
  <si>
    <t xml:space="preserve">Reason Description </t>
  </si>
  <si>
    <t>Display in User form</t>
  </si>
  <si>
    <t>Combobox - Asset Register, Disposal Of Asset</t>
  </si>
  <si>
    <t>Stakeholder Classification</t>
  </si>
  <si>
    <t>Field 17 - Allow User To Accept NOT Applicable. Exceptional Relationship.</t>
  </si>
  <si>
    <t>G-07-01</t>
  </si>
  <si>
    <t>G-06-02</t>
  </si>
  <si>
    <t>G-06-03</t>
  </si>
  <si>
    <t>Verify G-06-01</t>
  </si>
  <si>
    <t>Approve G-06-02</t>
  </si>
  <si>
    <t>Stakeholder WPS Classification - Maker</t>
  </si>
  <si>
    <t>Stakeholder WPS Classification - Verifier</t>
  </si>
  <si>
    <t>Stakeholder WPS Classification - Approver</t>
  </si>
  <si>
    <t>Listbox1 - Stakeholder Names. Only Display those that NOT Marked as Not Applicable or Customer. Refer to G-01-01 Field 17</t>
  </si>
  <si>
    <t>Select Created Via A-29</t>
  </si>
  <si>
    <t>To link WPS Classification To Stakeholder. Later in G-5-01 We will link WPS Group To The Selected WPS Classification</t>
  </si>
  <si>
    <t>Each Stake Holder may have ONE or MANY WPS Classification.</t>
  </si>
  <si>
    <t>Basically we are Link What the Stakeholder to Selling To The Company.</t>
  </si>
  <si>
    <t>Only Display in Listbox1 - Stakeholders - Status = Active Only</t>
  </si>
  <si>
    <t>Display Selected Classification. Each WPS Classification in ONE Row.</t>
  </si>
  <si>
    <t>Allow User To Accept some WPS Classification and Reject Others.</t>
  </si>
  <si>
    <t>Only Display those Records Verified and NOT Accepted yet. Do NOT show REJECTED Records by Verifier.</t>
  </si>
  <si>
    <t>Combobox. Only Display WPS Classification Selected for this Stakeholder Via G-04-01</t>
  </si>
  <si>
    <t>Listbox2 - Based on WPS Class - Display All WPS Group Matching this Classification</t>
  </si>
  <si>
    <t>To link Stakeholder to WPS Group. This are the Work, Product and Services provided by the stakeholder.</t>
  </si>
  <si>
    <t>When Purchasing User will Select  WPS Classification. System will Display WPS Groups. ON Selecting WPS System will Display the Material Master and All Stakeholders Who are providing the selected WPS.</t>
  </si>
  <si>
    <t>When Requesting Quotation System will use this information to display Suppliers who has been linked to WPS Group.</t>
  </si>
  <si>
    <t>Allow User To Select and Deselect from Listbox2 &amp; Listbox3</t>
  </si>
  <si>
    <t>Groups in Listbox3 will be linked to Stakeholder when Saved</t>
  </si>
  <si>
    <t>Using Field 1 Value Find and Display in Combobox. Field 2.</t>
  </si>
  <si>
    <t>Only Display Active Stakeholder. On Selecting Listbox1. Display Stakeholder Name in Field1</t>
  </si>
  <si>
    <t xml:space="preserve">Utility Company </t>
  </si>
  <si>
    <t>Government Agency</t>
  </si>
  <si>
    <t>This group will auto issue bills. Land Tax, Quit rent, Income Tax, Socso, EPF, EIS Etc</t>
  </si>
  <si>
    <t>Stakeholder  WPS Classification - Maker</t>
  </si>
  <si>
    <t>Stakeholder  WPS Classification - Verifier</t>
  </si>
  <si>
    <t>Stakeholder  WPS Classification - Approver</t>
  </si>
  <si>
    <t>Stakeholder Accounting Classification</t>
  </si>
  <si>
    <t>Customer - Debtor</t>
  </si>
  <si>
    <t>Supplier - Creditor</t>
  </si>
  <si>
    <t>Construction - Supplier</t>
  </si>
  <si>
    <t>Non Construction - Supplier</t>
  </si>
  <si>
    <t>If User Is Working in English Use This Caption</t>
  </si>
  <si>
    <t>Nama Pihak Berkepentingan</t>
  </si>
  <si>
    <t>Tidak Berkenaan</t>
  </si>
  <si>
    <t>Pelanggan - Penghutang</t>
  </si>
  <si>
    <t>Pembekal - Pemiutang</t>
  </si>
  <si>
    <t xml:space="preserve">Syarikat Utiliti </t>
  </si>
  <si>
    <t>If User Is Working in Bahasa Use This Caption</t>
  </si>
  <si>
    <t>If User is NOT sure he can select NOT Applicable</t>
  </si>
  <si>
    <t>ONLY if User has Selected (Supplier - Creditor) Then he can choose One or More Supplier Group</t>
  </si>
  <si>
    <t>This group will issue bills at fix periods based on Usage. Water, Electricity, Sewerage and Internet service</t>
  </si>
  <si>
    <t>If Supplier - Allow Supplier Group Selection</t>
  </si>
  <si>
    <t>This are professionals. They will issue Invoice. On our side we will issue Certificate of Payment</t>
  </si>
  <si>
    <t>User Can Select ONLY One Stakeholder Accounting Classification</t>
  </si>
  <si>
    <t>For All Supplier Group we will issue Purchase Voucher</t>
  </si>
  <si>
    <t>Listbox1 - Stakeholder Names. Display all Active Stakeholders. If Existing Data - i.e Editing Data - Auto Display Existing Information. Allow Uer To Edit.</t>
  </si>
  <si>
    <t>If Applicable Display Supplier Group</t>
  </si>
  <si>
    <t>Allow User To Accept some Supplier Groups and Reject Others.</t>
  </si>
  <si>
    <t>Pembekal - Pembinaan</t>
  </si>
  <si>
    <t>Pembekal - Bukan Pembinaan</t>
  </si>
  <si>
    <t>User MUST Select One Accounting Classification - Out of the 3 Options</t>
  </si>
  <si>
    <t>Work Order Or Purchase Order</t>
  </si>
  <si>
    <t>Non</t>
  </si>
  <si>
    <t>Payment Document</t>
  </si>
  <si>
    <t>Supplier Invoice</t>
  </si>
  <si>
    <t>If Work Order -  Certification of Works</t>
  </si>
  <si>
    <t>If Purchase Order - Supplier will issue DO, Invoice . Company will Issue Purchase Voucher</t>
  </si>
  <si>
    <t>Company Ordering Document</t>
  </si>
  <si>
    <t>Supplier Invoice Or Demand Letter</t>
  </si>
  <si>
    <t>Asset Management</t>
  </si>
  <si>
    <t>T-01-01</t>
  </si>
  <si>
    <t>T-01-02</t>
  </si>
  <si>
    <t>T-01-03</t>
  </si>
  <si>
    <t>T-02-01</t>
  </si>
  <si>
    <t>T-02-02</t>
  </si>
  <si>
    <t>T-02-03</t>
  </si>
  <si>
    <t>Asset Management (T)</t>
  </si>
  <si>
    <t>T</t>
  </si>
  <si>
    <t>T-01</t>
  </si>
  <si>
    <t>T-02</t>
  </si>
  <si>
    <t>T-03</t>
  </si>
  <si>
    <t>T-04</t>
  </si>
  <si>
    <t>Asset Movement Record</t>
  </si>
  <si>
    <t>Moved From Finance &amp; Accounting</t>
  </si>
  <si>
    <t>EPF, Socso, EIS, EA Form, Annual Increment</t>
  </si>
  <si>
    <t>NO DO and Invoice. We issue Work Certification</t>
  </si>
  <si>
    <t>How much Fuel issued, Cost Centre and Equipment's. From DO we will get the Purchase Quantity.</t>
  </si>
  <si>
    <t>When we receive the Bill from Panel Clinic we enter who was treated and amount</t>
  </si>
  <si>
    <t>We Must Develop A 1st</t>
  </si>
  <si>
    <t>Finance &amp; Accounting</t>
  </si>
  <si>
    <t>Finance &amp; Accounting (F)</t>
  </si>
  <si>
    <t>2a,2b</t>
  </si>
  <si>
    <t>3a,3b</t>
  </si>
  <si>
    <t>4a,4b</t>
  </si>
  <si>
    <t>6b</t>
  </si>
  <si>
    <t>We will issue PO. Follow by Delivery Order, Invoice by Stakeholder. If NOT Purchase Order  then we Issue Work Order. Followed by Work Certification by us too. Finally Purchase Order for both cases (PO or WO)</t>
  </si>
  <si>
    <t>Listbox1 - Stakeholder Names. Only Display those that Marked as Accounting Clarification - Supplier (Creditor)  G-04-01 Field 2a,2b,2c. Omit others. Others NOTHING to do with WPS.</t>
  </si>
  <si>
    <t>Only Display in Listbox1 - Stakeholders -  Stakeholder Accounting Classification - Supplier Creditors.</t>
  </si>
  <si>
    <t>Refer To UI G-04-01 Field 2a,2b,2c</t>
  </si>
  <si>
    <t>Why others are NOT Included</t>
  </si>
  <si>
    <t>They have NOT to do with Supply of Work, Product (Material) and Services.</t>
  </si>
  <si>
    <t>Display Selected WPS Classification if Any for this Stakeholder. Esp in Edit Mode.On Each selection Add  here. Duplication NOT Allowed.</t>
  </si>
  <si>
    <t>To register all Assets purchased (Owning) by Company. Depreciation is NOT applicable to all assets. Some to keep tract of Asset.</t>
  </si>
  <si>
    <t>To Verify T-01-01</t>
  </si>
  <si>
    <t xml:space="preserve">When asset is written off for any reason this UI will be used to Delete the asset. </t>
  </si>
  <si>
    <t>To Verify T-02-01</t>
  </si>
  <si>
    <t>To Approve T-02-02</t>
  </si>
  <si>
    <t>To Approve T-01-02</t>
  </si>
  <si>
    <t>To Keep records where the Asset is Located. In construction we move the Assets as we move from Construction Site to another. Some Company has Multiple location I,e Branch Office, Store etc. When Machinery are send out for Repair we also want to Know which Supplier it is Moved To.</t>
  </si>
  <si>
    <t>To Verify T-03-01</t>
  </si>
  <si>
    <t>To Approve T-03-02</t>
  </si>
  <si>
    <t>T-03-01</t>
  </si>
  <si>
    <t>T-03-02</t>
  </si>
  <si>
    <t>T-03-03</t>
  </si>
  <si>
    <t>To register all Company Assets. All Asset Registered will be trek to Know Where they are, Asset Status, Cost, Purchase details.</t>
  </si>
  <si>
    <t>We are NOT including Asset Location as this information Changes frequently. Or do you thing we should display the last location here.</t>
  </si>
  <si>
    <t>Current Asset Location</t>
  </si>
  <si>
    <t>I am suggesting we use a sperate UI to trek the Movements. Also Need to get further information</t>
  </si>
  <si>
    <t>Asset Movement Records - Maker</t>
  </si>
  <si>
    <t>Asset Movement Records - Verifier</t>
  </si>
  <si>
    <t>Asset Movement Records - Approver</t>
  </si>
  <si>
    <t>Moveable Asset</t>
  </si>
  <si>
    <t>State_&amp;_Phone Company_Code</t>
  </si>
  <si>
    <t>Tanah Kosong - Pegangan Bebas</t>
  </si>
  <si>
    <t>Perkakas</t>
  </si>
  <si>
    <t>If Yes - User To Enter Field No 5 To 10. (7a To 10a some are optional)</t>
  </si>
  <si>
    <t>Ou Company Policy - Capitalise</t>
  </si>
  <si>
    <t>We only capitalise an Asset if the purchase price is more then 500.00. Regardless of Group.</t>
  </si>
  <si>
    <t>If User has Set Field 5 = 500.00 the then 1st Range 7a Cannot start less the RM500.00</t>
  </si>
  <si>
    <t>Field 7b To 10b. This is the estimate Value of the asset - After Deprecation. Example Scrape Value . Most Asset will have a small Economical Value after use.</t>
  </si>
  <si>
    <t xml:space="preserve">Field 4 - Capitalise </t>
  </si>
  <si>
    <t>If No - No Further Information Required.</t>
  </si>
  <si>
    <t>Generally 1% of the Purchase Price. Purchase price is set as FA. If Purchase price is RM850.00 we Use 10000.00 x 1%</t>
  </si>
  <si>
    <t>Listbox1. List Assets in This Asset Group. Status is = Active. In Edit Mode Also Include Suspended in case User wants to Change Status To Active. Moveable Assets ONLY</t>
  </si>
  <si>
    <t xml:space="preserve">Asset Description </t>
  </si>
  <si>
    <t>On Selection in Listbox1. Display</t>
  </si>
  <si>
    <t>Display Selected Asset</t>
  </si>
  <si>
    <t>To Register Each Project Site or Company Operation Location. Branch Office etc.</t>
  </si>
  <si>
    <t>Allow User To Select from Listbox2</t>
  </si>
  <si>
    <t>Select from Combobox Group List. On Selection Display BOTH Active &amp; Suspended. Kindly ONLY include Moveable Assets. Exclude immoveable Asset like Land and Building.</t>
  </si>
  <si>
    <t>Rental Location</t>
  </si>
  <si>
    <t>User to Select Date</t>
  </si>
  <si>
    <t>Date the movement took place</t>
  </si>
  <si>
    <t>Transporter Name</t>
  </si>
  <si>
    <t>Vehicle Number</t>
  </si>
  <si>
    <t>User To Enter Driver name and IC No if available.</t>
  </si>
  <si>
    <t>Driver IC No</t>
  </si>
  <si>
    <t>User To Enter Vehicle Number</t>
  </si>
  <si>
    <t xml:space="preserve">Transporter Details </t>
  </si>
  <si>
    <t>If 3-a then Display Active Project and Cost Centre List. Refer A-38 in Listbox2 &amp;  If 3-b then Display Stakeholder - Accounting Classification Marked as - Customer Names in Listbox2 If 3-c then Display Stakeholder - Accounting Classification Marked as - Supplier Names in Listbox3. If supplier has Multiple Location kindly show all Location.</t>
  </si>
  <si>
    <t>User To Enter Transporter Company Name</t>
  </si>
  <si>
    <t>User To Enter Transporter Driver Name</t>
  </si>
  <si>
    <t>User To Enter Transporter Driver IC No</t>
  </si>
  <si>
    <t>After Approver has Accepted. Update the Location Only in Asset Register T-01-01 Field 40.</t>
  </si>
  <si>
    <t>We will include  Maker, Verifier and Approver Name and Signature in Print Copy</t>
  </si>
  <si>
    <t>User has to Enter  Transporter Company Name. As this might not be our own transporter.</t>
  </si>
  <si>
    <t>User To Enter Driver IC Name</t>
  </si>
  <si>
    <t>User To Enter Transporter Vehicle Registration No</t>
  </si>
  <si>
    <t>Any Other Relevant Information. Including Collection Advise etc.</t>
  </si>
  <si>
    <t>To Keep track of Asset Location during the lifespan of the Asset. In report we will show the history.</t>
  </si>
  <si>
    <t>Combobox - Display the 3 Choices -  Field 4 - Caption the Selection</t>
  </si>
  <si>
    <t>Reason For Moving</t>
  </si>
  <si>
    <t>Required.</t>
  </si>
  <si>
    <t>Moving Location</t>
  </si>
  <si>
    <t>Current Location</t>
  </si>
  <si>
    <t>Auto Display Current Location On Selecting Listbox1</t>
  </si>
  <si>
    <t>Select from Listbox3. Reason for Moving Asset</t>
  </si>
  <si>
    <t>Caption 6</t>
  </si>
  <si>
    <t>Moving Place</t>
  </si>
  <si>
    <t>User to Enter where this Asset will be taken to. This Field ONLY Required for Renting Out. Else Disable Field. Within Company we already Selected in Listbox2, If Sending for Repair also selected in Listbox2</t>
  </si>
  <si>
    <t xml:space="preserve">User to Enter where this Asset will be taken to. This Field ONLY Required for Renting Out. </t>
  </si>
  <si>
    <t>Moving Date</t>
  </si>
  <si>
    <t>As Selected By User. Asset Description</t>
  </si>
  <si>
    <t>As Selected By User. Reason For Moving Asset</t>
  </si>
  <si>
    <t>As Selected By User. Reason For Moving Place Example Within Company, Or Renting Out Or Sending Out for Repairs</t>
  </si>
  <si>
    <t>As Selected By User. New Location</t>
  </si>
  <si>
    <t>Checkbox-Reject</t>
  </si>
  <si>
    <t>If User Rejected in NEW Mode remove completely from System. If Rejected Edit  Original Data.</t>
  </si>
  <si>
    <t>If User Rejected in DELETE Mode mark as Deleted.</t>
  </si>
  <si>
    <t>Data will NOT be included in Reports and Process i.e Depreciation.</t>
  </si>
  <si>
    <t>To Request for Payment. Who can request payment will be will be set in Staff Authority. NOT everyone can request payment</t>
  </si>
  <si>
    <t>Modal</t>
  </si>
  <si>
    <t>Example Invoice No</t>
  </si>
  <si>
    <t>Document Reference</t>
  </si>
  <si>
    <t>Why This Payment</t>
  </si>
  <si>
    <t>Payment Request Date is Automatically the date this Request was made.</t>
  </si>
  <si>
    <t>On Requesting payment the Verifier will decide is this payment required and when it should be paid</t>
  </si>
  <si>
    <t xml:space="preserve">When Approver Accepts the Payment. The next process will be to compile the payment Voucher </t>
  </si>
  <si>
    <t>Auto Display Date Payment Requested</t>
  </si>
  <si>
    <t>Display Selected Stakeholder</t>
  </si>
  <si>
    <t>Combobox = Accept, Reject, Kiv</t>
  </si>
  <si>
    <t>Click To View all Payment Request Information.</t>
  </si>
  <si>
    <t>As long as the Payment NOT Approved BUT Not REJECTED Maker can Amendment the Details.</t>
  </si>
  <si>
    <t>Only Display Request For Payment that is Accepted By Verifier</t>
  </si>
  <si>
    <t>As long as the Payment NOT Approved BUT Not REJECTED Verifier can Amendment the Details.</t>
  </si>
  <si>
    <t>Upon making Changes upload the Data to  this Table</t>
  </si>
  <si>
    <t>Bank Balance</t>
  </si>
  <si>
    <t>Payment Details</t>
  </si>
  <si>
    <t>1a,1b</t>
  </si>
  <si>
    <t>Display Based On Item Selected from Listbox1</t>
  </si>
  <si>
    <t>Allocate</t>
  </si>
  <si>
    <t>To Process Request for payment.</t>
  </si>
  <si>
    <t>Business Rule</t>
  </si>
  <si>
    <t>NEXT</t>
  </si>
  <si>
    <t>F-01-05</t>
  </si>
  <si>
    <t>Voucher Date</t>
  </si>
  <si>
    <t>Allocate from which bank account to make payment</t>
  </si>
  <si>
    <t>Voucher No</t>
  </si>
  <si>
    <t>Decision</t>
  </si>
  <si>
    <t>Payment Voucher Processing</t>
  </si>
  <si>
    <t>Including Viewing Before Printing</t>
  </si>
  <si>
    <t>F-01-06</t>
  </si>
  <si>
    <t>Use Current Date. The Date this process is done</t>
  </si>
  <si>
    <t>For easy understanding of my intention are generally using this colours</t>
  </si>
  <si>
    <t>Information will be display by System</t>
  </si>
  <si>
    <t>Field Caption</t>
  </si>
  <si>
    <t>Data Enter by User</t>
  </si>
  <si>
    <t>User Form Colour Code</t>
  </si>
  <si>
    <t xml:space="preserve">Period </t>
  </si>
  <si>
    <t>Starting Date</t>
  </si>
  <si>
    <t>Ending date</t>
  </si>
  <si>
    <t>Display all Stakeholder Name. Allow User to Enter Name and system to Narrow down the search</t>
  </si>
  <si>
    <t xml:space="preserve">Display all Cost Centres. </t>
  </si>
  <si>
    <t>PREVIOUS</t>
  </si>
  <si>
    <t>Do NOT include DELETED Payment Voucher.</t>
  </si>
  <si>
    <t>Allow User to set Multiple Filter Criterial</t>
  </si>
  <si>
    <t>Allow User to Print as many as 5 Payment Voucher at a time.</t>
  </si>
  <si>
    <t>Allow User To Print Hardcopy of Digital Pdf copy</t>
  </si>
  <si>
    <t>Can VIEW One Payment Voucher at a Time Only. View Copy will be excitedly as PRINT or PDF Copy.</t>
  </si>
  <si>
    <t>Print Copy - I will Load Sheet - Doc_Print_Copy soon.</t>
  </si>
  <si>
    <t>Allow Data to be exported to Excel</t>
  </si>
  <si>
    <t>Request For Payment - Petty Cash - Maker</t>
  </si>
  <si>
    <t>Deposit - Paid</t>
  </si>
  <si>
    <t>Deposit - Received</t>
  </si>
  <si>
    <t xml:space="preserve">Bank </t>
  </si>
  <si>
    <t>Deposit - Dibayar</t>
  </si>
  <si>
    <t>Deposit - Diterima</t>
  </si>
  <si>
    <t>Balance Sheet</t>
  </si>
  <si>
    <t>Trading Account</t>
  </si>
  <si>
    <t>Profit and Loss</t>
  </si>
  <si>
    <t>Owing to Supplier for Work, Products and Services (WPS)</t>
  </si>
  <si>
    <t xml:space="preserve">Cost Center Required </t>
  </si>
  <si>
    <t>If Site Use -  the we will take it up in Direct Overheads</t>
  </si>
  <si>
    <t>Utilities - Site</t>
  </si>
  <si>
    <t>Utilities - Office</t>
  </si>
  <si>
    <t>All Expenses incurred Directly at the Project. Excluding Labour, Contracting Cost and Site Staff Cost. Include Site Water and Electricity</t>
  </si>
  <si>
    <t>For a particular Project. All payment to Government Agency for Contribution - Levy, Permit, Taxes, Fee, etc</t>
  </si>
  <si>
    <t xml:space="preserve">General for the Company. Not associated with a specific project. All payment to Government Agency for Contribution - Levy, Permit, Taxes, Fee, etc. </t>
  </si>
  <si>
    <t>Overhed Langsung</t>
  </si>
  <si>
    <t>Not Required</t>
  </si>
  <si>
    <t>User Master Setting</t>
  </si>
  <si>
    <t>For User to Set how he wants to Use the System</t>
  </si>
  <si>
    <t>To Select One of the 4 Option</t>
  </si>
  <si>
    <t>Colour Theme</t>
  </si>
  <si>
    <t xml:space="preserve">Cost Allocation - To Cost Centre and Project </t>
  </si>
  <si>
    <t>Only Can Select Any ONE Option. Design as Option Button. Companies have Assets and Liabilities. Asset is What the Business owns. Liability is What they owe others - like Bank or Suppliers.. If Asset &gt; Liability then Business is generally in good state. Asset is Divided into 2 Groups. What that can be Converted to Cash immediately in short term like Bank Balance, Listed Shares, Debtors, these are referred to as Current Assets. The other group is Fix Assets takes time to convert. Example Business premises. Similarly there are 2 Groups for Liability.</t>
  </si>
  <si>
    <t>Display Selected in Listbox1. Check Table at bottom which Stakeholder to display.</t>
  </si>
  <si>
    <t>Project - Government Payments</t>
  </si>
  <si>
    <t>Non Project - Government Payments</t>
  </si>
  <si>
    <t>Projek - Bayaran Kerajaan</t>
  </si>
  <si>
    <t>Bukan Projek - Bayaran Kerajaan</t>
  </si>
  <si>
    <t xml:space="preserve">Supplier - Construction </t>
  </si>
  <si>
    <t>Supplier - Non Construction</t>
  </si>
  <si>
    <t>Statutory Contribution - Office</t>
  </si>
  <si>
    <t>Sumbangan Berkanun - Ofis</t>
  </si>
  <si>
    <t>Project &amp; Cost Centre Register</t>
  </si>
  <si>
    <t>Example if Field 2 = Taman Kelubi Leastari. Field 3= TKL</t>
  </si>
  <si>
    <t>Select from Combobox. Get list from A-54</t>
  </si>
  <si>
    <t>We are the Contractor. Who is the Owner of the Project. Information required for Billing</t>
  </si>
  <si>
    <t>Starting Date of Project</t>
  </si>
  <si>
    <t>Ending Date of Project</t>
  </si>
  <si>
    <t>Actual Contract Sum</t>
  </si>
  <si>
    <t>User Can use this UI Only if in UI A-70 Field 2 - Have selected Yes.</t>
  </si>
  <si>
    <t>Select form Combobox</t>
  </si>
  <si>
    <t>User to Enter Value.</t>
  </si>
  <si>
    <t xml:space="preserve">User Asking for petty cash payment for whatsoever reason. Provided he has authority. Here we are paying CASH. No Bank </t>
  </si>
  <si>
    <t>Serial No - Reset Each Year. With Year</t>
  </si>
  <si>
    <t>Serial No - Reset Each Year. W/O Year</t>
  </si>
  <si>
    <t>Accounting Voucher Register</t>
  </si>
  <si>
    <t>Accounting Voucher Type</t>
  </si>
  <si>
    <t>This is Fix List for all Companies. User will NOT Create this.</t>
  </si>
  <si>
    <t>To Create Vouchers. Some Vouchers will have Multiple Same Voucher type. Why for each bank. Voucher Type = Payment Vouchers. Other Like Petty Cash may have Multiple due to i.e. Each Branch Office, or for Each Site etc. Some of the Vouchers will have ONLY One. Example Journal Voucher, Purchase Voucher. Refer to UI A-68.</t>
  </si>
  <si>
    <t>To Register Project Units If More Then One Unit</t>
  </si>
  <si>
    <t>This is the Full List of Voucher used in any Company.</t>
  </si>
  <si>
    <t>Journal Voucher</t>
  </si>
  <si>
    <t>Debit Note</t>
  </si>
  <si>
    <t>Credit  Note</t>
  </si>
  <si>
    <t>Baucar Tunai Kecil</t>
  </si>
  <si>
    <t>Baucar Jurnal</t>
  </si>
  <si>
    <t>Nota Debit</t>
  </si>
  <si>
    <t>Nota Kredit</t>
  </si>
  <si>
    <t xml:space="preserve">Multiple </t>
  </si>
  <si>
    <t>To Manage Petty Cash Payments</t>
  </si>
  <si>
    <t>To manage Payments</t>
  </si>
  <si>
    <t>To Manage Receipts of payments</t>
  </si>
  <si>
    <t>For Invoicing Customers</t>
  </si>
  <si>
    <t xml:space="preserve">To record purchases </t>
  </si>
  <si>
    <t>To Correct mistakes. To enter unusual transection.</t>
  </si>
  <si>
    <t>To adjust Debtors accounts.</t>
  </si>
  <si>
    <t>To adjust Creditors.</t>
  </si>
  <si>
    <t>To Create Voucher Type. This information will be used in A-01</t>
  </si>
  <si>
    <t>No fix rule. User must indicate Debit and Credit.</t>
  </si>
  <si>
    <t>To using above data system will Debit or Credit the respective Accounts Ledger. This information will be used in F-01 …...</t>
  </si>
  <si>
    <t>Voucher Type Description- English</t>
  </si>
  <si>
    <t>Voucher Type Bahasa</t>
  </si>
  <si>
    <t xml:space="preserve"> Allow Each Company to Set this. This is Our Company practice.</t>
  </si>
  <si>
    <t xml:space="preserve">Combobox - Select. Refer UI A-68. </t>
  </si>
  <si>
    <t>Filed 1 &amp; Filed 2. This List we will incorporate for all User. They do not have to Create this list.</t>
  </si>
  <si>
    <t>Banking Account Required</t>
  </si>
  <si>
    <t>To Create List To Describe Stakeholder  Classification.</t>
  </si>
  <si>
    <t>Listbox1. List All ExistingList if Exists. Allow User To Select To Edit Data.</t>
  </si>
  <si>
    <t>Shareholders</t>
  </si>
  <si>
    <t>Pemegang saham</t>
  </si>
  <si>
    <t xml:space="preserve">Kakitangan </t>
  </si>
  <si>
    <t xml:space="preserve">Pembekal - Pembinaan </t>
  </si>
  <si>
    <t>Syarikat Utiliti</t>
  </si>
  <si>
    <t>Stakeholder Classification - Maker</t>
  </si>
  <si>
    <t>Note we don’t have staff names because w will create there data NOT in Stakeholder Register BUT in Staff Register.</t>
  </si>
  <si>
    <t>This Information will assist in Preparing Chart of Accounts and Accounting Documents. Will be Used in Purchasing. We are Classifying only those who we are including Stakeholder Register.</t>
  </si>
  <si>
    <t>Those item User did NOT Accept and in NEW Mode - Removed it permanently.</t>
  </si>
  <si>
    <t>If this Record already Exists and User is Changing the Status i.e. Deleting then this will lead to the next process</t>
  </si>
  <si>
    <t>One User - All 3 Step. Maker, Verifier and Approver. In one Process. After Making and Saving It consider as one.</t>
  </si>
  <si>
    <t>Stakeholder Classification - Verifier</t>
  </si>
  <si>
    <t>Stakeholder Classification - Approver</t>
  </si>
  <si>
    <t>Voucher Type</t>
  </si>
  <si>
    <t>Select - Active or Suspended</t>
  </si>
  <si>
    <t>Enter Reason For Payment in English Or Select from Listbox1 To Edit.</t>
  </si>
  <si>
    <t>Enter New Or Edit Existing. To remove Change Status to Suspended.</t>
  </si>
  <si>
    <t>Enter Reason For Payment in Bahasa Or Select from Listbox1 To Edit.</t>
  </si>
  <si>
    <t>If Marked Suspended - Effective from Status Change this Reason will NOT be available for Selection. Cannot Delete as it may be already used prior to this.</t>
  </si>
  <si>
    <t>Only Relevant Accounts Classification will be loaded into Combobox. Check Business rules.</t>
  </si>
  <si>
    <t>Project/Cost Centre</t>
  </si>
  <si>
    <t>Reason for Requesting Payment. Refer to UI A66. Condition applicable.</t>
  </si>
  <si>
    <t>If reason does NOT adequate Describe the Payment purpose. User can add additional information or any other relevant information.</t>
  </si>
  <si>
    <t>5a, 5b</t>
  </si>
  <si>
    <t>Combobox - Select Stakeholder Classification - Load as per A65 List.</t>
  </si>
  <si>
    <t xml:space="preserve">Request For Payment - Maker </t>
  </si>
  <si>
    <t>In Our Company we have about 5 Payment Vouchers. Namely for Cimb Bank, OCBC Current Account, OCBC AmBank Account, Bank Islam and Public Bank</t>
  </si>
  <si>
    <t>Payment Voucher Creation including Voucher No and Date</t>
  </si>
  <si>
    <t>Show Bank Balance for Account Selected - 1a</t>
  </si>
  <si>
    <t>Payment Method</t>
  </si>
  <si>
    <t>Cheque No</t>
  </si>
  <si>
    <t>If Field 3 = True then then Field 4 Required. Else Disable Field 4</t>
  </si>
  <si>
    <t>Account Description</t>
  </si>
  <si>
    <t>Accounts Classification</t>
  </si>
  <si>
    <t>Load Data from UI A-02</t>
  </si>
  <si>
    <t>Accounts Description - English</t>
  </si>
  <si>
    <t>Accounts Description - Bahasa</t>
  </si>
  <si>
    <t xml:space="preserve">For Debtors and Creditor we will use the Stakeholder Names. On Selection of Field 1 Find and Show in Listbox the Relevant Names. </t>
  </si>
  <si>
    <t>Note Listbox2 is Dynamic.</t>
  </si>
  <si>
    <t>UI G-01-01 &amp; G-04-01 has the Relevant information. Listbox2 depends on Field1 - Selection. However for Staff - Load Staff Listing.</t>
  </si>
  <si>
    <t>Select From Combobox. List. Combobox list is in UI A-02</t>
  </si>
  <si>
    <t>Owner of the Company</t>
  </si>
  <si>
    <t>Both Project (Direct Expenses) and Non Project (Indirect Expenses) Government Agency</t>
  </si>
  <si>
    <t>All Companies suppling - Construction WPS (Direct)</t>
  </si>
  <si>
    <t>All  Non Construction WPS (Indirect)</t>
  </si>
  <si>
    <t>All Office Staff (Indirect Expenses) , Company Directors (Indirect Expenses), Site Staff and Workers - Direct Expenses.</t>
  </si>
  <si>
    <t>All Supplier of Utility - Namely Water, Electricity, Communication, Sewerage etc. Where the Utility is Used will determine Direct (Construction Site) or Indirect (Office)</t>
  </si>
  <si>
    <t>All Banks. We create seperate Item. Why. Bank can be Debtors (We Put Money Into Bank), at the Same time Creditor (We Take a Loan)</t>
  </si>
  <si>
    <t>Listbox3. Display Reason For Payment. If NOT in List User To Exit and Create Via UI A-66</t>
  </si>
  <si>
    <t>Approver can Over ride Verifier and do the same if necessary.</t>
  </si>
  <si>
    <t>When Approver Accepts the Payment.</t>
  </si>
  <si>
    <t>The Bank Accounts are Linked to Payment Voucher. See UI A-01</t>
  </si>
  <si>
    <t>Only Approved Payment can be processed for  Bank Account Allocation. F-01-04.</t>
  </si>
  <si>
    <t>Load Reason For Payment. Get List from UI A-66. Load those Matching Account Classification and Voucher Type. Account Classification system will get Field 3.</t>
  </si>
  <si>
    <t>Combobox -Select Item</t>
  </si>
  <si>
    <t xml:space="preserve">Display Selected in Listbox1 Or User can Enter Stakeholder Name </t>
  </si>
  <si>
    <t>Listbox3. Display Reason For Petty Cash Payment. If NOT in List User To Exit and Create Via UI A-66</t>
  </si>
  <si>
    <t>Verifier to Accept or Reject. Payment like kiv etc NOT applicable for Petty Cash Payment</t>
  </si>
  <si>
    <t>Approver to Accept or Reject. Payment like kiv etc NOT applicable for Petty Cash Payment</t>
  </si>
  <si>
    <t>Petty Cash Balance</t>
  </si>
  <si>
    <t>Sh</t>
  </si>
  <si>
    <t>Ac</t>
  </si>
  <si>
    <t>AcC</t>
  </si>
  <si>
    <t>Sh=Stakeholder. Ac = Accounts,  ShC= Stakeholder Classification, AcC = Accounts  Classification, Class=Classification</t>
  </si>
  <si>
    <t>Accounts Description</t>
  </si>
  <si>
    <t>Display Listbox 1 Selection.</t>
  </si>
  <si>
    <t>Listbox2 - Display existing Reason for Making Payment Matching - Field 1,2, and 3</t>
  </si>
  <si>
    <t>Select From Combobox. Created Via U A-02</t>
  </si>
  <si>
    <t xml:space="preserve">Icon to Display UI </t>
  </si>
  <si>
    <t>Icon to Accept</t>
  </si>
  <si>
    <t>Icon to Reject</t>
  </si>
  <si>
    <t>Display Account Description</t>
  </si>
  <si>
    <t>Payable Amount</t>
  </si>
  <si>
    <t>Reason for Payment</t>
  </si>
  <si>
    <t>Only Display Request For Payment that is NOT Verified By Verifier</t>
  </si>
  <si>
    <t xml:space="preserve">To Correction Accounting transection, Non Cash Transection, Adjust and record abnormal items. </t>
  </si>
  <si>
    <t>Only Display Request For Petty Payment that is NOT Verified By Verifier</t>
  </si>
  <si>
    <t>Verifier &amp; Approver can edit Request for Petty Payment</t>
  </si>
  <si>
    <t>When Maker Enters Data and Saves. Consider as Completed his part as Completed</t>
  </si>
  <si>
    <t>Maker Allowed To Edit Data Until the Document has been Verified and Accepted. There after Make cannot Edit any Data.</t>
  </si>
  <si>
    <t>Maker - If 3 Level. (Maker, Verifier &amp; Approver)</t>
  </si>
  <si>
    <t>Maker Allowed To Edit Data Until the Document has been Approved By Accepted. There after Make cannot Edit any Data.</t>
  </si>
  <si>
    <t>If User Click On Report or Do a Process - Exclude this Record. Consider does NOT Exists.</t>
  </si>
  <si>
    <t>Maker - If 1 Level. (Maker )</t>
  </si>
  <si>
    <t>When Maker Enters Data and Saves. Consider this is Completed the entire process. Generally this will be the Case for One man Enterprise.</t>
  </si>
  <si>
    <t>On Saving it is Considered Approved.</t>
  </si>
  <si>
    <t xml:space="preserve">If User Click On Report or Do a Process - Include this Record. </t>
  </si>
  <si>
    <t>Verifier - If 3 Level. (Maker, Verifier &amp; Approver)</t>
  </si>
  <si>
    <t>The Verifier is Allowed to Make Vouchers.</t>
  </si>
  <si>
    <t xml:space="preserve">He then Can Proceed to Verify the documents </t>
  </si>
  <si>
    <t>Until he clicks Accept he is allowed to Edit the document both as Maker and Verifier.</t>
  </si>
  <si>
    <t>After he has Clicked Accept he is NOT Authorised to edit any of this documents.</t>
  </si>
  <si>
    <t>Verifier - If 1 Level. (Maker )</t>
  </si>
  <si>
    <t xml:space="preserve">This process is NOT Applicable. After Making SKIP To Approving Process. </t>
  </si>
  <si>
    <t>Thus NO Matter how many LEVEL user MUST do minimum of Maker &amp; Approver.</t>
  </si>
  <si>
    <t>Approver - If 3 Level. (Maker, Verifier &amp; Approver)</t>
  </si>
  <si>
    <t xml:space="preserve">At this stage the record will NOT be included in Other process and reports </t>
  </si>
  <si>
    <t>If Verifier Accepts then Approver can process this records</t>
  </si>
  <si>
    <t xml:space="preserve">Maker Makes the documents. Allowed to EDIT until Verifier ACCEPTS it. </t>
  </si>
  <si>
    <t>Verifier  Can Edit Data, Accept or Reject Records.</t>
  </si>
  <si>
    <t>Approver  Can Edit Data, Accept or Reject Records.</t>
  </si>
  <si>
    <t xml:space="preserve">At this stage the record will be included in Other process and reports </t>
  </si>
  <si>
    <t>Once he Accepts then Verifier can EDIT this data.</t>
  </si>
  <si>
    <t>NOTE Maker UI is different from Verifier and Approver.</t>
  </si>
  <si>
    <t>Approver - If 1 Level. (Maker )</t>
  </si>
  <si>
    <t>NOTE The same User is doing both process</t>
  </si>
  <si>
    <t>The Date each of this was entered.</t>
  </si>
  <si>
    <t>NOT a Higher Authority Can do all features of lower authority.</t>
  </si>
  <si>
    <t>When a UI has many field then by clicking an  Icon - System will Display Maker Form for viewing and editing.</t>
  </si>
  <si>
    <t>If all Field are can be displayed then we done need this Icon</t>
  </si>
  <si>
    <t>Only Records Not Verified will be displayed If 3 Levels</t>
  </si>
  <si>
    <t>This record to be displayed in other User forms and reports.</t>
  </si>
  <si>
    <t>For easy understanding of my intention I am using this colours</t>
  </si>
  <si>
    <t>Data to be Enter by User. Be it Listbox, Combobox or Textbox, Option Button.</t>
  </si>
  <si>
    <t>Only Display Request For Petty Payment that is has been Verified By Verifier</t>
  </si>
  <si>
    <t>Approver can edit Request for Petty Payment</t>
  </si>
  <si>
    <t>Verifier cannot edit any data after Approver has Approved the Record.</t>
  </si>
  <si>
    <t>UNLOCKING RECORDS</t>
  </si>
  <si>
    <t>Before print of any documents allow User to edit data.</t>
  </si>
  <si>
    <t>Only Admin can UNLOCK a record</t>
  </si>
  <si>
    <t>Verifier to Verify Records</t>
  </si>
  <si>
    <t>Generally all Records are DEEM Locked.</t>
  </si>
  <si>
    <t>If Document has been print the USER can only DELETE and redo the transection.</t>
  </si>
  <si>
    <t>Once UNLOCKED - Maker can Edit Data.</t>
  </si>
  <si>
    <t>Approver to Approve the Records</t>
  </si>
  <si>
    <t>Klang Petty Cash</t>
  </si>
  <si>
    <t>Bemban  Petty Cash</t>
  </si>
  <si>
    <t>TKL  Petty Cash</t>
  </si>
  <si>
    <t>Petty Cash - MENU</t>
  </si>
  <si>
    <t>System will Optain Petty Cash Balance for this Voucher</t>
  </si>
  <si>
    <t>System will Optain Petty Cash Voucher Numebr  for this Voucher</t>
  </si>
  <si>
    <t>As Created Via UI A-01</t>
  </si>
  <si>
    <t>Only Display Active Petty Cash Voucher.</t>
  </si>
  <si>
    <t>Voucher Status</t>
  </si>
  <si>
    <t>Combobox - Active or Suspended</t>
  </si>
  <si>
    <t>To Create Voucher for the Company and where required to Link to a Bank Account.</t>
  </si>
  <si>
    <t>Display Selected in Listbox2</t>
  </si>
  <si>
    <t>Same as above but wit Year. Example 1 To 250 in Year 2025. Will Display 1-2025 to 25-2025. For Year 2026 it will display 251-2026….......etc</t>
  </si>
  <si>
    <t>Example 1,2,3, etc. By Default Select this Option. On Selecting Option Display Example for user Understanding. 0001. Basically the Number will run continues regardless of YEAR.</t>
  </si>
  <si>
    <t>Vouch Type</t>
  </si>
  <si>
    <t>Applicable</t>
  </si>
  <si>
    <t>To Select the respective Petty Cash Voucher. On Selection Display Request For Petty Cash Voucher.</t>
  </si>
  <si>
    <t>On Clicking the repective Petty Cash will Open the Request for Petty Cash Voucher</t>
  </si>
  <si>
    <t>Display Selected in Petty Cash Menu</t>
  </si>
  <si>
    <t>Load Listbox1. Stakeholder Name Matching Field 1</t>
  </si>
  <si>
    <r>
      <t xml:space="preserve">User To Select from Listbox1 Or if </t>
    </r>
    <r>
      <rPr>
        <b/>
        <sz val="11"/>
        <color rgb="FFFF0000"/>
        <rFont val="Times New Roman"/>
        <family val="1"/>
      </rPr>
      <t>NOT in Listbox</t>
    </r>
    <r>
      <rPr>
        <sz val="11"/>
        <color theme="1"/>
        <rFont val="Times New Roman"/>
        <family val="1"/>
      </rPr>
      <t xml:space="preserve"> to enter into Field 3 Name of the Person we are Making Payment.</t>
    </r>
  </si>
  <si>
    <t>Find and Display Account Description Based on Filed 4.determine by Field 7</t>
  </si>
  <si>
    <t>Same as Payment Voucher. Enter Invoice or Any Other Document available. OPTIONAL</t>
  </si>
  <si>
    <t>Same as Payment Voucher. Enter How much to be paid. NOTE Should be less then RM100.00 per payment.</t>
  </si>
  <si>
    <t>To Request for payment via Cash and small amount &lt; RM100.00. No Bank Account applicable.</t>
  </si>
  <si>
    <t>Request Date</t>
  </si>
  <si>
    <t>Auto Display Current Date for dd-mmm-yyyy</t>
  </si>
  <si>
    <t>Field 1a - Auto Display as Selected in Petty Cash Menu. Field 1b Auto Display Current Date - Format dd-mmm-yyyy</t>
  </si>
  <si>
    <t>Any Other Relevant Information.</t>
  </si>
  <si>
    <t>Request for Petty Cash - Date (Maker)</t>
  </si>
  <si>
    <t>To Approve OR Reject - Request for Petty Cash Data Verified By Verifier.</t>
  </si>
  <si>
    <t>If Approved autogenerate a Voucher Number</t>
  </si>
  <si>
    <t>FILTERS</t>
  </si>
  <si>
    <t>To Print On Printer, View and to export as Pdf Copy.</t>
  </si>
  <si>
    <t>Received Date</t>
  </si>
  <si>
    <t>User To Enter Date - Amount Received</t>
  </si>
  <si>
    <t>Asset/Liability</t>
  </si>
  <si>
    <t>If Balance is Positive then Asset Else if Balance = Negative then Liability.</t>
  </si>
  <si>
    <t>Pelanggan</t>
  </si>
  <si>
    <t>All Company Customers.</t>
  </si>
  <si>
    <t>Supplier (Both Construction &amp; Non Contruction)</t>
  </si>
  <si>
    <t xml:space="preserve">Utility </t>
  </si>
  <si>
    <t>Staff</t>
  </si>
  <si>
    <t>Receipt Date</t>
  </si>
  <si>
    <t>Display as Selected By Verifier/Maker. One of This - NEW, EDIT,Reject</t>
  </si>
  <si>
    <t>Enter Receipt Date</t>
  </si>
  <si>
    <t>Why we received the Amount</t>
  </si>
  <si>
    <t>How much was received.</t>
  </si>
  <si>
    <t>As long as the Request for Petty Cash Payment is NOT Verified. Maker Allowed to Change/Edit Data.</t>
  </si>
  <si>
    <r>
      <t>Once Accepted by Verifier, Maker</t>
    </r>
    <r>
      <rPr>
        <b/>
        <sz val="11"/>
        <color theme="1"/>
        <rFont val="Calibri"/>
        <family val="2"/>
        <scheme val="minor"/>
      </rPr>
      <t xml:space="preserve"> cannot </t>
    </r>
    <r>
      <rPr>
        <sz val="11"/>
        <color theme="1"/>
        <rFont val="Calibri"/>
        <family val="2"/>
        <scheme val="minor"/>
      </rPr>
      <t>make any changes.</t>
    </r>
  </si>
  <si>
    <t>As long as the Request for Petty Cash Payment NOT Approved by Approver, Verifier can Change/Edit Data.</t>
  </si>
  <si>
    <t>Receipt Mode</t>
  </si>
  <si>
    <t>Combobox - Options - Cash, Cheque, EFT</t>
  </si>
  <si>
    <t>Enter - Example Invoice No</t>
  </si>
  <si>
    <t>Based on Accounts Classification  Display all Accounts Description. If User is Working in English Display English Else Bahasa.</t>
  </si>
  <si>
    <t>To Create a List of Reason for Receiving paymen or Reason for moving payment.</t>
  </si>
  <si>
    <t>Reason - English</t>
  </si>
  <si>
    <t>Reason - Bahasa</t>
  </si>
  <si>
    <t>Petty Cash reimbursement</t>
  </si>
  <si>
    <t>Inter Bank Transfer</t>
  </si>
  <si>
    <t xml:space="preserve">Stakeholder Name </t>
  </si>
  <si>
    <t>Pembayaran Bil</t>
  </si>
  <si>
    <t>Faedah Diterima</t>
  </si>
  <si>
    <t>Pembayaran Balik Tunai Kecil</t>
  </si>
  <si>
    <t>Pemindahan Antara Bank</t>
  </si>
  <si>
    <t>Reason For Making Petty Cash Payment</t>
  </si>
  <si>
    <t>Select From Combobox - Auto Display  Petty Cash  Voucher</t>
  </si>
  <si>
    <t>ONLY ONE Voucher Type Applicable. Petty Cash Voucher</t>
  </si>
  <si>
    <t>Enter Reason For Petty Cash Payment in English Or Select from Listbox2 To Edit.</t>
  </si>
  <si>
    <t>Enter Reason For Payment in Bahasa Or Select from Listbox2 To Edit.</t>
  </si>
  <si>
    <t>To Create a List of Reason for Making Petty Cash paymen</t>
  </si>
  <si>
    <t>I suggest we Use ONLY ONE Table for Reason. i.e Petty Cash, Receipt Voucher, Payment Voucher etc. the 1st Coulmn will indicate for which Voucher type</t>
  </si>
  <si>
    <t>Since this are small payment we will charge to the respective Account Description directly.</t>
  </si>
  <si>
    <t>Purchase of Building Material</t>
  </si>
  <si>
    <t>Payment for Unloading Cement</t>
  </si>
  <si>
    <t>Purchase of Equipments Parts</t>
  </si>
  <si>
    <t>Final Account Placing</t>
  </si>
  <si>
    <t>Final Account Grouping</t>
  </si>
  <si>
    <t>Perbelanjaan Tidak Langsung</t>
  </si>
  <si>
    <t>Supplier -  Non Contruction</t>
  </si>
  <si>
    <t>Combobox - Load Account Classification UI A-02</t>
  </si>
  <si>
    <r>
      <t xml:space="preserve">Like Field 5 BUT Each year the Number will be reset to Zero. Start Again 1,2,3 BUT </t>
    </r>
    <r>
      <rPr>
        <sz val="9"/>
        <color rgb="FFFF0000"/>
        <rFont val="Times New Roman"/>
        <family val="1"/>
      </rPr>
      <t>without YEAR.</t>
    </r>
  </si>
  <si>
    <r>
      <t xml:space="preserve">As Field 6 BUT Each year the Number will be reset to Zero. Start Again 1,2,3 BUT </t>
    </r>
    <r>
      <rPr>
        <sz val="9"/>
        <color rgb="FFFF0000"/>
        <rFont val="Times New Roman"/>
        <family val="1"/>
      </rPr>
      <t>WITH  YEAR.</t>
    </r>
  </si>
  <si>
    <t>Enter last Voucher No if Applicable</t>
  </si>
  <si>
    <t>Based on Accounts Classification  UI A10. Display all Accounts Description. If User is Working in English Display English Else Bahasa.</t>
  </si>
  <si>
    <t>Debit Paying Bank and Credit Receiving Bank</t>
  </si>
  <si>
    <t>Debit Paying Bank and Credit Capital Account</t>
  </si>
  <si>
    <t>Debit Paying Bank and Credit Petty Cash Account</t>
  </si>
  <si>
    <t>Debit Paying Bank and Credit Debtor</t>
  </si>
  <si>
    <t>Debit Paying Bank and Credit Stakeholder</t>
  </si>
  <si>
    <t>Debit Paying Bank and Credit Loan</t>
  </si>
  <si>
    <r>
      <t xml:space="preserve">Debit Paying Bank and Credit Stakeholder. </t>
    </r>
    <r>
      <rPr>
        <sz val="9"/>
        <color rgb="FFFF0000"/>
        <rFont val="Times New Roman"/>
        <family val="1"/>
      </rPr>
      <t>Very unlikely.</t>
    </r>
  </si>
  <si>
    <t>Credit Paying Bank and Debit Receiving Bank</t>
  </si>
  <si>
    <t xml:space="preserve">Credit Paying Bank and Debit Petty Cash </t>
  </si>
  <si>
    <t xml:space="preserve">Credit Paying Bank and Debit Stakeholder </t>
  </si>
  <si>
    <t>Credit Paying Bank and Debit Stakeholder (Employee )</t>
  </si>
  <si>
    <t>Credit Paying Bank and Debit Stakeholder (Supplier Construction )</t>
  </si>
  <si>
    <t>Credit Paying Bank and Debit Fix Asset</t>
  </si>
  <si>
    <t>Credit Paying Bank and Debit Loan</t>
  </si>
  <si>
    <t>Credit Paying Bank and Debit Stakeholder (Government Agency)</t>
  </si>
  <si>
    <t>Credit Paying Bank and Debit Stakeholder (Utility)</t>
  </si>
  <si>
    <t>Credit Paying Bank and Debit Stakeholder (Employee)</t>
  </si>
  <si>
    <t xml:space="preserve">Credit Petty Cash  and Debit Stakeholder </t>
  </si>
  <si>
    <t>Credit Petty Cash  and Debit Stakeholder (Employee)</t>
  </si>
  <si>
    <t>Credit Petty Cash  and Debit Stakeholder (Supplier)</t>
  </si>
  <si>
    <t>Credit Petty Cash  and Debit Purchaser</t>
  </si>
  <si>
    <t>Credit Stakeholder (Creditor) and Debit Purchases</t>
  </si>
  <si>
    <t>Credit Sales and Debit Stakeholder (Debtor)</t>
  </si>
  <si>
    <t>Select from Combobox -UI  A09</t>
  </si>
  <si>
    <t>Enter Value - Unique Value</t>
  </si>
  <si>
    <t xml:space="preserve">Bank Account </t>
  </si>
  <si>
    <t>As almost all transection this days are by online. List this UI 17d. Both 6c &amp; 6d required.</t>
  </si>
  <si>
    <t>Select from Combobox. Item HP,Phone, Fax</t>
  </si>
  <si>
    <t>8a.8b</t>
  </si>
  <si>
    <t>11a, 11b</t>
  </si>
  <si>
    <t>15a,15b,15c</t>
  </si>
  <si>
    <t>Depreciation Period - Years</t>
  </si>
  <si>
    <t>We will use this information To Also do Yearly depreciation. System will Extract Asset for Depreciation based on conditions set in Asset Group Register. UI A-05</t>
  </si>
  <si>
    <t>UI Designed</t>
  </si>
  <si>
    <t>Data_Entry</t>
  </si>
  <si>
    <t>Functioning</t>
  </si>
  <si>
    <t>Voucher Reference Formating Option</t>
  </si>
  <si>
    <r>
      <t>Last Voucher No</t>
    </r>
    <r>
      <rPr>
        <sz val="14"/>
        <color rgb="FFFF0000"/>
        <rFont val="Times New Roman"/>
        <family val="1"/>
      </rPr>
      <t xml:space="preserve"> (If User Migrating from Manual or Other Systems)</t>
    </r>
  </si>
  <si>
    <t>User MUST Enter Field 2 or 3. Both Is accepted too.</t>
  </si>
  <si>
    <t>All Companies generally has Standard Vouchers. UI A-68. On Selecting this - If there is Existing Voucher = Voucher Type. Load it in Listbox1 To Edit.</t>
  </si>
  <si>
    <t>Listbox1 - On Selection of Field 1 Display existing List IF Any. Allow user to select &amp; Edit. On Swelction Display Filed 4 To 11</t>
  </si>
  <si>
    <r>
      <t>This is</t>
    </r>
    <r>
      <rPr>
        <sz val="9"/>
        <color rgb="FFFF0000"/>
        <rFont val="Times New Roman"/>
        <family val="1"/>
      </rPr>
      <t xml:space="preserve"> NOT Applicable for Voucher Type = "Journal" &amp; "Debit Note " &amp; "Credit Note"</t>
    </r>
    <r>
      <rPr>
        <sz val="9"/>
        <color theme="1"/>
        <rFont val="Times New Roman"/>
        <family val="1"/>
      </rPr>
      <t>. For these SKIP Field 4 &amp; 5</t>
    </r>
  </si>
  <si>
    <r>
      <t xml:space="preserve">Listbox 2 - Load all </t>
    </r>
    <r>
      <rPr>
        <sz val="9"/>
        <color rgb="FFFF0000"/>
        <rFont val="Times New Roman"/>
        <family val="1"/>
      </rPr>
      <t>Accounts Classification = "Bank"</t>
    </r>
    <r>
      <rPr>
        <sz val="9"/>
        <rFont val="Times New Roman"/>
        <family val="1"/>
      </rPr>
      <t xml:space="preserve"> from Chart of Accounts (Description of Account). On Selection Display in 5</t>
    </r>
  </si>
  <si>
    <t>Display Sample of Selection so that User Knows what  User has Selected. If Field 6 To 9.  Display As 0001, 0001-2026, etc</t>
  </si>
  <si>
    <r>
      <t xml:space="preserve">Only if User wants to Continue from their Existing Voucher No. </t>
    </r>
    <r>
      <rPr>
        <sz val="9"/>
        <color rgb="FFFF0000"/>
        <rFont val="Times New Roman"/>
        <family val="1"/>
      </rPr>
      <t>By Default Display 0</t>
    </r>
  </si>
  <si>
    <t>OCBC Bank - Melaka</t>
  </si>
  <si>
    <t>CIMB Bank - Klang</t>
  </si>
  <si>
    <t>Bemban  Voucher Tunai</t>
  </si>
  <si>
    <t>Klang Voucher Tunai</t>
  </si>
  <si>
    <t>Voucher Pembayaran - OCBC Bank - Melaka</t>
  </si>
  <si>
    <t>Petty Cash Voucher - Klang</t>
  </si>
  <si>
    <t>Payment Voucher - OCBC Bank - Melaka</t>
  </si>
  <si>
    <t>Petty Cash - Klang</t>
  </si>
  <si>
    <t>Petty Cash - Bemban</t>
  </si>
  <si>
    <t>0001-2026</t>
  </si>
  <si>
    <t>0001-2027</t>
  </si>
  <si>
    <t>0001-2028</t>
  </si>
  <si>
    <t>0001-2029</t>
  </si>
  <si>
    <t>0001-2030</t>
  </si>
  <si>
    <t>0001-2031</t>
  </si>
  <si>
    <t>0001-2032</t>
  </si>
  <si>
    <t>0001-2033</t>
  </si>
  <si>
    <t>0001-2034</t>
  </si>
  <si>
    <t>0001-2035</t>
  </si>
  <si>
    <t>Field 6 To Field 9</t>
  </si>
  <si>
    <t>If Status = "Active' then this Voucher can be used. From the Moment this is Suspended USER cannot enter any data. On Creating NEW Set the Status as = "Active" . Status can be changed in EDIT Mode ONLY</t>
  </si>
  <si>
    <t>Asset Group Description</t>
  </si>
  <si>
    <t>Depriation Years</t>
  </si>
  <si>
    <t>1d</t>
  </si>
  <si>
    <t xml:space="preserve">Only if UI A05 Field &lt;&gt; True. Else user to eter Value. </t>
  </si>
  <si>
    <t>Select from Combobox. If Combobox Selection = Land - Leasehold or Building Leaseahold then User have to enter Field 1d. Else System will Auto Display.</t>
  </si>
  <si>
    <r>
      <t>Auto Display Depreciation Years shown in Asset Group UI A 05.</t>
    </r>
    <r>
      <rPr>
        <b/>
        <sz val="11"/>
        <color rgb="FFFF0000"/>
        <rFont val="Calibri"/>
        <family val="2"/>
        <scheme val="minor"/>
      </rPr>
      <t xml:space="preserve"> But if Asset Group Field 5 = Leashehold = True. Then User to Enter this Field Value here.</t>
    </r>
    <r>
      <rPr>
        <sz val="11"/>
        <color theme="1"/>
        <rFont val="Calibri"/>
        <family val="2"/>
        <scheme val="minor"/>
      </rPr>
      <t xml:space="preserve"> </t>
    </r>
  </si>
  <si>
    <t>Field 34 To 39 will be Updated by UI T-02-01</t>
  </si>
  <si>
    <t>Field 40 CAN also be updated Via UI T-02-01</t>
  </si>
  <si>
    <t>Combobox Load List from UI A-</t>
  </si>
  <si>
    <t xml:space="preserve">Display Both Project and Cost Centre Created Via UI </t>
  </si>
  <si>
    <t>This UI is For Maker. A-038</t>
  </si>
  <si>
    <t>Not Required. Duplication Project and Cost Centre List</t>
  </si>
  <si>
    <t>5a</t>
  </si>
  <si>
    <t>5b</t>
  </si>
  <si>
    <t>Depreciation Information</t>
  </si>
  <si>
    <t xml:space="preserve">Asset - Group </t>
  </si>
  <si>
    <t>Asset Movement Details</t>
  </si>
  <si>
    <t xml:space="preserve">Moving Date </t>
  </si>
  <si>
    <t>Have 3 - Option a) Within Company, b) Renting Out, c) External Repair Centre. If Example user Selects  Renting Out then Replace Field 6 Caption from "Caption 6" To "Rented Out". Field 6 Caption is dynamic.</t>
  </si>
  <si>
    <t>Display Primary Cost Cenre If User Seelcts Within Company in Field 5. Else If Rented Out User To Enter Where it is Send To. Else if External Repair Dusplay Stake Holder - Classification = x</t>
  </si>
  <si>
    <t>Primary Cost Centre Register  (Project &amp; Cost Centre)</t>
  </si>
  <si>
    <t>Primary Cost Centre Description</t>
  </si>
  <si>
    <t>Listbox1 - Display existing PCC (Primary Cost Centre) List. Allow user to select &amp; Edit. Display As Many as Possible Only Active PCC. List will depend on Field 1a &amp; 1b. If 1a - Display Only PCC = Project Else PCC - Cost Centre</t>
  </si>
  <si>
    <t xml:space="preserve"> Else Disable 3 To 17. Enabled 18 for both Option.  If Cost Centre Display all PCC = Cost Centre in Listbox1. Only those Active</t>
  </si>
  <si>
    <t>Enter Data in NEW and Edit Data in Edit. In Edit User will Select from Listbox1</t>
  </si>
  <si>
    <t>No of Phases</t>
  </si>
  <si>
    <t>Take Note Phases = Secondary Cost Centre (SCC). We Need this information in Secondary Cost Centre Register. PCC = Level 1,  SCC  or Phase = Level 2</t>
  </si>
  <si>
    <t>This is Level 3</t>
  </si>
  <si>
    <t>This is Level 4</t>
  </si>
  <si>
    <t>Project refers to Construction Site. Cost Centre Refers to Company Departments or Branches, or Store etc.</t>
  </si>
  <si>
    <t>If Selected Proceed to Enter 3 To 18. If Project Display all PCC = Project in Listbox1. Only those Active</t>
  </si>
  <si>
    <t>Initially set to Active. Later User Can Edit Field provided he has authority. If Status &lt;&gt; "Active" System will NOT issue any Purchase Order, Work Order, Worker Attendance etc.</t>
  </si>
  <si>
    <t>Secondary Cost Centre Register (Phase Register)</t>
  </si>
  <si>
    <t>Some time User To Enter Data, on other Occasion System will Display the Data. Asset Managemen - When the Asset is Lease.</t>
  </si>
  <si>
    <t>Architect</t>
  </si>
  <si>
    <t>Shareholder</t>
  </si>
  <si>
    <t>St</t>
  </si>
  <si>
    <t>StC</t>
  </si>
  <si>
    <t>Stekeholder Classification</t>
  </si>
  <si>
    <t>Account</t>
  </si>
  <si>
    <t>Work Product and Services</t>
  </si>
  <si>
    <t>WO</t>
  </si>
  <si>
    <t>Deleivery Order</t>
  </si>
  <si>
    <t>SCC Name</t>
  </si>
  <si>
    <t>SCC No</t>
  </si>
  <si>
    <t>If in PCC UI A -38 Field 11  set as 1 then Auto Display ONE.</t>
  </si>
  <si>
    <t>Note Field 3 - 8 the total or period cannot exceed that is set in PCC UI A-038 fields</t>
  </si>
  <si>
    <t>Combobox - List All Pcc = Project &amp; Status = Active</t>
  </si>
  <si>
    <t>Block - Floor Register</t>
  </si>
  <si>
    <t>Primary Cost Centre  - Building Register</t>
  </si>
  <si>
    <t xml:space="preserve">Note We have To Create the PCC Before doing this </t>
  </si>
  <si>
    <t>Enter Building Description as shown in drawing</t>
  </si>
  <si>
    <t>Enter Building Code as shown in drawing</t>
  </si>
  <si>
    <t>Total Building Area Per Unit. If 2 floor then total of Both Floor</t>
  </si>
  <si>
    <t>Plot Area - Optional. If NOT Landed then area is NOT applicable.</t>
  </si>
  <si>
    <t>No of Units</t>
  </si>
  <si>
    <t>Enter No of Units in PCC</t>
  </si>
  <si>
    <t>Enter Building Code</t>
  </si>
  <si>
    <t>Enter No of Units</t>
  </si>
  <si>
    <t>Land Area</t>
  </si>
  <si>
    <t>Enter Built Up Area</t>
  </si>
  <si>
    <t>Enter Building Height</t>
  </si>
  <si>
    <t>Optional No of Rooms</t>
  </si>
  <si>
    <t>Optional No of Toilets</t>
  </si>
  <si>
    <t xml:space="preserve">Enter No of Bathrooms - Optional </t>
  </si>
  <si>
    <t>Enter No of Rooms - Optional</t>
  </si>
  <si>
    <t>Generally in Construction there are 2 types of Construction works. Building &amp; Infra structure works. A project can have Only Building, Only Infra  and BOTH. Note User will Create the PCC - Building Type in UI A-34</t>
  </si>
  <si>
    <r>
      <t xml:space="preserve">If </t>
    </r>
    <r>
      <rPr>
        <sz val="9"/>
        <color rgb="FFFF0000"/>
        <rFont val="Times New Roman"/>
        <family val="1"/>
      </rPr>
      <t>Field 14 Checkbox = False do NOT allow user to Create PCC Building Type in UI A-34.</t>
    </r>
    <r>
      <rPr>
        <sz val="9"/>
        <rFont val="Times New Roman"/>
        <family val="1"/>
      </rPr>
      <t xml:space="preserve"> If Field 15 Checkbox - False Do NOT allow User to Create PCC Infra Type.</t>
    </r>
  </si>
  <si>
    <t>Optional - Enter Building Cost</t>
  </si>
  <si>
    <t>Contract Sump for this Unit . Optionals. Information will be available only later.</t>
  </si>
  <si>
    <t>Display UI</t>
  </si>
  <si>
    <t>No of Blocks in this SCC</t>
  </si>
  <si>
    <t>Enter No of Units in this SCC</t>
  </si>
  <si>
    <t>SCC  Status</t>
  </si>
  <si>
    <t>Select SCC  Status. Initially Active</t>
  </si>
  <si>
    <t>IF New Enter SCC Description Or If Edit Display Listbox1 Allow User To  Select</t>
  </si>
  <si>
    <r>
      <rPr>
        <sz val="9"/>
        <color rgb="FFFF0000"/>
        <rFont val="Times New Roman"/>
        <family val="1"/>
      </rPr>
      <t>If Only One Phase - Display PCC Commencement Date</t>
    </r>
    <r>
      <rPr>
        <sz val="9"/>
        <color theme="1"/>
        <rFont val="Times New Roman"/>
        <family val="1"/>
      </rPr>
      <t>. Disable field. Else User to Enter Commencement date - Format - dd-mmm-yyyy. Commencement date cannot be earlier then PCC Commencement Date</t>
    </r>
  </si>
  <si>
    <t>If Only One Phase - Display PCC Completion Date (If Known) . Disable field. Else Enter Date format dd-mmm-yyyy. Date cannot be later then date set in PCC.</t>
  </si>
  <si>
    <t>If Only One Phase - Display PCC Contract Sum Else User to Enter Contract Sum. Total Contract Sum Cannot Exceed PCC Contract Sump. Refer to UI A-38 Field 10</t>
  </si>
  <si>
    <t>Enter No of Block in SCC. Optional. Why If User does NOT want to go to this level.</t>
  </si>
  <si>
    <t>Enter No of Units in SCC. Optional Why If User does NOT want to go to this level.</t>
  </si>
  <si>
    <t>Select from Combobox. On Selection Filter and Display SCC if Any in Listbox1</t>
  </si>
  <si>
    <r>
      <t xml:space="preserve">Only Active Primary Cost Centre (PCC) = Project Will be Displayed in Listbox1. </t>
    </r>
    <r>
      <rPr>
        <sz val="9"/>
        <color rgb="FFFF0000"/>
        <rFont val="Times New Roman"/>
        <family val="1"/>
      </rPr>
      <t>PCC = Cost Centre This UI is NOT Relevant.</t>
    </r>
  </si>
  <si>
    <r>
      <rPr>
        <sz val="9"/>
        <color rgb="FFFF0000"/>
        <rFont val="Times New Roman"/>
        <family val="1"/>
      </rPr>
      <t>No of SCC cannot Exceed as stated in UI A-38 Field 11</t>
    </r>
    <r>
      <rPr>
        <sz val="9"/>
        <color theme="1"/>
        <rFont val="Times New Roman"/>
        <family val="1"/>
      </rPr>
      <t>. Say there it is stated as 1 then User cannot create more then 1</t>
    </r>
  </si>
  <si>
    <t>Initially will be Active. User Can in Edit and Change to Complete provided he has the authority.</t>
  </si>
  <si>
    <t>To Register Secondary Cost Centre - Also refered as Phase.</t>
  </si>
  <si>
    <t>If in PCC Field 15 = False Skip this field. Checkbox = False Else if in PCC  Field 15 is True then - Allow User to use Checkbox.  If Checkbox = True  User will be able to Link Infra Type with this SCC.</t>
  </si>
  <si>
    <t>If in PCC Field 14 = False Skip this field. Checkbox = False Else if in PCC  Field 14 is True then -  Allow User to use  Checkbox - If Checkbox = True  User will be able to Link Building Type with this SCC.</t>
  </si>
  <si>
    <t>Note Field 9 &amp; 10 is based on PCC UI A-38 Field 14 &amp; Field 15</t>
  </si>
  <si>
    <t>Combobox - List All SCC Matching Field 1 &amp; Status = Active</t>
  </si>
  <si>
    <t>Combobox - List All PCC = Project &amp; Status = Active</t>
  </si>
  <si>
    <t>Only Active PCC will be Displayed</t>
  </si>
  <si>
    <t>If Only 1 - Auto Display SCC</t>
  </si>
  <si>
    <t>Enter Block No - If SCC has Only One 1 Block  then Auto Display as 1</t>
  </si>
  <si>
    <t>If New Enter Else Select from Listbox1</t>
  </si>
  <si>
    <t>Enter No of Units in This Block</t>
  </si>
  <si>
    <t>Not to be Before Selected SCC Completion Date</t>
  </si>
  <si>
    <t>Not To Exceed Selected SCC Contract Sum. The Block's total will be = SCC Contract Total. If SCC = 100.00 and there is 2 Blocks. The total Block 1 + Block 2 must be = to SCC total</t>
  </si>
  <si>
    <t>Combobox - Select Building Type  - Refer to UI A-34</t>
  </si>
  <si>
    <t>Auto Total  10a To 13a</t>
  </si>
  <si>
    <t xml:space="preserve">Is Landed </t>
  </si>
  <si>
    <t>PCC &gt; SCC &gt; Block &gt; Floor &gt; Units (Level 1 To Level 5)</t>
  </si>
  <si>
    <t>Floor is Optional Only a few PCC as Floor</t>
  </si>
  <si>
    <t>Floor Code</t>
  </si>
  <si>
    <t>Block  Status</t>
  </si>
  <si>
    <t>NOTE Block is ONLY Applicable for Building Works</t>
  </si>
  <si>
    <t>NOTE FLOOR is ONLY Applicable for Building Works</t>
  </si>
  <si>
    <t xml:space="preserve">Listbox1 - Display existing Floor Codes Matching Block and SCC </t>
  </si>
  <si>
    <t>Only Active PCC will be Displayed. Select PCC</t>
  </si>
  <si>
    <t>Only Active SCC will be Displayed. Select SCC</t>
  </si>
  <si>
    <t>Only Active Blocks  will be Displayed. Select Block</t>
  </si>
  <si>
    <t>Auto Total  6a To 9b</t>
  </si>
  <si>
    <t>Total No of Units . Cannot Exceed Field No 5</t>
  </si>
  <si>
    <t>If Only One Block - Display No of Units in Project. Disable field</t>
  </si>
  <si>
    <t>Primary Cost Centre   - Infra Works  Register</t>
  </si>
  <si>
    <t>A-71</t>
  </si>
  <si>
    <t>To Register The Infra Works for Each Project</t>
  </si>
  <si>
    <t>Listbox1 - Display All Infra Works Register for this PCC</t>
  </si>
  <si>
    <t>Combobox - Load Infra List UI A-23</t>
  </si>
  <si>
    <t>Optional - Enter Selected Infra Works Cost</t>
  </si>
  <si>
    <t>Contract Sump for this Infra Works . Optionals. Information will be available only later.</t>
  </si>
  <si>
    <t xml:space="preserve">Combobox - Load Only PCC = Project &amp; Active &amp; And If User has Marked Is Infra in PCC UI </t>
  </si>
  <si>
    <t>Combobox - Load Only PCC = Project &amp; Active and if User has Marked Is Building in PCC UI</t>
  </si>
  <si>
    <t>Display Unit Cost</t>
  </si>
  <si>
    <t>Calculate Cost 10b x 10c</t>
  </si>
  <si>
    <t>Total of 10d To 13d</t>
  </si>
  <si>
    <t>10a,10b,10c,10d</t>
  </si>
  <si>
    <t>11a,11b,11c,11d</t>
  </si>
  <si>
    <t>13a,13b,13c,13d</t>
  </si>
  <si>
    <t>12a,12b,12c,12d</t>
  </si>
  <si>
    <t>Primary Cost Centre - Building - Block Register</t>
  </si>
  <si>
    <t>Calculate Cost 11b x 11c</t>
  </si>
  <si>
    <t>Calculate Cost 12b x 12c</t>
  </si>
  <si>
    <t>Calculate Cost 13b x 13c</t>
  </si>
  <si>
    <t>Cost Per Unit</t>
  </si>
  <si>
    <t>Enter No of Units in This Floor</t>
  </si>
  <si>
    <t>Calculate Cost 6b x 6c</t>
  </si>
  <si>
    <t>6a,6b,6c,6d</t>
  </si>
  <si>
    <t>7a,6b,6c,6d</t>
  </si>
  <si>
    <t>8a,6b,6c,6d</t>
  </si>
  <si>
    <t>9a,6b,6c,6d</t>
  </si>
  <si>
    <t>Calculate Cost 7b x 7c</t>
  </si>
  <si>
    <t>Calculate Cost 8b x 8c</t>
  </si>
  <si>
    <t>Calculate Cost 9b x 9c</t>
  </si>
  <si>
    <t>Total of 6d To 9d</t>
  </si>
  <si>
    <t>Only Calculate 6d To 9d if 6c To 9c has value.</t>
  </si>
  <si>
    <t xml:space="preserve">Combobox - Load Only SCC =  Active &amp; And If User has Marked Is Infra in SCC UI </t>
  </si>
  <si>
    <t>Infra Works Type</t>
  </si>
  <si>
    <t xml:space="preserve">Only Active SCC Will be Displayed </t>
  </si>
  <si>
    <t xml:space="preserve">Only Active PCC Will be Displayed </t>
  </si>
  <si>
    <t>BQ Description</t>
  </si>
  <si>
    <t>Rate - RM</t>
  </si>
  <si>
    <t xml:space="preserve">Amount </t>
  </si>
  <si>
    <t>Auto Display On Selecting from Listbox2</t>
  </si>
  <si>
    <t>Display  Listbox2 Seelection</t>
  </si>
  <si>
    <t>Combobox On Selection Auto Display BQ List</t>
  </si>
  <si>
    <t>Enter Rate</t>
  </si>
  <si>
    <t>Field 7 x Field 8</t>
  </si>
  <si>
    <t>BQ Header</t>
  </si>
  <si>
    <t>Load From UI A-15 Field 1 = Infra . Load Field 2</t>
  </si>
  <si>
    <t>Load From UI A-07 Field 5 Matching Column 2 in BQ Item Description Table</t>
  </si>
  <si>
    <t>Display BQ Item Description Matching This Field 5</t>
  </si>
  <si>
    <t>BQ Header - English</t>
  </si>
  <si>
    <t>BQ Header - Bahasa</t>
  </si>
  <si>
    <t>Select Building Construction  OR Infrastructure</t>
  </si>
  <si>
    <t>BQ Classification</t>
  </si>
  <si>
    <t>BQ Classification - English</t>
  </si>
  <si>
    <t>BQ Classification - Bahasa</t>
  </si>
  <si>
    <t>Combobox.  Load All Account Classification = Bank</t>
  </si>
  <si>
    <r>
      <t xml:space="preserve">Combobox - Either </t>
    </r>
    <r>
      <rPr>
        <i/>
        <sz val="8"/>
        <color rgb="FFFF0000"/>
        <rFont val="Times New Roman"/>
        <family val="1"/>
      </rPr>
      <t xml:space="preserve">Cheque Or Online or Bank Advise </t>
    </r>
    <r>
      <rPr>
        <i/>
        <sz val="8"/>
        <color theme="1"/>
        <rFont val="Times New Roman"/>
        <family val="1"/>
      </rPr>
      <t xml:space="preserve"> (We Fill a form and Bank Issues the Cheque)</t>
    </r>
  </si>
  <si>
    <t>Recommend Payment</t>
  </si>
  <si>
    <t>Display Requested Payment Amount</t>
  </si>
  <si>
    <t>User Can suggest Another Amount. By Default display Requested Amount. User Can Edit Amount.</t>
  </si>
  <si>
    <t>Our company has more then one Bank account. We have 5 Bank Account. That is  Bank Islam, AmBank, Public Bank, OCBC Bank and Cimb Bank</t>
  </si>
  <si>
    <t>Recommend Amount RM</t>
  </si>
  <si>
    <t>Else to issue separate Payment Vouchers</t>
  </si>
  <si>
    <r>
      <t xml:space="preserve">Combobox. Select </t>
    </r>
    <r>
      <rPr>
        <i/>
        <sz val="12"/>
        <color rgb="FFFF0000"/>
        <rFont val="Times New Roman"/>
        <family val="1"/>
      </rPr>
      <t>Bank Account Description</t>
    </r>
  </si>
  <si>
    <t>On Selecting Bank Account 1a. Sort and Display All RFP (Request for Payment) for this Bank Account Description ONLY.</t>
  </si>
  <si>
    <t>RFP</t>
  </si>
  <si>
    <t>Request for Payment</t>
  </si>
  <si>
    <t>Request for Petty Cash Payment</t>
  </si>
  <si>
    <t>RFPCP</t>
  </si>
  <si>
    <t>RFR</t>
  </si>
  <si>
    <t>If User Change the Bank Account Description then Clear the screen. Proceed to display that Bank Allocation.</t>
  </si>
  <si>
    <t>Display Voucher No</t>
  </si>
  <si>
    <t>Display Voucher Date</t>
  </si>
  <si>
    <t>Display Stakeholder</t>
  </si>
  <si>
    <t>Display Cost Centre</t>
  </si>
  <si>
    <t>Display Amount</t>
  </si>
  <si>
    <t>To Print hardcopy for records. Format of Voucher will be given.</t>
  </si>
  <si>
    <t>Only Display Active Vouchers</t>
  </si>
  <si>
    <t>You can proposed any other way display Next, Previous …..Example display page numbers at the bottom</t>
  </si>
  <si>
    <r>
      <t xml:space="preserve">Select - Combobox - Option - </t>
    </r>
    <r>
      <rPr>
        <i/>
        <sz val="8"/>
        <color rgb="FFFF0000"/>
        <rFont val="Times New Roman"/>
        <family val="1"/>
      </rPr>
      <t>Branch, Store, Head Office , Manufacturing, Batching Plant</t>
    </r>
  </si>
  <si>
    <r>
      <t xml:space="preserve">Combobox  items include - </t>
    </r>
    <r>
      <rPr>
        <sz val="8"/>
        <color rgb="FFFF0000"/>
        <rFont val="Times New Roman"/>
        <family val="1"/>
      </rPr>
      <t xml:space="preserve">Bank, Customer, Government Agency, Supplier, Utility Company and </t>
    </r>
    <r>
      <rPr>
        <b/>
        <sz val="8"/>
        <color rgb="FFFF0000"/>
        <rFont val="Times New Roman"/>
        <family val="1"/>
      </rPr>
      <t>Not Applicable</t>
    </r>
  </si>
  <si>
    <t>Project All Expenses are Direct Expenses. Cost Centre Indirec Expenses.</t>
  </si>
  <si>
    <t>Field 3 &amp; 4 - No Duplication Allowed.</t>
  </si>
  <si>
    <t>Later Mondules</t>
  </si>
  <si>
    <t>To Register Block Floor Details. Level 4. This is NOT applicable for all Projects. Only of the Block is high rise.</t>
  </si>
  <si>
    <t>Listbox1 - Display existing Units in this Block. In EDIT Mode allow User to select</t>
  </si>
  <si>
    <t>Combobox - List All Floors Matching Block and Status = Active</t>
  </si>
  <si>
    <t>Select From Combobox. Only if Floor Applicable</t>
  </si>
  <si>
    <t>No of Floors</t>
  </si>
  <si>
    <r>
      <t xml:space="preserve">Enter No of Units in This Block </t>
    </r>
    <r>
      <rPr>
        <sz val="9"/>
        <color rgb="FFFF0000"/>
        <rFont val="Times New Roman"/>
        <family val="1"/>
      </rPr>
      <t>ONLY if 8a = False.</t>
    </r>
  </si>
  <si>
    <t>No Of Units in Block</t>
  </si>
  <si>
    <t>Listbox1 - Display existing Block for this SCC if Any. In New user to Enter Block No and in Edit Mode to Select from Listbox1</t>
  </si>
  <si>
    <r>
      <t xml:space="preserve">If Landed  -  Checkbox is True then User enter  Field 9 No of Units in Block. Then Enter 10a To 14b. In this case User NOT Allowed to access UI A -35. Else if </t>
    </r>
    <r>
      <rPr>
        <sz val="10"/>
        <color rgb="FFFF0000"/>
        <rFont val="Times New Roman"/>
        <family val="1"/>
      </rPr>
      <t>Checkbox = False</t>
    </r>
    <r>
      <rPr>
        <sz val="10"/>
        <color theme="1"/>
        <rFont val="Times New Roman"/>
        <family val="1"/>
      </rPr>
      <t xml:space="preserve"> then User will enter Field 8a and 8b Only and Save Data.</t>
    </r>
  </si>
  <si>
    <t>Enter No of Floors Only if Field 7 = False Else Disable Field 8 Request User To Enter Field 9</t>
  </si>
  <si>
    <r>
      <t xml:space="preserve">Enter No of Units </t>
    </r>
    <r>
      <rPr>
        <sz val="10"/>
        <color rgb="FFFF0000"/>
        <rFont val="Times New Roman"/>
        <family val="1"/>
      </rPr>
      <t>ONLY if 7 =  True</t>
    </r>
    <r>
      <rPr>
        <sz val="10"/>
        <color theme="1"/>
        <rFont val="Times New Roman"/>
        <family val="1"/>
      </rPr>
      <t xml:space="preserve"> Else Disable Field. Then Proceed to Enter Building Type in 10a To 14b. Skip Field 9</t>
    </r>
  </si>
  <si>
    <t>To Register PCC Blocks. Level 3 - ONLY for Building Works.</t>
  </si>
  <si>
    <t>If Field 7 = False the User will be able to Enter Floor details in UI A 34</t>
  </si>
  <si>
    <r>
      <t xml:space="preserve">NOTE Block is ONLY applicable for Building Works. </t>
    </r>
    <r>
      <rPr>
        <b/>
        <sz val="12"/>
        <color rgb="FFFF0000"/>
        <rFont val="Times New Roman"/>
        <family val="1"/>
      </rPr>
      <t>For Infra Only 2 Levels</t>
    </r>
    <r>
      <rPr>
        <sz val="12"/>
        <rFont val="Times New Roman"/>
        <family val="1"/>
      </rPr>
      <t xml:space="preserve"> (PCC &amp; SCC)</t>
    </r>
  </si>
  <si>
    <t>If Checkbox = True then User to Enter Field 8 Value Else Disable Field and Inform User to Enter Field 9</t>
  </si>
  <si>
    <r>
      <t xml:space="preserve">I am stating Building in Menu Description To Emphasis that </t>
    </r>
    <r>
      <rPr>
        <sz val="9"/>
        <color rgb="FFFF0000"/>
        <rFont val="Times New Roman"/>
        <family val="1"/>
      </rPr>
      <t>Block is ONLY Applicable for Building Works.</t>
    </r>
  </si>
  <si>
    <r>
      <t xml:space="preserve">Checkbox = True then Enter No of Units in Block - Field 9. Skip </t>
    </r>
    <r>
      <rPr>
        <sz val="9"/>
        <color rgb="FFFF0000"/>
        <rFont val="Times New Roman"/>
        <family val="1"/>
      </rPr>
      <t>Field 8 - NOT Relevant.</t>
    </r>
  </si>
  <si>
    <t>Only If Block has Floor UI A33 Field 8 &gt; 0</t>
  </si>
  <si>
    <r>
      <t xml:space="preserve">Combobox - List All Blocks Matching  SCC </t>
    </r>
    <r>
      <rPr>
        <sz val="9"/>
        <color rgb="FFFF0000"/>
        <rFont val="Times New Roman"/>
        <family val="1"/>
      </rPr>
      <t>and Status = Active AND UI A-34 Field 8 &gt; 0</t>
    </r>
  </si>
  <si>
    <r>
      <t xml:space="preserve">Only Active Floor will be Displayed in Listbox1. </t>
    </r>
    <r>
      <rPr>
        <sz val="10"/>
        <color rgb="FFFF0000"/>
        <rFont val="Times New Roman"/>
        <family val="1"/>
      </rPr>
      <t>Why I call Floor Code and NOT Floor No beacus some cases people refer Floor as B = Basement, G- Groud Floor in Malaysia then refer Floor No 13 as 13A or 14 A etc. (13 is Bad Omen in Chinese People)</t>
    </r>
  </si>
  <si>
    <t>Block  - Floor - Unit Register</t>
  </si>
  <si>
    <t>Combo Box - Select  Building Type</t>
  </si>
  <si>
    <t>Compulsory User To Select. Get List from UI A-34. Field 3</t>
  </si>
  <si>
    <r>
      <t xml:space="preserve">Select Only for this Block. Some Block may have only 1 type. </t>
    </r>
    <r>
      <rPr>
        <sz val="10"/>
        <color rgb="FFFF0000"/>
        <rFont val="Times New Roman"/>
        <family val="1"/>
      </rPr>
      <t>Refer UI A-34 Field 3</t>
    </r>
    <r>
      <rPr>
        <sz val="10"/>
        <color theme="1"/>
        <rFont val="Times New Roman"/>
        <family val="1"/>
      </rPr>
      <t xml:space="preserve"> (Building Code)</t>
    </r>
  </si>
  <si>
    <t>Optional. May have More then One type of Building Type per Block.</t>
  </si>
  <si>
    <t>Select Only for this Block. Some Block may have only 1 type. Refer UI A-34 Field 3 (Building Code)</t>
  </si>
  <si>
    <t>Total No of Units . Cannot Exceed Field No 9</t>
  </si>
  <si>
    <t>To Register Project Units. Work Certification for Building Works is by Units. By referring to Field 6 we will know the Cost of the Building.</t>
  </si>
  <si>
    <r>
      <rPr>
        <sz val="9"/>
        <color rgb="FFFF0000"/>
        <rFont val="Times New Roman"/>
        <family val="1"/>
      </rPr>
      <t>Only if Floor Applicable for this Block. Data Entered in A-35.</t>
    </r>
    <r>
      <rPr>
        <sz val="9"/>
        <color theme="1"/>
        <rFont val="Times New Roman"/>
        <family val="1"/>
      </rPr>
      <t xml:space="preserve"> Else Disable the Field.  Check for Each Block. Possible for some block applicable and others NOT applicable.</t>
    </r>
  </si>
  <si>
    <t>Enter Block - Unit Unique Value. If there are 16 units in this block then User will Enter Value 1 To 16. Process to be done 16 times. If Possible allow user to Save and do not Clear 1 -4. User Only have to enter 5</t>
  </si>
  <si>
    <t>NOTE PROJECT APPLICABLE WE WILL SET IN CHARET OF ACCOUNTS</t>
  </si>
  <si>
    <t>Trading &amp; Profit &amp; Loss  - Grouping</t>
  </si>
  <si>
    <t xml:space="preserve">Listbox1 - Display existing List. Allow user to select &amp; Edit. </t>
  </si>
  <si>
    <t xml:space="preserve">In NEW MODE Enter Account Classification in English. In EDIT MODE Select and EDIT </t>
  </si>
  <si>
    <t xml:space="preserve">FINAL ACCOUNT Placing </t>
  </si>
  <si>
    <t>Is Sales</t>
  </si>
  <si>
    <t>Is Other Income</t>
  </si>
  <si>
    <r>
      <t xml:space="preserve">User To Select One of these. Field 3 To 5. If Field 3 = True Then user MUSR Select </t>
    </r>
    <r>
      <rPr>
        <sz val="9"/>
        <color rgb="FFFF0000"/>
        <rFont val="Times New Roman"/>
        <family val="1"/>
      </rPr>
      <t>6 -9.</t>
    </r>
    <r>
      <rPr>
        <sz val="9"/>
        <color theme="1"/>
        <rFont val="Times New Roman"/>
        <family val="1"/>
      </rPr>
      <t xml:space="preserve"> Only one Item</t>
    </r>
  </si>
  <si>
    <r>
      <t xml:space="preserve">User To Select One of these. Field 3 To 5. </t>
    </r>
    <r>
      <rPr>
        <sz val="9"/>
        <color rgb="FFFF0000"/>
        <rFont val="Times New Roman"/>
        <family val="1"/>
      </rPr>
      <t>If Field 4 Selected User can Select Either 10 or 12</t>
    </r>
  </si>
  <si>
    <r>
      <t xml:space="preserve">User To Select One of these. Field 3 To 5. If User </t>
    </r>
    <r>
      <rPr>
        <sz val="9"/>
        <color rgb="FFFF0000"/>
        <rFont val="Times New Roman"/>
        <family val="1"/>
      </rPr>
      <t>Selected Field 5 Then User Can Select Either 11 or 13 Only.</t>
    </r>
  </si>
  <si>
    <t>Balance Sheet Groups</t>
  </si>
  <si>
    <r>
      <t>For this Group - User has Option to</t>
    </r>
    <r>
      <rPr>
        <sz val="9"/>
        <color rgb="FFFF0000"/>
        <rFont val="Times New Roman"/>
        <family val="1"/>
      </rPr>
      <t xml:space="preserve"> Select Project in Chart of Account</t>
    </r>
    <r>
      <rPr>
        <sz val="9"/>
        <color theme="1"/>
        <rFont val="Times New Roman"/>
        <family val="1"/>
      </rPr>
      <t>. If user selects  Filed 10 in Chart of Account we will Ask</t>
    </r>
    <r>
      <rPr>
        <sz val="9"/>
        <color rgb="FFFF0000"/>
        <rFont val="Times New Roman"/>
        <family val="1"/>
      </rPr>
      <t xml:space="preserve"> Project Required</t>
    </r>
    <r>
      <rPr>
        <sz val="9"/>
        <color theme="1"/>
        <rFont val="Times New Roman"/>
        <family val="1"/>
      </rPr>
      <t>. Else the Field will be disabled in Chart of Accounts.</t>
    </r>
  </si>
  <si>
    <r>
      <t>For this Group - User has Option to</t>
    </r>
    <r>
      <rPr>
        <sz val="9"/>
        <color rgb="FFFF0000"/>
        <rFont val="Times New Roman"/>
        <family val="1"/>
      </rPr>
      <t xml:space="preserve"> Select Project in Chart of Account</t>
    </r>
    <r>
      <rPr>
        <sz val="9"/>
        <color theme="1"/>
        <rFont val="Times New Roman"/>
        <family val="1"/>
      </rPr>
      <t>. If user selects  Filed 12 in Chart of Account we will Ask</t>
    </r>
    <r>
      <rPr>
        <sz val="9"/>
        <color rgb="FFFF0000"/>
        <rFont val="Times New Roman"/>
        <family val="1"/>
      </rPr>
      <t xml:space="preserve"> Project Required</t>
    </r>
    <r>
      <rPr>
        <sz val="9"/>
        <color theme="1"/>
        <rFont val="Times New Roman"/>
        <family val="1"/>
      </rPr>
      <t>. Else the Field will be disabled in Chart of Accounts.</t>
    </r>
  </si>
  <si>
    <t>Project is NOT reelevent for this Group</t>
  </si>
  <si>
    <t>Level 1. To Create List of  Accounts Classification. How the account will be treated in calculation the Trading, Profit and Loss Account and Balance Sheet.</t>
  </si>
  <si>
    <t>This information will be used to Create Chart of Accounts (Level 2 - UI A10). All the Accounts (Ledgers) that the user wants to create. How the system will deal with this Accounts will be determined by using this information. In later Modules</t>
  </si>
  <si>
    <t>What is the Difference between Cost Centre and Project. Cost Centre are like Departments in the Company we want to Mirco Manage the Cost. Project is to track the Cost of Completing the Construction Project. Kindly keep in mine this is also referred to as Primary Cost Centre.</t>
  </si>
  <si>
    <t>Primary Cost Centre Required</t>
  </si>
  <si>
    <r>
      <t xml:space="preserve">This Field is ONLY Applicable if in Account Classification we have set it as Trading Account. </t>
    </r>
    <r>
      <rPr>
        <sz val="9"/>
        <color rgb="FFFF0000"/>
        <rFont val="Times New Roman"/>
        <family val="1"/>
      </rPr>
      <t>UI A-02 Field 4 = True</t>
    </r>
  </si>
  <si>
    <t>Level 1 = Classification of Account. This is Level 2 -To Create List of  Accounting Ledger and link with Account Classification.</t>
  </si>
  <si>
    <t>Listbox1 - Display existing List. Allow user to select &amp; Edit.</t>
  </si>
  <si>
    <t xml:space="preserve">In NEW MODE Enter Account Description in English. In EDIT MODE Select and EDIT </t>
  </si>
  <si>
    <t xml:space="preserve">In NEW MODE Enter Account Description inBahasa. In EDIT MODE Select and EDIT </t>
  </si>
  <si>
    <t>Printing &amp; Stationery</t>
  </si>
  <si>
    <t xml:space="preserve">Reason For Receiving Payment Description </t>
  </si>
  <si>
    <t>Asset - Group  - Register</t>
  </si>
  <si>
    <t>Asset - Nominal Value Table</t>
  </si>
  <si>
    <t>Originally Asset Location. Replaced with this.</t>
  </si>
  <si>
    <t>&gt; 300.00</t>
  </si>
  <si>
    <t>&gt;100,000.00</t>
  </si>
  <si>
    <t>&gt;10,000.00</t>
  </si>
  <si>
    <t>&gt;1.000.00</t>
  </si>
  <si>
    <t>Range Value</t>
  </si>
  <si>
    <t>This Value is Applicable to all Asset Group. Thus Need not select Asset Group</t>
  </si>
  <si>
    <t>Allow Up to 5 Row in case they want to have more ranges</t>
  </si>
  <si>
    <t>To SET the Nominal Value for all Asset Groups. Depreciation will be Calculated (Asset Cost Less Nominal Value) / No of years this Asset will be depreciated.</t>
  </si>
  <si>
    <t>There will be only ONE row of Data for each compnay.</t>
  </si>
  <si>
    <r>
      <t xml:space="preserve">IF Field 4 = True then then </t>
    </r>
    <r>
      <rPr>
        <sz val="9"/>
        <color rgb="FFFF0000"/>
        <rFont val="Calibri"/>
        <family val="2"/>
        <scheme val="minor"/>
      </rPr>
      <t>Skip 5a and 5b. For Moveable Asset we will set the Depreciation Period in here in Field 6</t>
    </r>
  </si>
  <si>
    <t>Immoveable Asset</t>
  </si>
  <si>
    <t>If Field 4 = True or Field 5b is True then USER to enter Field 6 Value.</t>
  </si>
  <si>
    <t>Is Freehold</t>
  </si>
  <si>
    <r>
      <t xml:space="preserve">If Checkbox Field 5a = True  then  USER can select 5b. If  Sb = False then </t>
    </r>
    <r>
      <rPr>
        <b/>
        <sz val="9"/>
        <color rgb="FFFF0000"/>
        <rFont val="Times New Roman"/>
        <family val="1"/>
      </rPr>
      <t>DO NOT Allow USER to enter 6</t>
    </r>
    <r>
      <rPr>
        <sz val="9"/>
        <rFont val="Times New Roman"/>
        <family val="1"/>
      </rPr>
      <t>. Disable it. This will be set in Individual Asset Register. The depreciation period will be different for each Asset.</t>
    </r>
  </si>
  <si>
    <t>To Create Asset Group List and assign  Depreciation Years. Nominal Value are set in UI A-03</t>
  </si>
  <si>
    <r>
      <t xml:space="preserve">Asset that are NOT Capitalise we are keeping for trekking only. What happen when we </t>
    </r>
    <r>
      <rPr>
        <b/>
        <sz val="11"/>
        <color rgb="FFFF0000"/>
        <rFont val="Calibri"/>
        <family val="2"/>
        <scheme val="minor"/>
      </rPr>
      <t>do NOT Capitalise</t>
    </r>
    <r>
      <rPr>
        <sz val="11"/>
        <color theme="1"/>
        <rFont val="Calibri"/>
        <family val="2"/>
        <scheme val="minor"/>
      </rPr>
      <t xml:space="preserve">. Say the asset cost 200.00 we charge to expenses the 200.00 in the year of purchase. </t>
    </r>
    <r>
      <rPr>
        <b/>
        <sz val="11"/>
        <color rgb="FFFF0000"/>
        <rFont val="Calibri"/>
        <family val="2"/>
        <scheme val="minor"/>
      </rPr>
      <t>Say we capitalise</t>
    </r>
    <r>
      <rPr>
        <sz val="11"/>
        <color theme="1"/>
        <rFont val="Calibri"/>
        <family val="2"/>
        <scheme val="minor"/>
      </rPr>
      <t xml:space="preserve"> and the asset cost 1000.00 and usage years = 5. We only charge 1/5 (After Less the Nominal Value if Applicable) for each years.</t>
    </r>
  </si>
  <si>
    <t>Note - Moveable Assets we keep track of the location they are kept.</t>
  </si>
  <si>
    <t>Note - Immoveable Assets we have to pay land and property tax's. This are in future Modules.</t>
  </si>
  <si>
    <t>In New - enter  Asset Group Description in English. In Edit Select from Listbox1</t>
  </si>
  <si>
    <t>In New - enter  Asset Group Description in Bahasa. In Edit Select from Listbox1</t>
  </si>
  <si>
    <t>Listbox1 - Display Existing Asset Group List. Allow user to Select &amp; Edit. Display in 2 Column English &amp; Bahasa</t>
  </si>
  <si>
    <r>
      <t xml:space="preserve">Assets that </t>
    </r>
    <r>
      <rPr>
        <b/>
        <sz val="9"/>
        <color rgb="FFFF0000"/>
        <rFont val="Calibri"/>
        <family val="2"/>
        <scheme val="minor"/>
      </rPr>
      <t>cannot be moved like Land and Building.</t>
    </r>
    <r>
      <rPr>
        <sz val="9"/>
        <color theme="1"/>
        <rFont val="Calibri"/>
        <family val="2"/>
        <scheme val="minor"/>
      </rPr>
      <t xml:space="preserve"> Immoveable has 2 types that is Freehold and Leasehold. Freehold is always own by owner. Leasehold the No of years the owner can own is stated in the land title. After the mention years the ownership is return to the state (Government). Example we are renting for a fix No of years.</t>
    </r>
  </si>
  <si>
    <t>NOTE Leasehold Asset has NO Nominal Value.  Thus for Depreciation we will NOT less the Nominal Value BUT divide by No of Years ONLY.</t>
  </si>
  <si>
    <t>Are we going to Capitalise this Group. If Yes then Depreciation is Applicable to this Asset Group. Range 0 To 100</t>
  </si>
  <si>
    <t>Enter - Useable Life Span of Asset in Years. Range 1 To 100</t>
  </si>
  <si>
    <t>Moveable</t>
  </si>
  <si>
    <t>Freehold</t>
  </si>
  <si>
    <t>NA - Based on Individual Assets</t>
  </si>
  <si>
    <t>Work, Product &amp; Services (WPS) - Master</t>
  </si>
  <si>
    <t>For Each Userforms (UI)</t>
  </si>
  <si>
    <t>Labour</t>
  </si>
  <si>
    <t>You use the material and Labour to complete a unit of works</t>
  </si>
  <si>
    <t>I am referring to Material, Labour and Equipment as resources</t>
  </si>
  <si>
    <t>Sometimes we need all 3 resources to complete a work unit.</t>
  </si>
  <si>
    <t>When we purchase ONLY Material then we use a Purchase Order to buy the items</t>
  </si>
  <si>
    <t>When we purchase ONLY Labour then we use a Work Order to buy the work.</t>
  </si>
  <si>
    <t>Labour is another resources. By itself or when combine with Material it becomes a Work.</t>
  </si>
  <si>
    <t>Equipment  is another resources. By itself or when combine with Labour and Material it becomes a Work</t>
  </si>
  <si>
    <t>WPS Levels</t>
  </si>
  <si>
    <t>3rd and Last Level  referred to as WPS</t>
  </si>
  <si>
    <t>To purchase Material we issue Purchase Order</t>
  </si>
  <si>
    <t>To Purchase Work we use Work Order</t>
  </si>
  <si>
    <t>Purchasing Document</t>
  </si>
  <si>
    <t>When we purchase ONLY Equipment's then we use a Work Order to buy the work.</t>
  </si>
  <si>
    <t>When we combine 2 or more resources to get a work done we also use Work Order.</t>
  </si>
  <si>
    <t>1st Level. The 1st of  WPS is referred to as WPS Classification.</t>
  </si>
  <si>
    <t>2nd Level. The 2nd level of WPS is referred to as WPS Group</t>
  </si>
  <si>
    <t>Tables</t>
  </si>
  <si>
    <t>We will use 2 tables 2 store the WPS.</t>
  </si>
  <si>
    <t>Refers to ONE resources that is Material. Like Cement, Pipe and Timber. Material Does NOT mean only Construction material.</t>
  </si>
  <si>
    <t>Work Master will hold all the Work Description or also referred to Bill of Quantity Description</t>
  </si>
  <si>
    <t>Why 2 Tables</t>
  </si>
  <si>
    <t>The fields for both this group differs very much.</t>
  </si>
  <si>
    <t>WPS  Classification</t>
  </si>
  <si>
    <t>W-01</t>
  </si>
  <si>
    <t>W-02</t>
  </si>
  <si>
    <t>W-03</t>
  </si>
  <si>
    <t>W-04</t>
  </si>
  <si>
    <t>Media Wonderz</t>
  </si>
  <si>
    <t>Bill of Quantity Description  Master</t>
  </si>
  <si>
    <t>In NEW Mode Enter value or in Edit Mode Select. English</t>
  </si>
  <si>
    <t>In NEW Mode Enter value or in Edit Mode Select. Bahasa</t>
  </si>
  <si>
    <t xml:space="preserve">Enter Or Select </t>
  </si>
  <si>
    <t>Construction</t>
  </si>
  <si>
    <t>Iklan</t>
  </si>
  <si>
    <t>Bahan Binaan</t>
  </si>
  <si>
    <t>Penyelenggaraan Peralatan Pembinaan</t>
  </si>
  <si>
    <t>Pembinaan Am</t>
  </si>
  <si>
    <t>Perkhidmatan Pembinaan</t>
  </si>
  <si>
    <t>Kos Overhed Langsung</t>
  </si>
  <si>
    <t>Perabot &amp; Kelengkapan</t>
  </si>
  <si>
    <t>Penyelenggaraan Am Pejabat</t>
  </si>
  <si>
    <t>Landskap</t>
  </si>
  <si>
    <t>Bekalan Pejabat</t>
  </si>
  <si>
    <t>Purchase of All Construction Material</t>
  </si>
  <si>
    <t>Combobox - Select</t>
  </si>
  <si>
    <t>Display Existing Grouping for this WPS Classification</t>
  </si>
  <si>
    <t>To Create WPS Groups. 2nd Level.</t>
  </si>
  <si>
    <t>Timber</t>
  </si>
  <si>
    <t>Water</t>
  </si>
  <si>
    <t>Office Maintain Ence</t>
  </si>
  <si>
    <t>Stationery</t>
  </si>
  <si>
    <t>Papan Tanda Jalan</t>
  </si>
  <si>
    <t>Kayu</t>
  </si>
  <si>
    <t>Tetulang</t>
  </si>
  <si>
    <t>Pemadat</t>
  </si>
  <si>
    <t>Lori</t>
  </si>
  <si>
    <t>Ujian Makmal</t>
  </si>
  <si>
    <t>Kerja Bata</t>
  </si>
  <si>
    <t>Air</t>
  </si>
  <si>
    <t>Kerusi</t>
  </si>
  <si>
    <t>Penyelenggaraan Pejabat</t>
  </si>
  <si>
    <t>Landskap Keras</t>
  </si>
  <si>
    <t>Alat Tulis</t>
  </si>
  <si>
    <t>All Cements types</t>
  </si>
  <si>
    <t>Example if Paying Water bill for which month user can enter here</t>
  </si>
  <si>
    <t>Based on the Reason Selected - Display Field 5. For Each reason we will have the Account Description listed.</t>
  </si>
  <si>
    <t>To Verify Request for Petty Cash Payment Data entered by MAKER is correct and required to be paid. Verifier can reject payment.</t>
  </si>
  <si>
    <t>Display Balance</t>
  </si>
  <si>
    <t>List Latest 10 or as many that can fit the screen - Petty Cash Voucher</t>
  </si>
  <si>
    <t>Only that has be Accepted by Approver and Completed F-03-03</t>
  </si>
  <si>
    <t>To View a Copy of Petty Cash Voucher before printing.</t>
  </si>
  <si>
    <t xml:space="preserve">To print a copy of the Petty Cash - Hard Copy - Documentation </t>
  </si>
  <si>
    <t>To Export a copy to as pdf</t>
  </si>
  <si>
    <t>Issue Petty Cash Voucher No using this rule</t>
  </si>
  <si>
    <t>Each Voucher No is issued if the stakeholder is same, the petty cash Voucher is same  and the Approved Month  is the same.</t>
  </si>
  <si>
    <t>If User has NOT selected Filters then Auto Display the latest No of transection that can fit the page.</t>
  </si>
  <si>
    <t>Allow User To combine and search both Date and Stakeholder.</t>
  </si>
  <si>
    <t>For each request for Petty Cash Voucher issue a Voucher No. Voucher No series must be separate for each Petty Cash Voucher. Cannot mix Klang and Bemban.</t>
  </si>
  <si>
    <t>Generally based on my experience there will be only one reason, one date and one stakeholder for each Voucher.</t>
  </si>
  <si>
    <t>If possible we display 10 row OR as many as possible. User Can Select Only One at  Time (View, Print or Pdf)</t>
  </si>
  <si>
    <t>Your alternative suggest most welcomed</t>
  </si>
  <si>
    <t xml:space="preserve">Check UI A-65. </t>
  </si>
  <si>
    <t>Basing on Reason Auto Display the Accounting Description. As set in A-66 Field 3</t>
  </si>
  <si>
    <t>Combobox - If Cost Centre then Display Cost Centre if PCC then Display PCC.</t>
  </si>
  <si>
    <r>
      <rPr>
        <sz val="9"/>
        <color rgb="FFFF0000"/>
        <rFont val="Times New Roman"/>
        <family val="1"/>
      </rPr>
      <t>Listbox3</t>
    </r>
    <r>
      <rPr>
        <sz val="9"/>
        <rFont val="Times New Roman"/>
        <family val="1"/>
      </rPr>
      <t>. If Stakeholder has Invoice Unpaid then Extract the Invoice No, Date and Amount and Display. Else Prompt No Outstanding Invoice.</t>
    </r>
  </si>
  <si>
    <r>
      <rPr>
        <sz val="9"/>
        <color rgb="FFFF0000"/>
        <rFont val="Times New Roman"/>
        <family val="1"/>
      </rPr>
      <t>Listbox1</t>
    </r>
    <r>
      <rPr>
        <sz val="9"/>
        <rFont val="Times New Roman"/>
        <family val="1"/>
      </rPr>
      <t>. Stakeholder Matching Field 1</t>
    </r>
  </si>
  <si>
    <r>
      <t xml:space="preserve">Using Field 4 Check Weather This payment require Cost Centre or Primary Cost Centre. This information is available in Chart of Accounts. UI A-10 Field 4. </t>
    </r>
    <r>
      <rPr>
        <sz val="11"/>
        <color rgb="FFFF0000"/>
        <rFont val="Times New Roman"/>
        <family val="1"/>
      </rPr>
      <t>User to Select if Applicable ELSE Disable Field.</t>
    </r>
  </si>
  <si>
    <t xml:space="preserve">In Listbox3. If there is Outstanding Invoice for the stakeholder then Auto display Invoice No, Invoice Date and Amount. Use 3 column Listbox. </t>
  </si>
  <si>
    <t>Each time User select from Listbox 3 add the total to Field 7. Invoice No add to Field 6</t>
  </si>
  <si>
    <t>BUT we do NOT decide at this point which Payment Voucher. This will be determine in UI F-01-04. The person requesting payment has NO knowledge from which bank the payment will be made from.</t>
  </si>
  <si>
    <r>
      <t xml:space="preserve">Generall we will enter all  Supplier invoice  into the system using </t>
    </r>
    <r>
      <rPr>
        <sz val="11"/>
        <color rgb="FFFF0000"/>
        <rFont val="Calibri"/>
        <family val="2"/>
        <scheme val="minor"/>
      </rPr>
      <t>Purchase Vpucher</t>
    </r>
    <r>
      <rPr>
        <sz val="11"/>
        <color theme="1"/>
        <rFont val="Calibri"/>
        <family val="2"/>
        <scheme val="minor"/>
      </rPr>
      <t>. We also do the same for Utility bills and payment to government Agency.</t>
    </r>
  </si>
  <si>
    <t>Then we use the payment Voucher to pay this invoice. That is why listbox3 we will be able to display the invoice details</t>
  </si>
  <si>
    <t>System will filter and display this Stakeholders Invoice not paid.</t>
  </si>
  <si>
    <t>How does the system know which invoice is NOT paid. We can either use FIFO bases. Assuming the oldest invoice has been paid. We add the Credit total and less the Debit total. The difference is the unpaid invoice start with the latest invoice.</t>
  </si>
  <si>
    <t>Alternative we flag the paid invoice. Those selected in Listbox3. Unflagged invoice are NOT paid.</t>
  </si>
  <si>
    <t>Verifier can Select KIV and set a later date to make payment</t>
  </si>
  <si>
    <r>
      <t xml:space="preserve">The next process will be to decide Which </t>
    </r>
    <r>
      <rPr>
        <sz val="11"/>
        <color rgb="FFFF0000"/>
        <rFont val="Times New Roman"/>
        <family val="1"/>
      </rPr>
      <t>Bank Account</t>
    </r>
    <r>
      <rPr>
        <sz val="11"/>
        <color theme="1"/>
        <rFont val="Times New Roman"/>
        <family val="1"/>
      </rPr>
      <t xml:space="preserve">. The Bank Selected will determine which </t>
    </r>
    <r>
      <rPr>
        <sz val="11"/>
        <color rgb="FFFF0000"/>
        <rFont val="Times New Roman"/>
        <family val="1"/>
      </rPr>
      <t>Payment Voucher</t>
    </r>
    <r>
      <rPr>
        <sz val="11"/>
        <color theme="1"/>
        <rFont val="Times New Roman"/>
        <family val="1"/>
      </rPr>
      <t xml:space="preserve"> to be used. Refer to F-01-04.</t>
    </r>
  </si>
  <si>
    <t>By Default show Column 5 Amount = Column 6 too.. But User can Overwrite</t>
  </si>
  <si>
    <t>Display Selected Cost Centre or PCC</t>
  </si>
  <si>
    <t>User to Make a decision. If KIV Verifier does not want to make payment now. Put it on hold. Approver will NOT see this record.</t>
  </si>
  <si>
    <t>To Verify the Request for payment.</t>
  </si>
  <si>
    <t>KIV  - Refers to User wants to place this Request for Payment on HOLD.</t>
  </si>
  <si>
    <t>User Can edit Request for Payment Details and thereafter Verify the Request</t>
  </si>
  <si>
    <t>Date Created or Edited by Maker</t>
  </si>
  <si>
    <r>
      <t xml:space="preserve">User to Make a decision. If KIV APPROVER does not want to make payment now. Put it on hold. </t>
    </r>
    <r>
      <rPr>
        <sz val="12"/>
        <color rgb="FFFF0000"/>
        <rFont val="Times New Roman"/>
        <family val="1"/>
      </rPr>
      <t>Record does not MOVE to next process F-014-04</t>
    </r>
  </si>
  <si>
    <t>To Approve Request for payment.</t>
  </si>
  <si>
    <t>User Can Select Request for Payment and edit data if required. Thereafter he can Approve the Request for payment.</t>
  </si>
  <si>
    <r>
      <t xml:space="preserve">On </t>
    </r>
    <r>
      <rPr>
        <b/>
        <sz val="12"/>
        <color rgb="FFFF0000"/>
        <rFont val="Times New Roman"/>
        <family val="1"/>
      </rPr>
      <t>HOLD records will not be available for next process - F-01-04</t>
    </r>
  </si>
  <si>
    <t>Some time User To Enter Data, on other Occasion System will Display the Data. Asset Management - When the Asset is Lease.</t>
  </si>
  <si>
    <r>
      <t xml:space="preserve">On </t>
    </r>
    <r>
      <rPr>
        <b/>
        <sz val="12"/>
        <color rgb="FFFF0000"/>
        <rFont val="Times New Roman"/>
        <family val="1"/>
      </rPr>
      <t>HOLD records will not be available for APPROVER</t>
    </r>
  </si>
  <si>
    <r>
      <t>On REJECTION</t>
    </r>
    <r>
      <rPr>
        <b/>
        <sz val="12"/>
        <color rgb="FFFF0000"/>
        <rFont val="Times New Roman"/>
        <family val="1"/>
      </rPr>
      <t xml:space="preserve"> records will NOT be available for APPROVER</t>
    </r>
  </si>
  <si>
    <r>
      <t>On REJECTION</t>
    </r>
    <r>
      <rPr>
        <b/>
        <sz val="12"/>
        <color rgb="FFFF0000"/>
        <rFont val="Times New Roman"/>
        <family val="1"/>
      </rPr>
      <t xml:space="preserve"> records will be deleted from Table.</t>
    </r>
  </si>
  <si>
    <t>REQUEST FOR PAYMENT - APPROVAL</t>
  </si>
  <si>
    <t>REQUEST FOR PAYMENT - VERIFICATION</t>
  </si>
  <si>
    <t>REQUEST FOR PAYMENT - MAKER</t>
  </si>
  <si>
    <t>REQUEST FOR PAYMENT - BANK ALLOCATION</t>
  </si>
  <si>
    <t>1a Required 1b will be auto displayed by system</t>
  </si>
  <si>
    <r>
      <t>Display all Request for Payment Approved and NO Payment Issued to date. On Selection Display Field 3 To 8. Only Display Payment Amount Approved.</t>
    </r>
    <r>
      <rPr>
        <sz val="11"/>
        <color rgb="FFFF0000"/>
        <rFont val="Calibri"/>
        <family val="2"/>
        <scheme val="minor"/>
      </rPr>
      <t xml:space="preserve"> Do NOT Include KIV or Rejected Records</t>
    </r>
  </si>
  <si>
    <r>
      <rPr>
        <b/>
        <sz val="12"/>
        <color rgb="FFFF0000"/>
        <rFont val="Calibri"/>
        <family val="2"/>
        <scheme val="minor"/>
      </rPr>
      <t>Next Process</t>
    </r>
    <r>
      <rPr>
        <sz val="12"/>
        <color theme="1"/>
        <rFont val="Calibri"/>
        <family val="2"/>
        <scheme val="minor"/>
      </rPr>
      <t xml:space="preserve">. If the </t>
    </r>
    <r>
      <rPr>
        <b/>
        <sz val="12"/>
        <color rgb="FFFF0000"/>
        <rFont val="Calibri"/>
        <family val="2"/>
        <scheme val="minor"/>
      </rPr>
      <t xml:space="preserve">Stakeholder Name and Bank Account and Payment Month  </t>
    </r>
    <r>
      <rPr>
        <sz val="12"/>
        <color theme="1"/>
        <rFont val="Calibri"/>
        <family val="2"/>
        <scheme val="minor"/>
      </rPr>
      <t>is the same then we can put this payments into ONE Payment Voucher. Consider as ONE payment. Create ONE document.</t>
    </r>
  </si>
  <si>
    <t>To Allocate the Bank Account from which we will  make this payment. As selected in Field 1</t>
  </si>
  <si>
    <r>
      <t xml:space="preserve">Reduce the Bank Balance - 1b as shown in the User form for User Information ONLY.. </t>
    </r>
    <r>
      <rPr>
        <b/>
        <sz val="12"/>
        <color rgb="FFFF0000"/>
        <rFont val="Calibri"/>
        <family val="2"/>
        <scheme val="minor"/>
      </rPr>
      <t>DO NOT deduct from Account Description Balances</t>
    </r>
    <r>
      <rPr>
        <sz val="12"/>
        <color theme="1"/>
        <rFont val="Calibri"/>
        <family val="2"/>
        <scheme val="minor"/>
      </rPr>
      <t>. This will be handle in the NEXT Process.</t>
    </r>
  </si>
  <si>
    <t>The NEXT Process is to Issue Payment Voucher. Each Bank will have their Own Payment Voucher Number. Refer Payment Voucher Created UI A-01</t>
  </si>
  <si>
    <r>
      <t xml:space="preserve">In the NEXT process system we will process the Voucher and Issue </t>
    </r>
    <r>
      <rPr>
        <sz val="12"/>
        <color rgb="FFFF0000"/>
        <rFont val="Calibri"/>
        <family val="2"/>
        <scheme val="minor"/>
      </rPr>
      <t xml:space="preserve">Voucher No &amp; Voucher Date. </t>
    </r>
    <r>
      <rPr>
        <sz val="12"/>
        <color theme="1"/>
        <rFont val="Calibri"/>
        <family val="2"/>
        <scheme val="minor"/>
      </rPr>
      <t>Based on the above criteria (Same - Month, Stakeholder and Bank)</t>
    </r>
  </si>
  <si>
    <t>IF NOT then do not proceed to SAVE Data. Prompt which information is NOT Available.</t>
  </si>
  <si>
    <t>Tamil for you information only ignore for the moment.</t>
  </si>
  <si>
    <t xml:space="preserve">The Final Process of Payment. System will Issue Payment Voucher Number, Date. </t>
  </si>
  <si>
    <r>
      <t>If User Click</t>
    </r>
    <r>
      <rPr>
        <b/>
        <sz val="12"/>
        <color rgb="FFFF0000"/>
        <rFont val="Times New Roman"/>
        <family val="1"/>
      </rPr>
      <t xml:space="preserve"> Remove</t>
    </r>
    <r>
      <rPr>
        <sz val="12"/>
        <rFont val="Times New Roman"/>
        <family val="1"/>
      </rPr>
      <t>. Possibilities - User does NOT want to make payment for the moment. Keep this Records on Hold. Include the NEXT time this process is done.</t>
    </r>
  </si>
  <si>
    <t>Else we will issue separate payment Vouchers.</t>
  </si>
  <si>
    <t>Voucher Date will be current Date</t>
  </si>
  <si>
    <t>Enabled if User has Selected Payment Mode = Cheque.</t>
  </si>
  <si>
    <t xml:space="preserve">1b Auto Display Current Date. </t>
  </si>
  <si>
    <t>No of RFP (Request for Payment)</t>
  </si>
  <si>
    <t>2a,2b,2c,2d;2e</t>
  </si>
  <si>
    <t>F-30</t>
  </si>
  <si>
    <t>F-34</t>
  </si>
  <si>
    <t>F-38</t>
  </si>
  <si>
    <t>F-13-03</t>
  </si>
  <si>
    <t>3a,3b,3c,3d;3e</t>
  </si>
  <si>
    <t>User to Select ShC. System will display Sh Matching ShC in Listbox1. Basically to Narrow the search or we filter as we type. In this case we don’t need 3</t>
  </si>
  <si>
    <t>3a,3b,3c3d,3e</t>
  </si>
  <si>
    <t>If AcC User wants to Charge the Expenses directly to Accounts  and Not to Stakeholder as this is small amount. If User Select Sh then  we follow same process as Payment Voucher. In this case load ShC. UI A-065 into Field 3</t>
  </si>
  <si>
    <t>User to Enter Any Other Details. If Payment of Electricity Bill they can enter say July 3036.</t>
  </si>
  <si>
    <t>Approver F-03-03</t>
  </si>
  <si>
    <t>On Clicking Allocate - Check there is Data in Field 1a, 1b, 3, 3,4,6. This is the minimum information required.</t>
  </si>
  <si>
    <t>Approver F-04-03</t>
  </si>
  <si>
    <t>ELSE - Clear 3a, 3b, 3 To 8. Remove request for Payment from Listbox1.  To prevent duplication of entry.</t>
  </si>
  <si>
    <t>Approver F-05-03</t>
  </si>
  <si>
    <t>.On Clicking NEXT - Clear 1a, 1b,3a,3b, 3 To 8. User is Changing the Bank Account. DO NOT Clear LIstbox1</t>
  </si>
  <si>
    <t>WE have 3 Petty Cash Voucher - i.e. Klang Office and Bemban Office</t>
  </si>
  <si>
    <t>Approver F-06-03</t>
  </si>
  <si>
    <t>Field 3a and 3b. Allow Filtering Using - Period From Date To Date. Prompt if there is NO Data for the period.</t>
  </si>
  <si>
    <t>Field 3c. Allow Filtering Using - Stakeholder Name . Allow wild card search</t>
  </si>
  <si>
    <t>Field 3d. Allow Filtering Using -Search Last 10 Transection.</t>
  </si>
  <si>
    <t>Field 3e. Allow Filtering by Months</t>
  </si>
  <si>
    <t>Approver F-07-03</t>
  </si>
  <si>
    <t>Verify F-13-01</t>
  </si>
  <si>
    <t>Approver F-13-03</t>
  </si>
  <si>
    <t>Approver F-10-03</t>
  </si>
  <si>
    <t>Approver F-11-03</t>
  </si>
  <si>
    <t>A Medium sized Company may oft for 3 level.  3 User - One is Maker, and the Other is Approver.</t>
  </si>
  <si>
    <t xml:space="preserve">If User opt to 3 Level. We Will have Maker and Approver ONLY. </t>
  </si>
  <si>
    <t>Maker - If 3 Level. (Maker &amp;  Approver)</t>
  </si>
  <si>
    <t>Verifier - If 3 Level. (Maker &amp;  Approver)</t>
  </si>
  <si>
    <t>Approver - If 3 Level. (Maker &amp;  Approver)</t>
  </si>
  <si>
    <t>Repeat - Approver - If 3 Level (Maker &amp; Approver)</t>
  </si>
  <si>
    <t>All Records  will be displayed If level 1 and 3 Levels</t>
  </si>
  <si>
    <t>4a,4b,4c,4d;4e</t>
  </si>
  <si>
    <t>5a,5b,5c,5d;5e</t>
  </si>
  <si>
    <t>6a,6b,6c,6d;6e</t>
  </si>
  <si>
    <t>7a,7b,7c,7d;7e</t>
  </si>
  <si>
    <t>8a,8b,8c,8d;8e</t>
  </si>
  <si>
    <t>9a,9b,9c,9d;9e</t>
  </si>
  <si>
    <t>10a,10b,10c,10d;10e</t>
  </si>
  <si>
    <t>One or More Request for Payment will be merged based on this criteria.</t>
  </si>
  <si>
    <t>ACCEPT</t>
  </si>
  <si>
    <t xml:space="preserve">When User Cleck Accept Allocated Voucher No To Records which User has Checked </t>
  </si>
  <si>
    <t>On User Click ACCEPT. For those Item User has Checked Automatically Issue Voucher No and display in UI</t>
  </si>
  <si>
    <t>REMOVE</t>
  </si>
  <si>
    <r>
      <rPr>
        <b/>
        <sz val="12"/>
        <color rgb="FFFF0000"/>
        <rFont val="Calibri"/>
        <family val="2"/>
        <scheme val="minor"/>
      </rPr>
      <t>STEP 1</t>
    </r>
    <r>
      <rPr>
        <sz val="12"/>
        <color theme="1"/>
        <rFont val="Calibri"/>
        <family val="2"/>
        <scheme val="minor"/>
      </rPr>
      <t xml:space="preserve"> - On User Click ACCEPT Save Payment Voucher Data To Database c/w Voucher Date, Voucher No and Cheque No if Applicable.</t>
    </r>
  </si>
  <si>
    <r>
      <rPr>
        <b/>
        <sz val="12"/>
        <color rgb="FFFF0000"/>
        <rFont val="Calibri"/>
        <family val="2"/>
        <scheme val="minor"/>
      </rPr>
      <t>STEP 2</t>
    </r>
    <r>
      <rPr>
        <sz val="12"/>
        <color theme="1"/>
        <rFont val="Calibri"/>
        <family val="2"/>
        <scheme val="minor"/>
      </rPr>
      <t xml:space="preserve"> - For Each Voucher Add  Payment Voucher, Payment Date, Stakeholder Name, Cost Centre, Payment  Amount To Credit Side of Bank Account Description Field 1a.</t>
    </r>
  </si>
  <si>
    <t>RFP - Count</t>
  </si>
  <si>
    <r>
      <t xml:space="preserve">On User </t>
    </r>
    <r>
      <rPr>
        <b/>
        <sz val="12"/>
        <color rgb="FFFF0000"/>
        <rFont val="Calibri"/>
        <family val="2"/>
        <scheme val="minor"/>
      </rPr>
      <t>Clicking NEXT</t>
    </r>
    <r>
      <rPr>
        <sz val="12"/>
        <color theme="1"/>
        <rFont val="Calibri"/>
        <family val="2"/>
        <scheme val="minor"/>
      </rPr>
      <t xml:space="preserve"> Remove all the Records with Checkbox. Load More Voucher If Available</t>
    </r>
  </si>
  <si>
    <t>Table Sample</t>
  </si>
  <si>
    <t>Accounting Ledgar Master</t>
  </si>
  <si>
    <t xml:space="preserve">Discription </t>
  </si>
  <si>
    <t>AA1</t>
  </si>
  <si>
    <t xml:space="preserve">Debit </t>
  </si>
  <si>
    <t>Credit</t>
  </si>
  <si>
    <t>Accounting Documents and Abbreviation Register</t>
  </si>
  <si>
    <t>Document Description</t>
  </si>
  <si>
    <t>Abbrevation</t>
  </si>
  <si>
    <t>Payment  Voucher</t>
  </si>
  <si>
    <t>PV</t>
  </si>
  <si>
    <t>Receipt  Voucher</t>
  </si>
  <si>
    <t>RV</t>
  </si>
  <si>
    <t>PCV</t>
  </si>
  <si>
    <t>Sales Invoice</t>
  </si>
  <si>
    <t>INV</t>
  </si>
  <si>
    <t>PPV</t>
  </si>
  <si>
    <t>DN</t>
  </si>
  <si>
    <t>Credit Not</t>
  </si>
  <si>
    <t>CN</t>
  </si>
  <si>
    <t xml:space="preserve">Refer UI </t>
  </si>
  <si>
    <t>A-D7</t>
  </si>
  <si>
    <t>If F is enabled then User to ENTER Cheque No</t>
  </si>
  <si>
    <t>Possiblity of Multiple Account Description. Display Any One.</t>
  </si>
  <si>
    <t>Combobox - View/Print/ Export to Pdf</t>
  </si>
  <si>
    <t xml:space="preserve">Display </t>
  </si>
  <si>
    <t>2a,2b.2c</t>
  </si>
  <si>
    <r>
      <t xml:space="preserve">When User Clicks Checkbox and Display - </t>
    </r>
    <r>
      <rPr>
        <sz val="11"/>
        <color rgb="FFFF0000"/>
        <rFont val="Calibri"/>
        <family val="2"/>
        <scheme val="minor"/>
      </rPr>
      <t>View</t>
    </r>
    <r>
      <rPr>
        <sz val="11"/>
        <color theme="1"/>
        <rFont val="Calibri"/>
        <family val="2"/>
        <scheme val="minor"/>
      </rPr>
      <t xml:space="preserve"> then Show One Payment Voucher at a time. As it will be printed.</t>
    </r>
  </si>
  <si>
    <r>
      <t xml:space="preserve">When User Clicks Checkbox and Display - </t>
    </r>
    <r>
      <rPr>
        <sz val="11"/>
        <color rgb="FFFF0000"/>
        <rFont val="Calibri"/>
        <family val="2"/>
        <scheme val="minor"/>
      </rPr>
      <t>Print</t>
    </r>
    <r>
      <rPr>
        <sz val="11"/>
        <color theme="1"/>
        <rFont val="Calibri"/>
        <family val="2"/>
        <scheme val="minor"/>
      </rPr>
      <t xml:space="preserve"> then Print One Payment Voucher at a time. As it will be printed.</t>
    </r>
  </si>
  <si>
    <r>
      <t>When User Clicks Checkbox and Display -</t>
    </r>
    <r>
      <rPr>
        <sz val="11"/>
        <color rgb="FFFF0000"/>
        <rFont val="Calibri"/>
        <family val="2"/>
        <scheme val="minor"/>
      </rPr>
      <t xml:space="preserve"> Export</t>
    </r>
    <r>
      <rPr>
        <sz val="11"/>
        <color theme="1"/>
        <rFont val="Calibri"/>
        <family val="2"/>
        <scheme val="minor"/>
      </rPr>
      <t xml:space="preserve"> then export Payment Voucher - Can we create a fix place where system will Save the pdf copy. Storage enough to keep about 20 copies any one time.</t>
    </r>
  </si>
  <si>
    <t>Combobox. Select  - Payment Voucher I,e Payment Voucher OCBC etc</t>
  </si>
  <si>
    <r>
      <t xml:space="preserve">On Selection Display </t>
    </r>
    <r>
      <rPr>
        <sz val="9"/>
        <color rgb="FFFF0000"/>
        <rFont val="Times New Roman"/>
        <family val="1"/>
      </rPr>
      <t>Last</t>
    </r>
    <r>
      <rPr>
        <sz val="9"/>
        <color theme="1"/>
        <rFont val="Times New Roman"/>
        <family val="1"/>
      </rPr>
      <t xml:space="preserve"> 10 or so Payment Voucher. If User Selects Filter then Sort and Display as selected.</t>
    </r>
  </si>
  <si>
    <t>To Filter, Search, VIEW and Export Payment Vouchers.</t>
  </si>
  <si>
    <r>
      <rPr>
        <b/>
        <sz val="11"/>
        <color rgb="FFFF0000"/>
        <rFont val="Calibri"/>
        <family val="2"/>
        <scheme val="minor"/>
      </rPr>
      <t>1st STEP</t>
    </r>
    <r>
      <rPr>
        <sz val="11"/>
        <color theme="1"/>
        <rFont val="Calibri"/>
        <family val="2"/>
        <scheme val="minor"/>
      </rPr>
      <t xml:space="preserve"> - User To Select Which Payment Voucher to process. In our Company we have 5 Payment Voucher.</t>
    </r>
  </si>
  <si>
    <t>2a - Allow Filtering Using - Period From Date To Date</t>
  </si>
  <si>
    <t>2b - Allow Filtering Using - Stakeholder Name . Allow wild card search</t>
  </si>
  <si>
    <t>1c - Allow Filtering Using - Cost Centre</t>
  </si>
  <si>
    <r>
      <rPr>
        <b/>
        <sz val="11"/>
        <color rgb="FFFF0000"/>
        <rFont val="Calibri"/>
        <family val="2"/>
        <scheme val="minor"/>
      </rPr>
      <t>View</t>
    </r>
    <r>
      <rPr>
        <sz val="11"/>
        <color theme="1"/>
        <rFont val="Calibri"/>
        <family val="2"/>
        <scheme val="minor"/>
      </rPr>
      <t xml:space="preserve"> -  When User Select Check box in  View Mode  - Allow User to View the Voucher in format to be given to you one a time</t>
    </r>
  </si>
  <si>
    <r>
      <rPr>
        <b/>
        <sz val="11"/>
        <color rgb="FFFF0000"/>
        <rFont val="Calibri"/>
        <family val="2"/>
        <scheme val="minor"/>
      </rPr>
      <t>Print</t>
    </r>
    <r>
      <rPr>
        <sz val="11"/>
        <color theme="1"/>
        <rFont val="Calibri"/>
        <family val="2"/>
        <scheme val="minor"/>
      </rPr>
      <t xml:space="preserve"> -  When User Select Print Mode - Allow User to Print Hardcopy of Voucher in format to be given to you one a time</t>
    </r>
  </si>
  <si>
    <r>
      <rPr>
        <b/>
        <sz val="11"/>
        <color rgb="FFFF0000"/>
        <rFont val="Calibri"/>
        <family val="2"/>
        <scheme val="minor"/>
      </rPr>
      <t>Export PDF</t>
    </r>
    <r>
      <rPr>
        <sz val="11"/>
        <color theme="1"/>
        <rFont val="Calibri"/>
        <family val="2"/>
        <scheme val="minor"/>
      </rPr>
      <t xml:space="preserve">  -  When User Select Export PDF Mode - Allow User to export pdf format  the Voucher in format to be given to you one a time</t>
    </r>
  </si>
  <si>
    <t>PROCESS</t>
  </si>
  <si>
    <t>NEXT Clear Screen and display NEXT 10 records. If   Filter set then display after Filter. Do Not Clear 1a and 1b</t>
  </si>
  <si>
    <t>1a, 1b</t>
  </si>
  <si>
    <t>PREVIOUS Clear Screen and display PREVIOUS 10 records. If   Filter set then display after Filter. Do NOT clear 1a and 1b</t>
  </si>
  <si>
    <r>
      <rPr>
        <b/>
        <sz val="11"/>
        <color rgb="FFFF0000"/>
        <rFont val="Calibri"/>
        <family val="2"/>
        <scheme val="minor"/>
      </rPr>
      <t>2nd STEP.</t>
    </r>
    <r>
      <rPr>
        <sz val="11"/>
        <color theme="1"/>
        <rFont val="Calibri"/>
        <family val="2"/>
        <scheme val="minor"/>
      </rPr>
      <t xml:space="preserve"> On Selection display the latest 10 Payment Voucher - For this Payment Voucher.</t>
    </r>
  </si>
  <si>
    <r>
      <rPr>
        <b/>
        <sz val="11"/>
        <color rgb="FFFF0000"/>
        <rFont val="Calibri"/>
        <family val="2"/>
        <scheme val="minor"/>
      </rPr>
      <t>3nd STEP.</t>
    </r>
    <r>
      <rPr>
        <sz val="11"/>
        <color theme="1"/>
        <rFont val="Calibri"/>
        <family val="2"/>
        <scheme val="minor"/>
      </rPr>
      <t xml:space="preserve"> USER To Select What he wants to do. Example To VIEW Payment Voucher, PRINT hardcopy or Export Pdf copy. </t>
    </r>
    <r>
      <rPr>
        <sz val="11"/>
        <color rgb="FFFF0000"/>
        <rFont val="Calibri"/>
        <family val="2"/>
        <scheme val="minor"/>
      </rPr>
      <t>By Default Display VIEW</t>
    </r>
  </si>
  <si>
    <t>CLEAR</t>
  </si>
  <si>
    <t>CLEAR - Clear Screen including 1a and 1b and all Filters</t>
  </si>
  <si>
    <t>Payment Voucher - View/Print/Export</t>
  </si>
  <si>
    <r>
      <rPr>
        <sz val="9"/>
        <color rgb="FFFF0000"/>
        <rFont val="Times New Roman"/>
        <family val="1"/>
      </rPr>
      <t>1a</t>
    </r>
    <r>
      <rPr>
        <sz val="9"/>
        <color theme="1"/>
        <rFont val="Times New Roman"/>
        <family val="1"/>
      </rPr>
      <t xml:space="preserve"> Generally there will be ONLY One Receipt Voucher. </t>
    </r>
  </si>
  <si>
    <r>
      <t xml:space="preserve">If Cash then Only Display </t>
    </r>
    <r>
      <rPr>
        <sz val="9"/>
        <color rgb="FFFF0000"/>
        <rFont val="Times New Roman"/>
        <family val="1"/>
      </rPr>
      <t>Petty Cash Accounts.</t>
    </r>
    <r>
      <rPr>
        <sz val="9"/>
        <color theme="1"/>
        <rFont val="Times New Roman"/>
        <family val="1"/>
      </rPr>
      <t xml:space="preserve"> From Chart of Accounts. Do NOT include Banks. Likewise display only banks if Receipt Mode is = EFT (Electronic Fun Transfer) or Cheque.</t>
    </r>
  </si>
  <si>
    <t>Combobox  - Reason for Receiving Payment. Refer to UI A66. Condition applicable.</t>
  </si>
  <si>
    <t>Load Listbox1. Stakeholder Name Matching</t>
  </si>
  <si>
    <t>Cheque Amount</t>
  </si>
  <si>
    <t xml:space="preserve">Enter Cheque No </t>
  </si>
  <si>
    <t>4b Enter Cheque Amount.</t>
  </si>
  <si>
    <t>Receiving Bank</t>
  </si>
  <si>
    <t>The bank this money was deposited or the Petty Cash Account this was included. Kindly Include all Banks and Petty Cash i.e Klang Petty Cash and Bemban Petty Cash.</t>
  </si>
  <si>
    <t>Display Selected in Listbox1</t>
  </si>
  <si>
    <r>
      <t xml:space="preserve">Listbox1. IF </t>
    </r>
    <r>
      <rPr>
        <sz val="9"/>
        <color rgb="FFFF0000"/>
        <rFont val="Times New Roman"/>
        <family val="1"/>
      </rPr>
      <t>1a &lt;&gt; Bank</t>
    </r>
    <r>
      <rPr>
        <sz val="9"/>
        <color theme="1"/>
        <rFont val="Times New Roman"/>
        <family val="1"/>
      </rPr>
      <t xml:space="preserve">. Then Load All Stakeholder Name. Debtors. List and Bank List. Else If </t>
    </r>
    <r>
      <rPr>
        <sz val="9"/>
        <color rgb="FFFF0000"/>
        <rFont val="Times New Roman"/>
        <family val="1"/>
      </rPr>
      <t>1a = Petty Cash</t>
    </r>
    <r>
      <rPr>
        <sz val="9"/>
        <color theme="1"/>
        <rFont val="Times New Roman"/>
        <family val="1"/>
      </rPr>
      <t xml:space="preserve"> then Allow User To Type Stakeholder Name.</t>
    </r>
  </si>
  <si>
    <t>If Bank then Repeat Field 2 Else Find and Display the Account Description assign in Reason for Receipt (Field 5) of money.</t>
  </si>
  <si>
    <r>
      <t xml:space="preserve">If </t>
    </r>
    <r>
      <rPr>
        <sz val="9"/>
        <color rgb="FFFF0000"/>
        <rFont val="Times New Roman"/>
        <family val="1"/>
      </rPr>
      <t>1a &lt;&gt; Bank</t>
    </r>
    <r>
      <rPr>
        <sz val="9"/>
        <color theme="1"/>
        <rFont val="Times New Roman"/>
        <family val="1"/>
      </rPr>
      <t xml:space="preserve"> then based on the Reason Selected - Display 6. If </t>
    </r>
    <r>
      <rPr>
        <sz val="9"/>
        <color rgb="FFFF0000"/>
        <rFont val="Times New Roman"/>
        <family val="1"/>
      </rPr>
      <t xml:space="preserve">Bank and Reason = "Inter Bank Transfer" </t>
    </r>
    <r>
      <rPr>
        <sz val="9"/>
        <color theme="1"/>
        <rFont val="Times New Roman"/>
        <family val="1"/>
      </rPr>
      <t>- Repeat 2</t>
    </r>
  </si>
  <si>
    <t>Auto Display based on 1a and 5</t>
  </si>
  <si>
    <t>1b By Default display current Date. Allow User to Select Date. Normally Receipt Voucher is issued at a later Date.</t>
  </si>
  <si>
    <r>
      <t>4a - Enter Cheque No and Details Ime</t>
    </r>
    <r>
      <rPr>
        <sz val="9"/>
        <color rgb="FFFF0000"/>
        <rFont val="Times New Roman"/>
        <family val="1"/>
      </rPr>
      <t xml:space="preserve"> Mbb 012536</t>
    </r>
    <r>
      <rPr>
        <sz val="9"/>
        <color theme="1"/>
        <rFont val="Times New Roman"/>
        <family val="1"/>
      </rPr>
      <t xml:space="preserve"> (Malayan Banking Bhd - Cheque No 012536)</t>
    </r>
  </si>
  <si>
    <t>Payment for Documents i.e. Invoice No etc. Optional</t>
  </si>
  <si>
    <t>User have to Enter Receipt Date. Normally there will be a time different from receiving the money and issuing the Voucher.</t>
  </si>
  <si>
    <t>To Record receipt of money from Stakeholder. Generally will be On Sales Invoice. Also comment is Inter bank transfer. Transferring money from One bank account to another. On very rare occasion we will received money normally small amount in CASH. Example sales of old newspaper. this money is put into Petty Cash Account.</t>
  </si>
  <si>
    <t>In which Bank Or Petty Cash Account this Amount was deposited</t>
  </si>
  <si>
    <t>On Clicking Display - System will Display Maker User form. Allow User to EDIT data.</t>
  </si>
  <si>
    <t>If User does this refresh the Data. To display Just edited Data if ANY.</t>
  </si>
  <si>
    <t>The collected money can be deposited into Bank or into Petty Cash</t>
  </si>
  <si>
    <t xml:space="preserve">Receipt of Payment  - Maker </t>
  </si>
  <si>
    <t xml:space="preserve">Receipt of Payment  - Verifier </t>
  </si>
  <si>
    <t>Receipt of Payment  - Approver</t>
  </si>
  <si>
    <t>Receipt of Payment</t>
  </si>
  <si>
    <t>Verifier can edit Receipt of Payment Data - Provided Approver has NOT approved or rejected the Request.</t>
  </si>
  <si>
    <t>As long as the Receipt of Payment  is NOT Verified. Maker Allowed to Change/Edit Data.</t>
  </si>
  <si>
    <t>Once Verified by Verifier - Maker cannot do any changes.</t>
  </si>
  <si>
    <r>
      <t xml:space="preserve">Only Display Receipt of Payment that is </t>
    </r>
    <r>
      <rPr>
        <sz val="12"/>
        <color rgb="FFFF0000"/>
        <rFont val="Calibri"/>
        <family val="2"/>
        <scheme val="minor"/>
      </rPr>
      <t>NOT Verified By Verifier</t>
    </r>
  </si>
  <si>
    <t>If Verifier edits the data or makes changes update this Table</t>
  </si>
  <si>
    <t>F-03-02</t>
  </si>
  <si>
    <t>F-02-01</t>
  </si>
  <si>
    <t>F-02-03</t>
  </si>
  <si>
    <t>F-02-04</t>
  </si>
  <si>
    <t>F-02-02</t>
  </si>
  <si>
    <t>To Verify  Receipt of Payments</t>
  </si>
  <si>
    <r>
      <t>Only Display Receipt of Payment that has been</t>
    </r>
    <r>
      <rPr>
        <sz val="12"/>
        <color rgb="FFFF0000"/>
        <rFont val="Calibri"/>
        <family val="2"/>
        <scheme val="minor"/>
      </rPr>
      <t xml:space="preserve"> Verified By Verifier</t>
    </r>
  </si>
  <si>
    <t>Approver can edit Receipt of Payment Data</t>
  </si>
  <si>
    <t>If Approver edits the data or makes changes update this Table</t>
  </si>
  <si>
    <t>Select Receipt Voucher. In our case there is only ONE, thus auto display</t>
  </si>
  <si>
    <t>Receipt No</t>
  </si>
  <si>
    <t>Petty Cash Voucher View/Print/Export</t>
  </si>
  <si>
    <t>IF the Stakeholder, Month of Payment and Bank Account is the same we can include all this payment in ONE Payment Voucher.</t>
  </si>
  <si>
    <t>Account_Description</t>
  </si>
  <si>
    <t>Table REF</t>
  </si>
  <si>
    <t>F-001</t>
  </si>
  <si>
    <r>
      <rPr>
        <b/>
        <sz val="12"/>
        <color rgb="FFFF0000"/>
        <rFont val="Calibri"/>
        <family val="2"/>
        <scheme val="minor"/>
      </rPr>
      <t>STEP 3</t>
    </r>
    <r>
      <rPr>
        <sz val="12"/>
        <color theme="1"/>
        <rFont val="Calibri"/>
        <family val="2"/>
        <scheme val="minor"/>
      </rPr>
      <t xml:space="preserve"> - For Each Voucher Add  Payment Voucher, Payment Date, Stakeholder Name, Cost Centre, Payment  Amount To Debit Side of Account Description. Field D. Refer T</t>
    </r>
    <r>
      <rPr>
        <sz val="12"/>
        <color rgb="FFFF0000"/>
        <rFont val="Calibri"/>
        <family val="2"/>
        <scheme val="minor"/>
      </rPr>
      <t>able F-001. Sheet Table_Sample Column AA</t>
    </r>
  </si>
  <si>
    <t>Sample Table No</t>
  </si>
  <si>
    <t>RT</t>
  </si>
  <si>
    <t>Upon Accepting Auto Generate Petty Cash Voucher</t>
  </si>
  <si>
    <r>
      <t xml:space="preserve">Upon User </t>
    </r>
    <r>
      <rPr>
        <sz val="12"/>
        <color rgb="FFFF0000"/>
        <rFont val="Calibri"/>
        <family val="2"/>
        <scheme val="minor"/>
      </rPr>
      <t>Clicking SAVE</t>
    </r>
    <r>
      <rPr>
        <sz val="12"/>
        <color theme="1"/>
        <rFont val="Calibri"/>
        <family val="2"/>
        <scheme val="minor"/>
      </rPr>
      <t xml:space="preserve"> Do this Process. Since this are small amounts I am suggesting we only do this process and NOT like Payment Voucher.</t>
    </r>
  </si>
  <si>
    <r>
      <rPr>
        <b/>
        <sz val="12"/>
        <color rgb="FFFF0000"/>
        <rFont val="Calibri"/>
        <family val="2"/>
        <scheme val="minor"/>
      </rPr>
      <t>STEP 1</t>
    </r>
    <r>
      <rPr>
        <sz val="12"/>
        <color theme="1"/>
        <rFont val="Calibri"/>
        <family val="2"/>
        <scheme val="minor"/>
      </rPr>
      <t xml:space="preserve"> - On User Clicking SAVE - Save Petty Cash Payment Voucher Data To Database c/w Voucher Date, Voucher No</t>
    </r>
  </si>
  <si>
    <t>Auto Display as Selected in Menu. Refer To Column GA</t>
  </si>
  <si>
    <r>
      <rPr>
        <b/>
        <sz val="12"/>
        <color rgb="FFFF0000"/>
        <rFont val="Calibri"/>
        <family val="2"/>
        <scheme val="minor"/>
      </rPr>
      <t>STEP 3</t>
    </r>
    <r>
      <rPr>
        <sz val="12"/>
        <color theme="1"/>
        <rFont val="Calibri"/>
        <family val="2"/>
        <scheme val="minor"/>
      </rPr>
      <t xml:space="preserve"> - </t>
    </r>
    <r>
      <rPr>
        <b/>
        <sz val="12"/>
        <color theme="6" tint="-0.249977111117893"/>
        <rFont val="Calibri"/>
        <family val="2"/>
        <scheme val="minor"/>
      </rPr>
      <t>For Each Petty Cash Voucher</t>
    </r>
    <r>
      <rPr>
        <sz val="12"/>
        <color theme="1"/>
        <rFont val="Calibri"/>
        <family val="2"/>
        <scheme val="minor"/>
      </rPr>
      <t xml:space="preserve"> Add  Voucher No, Payment Date, Stakeholder Name, Cost Centre, </t>
    </r>
    <r>
      <rPr>
        <sz val="12"/>
        <color rgb="FFFF0000"/>
        <rFont val="Calibri"/>
        <family val="2"/>
        <scheme val="minor"/>
      </rPr>
      <t>Debit - Payment  Amount. Column 3</t>
    </r>
  </si>
  <si>
    <r>
      <rPr>
        <b/>
        <sz val="12"/>
        <color rgb="FFFF0000"/>
        <rFont val="Calibri"/>
        <family val="2"/>
        <scheme val="minor"/>
      </rPr>
      <t>STEP 2</t>
    </r>
    <r>
      <rPr>
        <sz val="12"/>
        <color theme="1"/>
        <rFont val="Calibri"/>
        <family val="2"/>
        <scheme val="minor"/>
      </rPr>
      <t xml:space="preserve"> - </t>
    </r>
    <r>
      <rPr>
        <b/>
        <sz val="12"/>
        <color theme="8" tint="0.39997558519241921"/>
        <rFont val="Calibri"/>
        <family val="2"/>
        <scheme val="minor"/>
      </rPr>
      <t>For Each Petty Cash Voucher</t>
    </r>
    <r>
      <rPr>
        <b/>
        <sz val="12"/>
        <color theme="1"/>
        <rFont val="Calibri"/>
        <family val="2"/>
        <scheme val="minor"/>
      </rPr>
      <t xml:space="preserve"> </t>
    </r>
    <r>
      <rPr>
        <sz val="12"/>
        <color theme="1"/>
        <rFont val="Calibri"/>
        <family val="2"/>
        <scheme val="minor"/>
      </rPr>
      <t xml:space="preserve">Add  NEW Row - Voucher No, Payment Date, Stakeholder Name, Cost Centre, Cedit - Payment  Amount. </t>
    </r>
    <r>
      <rPr>
        <sz val="12"/>
        <color rgb="FFFF0000"/>
        <rFont val="Calibri"/>
        <family val="2"/>
        <scheme val="minor"/>
      </rPr>
      <t>1a.</t>
    </r>
  </si>
  <si>
    <t>OPTION BUTTON - NEW MODE</t>
  </si>
  <si>
    <t>Reason For Payment</t>
  </si>
  <si>
    <t>Trx_No</t>
  </si>
  <si>
    <t>The Account we want to Debit or Credit</t>
  </si>
  <si>
    <t>Any Addition Information User has Provided</t>
  </si>
  <si>
    <t>The Voucher No</t>
  </si>
  <si>
    <t>The Cost Centre - If Applicable Only</t>
  </si>
  <si>
    <t>When we Add or Edit we  keep this as Active. When we Delete we state as Deleted. Only Active Trx will be included in Reports and available for editing</t>
  </si>
  <si>
    <t>The Debit Amount</t>
  </si>
  <si>
    <r>
      <t xml:space="preserve">There will be Transection with </t>
    </r>
    <r>
      <rPr>
        <sz val="11"/>
        <color rgb="FFFF0000"/>
        <rFont val="Calibri"/>
        <family val="2"/>
        <scheme val="minor"/>
      </rPr>
      <t>One Debit and Multiple Credit.</t>
    </r>
    <r>
      <rPr>
        <sz val="11"/>
        <color theme="1"/>
        <rFont val="Calibri"/>
        <family val="2"/>
        <scheme val="minor"/>
      </rPr>
      <t xml:space="preserve"> BUT the </t>
    </r>
    <r>
      <rPr>
        <sz val="11"/>
        <color rgb="FFFF0000"/>
        <rFont val="Calibri"/>
        <family val="2"/>
        <scheme val="minor"/>
      </rPr>
      <t>total debit and credit MUST be same amount.</t>
    </r>
  </si>
  <si>
    <t>This data will be used to prepare final Accounts.</t>
  </si>
  <si>
    <t>Vr Date</t>
  </si>
  <si>
    <t>Vr Ref</t>
  </si>
  <si>
    <t>Doc_Type</t>
  </si>
  <si>
    <t>The Document Description. Abbreviated.</t>
  </si>
  <si>
    <r>
      <t xml:space="preserve">There will be Transection with </t>
    </r>
    <r>
      <rPr>
        <sz val="11"/>
        <color rgb="FFFF0000"/>
        <rFont val="Calibri"/>
        <family val="2"/>
        <scheme val="minor"/>
      </rPr>
      <t>One Credit and Multiple Debit.</t>
    </r>
    <r>
      <rPr>
        <sz val="11"/>
        <color theme="1"/>
        <rFont val="Calibri"/>
        <family val="2"/>
        <scheme val="minor"/>
      </rPr>
      <t xml:space="preserve"> BUT the </t>
    </r>
    <r>
      <rPr>
        <sz val="11"/>
        <color rgb="FFFF0000"/>
        <rFont val="Calibri"/>
        <family val="2"/>
        <scheme val="minor"/>
      </rPr>
      <t>total Debit and Credit MUST be same amount.</t>
    </r>
  </si>
  <si>
    <t>The Transection in this table will look like this</t>
  </si>
  <si>
    <t>ABC Sdn Bhd</t>
  </si>
  <si>
    <t xml:space="preserve">If We make a payment say to ABC Sdn Bhd from OCBC Bank </t>
  </si>
  <si>
    <t>Bank - OCBC</t>
  </si>
  <si>
    <t>Row 1 Data</t>
  </si>
  <si>
    <t>Row 2 Data</t>
  </si>
  <si>
    <t>Assuming Not Applicable = leave as Blank</t>
  </si>
  <si>
    <t>Payment for Supplier Invoice</t>
  </si>
  <si>
    <t>To Reduce Data Size I suggest we use a Code for each Reason and Display the Reason in internal storage.</t>
  </si>
  <si>
    <t>When User wants to View/Print/Export ONLY then we display the reason description.</t>
  </si>
  <si>
    <t>We will use this Table to Save all Transection for the Company be it Payment, Receipt, Invoice, Purchase Voucher.</t>
  </si>
  <si>
    <t>To Keep  all Accounting transection. From here we will get all ledger listing and details</t>
  </si>
  <si>
    <t xml:space="preserve">I suggest we  use the abbreviation </t>
  </si>
  <si>
    <t>Reason for the Transection i.e. Payment or Petty Cash or Receipt etc.</t>
  </si>
  <si>
    <t>The Credit Amount</t>
  </si>
  <si>
    <t xml:space="preserve">Every Transection we have a No. This is Same for both Debit and Credit Entry. Why we know this is related. Serial No stating with One </t>
  </si>
  <si>
    <t>1a = Display Selected By User in Menu. Petty Cash Voucher</t>
  </si>
  <si>
    <t>1b = Display balance before any Acceptance. On each Acceptance reduce the Amount Accordingly.</t>
  </si>
  <si>
    <t>OPTION BUTTON - EDIT MODE</t>
  </si>
  <si>
    <t>OPTION BUTTON - DELETE MODE</t>
  </si>
  <si>
    <r>
      <rPr>
        <b/>
        <sz val="12"/>
        <color rgb="FFFF0000"/>
        <rFont val="Calibri"/>
        <family val="2"/>
        <scheme val="minor"/>
      </rPr>
      <t>STEP 2</t>
    </r>
    <r>
      <rPr>
        <sz val="12"/>
        <color theme="1"/>
        <rFont val="Calibri"/>
        <family val="2"/>
        <scheme val="minor"/>
      </rPr>
      <t xml:space="preserve"> - As above Overwrite the Data Row</t>
    </r>
  </si>
  <si>
    <r>
      <rPr>
        <b/>
        <sz val="12"/>
        <color rgb="FFFF0000"/>
        <rFont val="Calibri"/>
        <family val="2"/>
        <scheme val="minor"/>
      </rPr>
      <t>STEP 3</t>
    </r>
    <r>
      <rPr>
        <sz val="12"/>
        <color theme="1"/>
        <rFont val="Calibri"/>
        <family val="2"/>
        <scheme val="minor"/>
      </rPr>
      <t xml:space="preserve"> - As above Overwrite the Data Row</t>
    </r>
  </si>
  <si>
    <t>By Month</t>
  </si>
  <si>
    <t>Select Month - Jan To Dec</t>
  </si>
  <si>
    <t>Select Year - Current year to data Available year</t>
  </si>
  <si>
    <t>Month-Year</t>
  </si>
  <si>
    <t>3a = Filter Start Date. 3b = Filter End Date; 3c = Select Month from drop down list, 3d = Select Year from drop down list, 3e = Filter by Stakeholder. Allow Wild Card entry</t>
  </si>
  <si>
    <t>Display Receipt Date</t>
  </si>
  <si>
    <t>Field 6 - UI F-03-01</t>
  </si>
  <si>
    <t>From Whom we received the payment OR Why we received this Money</t>
  </si>
  <si>
    <t>Field 4a &amp; 4b  - UI F-03-01</t>
  </si>
  <si>
    <t>Cheque Details if applicable</t>
  </si>
  <si>
    <t>We will NOT do like payment process because money is coming in. Going Out we need tighter controller.</t>
  </si>
  <si>
    <t>If Approver edits the data or makes changes update this Table agin</t>
  </si>
  <si>
    <t>Display NEW, EDIT,DELETE</t>
  </si>
  <si>
    <r>
      <t xml:space="preserve">Upon User </t>
    </r>
    <r>
      <rPr>
        <sz val="12"/>
        <color rgb="FFFF0000"/>
        <rFont val="Calibri"/>
        <family val="2"/>
        <scheme val="minor"/>
      </rPr>
      <t>Clicking SAVE</t>
    </r>
    <r>
      <rPr>
        <sz val="12"/>
        <color theme="1"/>
        <rFont val="Calibri"/>
        <family val="2"/>
        <scheme val="minor"/>
      </rPr>
      <t xml:space="preserve"> Do this Process. Since this are RECEIVING amounts I am suggesting we only do this process and NOT like Payment Voucher.</t>
    </r>
  </si>
  <si>
    <r>
      <rPr>
        <b/>
        <sz val="12"/>
        <color rgb="FFFF0000"/>
        <rFont val="Calibri"/>
        <family val="2"/>
        <scheme val="minor"/>
      </rPr>
      <t xml:space="preserve">STEP 3 </t>
    </r>
    <r>
      <rPr>
        <sz val="12"/>
        <color theme="1"/>
        <rFont val="Calibri"/>
        <family val="2"/>
        <scheme val="minor"/>
      </rPr>
      <t xml:space="preserve">- For Each Receipt of Payment Voucher Add  Trx No, Voucher No, Voucher Date,  Cheque Details, Debit - Payment  Amount. </t>
    </r>
    <r>
      <rPr>
        <sz val="12"/>
        <color rgb="FFFF0000"/>
        <rFont val="Calibri"/>
        <family val="2"/>
        <scheme val="minor"/>
      </rPr>
      <t>Column 3</t>
    </r>
  </si>
  <si>
    <r>
      <rPr>
        <b/>
        <sz val="12"/>
        <color rgb="FFFF0000"/>
        <rFont val="Calibri"/>
        <family val="2"/>
        <scheme val="minor"/>
      </rPr>
      <t>STEP 2</t>
    </r>
    <r>
      <rPr>
        <sz val="12"/>
        <color theme="1"/>
        <rFont val="Calibri"/>
        <family val="2"/>
        <scheme val="minor"/>
      </rPr>
      <t xml:space="preserve"> - For Each Receipt of Payment Voucher Add  NEW Row - Trx No, Voucher No, Voucher Date, Cheque details, , Credit - </t>
    </r>
    <r>
      <rPr>
        <sz val="12"/>
        <color rgb="FFFF0000"/>
        <rFont val="Calibri"/>
        <family val="2"/>
        <scheme val="minor"/>
      </rPr>
      <t>Column 2</t>
    </r>
  </si>
  <si>
    <r>
      <rPr>
        <b/>
        <sz val="12"/>
        <color rgb="FFFF0000"/>
        <rFont val="Calibri"/>
        <family val="2"/>
        <scheme val="minor"/>
      </rPr>
      <t>STEP 2</t>
    </r>
    <r>
      <rPr>
        <sz val="12"/>
        <color theme="1"/>
        <rFont val="Calibri"/>
        <family val="2"/>
        <scheme val="minor"/>
      </rPr>
      <t xml:space="preserve"> - Chenge Status in Column AJ in Table to "Deleted"</t>
    </r>
  </si>
  <si>
    <r>
      <rPr>
        <b/>
        <sz val="12"/>
        <color rgb="FFFF0000"/>
        <rFont val="Calibri"/>
        <family val="2"/>
        <scheme val="minor"/>
      </rPr>
      <t>STEP 3</t>
    </r>
    <r>
      <rPr>
        <sz val="12"/>
        <color theme="1"/>
        <rFont val="Calibri"/>
        <family val="2"/>
        <scheme val="minor"/>
      </rPr>
      <t xml:space="preserve"> - Change Status in Column AJ in Table to "Deleted". All Row having the same Trx No. In case there is more Debit Trx then Credit Trx. Normally 1 To 1</t>
    </r>
  </si>
  <si>
    <r>
      <rPr>
        <b/>
        <sz val="12"/>
        <color rgb="FFFF0000"/>
        <rFont val="Calibri"/>
        <family val="2"/>
        <scheme val="minor"/>
      </rPr>
      <t>STEP 1</t>
    </r>
    <r>
      <rPr>
        <sz val="12"/>
        <color theme="1"/>
        <rFont val="Calibri"/>
        <family val="2"/>
        <scheme val="minor"/>
      </rPr>
      <t xml:space="preserve"> - On User Clicking SAVE - Save Receipt of Payment Voucher Data To Database c/w Voucher Date, Voucher No. </t>
    </r>
    <r>
      <rPr>
        <sz val="12"/>
        <color rgb="FFFF0000"/>
        <rFont val="Calibri"/>
        <family val="2"/>
        <scheme val="minor"/>
      </rPr>
      <t>System to issue Receipt No = Receipt Voucher No</t>
    </r>
  </si>
  <si>
    <r>
      <t xml:space="preserve">To Approve Receipt of Payments. In our company we have ONLY one Receipt Voucher for all Banks. Thus we are selecting the </t>
    </r>
    <r>
      <rPr>
        <sz val="12"/>
        <color rgb="FFFF0000"/>
        <rFont val="Calibri"/>
        <family val="2"/>
        <scheme val="minor"/>
      </rPr>
      <t>Bank in F 03-01 Field 1</t>
    </r>
  </si>
  <si>
    <t>Auto Display Receipt date</t>
  </si>
  <si>
    <t>Column 3 in UI F-03-03</t>
  </si>
  <si>
    <t>Column 3 in UI F-03-04</t>
  </si>
  <si>
    <t>Column 3 in UI F-03-05</t>
  </si>
  <si>
    <t>Column 3 in UI F-03-06</t>
  </si>
  <si>
    <t>Column 3 in UI F-03-07</t>
  </si>
  <si>
    <t>Column 3 in UI F-03-08</t>
  </si>
  <si>
    <t>Column 3 in UI F-03-09</t>
  </si>
  <si>
    <t>Column 3 in UI F-03-10</t>
  </si>
  <si>
    <t>Column 3 in UI F-03-11</t>
  </si>
  <si>
    <t>Column 2 in UI F-03-03</t>
  </si>
  <si>
    <t>Column 2 in UI F-03-04</t>
  </si>
  <si>
    <t>Column 2 in UI F-03-05</t>
  </si>
  <si>
    <t>Column 2 in UI F-03-06</t>
  </si>
  <si>
    <t>Column 2 in UI F-03-07</t>
  </si>
  <si>
    <t>Column 2 in UI F-03-08</t>
  </si>
  <si>
    <t>Column 2 in UI F-03-09</t>
  </si>
  <si>
    <t>Column 2 in UI F-03-10</t>
  </si>
  <si>
    <t>Column 2 in UI F-03-11</t>
  </si>
  <si>
    <t>OPTION</t>
  </si>
  <si>
    <t>Auto Display Receipt No</t>
  </si>
  <si>
    <t>1b - User has this Options - VIEW, PRINT Or PDF</t>
  </si>
  <si>
    <t>3a - 3f</t>
  </si>
  <si>
    <t>4a - 4f</t>
  </si>
  <si>
    <t>5a - 5f</t>
  </si>
  <si>
    <t>OPTION -</t>
  </si>
  <si>
    <t>In our Case we have Klang Office Petty Cash and Bemban Office Petty Cash. Some companies have numerous Petty Cash i.e. for each PCC</t>
  </si>
  <si>
    <t>User MUST Select Petty Cash To Proceed. Do NOT allow Filter Selection if Petty Cash is Blank Field 1a)</t>
  </si>
  <si>
    <t>Option Available - View, Print or Pdf</t>
  </si>
  <si>
    <t>Deposit Into</t>
  </si>
  <si>
    <t>Deposited Into</t>
  </si>
  <si>
    <t>Filter Based on Column D Value</t>
  </si>
  <si>
    <t>Filter Based on Column C Value</t>
  </si>
  <si>
    <t>2a,2b,2c,2d,2e,2f</t>
  </si>
  <si>
    <t>6a - 6f</t>
  </si>
  <si>
    <t xml:space="preserve">Refer to my comments for Petty Cash Voucher </t>
  </si>
  <si>
    <t>To View, Print and Export Payment Voucher.</t>
  </si>
  <si>
    <t>In all cases the document will exactly as print copy.</t>
  </si>
  <si>
    <t>Receipt of Voucher View/Print/Export</t>
  </si>
  <si>
    <t xml:space="preserve">Purchase Voucher  - Maker </t>
  </si>
  <si>
    <t xml:space="preserve">Purchase Voucher  - Verifier </t>
  </si>
  <si>
    <t>Purchase Voucher  - Approver</t>
  </si>
  <si>
    <t>F-04-02</t>
  </si>
  <si>
    <t>F-05-05</t>
  </si>
  <si>
    <t>F-05-06</t>
  </si>
  <si>
    <t>F-05-07</t>
  </si>
  <si>
    <t>F-06-08</t>
  </si>
  <si>
    <t>F-06-09</t>
  </si>
  <si>
    <t>F-05-08</t>
  </si>
  <si>
    <t>F-05-09</t>
  </si>
  <si>
    <t>F-07-02</t>
  </si>
  <si>
    <t>F-05-02</t>
  </si>
  <si>
    <t>This Voucher we use to Purchase Anything that is NOT purchase using Purchase Order System. PO system start with MR. But there are cases we cant do this. Example Utilities they are auto billed. Another cases is rental.</t>
  </si>
  <si>
    <t>Approver F-02-03</t>
  </si>
  <si>
    <t>Verify F-02-01</t>
  </si>
  <si>
    <t>F-01-02</t>
  </si>
  <si>
    <t>Approve F-01-02</t>
  </si>
  <si>
    <t>Reason For Purchase</t>
  </si>
  <si>
    <t>Period/Month</t>
  </si>
  <si>
    <t>F-04-04</t>
  </si>
  <si>
    <t>Amount - RM</t>
  </si>
  <si>
    <t>Auto Display based on Reason for Purchase</t>
  </si>
  <si>
    <t>Allow Wild Card Search</t>
  </si>
  <si>
    <t xml:space="preserve">Why we are purchase something </t>
  </si>
  <si>
    <t>Master</t>
  </si>
  <si>
    <t>Reason For Purchasing</t>
  </si>
  <si>
    <t>Auto Display Purchase Voucher</t>
  </si>
  <si>
    <t>Reason For Accounting Voucher</t>
  </si>
  <si>
    <t>F-002</t>
  </si>
  <si>
    <t>BA1</t>
  </si>
  <si>
    <t>Voucher_Type</t>
  </si>
  <si>
    <t>Account_Classification</t>
  </si>
  <si>
    <t xml:space="preserve">Kindly Refer To Table F-002. In Worksheet Tamble_Sample. </t>
  </si>
  <si>
    <t>I am suggesting for all Accounts Voucher Reason we use ONLY one table.</t>
  </si>
  <si>
    <t>List Reason for Puchase. Filter and Display from Table F-002</t>
  </si>
  <si>
    <t>Same logic as Request for Payment</t>
  </si>
  <si>
    <t>Optional. If Payment is for a specific Month or Period User to Enter Value</t>
  </si>
  <si>
    <t>Optional. Any other relevent Information.</t>
  </si>
  <si>
    <t>Amount Payable</t>
  </si>
  <si>
    <t>Listbox2. Reason for Purchase.</t>
  </si>
  <si>
    <t>Select from List. Load Only Active Cost Centre and PCC</t>
  </si>
  <si>
    <t>Last Reading</t>
  </si>
  <si>
    <t>This Reading</t>
  </si>
  <si>
    <t>Enter Reading as Stated in Bill</t>
  </si>
  <si>
    <t>Optional - Select From list. Load Stakeholder Classification</t>
  </si>
  <si>
    <t>Optional - Select From list - Load Account Classification</t>
  </si>
  <si>
    <t>Listbox1 Display all Stakeholder</t>
  </si>
  <si>
    <t>Purchase Voucher  - Verfifier</t>
  </si>
  <si>
    <t>If User Wants to Narrow Search User can Use this Option. If User Selects then Filter and Display ONLY Stakeholders = This Calssification in Listbox1</t>
  </si>
  <si>
    <t>Select Cost Centre If Applicable.</t>
  </si>
  <si>
    <r>
      <rPr>
        <b/>
        <sz val="9"/>
        <color rgb="FFFF0000"/>
        <rFont val="Calibri"/>
        <family val="2"/>
        <scheme val="minor"/>
      </rPr>
      <t>3b</t>
    </r>
    <r>
      <rPr>
        <sz val="9"/>
        <color theme="1"/>
        <rFont val="Calibri"/>
        <family val="2"/>
        <scheme val="minor"/>
      </rPr>
      <t>. If User wants to Narrow Search User can Use this Option. If User Selects then Filter and Display ONLY Accounts Description in this Account Calssification in Listbox2</t>
    </r>
  </si>
  <si>
    <t>If Account Classification is = Utility then Allow user to enter data. Else disable this field</t>
  </si>
  <si>
    <t>Enter Invoice No if Available</t>
  </si>
  <si>
    <t>Optional User To EnterInvoice No</t>
  </si>
  <si>
    <t>To Include in account  purchaser not procured  via Purchase Order System. This include and NOT limited to Urgent purchase, abnormal purchase like land and building, auto billed purchase like water, electricity or fix monthly commitment like rental.</t>
  </si>
  <si>
    <t>Maker can EDIT data as long as NEXT level i.e Verifier has NOT Verified the transection.</t>
  </si>
  <si>
    <t>Purchase Voucher  - Date</t>
  </si>
  <si>
    <t>Auto Display Current Date</t>
  </si>
  <si>
    <t xml:space="preserve">No Backdating allowed. </t>
  </si>
  <si>
    <t>From whom we purchase or have to make payment</t>
  </si>
  <si>
    <t>Reason for payment</t>
  </si>
  <si>
    <t>Cost Centre if Applicable</t>
  </si>
  <si>
    <t xml:space="preserve">Cost of the Purchase </t>
  </si>
  <si>
    <t>To Verify  Purchase Voucher</t>
  </si>
  <si>
    <r>
      <t xml:space="preserve">Only Display Purchase Voucher that is </t>
    </r>
    <r>
      <rPr>
        <sz val="12"/>
        <color rgb="FFFF0000"/>
        <rFont val="Calibri"/>
        <family val="2"/>
        <scheme val="minor"/>
      </rPr>
      <t>NOT Verified By Verifier</t>
    </r>
  </si>
  <si>
    <t>Verifier can edit  Data - Provided Approver has NOT approved or rejected the Purchase Voucher</t>
  </si>
  <si>
    <t>To Approve  Purchase Voucher</t>
  </si>
  <si>
    <r>
      <t xml:space="preserve">Only Display Purchase Voucher that has been </t>
    </r>
    <r>
      <rPr>
        <sz val="12"/>
        <color rgb="FFFF0000"/>
        <rFont val="Calibri"/>
        <family val="2"/>
        <scheme val="minor"/>
      </rPr>
      <t>Verified By Verifier</t>
    </r>
  </si>
  <si>
    <t>Once Approved or Rejected by Approver - Verifier &amp; Maker cannot make changes.</t>
  </si>
  <si>
    <t>We will process this Voucher the same as Receipt Voucher</t>
  </si>
  <si>
    <t>Kindly take NOT we will have ONLY one Purchase Voucher. BUT purchase Voucher will be generated by this way and also by Purchase Order Module.</t>
  </si>
  <si>
    <r>
      <t xml:space="preserve">Upon User </t>
    </r>
    <r>
      <rPr>
        <sz val="12"/>
        <color rgb="FFFF0000"/>
        <rFont val="Calibri"/>
        <family val="2"/>
        <scheme val="minor"/>
      </rPr>
      <t>Clicking SAVE</t>
    </r>
    <r>
      <rPr>
        <sz val="12"/>
        <color theme="1"/>
        <rFont val="Calibri"/>
        <family val="2"/>
        <scheme val="minor"/>
      </rPr>
      <t xml:space="preserve"> Do this Process. </t>
    </r>
  </si>
  <si>
    <r>
      <rPr>
        <b/>
        <sz val="12"/>
        <color rgb="FFFF0000"/>
        <rFont val="Calibri"/>
        <family val="2"/>
        <scheme val="minor"/>
      </rPr>
      <t>STEP 1</t>
    </r>
    <r>
      <rPr>
        <sz val="12"/>
        <color theme="1"/>
        <rFont val="Calibri"/>
        <family val="2"/>
        <scheme val="minor"/>
      </rPr>
      <t xml:space="preserve"> - On User Clicking SAVE - Save Purchase Voucher Data To Database c/w Voucher Date, Voucher No. </t>
    </r>
    <r>
      <rPr>
        <sz val="12"/>
        <color rgb="FFFF0000"/>
        <rFont val="Calibri"/>
        <family val="2"/>
        <scheme val="minor"/>
      </rPr>
      <t xml:space="preserve">System to issue Voucher No </t>
    </r>
  </si>
  <si>
    <t>Cheque/Doc No</t>
  </si>
  <si>
    <r>
      <rPr>
        <b/>
        <sz val="12"/>
        <color rgb="FFFF0000"/>
        <rFont val="Calibri"/>
        <family val="2"/>
        <scheme val="minor"/>
      </rPr>
      <t>STEP 3</t>
    </r>
    <r>
      <rPr>
        <sz val="12"/>
        <color theme="1"/>
        <rFont val="Calibri"/>
        <family val="2"/>
        <scheme val="minor"/>
      </rPr>
      <t xml:space="preserve"> - For Each Purchase Voucher Add  NEW Row - Trx No, Voucher No, Voucher Date, Cost Centre, Reason for Purchase, Invoice No, Debit - </t>
    </r>
    <r>
      <rPr>
        <sz val="12"/>
        <color rgb="FFFF0000"/>
        <rFont val="Calibri"/>
        <family val="2"/>
        <scheme val="minor"/>
      </rPr>
      <t>Column 3</t>
    </r>
  </si>
  <si>
    <r>
      <rPr>
        <b/>
        <sz val="12"/>
        <color rgb="FFFF0000"/>
        <rFont val="Calibri"/>
        <family val="2"/>
        <scheme val="minor"/>
      </rPr>
      <t>STEP 2</t>
    </r>
    <r>
      <rPr>
        <sz val="12"/>
        <color theme="1"/>
        <rFont val="Calibri"/>
        <family val="2"/>
        <scheme val="minor"/>
      </rPr>
      <t xml:space="preserve"> - For Each Purchase Voucher Add  NEW Row - Trx No, Voucher No, Voucher Date, Cost Centre, Reason for Purchase, Invoice No, Credit - </t>
    </r>
    <r>
      <rPr>
        <sz val="12"/>
        <color rgb="FFFF0000"/>
        <rFont val="Calibri"/>
        <family val="2"/>
        <scheme val="minor"/>
      </rPr>
      <t>Column 2</t>
    </r>
    <r>
      <rPr>
        <sz val="12"/>
        <color theme="1"/>
        <rFont val="Calibri"/>
        <family val="2"/>
        <scheme val="minor"/>
      </rPr>
      <t xml:space="preserve"> (Stakeholder)</t>
    </r>
  </si>
  <si>
    <t>In NEW Mode only display Voucher NOT Approved and NOT Rejected. In EDIT show all. In Delete show NOT Deleted records.</t>
  </si>
  <si>
    <t>Purcahse Voucher View/Print/Export</t>
  </si>
  <si>
    <t>To View, Print On Printer and to export as Pdf Copy.</t>
  </si>
  <si>
    <t>Select Purchase Voucher. In our case there is only ONE, thus auto display</t>
  </si>
  <si>
    <t>To View, Print and Export Purchase Voucher.</t>
  </si>
  <si>
    <t>Option Include View, Print or Export</t>
  </si>
  <si>
    <t>F-10-02</t>
  </si>
  <si>
    <t>F-08-01</t>
  </si>
  <si>
    <t>F-08-02</t>
  </si>
  <si>
    <t>F-08-03</t>
  </si>
  <si>
    <t>F-09-01</t>
  </si>
  <si>
    <t>F-09-02</t>
  </si>
  <si>
    <t>F-09-03</t>
  </si>
  <si>
    <t>F-12-01</t>
  </si>
  <si>
    <t>F-12-02</t>
  </si>
  <si>
    <t>F-12-03</t>
  </si>
  <si>
    <t>Combobox - Select WPS Classification</t>
  </si>
  <si>
    <t xml:space="preserve">Option Button </t>
  </si>
  <si>
    <t>Work &amp; Services</t>
  </si>
  <si>
    <t>Material is one resources - thus we use Purchase Order to Purchase Material</t>
  </si>
  <si>
    <t>General - Works and Services - Use More then ONE resources. Thus we use Work Order to purchase this.</t>
  </si>
  <si>
    <t>For Information Only</t>
  </si>
  <si>
    <t xml:space="preserve">Display Existing WPS Classification. </t>
  </si>
  <si>
    <t>Construction Purchase</t>
  </si>
  <si>
    <t>Non Construction Purchase</t>
  </si>
  <si>
    <t>Non Construction</t>
  </si>
  <si>
    <t>If 5 = True and 6 = True then we will Issue Purchase Order</t>
  </si>
  <si>
    <t>If 4 = True and 7 = True then we will Issue Work Order</t>
  </si>
  <si>
    <t>If 5 = True and 7 = True then we will Issue Work Order</t>
  </si>
  <si>
    <t>Generally there are 3 resources in Construction as in other industries.. Namely Material, Labour and Equipment's</t>
  </si>
  <si>
    <t>WPS Classification = 1st Level.</t>
  </si>
  <si>
    <t>WPS Group = 2nd Level.</t>
  </si>
  <si>
    <r>
      <t xml:space="preserve">In Construction industry they also refer Works &amp; Services as </t>
    </r>
    <r>
      <rPr>
        <sz val="11"/>
        <color rgb="FFFF0000"/>
        <rFont val="Times New Roman"/>
        <family val="1"/>
      </rPr>
      <t>Bill of Quantity Description - BQ Description.</t>
    </r>
  </si>
  <si>
    <t>Purchase Type - Non Revenue - Revenue (Direct &amp; Indirect)</t>
  </si>
  <si>
    <t>Load Created Via UI W-01</t>
  </si>
  <si>
    <t>Display  UI W-01 Field 8</t>
  </si>
  <si>
    <t>Auto Display information on Selection Field 1. For Information</t>
  </si>
  <si>
    <t>Example a WPS Classification = Construction Building Material may have this Groups. Refer To Table below.</t>
  </si>
  <si>
    <t>Hour's</t>
  </si>
  <si>
    <t>Lites</t>
  </si>
  <si>
    <t>Penyelenggaraan Pemadat</t>
  </si>
  <si>
    <t>Compactor Maintain Ence</t>
  </si>
  <si>
    <t>Asset_Mgm</t>
  </si>
  <si>
    <t>Finance_Accounts</t>
  </si>
  <si>
    <t>Table_Sample</t>
  </si>
  <si>
    <t>Doc_Print_Copy</t>
  </si>
  <si>
    <t>SChedule_A_B</t>
  </si>
  <si>
    <t>WPS_BQ_Desp</t>
  </si>
  <si>
    <t>UI_Comments</t>
  </si>
  <si>
    <t>Sheet Description</t>
  </si>
  <si>
    <t xml:space="preserve">Asset Management UI </t>
  </si>
  <si>
    <t>Enabled</t>
  </si>
  <si>
    <t>User Interface Comments</t>
  </si>
  <si>
    <t>Classification (ID)</t>
  </si>
  <si>
    <t>Edit Accounts Classification</t>
  </si>
  <si>
    <t>What is this. Is this suppose to be Classification (Bahasa)</t>
  </si>
  <si>
    <t>Main Menu</t>
  </si>
  <si>
    <t>Is Shereholders Fund</t>
  </si>
  <si>
    <t xml:space="preserve">Amended </t>
  </si>
  <si>
    <t>9a</t>
  </si>
  <si>
    <t>9b</t>
  </si>
  <si>
    <t>Table/UI</t>
  </si>
  <si>
    <t>Issue</t>
  </si>
  <si>
    <t>MY Comments</t>
  </si>
  <si>
    <t>Add New Account Classifications</t>
  </si>
  <si>
    <t>1st To 3rd Column - Align Left</t>
  </si>
  <si>
    <t>Disposing Asset</t>
  </si>
  <si>
    <t>Assets Group</t>
  </si>
  <si>
    <t>Making Payment</t>
  </si>
  <si>
    <t>Assets Nominal Value</t>
  </si>
  <si>
    <t>Making Petty Cash Payment</t>
  </si>
  <si>
    <t>Employee Grouping</t>
  </si>
  <si>
    <t>Chart of Account</t>
  </si>
  <si>
    <t>Moving Asset</t>
  </si>
  <si>
    <t>Receiving Payment</t>
  </si>
  <si>
    <t>Rejecting MR</t>
  </si>
  <si>
    <t>Resignation/Termination</t>
  </si>
  <si>
    <t>Travelling</t>
  </si>
  <si>
    <t>Menu Layout</t>
  </si>
  <si>
    <t>BQ Description Master</t>
  </si>
  <si>
    <t xml:space="preserve">New Master To Be Added . </t>
  </si>
  <si>
    <t>Reposition the Master</t>
  </si>
  <si>
    <t>Chart Of Account</t>
  </si>
  <si>
    <t>Can we standardise for BOTH NEW and EDIT - Place Holder as Select Account Classification.</t>
  </si>
  <si>
    <t>Utilities - Indirect</t>
  </si>
  <si>
    <t>Utilities - Direct</t>
  </si>
  <si>
    <t>Utiliti - Bukan Tapak Pembinaan</t>
  </si>
  <si>
    <t>Utiliti - Tapak Pembinaan</t>
  </si>
  <si>
    <t>One More Column required - Bahasa</t>
  </si>
  <si>
    <t>Suggest Caption - Classification (En) and Classification(BM) -  BM = Bahasa Malaysia.</t>
  </si>
  <si>
    <t>WE standardise the Pleholder as Enter English and Enter Bahasa as done in Account Classification</t>
  </si>
  <si>
    <t>1st To 4rd Column - Align Left</t>
  </si>
  <si>
    <t>UI A-02</t>
  </si>
  <si>
    <t>Please Check we need another item - refer to 9b. Omitted earlier by me.</t>
  </si>
  <si>
    <t>Chart of Account (Account Ledgar Master)</t>
  </si>
  <si>
    <t>Field 4 is Missing in your UI</t>
  </si>
  <si>
    <t xml:space="preserve">UI A-10. Field 4 </t>
  </si>
  <si>
    <t>Menu_Layout</t>
  </si>
  <si>
    <t>Comments on UI and Tables</t>
  </si>
  <si>
    <t>Suggestion for Tables</t>
  </si>
  <si>
    <t>Add Accounting Vouchers</t>
  </si>
  <si>
    <t>Accounting Voucher Master.</t>
  </si>
  <si>
    <t>You have to change Item 12 for me to Test.</t>
  </si>
  <si>
    <t>Voucher No.</t>
  </si>
  <si>
    <t>This Field is for User to Enter when he migrates from his manual system to ours. Kindly rename Caption as Last Voucher No. Optional Field. Information will be available later only.</t>
  </si>
  <si>
    <t>Name (ID)</t>
  </si>
  <si>
    <t>Change to Name(BM)</t>
  </si>
  <si>
    <t>Voucher Status &amp; Serial No</t>
  </si>
  <si>
    <t>Status and Sequence &amp; Serial Configurations. Kindly Use EDIT UI Format - Change ADD UI Format. Make both Same (Add &amp; Edit)</t>
  </si>
  <si>
    <t>Kindly Check my UI comments for this Field UI A-01</t>
  </si>
  <si>
    <t>Kindly take note in Edit UI - 2 radio button are automatically selected.</t>
  </si>
  <si>
    <t>Edit UI</t>
  </si>
  <si>
    <t>Add UI</t>
  </si>
  <si>
    <t>Account Description Field  is missing in ADD UI, BUT is available in EDIT UI</t>
  </si>
  <si>
    <t>Table Alignment</t>
  </si>
  <si>
    <t>Align to left all columns</t>
  </si>
  <si>
    <t>Table</t>
  </si>
  <si>
    <t>UI A59</t>
  </si>
  <si>
    <t>UOM Group Master</t>
  </si>
  <si>
    <t xml:space="preserve">Align to left all columns. </t>
  </si>
  <si>
    <t>Asset Group Setup</t>
  </si>
  <si>
    <t>Asset Parameters - Move it Up. The selection we determine weather Depreciation Year is required or NOT.</t>
  </si>
  <si>
    <t>Add Asset Groups</t>
  </si>
  <si>
    <t>We show the Freehold (Field Before the Years of Depreciation.) This field if can be shorten try too.</t>
  </si>
  <si>
    <t>UI ADD</t>
  </si>
  <si>
    <t>Enable field ONLY IF Depreciation Period (Years)  1) IF User Select 1) Capitalise then User To Select 2) Moveable or Immovable. If User Selects Immoveable then User to Select 3) Freehold or Leasehold (Adding New Field). If User selects Freehold User to Enter Depreciation years Else Disabled Depreciation Years. If User select Moveable. Do NOT proceed to 3. Ask User to enter No of Years.</t>
  </si>
  <si>
    <t>FOR All user forms allow user to move the UI. If not we cannot see the Table. The table is shown to USER so that he does not duplicate an ENTRY. Knows what already has been created. TRY Asset Group Setup - Add MODE.</t>
  </si>
  <si>
    <t>Stakeholder Communication Record</t>
  </si>
  <si>
    <t xml:space="preserve">Remove </t>
  </si>
  <si>
    <t>STAKEHOLDER MASTER - MAKER FORM</t>
  </si>
  <si>
    <t xml:space="preserve">Tabs </t>
  </si>
  <si>
    <t>Reposition Field</t>
  </si>
  <si>
    <t>We move Bank &amp; Bank Account No to 3rd Tab above Status and Reason. Only for Creditors we collect this Information to make payment. Status will be automatically Active in Maker Form</t>
  </si>
  <si>
    <t>Keep Notes below SST and GST</t>
  </si>
  <si>
    <t>DASHBOARD</t>
  </si>
  <si>
    <t>Have Icon for User to Edit Data/ Delete Data. On Left side as other Master Forms. On Selection display existing data in Maker Form for User to EDIT. Check weather user has authority to EDIT/DELETE.</t>
  </si>
  <si>
    <t>Or Is it To Show that this is NEW Record. If this is the case then we will have STATUS column.</t>
  </si>
  <si>
    <t>Allow sorting/Filtering by Classification, Stakeholder and IF Status Column is Available</t>
  </si>
  <si>
    <t>Pending Verifications</t>
  </si>
  <si>
    <t>STAKEHOLDER MASTER - VERIFIER</t>
  </si>
  <si>
    <t>STAKEHOLDER MASTER - APPROVER</t>
  </si>
  <si>
    <t>Kindly do same as Verifier</t>
  </si>
  <si>
    <t>STAKEHOLDER MASTER - DASHBOARD</t>
  </si>
  <si>
    <t>Stakeholder Parent, Branch Description, Branch Function, Verifier Step, Approver Step. Rearrange  Stakeholder, Location. Description, Location Function. Why I am Using Location - Because this can be a store, Manufacturing Place etc.</t>
  </si>
  <si>
    <t>STAKEHOLDER BRANCH - DASHBOARD</t>
  </si>
  <si>
    <t>STAKEHOLDER BRANCH - MAKER FORM</t>
  </si>
  <si>
    <t>Tab</t>
  </si>
  <si>
    <t>Notes Move from 3rd Tab to 1st Tab</t>
  </si>
  <si>
    <t>Top Left Corner - Search What is this For</t>
  </si>
  <si>
    <t>STAKEHOLDER INDIVIDUALS - MAKER FORM</t>
  </si>
  <si>
    <t>Tab Caption</t>
  </si>
  <si>
    <t>Contract &amp; Communication &gt; Communication</t>
  </si>
  <si>
    <t xml:space="preserve">Field </t>
  </si>
  <si>
    <t>Move NOTES to 1st Tab</t>
  </si>
  <si>
    <t>Individual Identity Basics &gt; Contact Details</t>
  </si>
  <si>
    <t xml:space="preserve">Status &amp; Ammonisation &gt; Status </t>
  </si>
  <si>
    <t>How to Know how many Contacts has been register for this Stakeholder</t>
  </si>
  <si>
    <t>Internal Supplementary Notes &gt; Notes</t>
  </si>
  <si>
    <t>Stakeholder Contact</t>
  </si>
  <si>
    <t>Display Latest to Oldest Communication</t>
  </si>
  <si>
    <t>STAKEHOLDER COMMUNICATION - MAKER FORM</t>
  </si>
  <si>
    <t>Date ,Stakeholder Contact, Communication Details. Staff (Who Enter this details), Status of Communication Can be deleted only by Admin</t>
  </si>
  <si>
    <t>Whoever writes here we will capture the User name and hold them responsible for the accuracy of the information</t>
  </si>
  <si>
    <t>The 2 Tab at the Right may not be necessary.</t>
  </si>
  <si>
    <t>On Selection the 1st Row will be empty and all past communication with the Stakeholder will be display</t>
  </si>
  <si>
    <t>Auto insert the Date</t>
  </si>
  <si>
    <t>User to select the Contact he communicated with</t>
  </si>
  <si>
    <t>Our Staff Name we Auto Capture this based on log in details.</t>
  </si>
  <si>
    <t xml:space="preserve">User Will Select the Stakeholder </t>
  </si>
  <si>
    <t>To Create WPS Bills of Quantity Description. This List we will use in Work Order Module</t>
  </si>
  <si>
    <t>User can Select ONLY ONE of 3,4,5</t>
  </si>
  <si>
    <r>
      <t xml:space="preserve">If Field 4 or Field 5 = True Then user to Select ONE of Field 6 or 7. </t>
    </r>
    <r>
      <rPr>
        <sz val="9"/>
        <color rgb="FFFF0000"/>
        <rFont val="Times New Roman"/>
        <family val="1"/>
      </rPr>
      <t>If 3 = True then Automaticall Field 6 = True. Field 7 = False</t>
    </r>
  </si>
  <si>
    <t xml:space="preserve">To Create WPS Product Master. This List we will use for Purchase Order Module. I am Changing the WORD Material to Product because generally Material is something you use to make something else. But here we are also purchasing chair, Computer. Not using something to make another thing. </t>
  </si>
  <si>
    <t>Yes, there is a distinct difference. A material is a raw input, component, or unprocessed substance used to manufacture something. A product is the finished, processed item</t>
  </si>
  <si>
    <t>Product Master    &amp;  Bill of Quantity Description is - Level 3</t>
  </si>
  <si>
    <r>
      <t xml:space="preserve">If 3 = True then we will Issue Purchase Order. </t>
    </r>
    <r>
      <rPr>
        <sz val="11"/>
        <color rgb="FFFF0000"/>
        <rFont val="Times New Roman"/>
        <family val="1"/>
      </rPr>
      <t>Purchasing a Product.</t>
    </r>
  </si>
  <si>
    <t>Product</t>
  </si>
  <si>
    <t>Product &amp; Material</t>
  </si>
  <si>
    <r>
      <t xml:space="preserve">If 4 = True and 6 = True then we will Issue Purchase Order. </t>
    </r>
    <r>
      <rPr>
        <sz val="11"/>
        <color rgb="FFFF0000"/>
        <rFont val="Times New Roman"/>
        <family val="1"/>
      </rPr>
      <t>Purchasing Product and Material</t>
    </r>
    <r>
      <rPr>
        <sz val="11"/>
        <color theme="1"/>
        <rFont val="Times New Roman"/>
        <family val="1"/>
      </rPr>
      <t xml:space="preserve"> for Construction Use</t>
    </r>
  </si>
  <si>
    <t>Purchase Grouping</t>
  </si>
  <si>
    <t>Product, Material Or Work &amp; Services</t>
  </si>
  <si>
    <t>Display Data Alphabetically</t>
  </si>
  <si>
    <t>When User Form has Maker, Verifer</t>
  </si>
  <si>
    <t>Balance Sheet Item &gt; Balance Sheet</t>
  </si>
  <si>
    <t>Product Master will hold all the Material &amp; Products</t>
  </si>
  <si>
    <t>We will use 2 Tables to store the Product Master and BQ Description Master</t>
  </si>
  <si>
    <r>
      <rPr>
        <sz val="11"/>
        <color rgb="FFFF0000"/>
        <rFont val="Times New Roman"/>
        <family val="1"/>
      </rPr>
      <t>Bill of Quantity</t>
    </r>
    <r>
      <rPr>
        <sz val="11"/>
        <color theme="1"/>
        <rFont val="Times New Roman"/>
        <family val="1"/>
      </rPr>
      <t xml:space="preserve"> (BQ) refers to a statement showing all the works that need to be completed in a job/project. The BQ contains Bills of Quantity Description, UOM, Quantity of Works.</t>
    </r>
  </si>
  <si>
    <t>To Classify All Purchase of Works, Products &amp; Services (WPS).  Further we will determine if Classification is Asset Or Expense. (Cost of Sales or Indirect Expenses.)</t>
  </si>
  <si>
    <t>BQ Description  Master</t>
  </si>
  <si>
    <t>Group UOM</t>
  </si>
  <si>
    <t>In NEW Mode Enter WPS Group in English or in Edit Mode Select &amp; Edit</t>
  </si>
  <si>
    <t>In NEW Mode Enter WPS Group in Bahasa or in Edit Mode Select &amp; Edit</t>
  </si>
  <si>
    <t>A WPS Classification may have ONE or Many WPS Groups.</t>
  </si>
  <si>
    <t>Display in Combobox UOM Matching UOM Group in Field 1</t>
  </si>
  <si>
    <t>Display All UOM Available in UOM Group Table. On Selection Sort and Display in Field 2 Only those UOM matching 1</t>
  </si>
  <si>
    <t>Display All UOM Available in UOM Group Table. On Selection Sort and Display in Field 4 Only those UOM matching 3</t>
  </si>
  <si>
    <t>Display in Combobox UOM Matching UOM Group in Field 3</t>
  </si>
  <si>
    <t>If 2 = 4 Prompt Error Message (Field 2 &amp; Field 4 CAANOT Be Same) Else Allow User to enter MAXIMUM of 4 decimal points Value.</t>
  </si>
  <si>
    <t>Kindly refert to Column</t>
  </si>
  <si>
    <t>From - UOM Group</t>
  </si>
  <si>
    <t>To - UOM Group</t>
  </si>
  <si>
    <t>SAMPLE UI LAYOUT</t>
  </si>
  <si>
    <t>Enter Any Other Relevcent Information</t>
  </si>
  <si>
    <t>Dashboard      From UOM        To UOM        Conversion Factor     Notes                                                                                              Action</t>
  </si>
  <si>
    <r>
      <t xml:space="preserve">Select From Combobox - </t>
    </r>
    <r>
      <rPr>
        <sz val="12"/>
        <color rgb="FFC00000"/>
        <rFont val="Times New Roman"/>
        <family val="1"/>
      </rPr>
      <t>UOM Abbreviation</t>
    </r>
  </si>
  <si>
    <t>NOTES</t>
  </si>
  <si>
    <t>Enter how many To UOM = ONE From UOM</t>
  </si>
  <si>
    <t>1 Acres is = 4046.86 m2</t>
  </si>
  <si>
    <t>2 Acres is = 43560 sf</t>
  </si>
  <si>
    <t>1 FR = 12 inch</t>
  </si>
  <si>
    <t>Gelen</t>
  </si>
  <si>
    <t>Litre</t>
  </si>
  <si>
    <t>1 Gallon = 4.55 Litre</t>
  </si>
  <si>
    <t>The UOM Group is merely to help User to Narrow down the Search</t>
  </si>
  <si>
    <t>I think we need not safe the From &amp; To Group. The Final decision is yours.</t>
  </si>
  <si>
    <t>Add UOM Conversion Table</t>
  </si>
  <si>
    <t>Combobox Kindly Display UOM Abbreviation</t>
  </si>
  <si>
    <r>
      <t xml:space="preserve">Select From Combobox - Display </t>
    </r>
    <r>
      <rPr>
        <sz val="12"/>
        <color rgb="FFC00000"/>
        <rFont val="Times New Roman"/>
        <family val="1"/>
      </rPr>
      <t>UOM Abbreviation</t>
    </r>
  </si>
  <si>
    <t>Form Layout</t>
  </si>
  <si>
    <t>Rearrange Layout</t>
  </si>
  <si>
    <t>Dashboard</t>
  </si>
  <si>
    <t>Layout</t>
  </si>
  <si>
    <t>Select from Combbox</t>
  </si>
  <si>
    <t>Show Abbreviation Below English and Bahasa</t>
  </si>
  <si>
    <t>UOM (EN)</t>
  </si>
  <si>
    <t>UOM (BM)</t>
  </si>
  <si>
    <t>-</t>
  </si>
  <si>
    <t>Volumn</t>
  </si>
  <si>
    <t>Meter Cube</t>
  </si>
  <si>
    <t>Kubus Meter</t>
  </si>
  <si>
    <t>Kaki Kubik</t>
  </si>
  <si>
    <t>Laluan Meter</t>
  </si>
  <si>
    <t>Count</t>
  </si>
  <si>
    <t>Numbers</t>
  </si>
  <si>
    <t>Nombor</t>
  </si>
  <si>
    <t>Kaki Panjang</t>
  </si>
  <si>
    <t>Set</t>
  </si>
  <si>
    <t>Pasang</t>
  </si>
  <si>
    <t>Tin 1 Liter</t>
  </si>
  <si>
    <t>Tong 1 Liter</t>
  </si>
  <si>
    <t>Tin 1L</t>
  </si>
  <si>
    <t>L</t>
  </si>
  <si>
    <t>DASHBOARD IF LANGUAGE CHOOSEN IS ENGLISH</t>
  </si>
  <si>
    <t>Display All UOM Group Available</t>
  </si>
  <si>
    <t xml:space="preserve">User to Enter UOM Description in English </t>
  </si>
  <si>
    <t>User to Enter UOM Description in Bahasa</t>
  </si>
  <si>
    <t>Enter Abbreviation</t>
  </si>
  <si>
    <t>Enter Any relevant Information</t>
  </si>
  <si>
    <t xml:space="preserve">Check the UI - UOM List in my Master Worksheet. I have shown the layout </t>
  </si>
  <si>
    <t xml:space="preserve">Sort UOM by Language and then Sort by UOM Group. So that the Group is sorted. And all UOM for the group is also sorted. Check UOM List UI in Master </t>
  </si>
  <si>
    <t>Expenses Type</t>
  </si>
  <si>
    <r>
      <t xml:space="preserve">Kindly Omit the Word </t>
    </r>
    <r>
      <rPr>
        <sz val="10"/>
        <color rgb="FFA20000"/>
        <rFont val="Times New Roman"/>
        <family val="1"/>
      </rPr>
      <t>Auto.</t>
    </r>
  </si>
  <si>
    <t>What you have done is Ok leave it as it is.</t>
  </si>
  <si>
    <t>Group (EN)</t>
  </si>
  <si>
    <t>Group (BM)</t>
  </si>
  <si>
    <t>I need more Space if possible</t>
  </si>
  <si>
    <t>Add WPS Grouping Details</t>
  </si>
  <si>
    <t>Add WPS Grouping</t>
  </si>
  <si>
    <t>Kindly omit the Word Details</t>
  </si>
  <si>
    <t>Display Either Asset, Construction Or Non Construction. Or Auto Billing/NA Based on UI W-01 Field 3,4,5</t>
  </si>
  <si>
    <r>
      <t>In reports the User may want to Know how much of this WPS Group was bought. The report will be based on this common UOM.</t>
    </r>
    <r>
      <rPr>
        <sz val="9"/>
        <color rgb="FFA20000"/>
        <rFont val="Times New Roman"/>
        <family val="1"/>
      </rPr>
      <t xml:space="preserve"> OPTIONA</t>
    </r>
    <r>
      <rPr>
        <sz val="9"/>
        <color rgb="FFFF0000"/>
        <rFont val="Times New Roman"/>
        <family val="1"/>
      </rPr>
      <t>L</t>
    </r>
    <r>
      <rPr>
        <sz val="9"/>
        <color theme="1"/>
        <rFont val="Times New Roman"/>
        <family val="1"/>
      </rPr>
      <t xml:space="preserve"> UI A-59. </t>
    </r>
  </si>
  <si>
    <r>
      <t xml:space="preserve">Combobox. Upload UOM List. </t>
    </r>
    <r>
      <rPr>
        <sz val="9"/>
        <color rgb="FFA20000"/>
        <rFont val="Times New Roman"/>
        <family val="1"/>
      </rPr>
      <t>OPTIONAL</t>
    </r>
  </si>
  <si>
    <t>Professional - Construction</t>
  </si>
  <si>
    <t>Professional - Non Construction</t>
  </si>
  <si>
    <t>Lawyer</t>
  </si>
  <si>
    <t>The UOM is OPTIONAL. Or Add a Item to UOM - "NA" for user to choose. Either Optional or Allow User to Choose "NA" form UOM.</t>
  </si>
  <si>
    <t>STAKEHOLDER WPS CLASSIFICATION &amp; GROUP - MAKER FORM</t>
  </si>
  <si>
    <t>Working Fine. I added this here just for your information.</t>
  </si>
  <si>
    <t>Edit Accounting Voucher</t>
  </si>
  <si>
    <t>Kindly Check my UI comments for this Field UI W-02 for my suggestion in the User form Layout</t>
  </si>
  <si>
    <t>Not Sorted. 1st Sort Voucher Description By Language Selected. Then By Voucher Type.</t>
  </si>
  <si>
    <t xml:space="preserve">Chart of Accounts </t>
  </si>
  <si>
    <t>Cannot EDIT Data. Try to Edit Water - Klang To Water. Is it because it is repeating. If not mistaken Account Description can repeat in Another Account Classification. BUT CANNOT duplicate within the same Account Description.</t>
  </si>
  <si>
    <t>Saving Data</t>
  </si>
  <si>
    <t>Product and Material  Master</t>
  </si>
  <si>
    <t>On Selection from Combobox</t>
  </si>
  <si>
    <t>Display all WPS Classification</t>
  </si>
  <si>
    <t xml:space="preserve"> WPS Classification</t>
  </si>
  <si>
    <t xml:space="preserve"> WPS Group </t>
  </si>
  <si>
    <t>Only Display Matching Field 1</t>
  </si>
  <si>
    <t>Enter English Description</t>
  </si>
  <si>
    <t>Enter Bahasa Description</t>
  </si>
  <si>
    <t>Unit od Measurement (UOM)</t>
  </si>
  <si>
    <t>Conversion Factor</t>
  </si>
  <si>
    <t>6,6A</t>
  </si>
  <si>
    <t>7,7A</t>
  </si>
  <si>
    <t>8,8A</t>
  </si>
  <si>
    <t>Display WOS Product and Material Matching Language selected.</t>
  </si>
  <si>
    <t>Enter Description or in EDIT select from Listbox</t>
  </si>
  <si>
    <t>Combobox - Select WPS Group</t>
  </si>
  <si>
    <t>Listbox1 - Display Existing Material Master - Matching WPS Group Selected. Display based in Language selected.</t>
  </si>
  <si>
    <t>Product &amp; Material MASTER</t>
  </si>
  <si>
    <r>
      <rPr>
        <sz val="11"/>
        <color rgb="FFFF0000"/>
        <rFont val="Times New Roman"/>
        <family val="1"/>
      </rPr>
      <t xml:space="preserve">How many days </t>
    </r>
    <r>
      <rPr>
        <sz val="11"/>
        <color theme="1"/>
        <rFont val="Times New Roman"/>
        <family val="1"/>
      </rPr>
      <t>will it take from order to delivery</t>
    </r>
  </si>
  <si>
    <r>
      <rPr>
        <sz val="11"/>
        <color rgb="FFFF0000"/>
        <rFont val="Times New Roman"/>
        <family val="1"/>
      </rPr>
      <t>ONLY Applicable for WPS Classification = Construction Building Material</t>
    </r>
    <r>
      <rPr>
        <sz val="11"/>
        <color theme="1"/>
        <rFont val="Times New Roman"/>
        <family val="1"/>
      </rPr>
      <t xml:space="preserve">. The Wastage factor allowed by the company (Generally Industrial Practice). User To Consider this in Placing Quantity. </t>
    </r>
    <r>
      <rPr>
        <sz val="11"/>
        <color rgb="FFFF0000"/>
        <rFont val="Times New Roman"/>
        <family val="1"/>
      </rPr>
      <t>OPTIONAL</t>
    </r>
  </si>
  <si>
    <r>
      <rPr>
        <sz val="11"/>
        <color rgb="FFFF0000"/>
        <rFont val="Times New Roman"/>
        <family val="1"/>
      </rPr>
      <t>ONLY Applicable for WPS Classification = Construction Building Material</t>
    </r>
    <r>
      <rPr>
        <sz val="11"/>
        <color theme="1"/>
        <rFont val="Times New Roman"/>
        <family val="1"/>
      </rPr>
      <t xml:space="preserve">. Days required to deliver this Material. From PO to DO.  </t>
    </r>
    <r>
      <rPr>
        <sz val="11"/>
        <color rgb="FFFF0000"/>
        <rFont val="Times New Roman"/>
        <family val="1"/>
      </rPr>
      <t>OPTIONAL</t>
    </r>
  </si>
  <si>
    <t>kg</t>
  </si>
  <si>
    <t>Field 8B-11B</t>
  </si>
  <si>
    <t>8,8A,8B</t>
  </si>
  <si>
    <t>9,9A.9B</t>
  </si>
  <si>
    <t>10,10A,10B</t>
  </si>
  <si>
    <t>11,11A,11B</t>
  </si>
  <si>
    <t xml:space="preserve">To Create WPS Product &amp; Material List. This will be used for Purchasing and BQ Estimation </t>
  </si>
  <si>
    <t>SAMPLE TABLE</t>
  </si>
  <si>
    <t>Select - Combobox - Required</t>
  </si>
  <si>
    <t>Select - From - Combobox</t>
  </si>
  <si>
    <t>UOM1</t>
  </si>
  <si>
    <t>UOM2</t>
  </si>
  <si>
    <t>UOM3</t>
  </si>
  <si>
    <t>Example 1</t>
  </si>
  <si>
    <t>Example 2</t>
  </si>
  <si>
    <t>Y25</t>
  </si>
  <si>
    <t>CF By Material</t>
  </si>
  <si>
    <t>1MR = 3.8485 Kg</t>
  </si>
  <si>
    <t>Per Length - 46.1818 Kg</t>
  </si>
  <si>
    <t>Field</t>
  </si>
  <si>
    <t>Enter = How many Field 8A = Field 7</t>
  </si>
  <si>
    <t>Enter = How many Field 9A = Field 7</t>
  </si>
  <si>
    <t>Enter = How many Field 10A = Field 7</t>
  </si>
  <si>
    <t>Enter = How many Field 11A = Field 7</t>
  </si>
  <si>
    <t>Auto Display Based on Conversation Table</t>
  </si>
  <si>
    <t>Select from List Created in UI A-59. UOM List</t>
  </si>
  <si>
    <t>We will use this UOM for all reporting and Calculation. Field UOM 5, 6 - 8. Display All UOM regardless of UOM Group.</t>
  </si>
  <si>
    <r>
      <t>UOM Used for purchasing. Can repeat Field 5. Only Once in Field 6 - 8. If Field 5 =  Field 6-8 then then Display 6a as 1. Else if Field 6-8  &lt;&gt; Field 5  then Automatically Display based on Conversation Table. If Match Error request user to EXIT and Update A057.</t>
    </r>
    <r>
      <rPr>
        <sz val="12"/>
        <color rgb="FFFF0000"/>
        <rFont val="Times New Roman"/>
        <family val="1"/>
      </rPr>
      <t xml:space="preserve"> </t>
    </r>
  </si>
  <si>
    <t>To Create WPS BQ Description List and assign applicable UOM. This will be used for Purchasing &amp; Estimation of BQ Cost</t>
  </si>
  <si>
    <t>Cement Sand Bricks  - 114mm thickness</t>
  </si>
  <si>
    <t>Batu Bata Simen - Tebal 114mm</t>
  </si>
  <si>
    <t>Cement Sand Bricks  - 225mm thickness</t>
  </si>
  <si>
    <t>Batu Bata Simen - Tebal 225mm</t>
  </si>
  <si>
    <t>Different Thickness</t>
  </si>
  <si>
    <t>STAKEHOLDER WPS CLASSIFICATION &amp; GROUP - MAKER FORM</t>
  </si>
  <si>
    <t>ASSET REGISTER - MAKER FORM</t>
  </si>
  <si>
    <t>Asset Destails</t>
  </si>
  <si>
    <t>Based on Asset Group - Hide or Unhide Tab Moveable and Immoveable. So that we do not confuse the user. Esp NON Accounts staff.</t>
  </si>
  <si>
    <t>Asset Details</t>
  </si>
  <si>
    <t>Here we have 3 more Fields. Purchase Date and Purchase Amount &amp; Vendor Name (Optional - we have many Asset Without this information) . Basic Information required.</t>
  </si>
  <si>
    <t>Current SET all Field  as OPTIONAL. So that we can move existing Data to here.</t>
  </si>
  <si>
    <t xml:space="preserve">This is applicable for both Immoveable and moveable. This Tab is ok </t>
  </si>
  <si>
    <t>Technical Details</t>
  </si>
  <si>
    <t>ONLY applicable for Moveable Asset. Set Visible and Hide for this Tab. Not to confuse USER.</t>
  </si>
  <si>
    <t>Depreciation &amp; Location</t>
  </si>
  <si>
    <t>Rename as Location &amp; Status. Status = Combobox</t>
  </si>
  <si>
    <t>WPS Classification Is NOT displayed sorted</t>
  </si>
  <si>
    <t>ONLY in Asset Group - We have set this as Leasehold then Enable Field - Lease Start Yr &amp; Lease End Year. Based on Purchase Data and Lease End Year we will Calculate and Display the Depreciation year I suggest a Field for Depreciation Years. The Depreciated Years in Asset Details you may move here. BUT we are going to calculate this Field. Allow User to overwrite.</t>
  </si>
  <si>
    <t xml:space="preserve">Reason - Accounting Transection </t>
  </si>
  <si>
    <t>English/Bahasa</t>
  </si>
  <si>
    <t>Applicable for All Voucher Type</t>
  </si>
  <si>
    <t>Select From Combobox. Display Table TF 0005</t>
  </si>
  <si>
    <t>Select the Voucher Type</t>
  </si>
  <si>
    <t>Reason Level</t>
  </si>
  <si>
    <t>Checkbox1 Account Classification &amp; Checkbox2  Account Description</t>
  </si>
  <si>
    <t>2a, 2b</t>
  </si>
  <si>
    <t>Select From Combobox. Display All Account Classification</t>
  </si>
  <si>
    <r>
      <t xml:space="preserve">Select the Account Classification. If </t>
    </r>
    <r>
      <rPr>
        <sz val="9"/>
        <color rgb="FFC00000"/>
        <rFont val="Times New Roman"/>
        <family val="1"/>
      </rPr>
      <t>2b=True</t>
    </r>
    <r>
      <rPr>
        <sz val="9"/>
        <rFont val="Times New Roman"/>
        <family val="1"/>
      </rPr>
      <t>. Based on Selection - Sort and Filter  Account Description MATCHING Account Classification. Into Combobox Field 4</t>
    </r>
  </si>
  <si>
    <t>Select From Combobox. Display Account Description.</t>
  </si>
  <si>
    <r>
      <t xml:space="preserve">IF User Selects in </t>
    </r>
    <r>
      <rPr>
        <sz val="9"/>
        <color rgb="FFC00000"/>
        <rFont val="Times New Roman"/>
        <family val="1"/>
      </rPr>
      <t xml:space="preserve"> 2b = True </t>
    </r>
    <r>
      <rPr>
        <sz val="9"/>
        <rFont val="Times New Roman"/>
        <family val="1"/>
      </rPr>
      <t xml:space="preserve"> THEN </t>
    </r>
    <r>
      <rPr>
        <sz val="9"/>
        <color rgb="FFC00000"/>
        <rFont val="Times New Roman"/>
        <family val="1"/>
      </rPr>
      <t>enable this Field.</t>
    </r>
    <r>
      <rPr>
        <sz val="9"/>
        <rFont val="Times New Roman"/>
        <family val="1"/>
      </rPr>
      <t xml:space="preserve"> On Selection.  Sort Reason  based on 1, 3, 4 and Display Reason in Listbox3.</t>
    </r>
  </si>
  <si>
    <r>
      <t xml:space="preserve">Listbox1. ONLY Display List Matching This  Voucher Type, Account Classification. </t>
    </r>
    <r>
      <rPr>
        <b/>
        <sz val="9"/>
        <color rgb="FFC00000"/>
        <rFont val="Times New Roman"/>
        <family val="1"/>
      </rPr>
      <t>However If 2b = Account Description then Also MATCHING Account Description</t>
    </r>
    <r>
      <rPr>
        <sz val="9"/>
        <rFont val="Times New Roman"/>
        <family val="1"/>
      </rPr>
      <t>. Each time user Change Voucher Type then reset 4 and 5. Each time user Change  4 thenreset 5 (If applicable)</t>
    </r>
  </si>
  <si>
    <t>If Field 2a = True then Sort and Display in Listbox1 - All Reason MATCHING Field 1 &amp; Field 3 only.</t>
  </si>
  <si>
    <t>If Field 2b = True then Sort and Display in Listbox1 - All Reason MATCHING Field 1 &amp; Field 3 only.&amp; Field 4</t>
  </si>
  <si>
    <t>Reason - EN</t>
  </si>
  <si>
    <t>In Edit Select Reason from Listbox1 and then EDIT. Else in NEW - Enter Reason in English</t>
  </si>
  <si>
    <t>Reason - BM</t>
  </si>
  <si>
    <t>In Edit Select Reason from Listbox1 and then EDIT. Else in NEW - Enter Reason in Bahasa</t>
  </si>
  <si>
    <t>Select - Active or Deactivated</t>
  </si>
  <si>
    <r>
      <t xml:space="preserve">Eiter Active or Deactivated. If Deactivated </t>
    </r>
    <r>
      <rPr>
        <sz val="9"/>
        <color rgb="FFFF0000"/>
        <rFont val="Times New Roman"/>
        <family val="1"/>
      </rPr>
      <t>this Reason will NOT be displayed</t>
    </r>
    <r>
      <rPr>
        <sz val="9"/>
        <rFont val="Times New Roman"/>
        <family val="1"/>
      </rPr>
      <t xml:space="preserve"> when user enter </t>
    </r>
    <r>
      <rPr>
        <sz val="9"/>
        <color rgb="FFFF0000"/>
        <rFont val="Times New Roman"/>
        <family val="1"/>
      </rPr>
      <t>Transection Via this Voucher Type</t>
    </r>
    <r>
      <rPr>
        <sz val="9"/>
        <rFont val="Times New Roman"/>
        <family val="1"/>
      </rPr>
      <t>. By Default set To Active. Allow User To Change.</t>
    </r>
  </si>
  <si>
    <t>To Create Reason for Account Transection. Using this information system will obtain the Transection Account Description - Debit and Credit.</t>
  </si>
  <si>
    <t>We need 3 Information to  Determine the Account Description and the Transection Debit and Credit.</t>
  </si>
  <si>
    <t>This Information is - 1) Voucher Type  2) Account Classification and 3) Account Description.</t>
  </si>
  <si>
    <t>TF-003</t>
  </si>
  <si>
    <t>Take NOT Account Classification Such as Sales, Trade Creditors and Trade Debtors - We do not need Reason for Each Account Description. Thus we set the REASON at Account Classification Level. All accounts in this level will use the same Reason.</t>
  </si>
  <si>
    <t xml:space="preserve">I our company we have 917 Trade Creditor (Account Classification) . In payment Voucher we are setting the Reason and Payment of Creditors Invoice. In Receipt Voucher for Trade Debtors (Account Classification) we will set the reason and Payment Received on Billing. </t>
  </si>
  <si>
    <t>If we set the reason in Account Description for this 97 Trade Creditor we will be repeating the Reason 917  times.</t>
  </si>
  <si>
    <t>We Use ONLY ONE Table for Reason. i.e. For all Voucher Type. Please refer to Table - TF-003</t>
  </si>
  <si>
    <r>
      <t xml:space="preserve">When we save this Data system will auto generate a Unique </t>
    </r>
    <r>
      <rPr>
        <sz val="11"/>
        <color rgb="FFC00000"/>
        <rFont val="Calibri"/>
        <family val="2"/>
        <scheme val="minor"/>
      </rPr>
      <t>Reason Code</t>
    </r>
    <r>
      <rPr>
        <sz val="11"/>
        <color theme="1"/>
        <rFont val="Calibri"/>
        <family val="2"/>
        <scheme val="minor"/>
      </rPr>
      <t xml:space="preserve"> (Based On Different Voucher Type, Different Classification and where applicable Different Account Description.)</t>
    </r>
  </si>
  <si>
    <t>We NEED to Find weather we are going to Debit Or Credit. How. System will use TF-005. By Matching Voucher Type and Account Classification. All Account Description withing this Account Classification will use the same data. The Debit and Credit will be same for all Account Description within the group.</t>
  </si>
  <si>
    <r>
      <t xml:space="preserve">With this we can update Table TF003. This is what a </t>
    </r>
    <r>
      <rPr>
        <sz val="11"/>
        <color rgb="FFC00000"/>
        <rFont val="Calibri"/>
        <family val="2"/>
        <scheme val="minor"/>
      </rPr>
      <t>BOOK KEEPER does everyday</t>
    </r>
    <r>
      <rPr>
        <sz val="11"/>
        <color theme="1"/>
        <rFont val="Calibri"/>
        <family val="2"/>
        <scheme val="minor"/>
      </rPr>
      <t>. If this works we have done away with Book Keeper. BUT a few other UI will proof us right or wrong. IF wrong then I have to figure out this. I am working on this idea for more then 3 month and test and considered  many  option.</t>
    </r>
  </si>
  <si>
    <r>
      <t xml:space="preserve">Next Process - We are Going to Create the </t>
    </r>
    <r>
      <rPr>
        <sz val="11"/>
        <color rgb="FFC00000"/>
        <rFont val="Calibri"/>
        <family val="2"/>
        <scheme val="minor"/>
      </rPr>
      <t>Accounting Transection Using the Voucher we have created (Via Voucher Register - Refer to Finance_Account - Worksheet)</t>
    </r>
  </si>
  <si>
    <t>Voucher Type           Account Classification              Account Description               Reason(EN)                                                              Reason(BM)                                                                Action</t>
  </si>
  <si>
    <t xml:space="preserve">Sample Data </t>
  </si>
  <si>
    <t xml:space="preserve">You can Find this in  Table </t>
  </si>
  <si>
    <r>
      <t xml:space="preserve">If User Selects 2a = True  Then the Reason is Applicable for </t>
    </r>
    <r>
      <rPr>
        <sz val="9"/>
        <color rgb="FFC00000"/>
        <rFont val="Times New Roman"/>
        <family val="1"/>
      </rPr>
      <t xml:space="preserve">All Account Description in this </t>
    </r>
    <r>
      <rPr>
        <sz val="9"/>
        <color rgb="FFFF0000"/>
        <rFont val="Times New Roman"/>
        <family val="1"/>
      </rPr>
      <t>Account Classification</t>
    </r>
    <r>
      <rPr>
        <sz val="9"/>
        <rFont val="Times New Roman"/>
        <family val="1"/>
      </rPr>
      <t xml:space="preserve">. We will NOT set Reason for each </t>
    </r>
    <r>
      <rPr>
        <sz val="9"/>
        <color rgb="FFFF0000"/>
        <rFont val="Times New Roman"/>
        <family val="1"/>
      </rPr>
      <t>individual Account Description within this Account Classification.</t>
    </r>
    <r>
      <rPr>
        <sz val="9"/>
        <rFont val="Times New Roman"/>
        <family val="1"/>
      </rPr>
      <t xml:space="preserve"> </t>
    </r>
    <r>
      <rPr>
        <sz val="9"/>
        <color rgb="FFC00000"/>
        <rFont val="Times New Roman"/>
        <family val="1"/>
      </rPr>
      <t>Field 4 will be disabled.</t>
    </r>
  </si>
  <si>
    <r>
      <rPr>
        <b/>
        <sz val="11"/>
        <color rgb="FFC00000"/>
        <rFont val="Calibri"/>
        <family val="2"/>
        <scheme val="minor"/>
      </rPr>
      <t>Static Table.</t>
    </r>
    <r>
      <rPr>
        <sz val="11"/>
        <color rgb="FFC00000"/>
        <rFont val="Calibri"/>
        <family val="2"/>
        <scheme val="minor"/>
      </rPr>
      <t xml:space="preserve"> </t>
    </r>
    <r>
      <rPr>
        <sz val="11"/>
        <rFont val="Calibri"/>
        <family val="2"/>
        <scheme val="minor"/>
      </rPr>
      <t>To Register Abbreviation for Accounting Documents</t>
    </r>
  </si>
  <si>
    <t>Bank Name List</t>
  </si>
  <si>
    <t>List of all Banks in Malaysia. Information will be used Payment Voucher and Stakeholder and in Receipt Voucher</t>
  </si>
  <si>
    <t>Chart of Account (Ledgar Master)</t>
  </si>
  <si>
    <t>level 3 - Level3 = A-63. Construction Works Description Group</t>
  </si>
  <si>
    <t>Level 3 - What Work is Direct Workers - For Each Primary Activity Master</t>
  </si>
  <si>
    <t>A-73</t>
  </si>
  <si>
    <r>
      <rPr>
        <b/>
        <sz val="11"/>
        <color theme="1"/>
        <rFont val="Calibri"/>
        <family val="2"/>
        <scheme val="minor"/>
      </rPr>
      <t>Static Table.</t>
    </r>
    <r>
      <rPr>
        <sz val="11"/>
        <color theme="1"/>
        <rFont val="Calibri"/>
        <family val="2"/>
        <scheme val="minor"/>
      </rPr>
      <t xml:space="preserve"> </t>
    </r>
    <r>
      <rPr>
        <sz val="11"/>
        <rFont val="Calibri"/>
        <family val="2"/>
        <scheme val="minor"/>
      </rPr>
      <t>To Register All Banks in Malysia.</t>
    </r>
  </si>
  <si>
    <t>Primary Cost Centre Register  (Level 1)</t>
  </si>
  <si>
    <t>Added To A Group on 35thJuly3036. Why To complete Accounts Module</t>
  </si>
  <si>
    <r>
      <t xml:space="preserve">List - Reason for Account Transection - UI </t>
    </r>
    <r>
      <rPr>
        <sz val="11"/>
        <color rgb="FFFF0000"/>
        <rFont val="Calibri"/>
        <family val="2"/>
        <scheme val="minor"/>
      </rPr>
      <t>Renamed from Reason for Petty Cash</t>
    </r>
  </si>
  <si>
    <t>Secondary Cost Centre (Level 3)</t>
  </si>
  <si>
    <t xml:space="preserve">Each PCC may have One or More SCC </t>
  </si>
  <si>
    <t>3nd - Layer - MR, FR, No's, Kg,M3 etc</t>
  </si>
  <si>
    <t>3nd Level - Each Group may have one or many T&amp;C. Some similar example user can choose one of ii ONLY</t>
  </si>
  <si>
    <t>Voucher Type And Account Classificating</t>
  </si>
  <si>
    <t>To Link Voucher Type With Accounts Classification. The information in Accounts Classification is insufficient to determine What should be done in different Voucher. Account Classification = Bank. In Payment Voucher we Debit and in Receipt Voucher we Credit.</t>
  </si>
  <si>
    <t>Bank Listing</t>
  </si>
  <si>
    <t xml:space="preserve">Current Status, Location </t>
  </si>
  <si>
    <t>Chart Of Accounts</t>
  </si>
  <si>
    <t>Accrual</t>
  </si>
  <si>
    <t>Accrual - EIS</t>
  </si>
  <si>
    <t>Accrual - EPF</t>
  </si>
  <si>
    <t>Accrual - EPF Foreign Workers</t>
  </si>
  <si>
    <t>Accrual - Salary</t>
  </si>
  <si>
    <t>Closing Stock in Hand</t>
  </si>
  <si>
    <t>Accrual - Socso</t>
  </si>
  <si>
    <t>Creditors - Others</t>
  </si>
  <si>
    <t>Accrual - Socso Foreign Workers</t>
  </si>
  <si>
    <t>Creditors - Trade</t>
  </si>
  <si>
    <t>Accrual - Tax</t>
  </si>
  <si>
    <t>Debtors - Others</t>
  </si>
  <si>
    <t>Retainage Payable</t>
  </si>
  <si>
    <t>Debtors - Trade</t>
  </si>
  <si>
    <t>AmBank (M) Berhad</t>
  </si>
  <si>
    <t>AmIslamic Bank Berhad</t>
  </si>
  <si>
    <t>Deposit Received</t>
  </si>
  <si>
    <t>Bank Islam Berhad</t>
  </si>
  <si>
    <t>Duties, Levy, Rates,  &amp; Contribution - Construction</t>
  </si>
  <si>
    <t>Hong Leong Bank Bhd</t>
  </si>
  <si>
    <t>Duties, Levy, Rates,  &amp; Contribution - Administrative</t>
  </si>
  <si>
    <t>Duties, Levy, Rates,  &amp; Contribution - Direct</t>
  </si>
  <si>
    <t>Maybank</t>
  </si>
  <si>
    <t>Employee Statutory Contribution - Direct</t>
  </si>
  <si>
    <t>Duties, Levy, Rates,  &amp; Contribution - Indirect</t>
  </si>
  <si>
    <t>Merchantrade Asia Sdn Bhd</t>
  </si>
  <si>
    <t>Employee Statutory Contribution - Administrative</t>
  </si>
  <si>
    <t>OCBC Bank</t>
  </si>
  <si>
    <t>Expenses - Construction</t>
  </si>
  <si>
    <t>Employee Statutory Contribution - Indirect</t>
  </si>
  <si>
    <t>Public Bank Berhad</t>
  </si>
  <si>
    <t>Expenses - Administrative</t>
  </si>
  <si>
    <t>Expenses - Direct</t>
  </si>
  <si>
    <t>Standard Chartered Bank -Current Ac</t>
  </si>
  <si>
    <t>Fix Assets</t>
  </si>
  <si>
    <t>Expenses - Indirect</t>
  </si>
  <si>
    <t>Fix Deposit - Bank</t>
  </si>
  <si>
    <t>Joko Petty Cash</t>
  </si>
  <si>
    <t>GST &amp; SST</t>
  </si>
  <si>
    <t>Mr.Pillai</t>
  </si>
  <si>
    <t>Income - Indirect</t>
  </si>
  <si>
    <t>Incomes - Indirect</t>
  </si>
  <si>
    <t>Petty Cash - Jasin - Bariah</t>
  </si>
  <si>
    <t>Investments</t>
  </si>
  <si>
    <t>Petty Cash -Chandran</t>
  </si>
  <si>
    <t>Loan Received</t>
  </si>
  <si>
    <t>Petty Cash -Melaka Site</t>
  </si>
  <si>
    <t>Loans &amp; Advances - Given</t>
  </si>
  <si>
    <t>Petty Cash-Aston</t>
  </si>
  <si>
    <t>Maintenance &amp; Overhead - Administrative</t>
  </si>
  <si>
    <t>Maintenance &amp; Overhead - Administration</t>
  </si>
  <si>
    <t>Petty Cash-Klang</t>
  </si>
  <si>
    <t xml:space="preserve">Maintenance &amp; Overhead - Site </t>
  </si>
  <si>
    <t>Petty Cash-Klg Site</t>
  </si>
  <si>
    <t>Maintenances of Equipment's - Administrative</t>
  </si>
  <si>
    <t>Maintenance of Equipment's - Indirect</t>
  </si>
  <si>
    <t>Petty Cash-Rajan</t>
  </si>
  <si>
    <t>Maintenances - Machinery's &amp; Equipment's - Site</t>
  </si>
  <si>
    <t>Maintenances - Machinery's &amp; Equipment's - Direct</t>
  </si>
  <si>
    <t>Petty Cash-Serkam-Siti Rizal</t>
  </si>
  <si>
    <t>Professional Fee - Construction</t>
  </si>
  <si>
    <t>Petty Cash-Sharma</t>
  </si>
  <si>
    <t>Professional Fee - Non Construction</t>
  </si>
  <si>
    <t>Closing Stock</t>
  </si>
  <si>
    <t>Purchasing - Construction Material</t>
  </si>
  <si>
    <t>Opening Stock</t>
  </si>
  <si>
    <t>Purchasing - Non Construction Material</t>
  </si>
  <si>
    <t>Stock - Tally Program</t>
  </si>
  <si>
    <t>Remuneration - Administration</t>
  </si>
  <si>
    <t>Abu Sayem</t>
  </si>
  <si>
    <t>Aktar</t>
  </si>
  <si>
    <t>Rental - Construction - Premises</t>
  </si>
  <si>
    <t>Aminur -Indonesian</t>
  </si>
  <si>
    <t>Rental - Construction Machinery &amp; Equipment</t>
  </si>
  <si>
    <t>Amirul</t>
  </si>
  <si>
    <t>Rental - Non Construction - Premises</t>
  </si>
  <si>
    <t>Amuru Gazi</t>
  </si>
  <si>
    <t>Rental - Non Construction Machinery &amp; Equipment</t>
  </si>
  <si>
    <t>Chandran - Credit Card</t>
  </si>
  <si>
    <t>Rental - Received</t>
  </si>
  <si>
    <t>CIMB Credit Card</t>
  </si>
  <si>
    <t>Reserves &amp; Surplus</t>
  </si>
  <si>
    <t>Didik - Indonesian</t>
  </si>
  <si>
    <t>Sales Accounts</t>
  </si>
  <si>
    <t>Director A/c - Aston</t>
  </si>
  <si>
    <t>Shareholders Fund</t>
  </si>
  <si>
    <t>Director A/c - Mdm Philo</t>
  </si>
  <si>
    <t>Taxation</t>
  </si>
  <si>
    <t>Director Ac - Mr Vethamuthu</t>
  </si>
  <si>
    <t>Utility - Construction</t>
  </si>
  <si>
    <t>Statutory Contribution - Administration</t>
  </si>
  <si>
    <t>Directors C/A - Chandran</t>
  </si>
  <si>
    <t>Utility - Administrative</t>
  </si>
  <si>
    <t>Gores - Indonesian</t>
  </si>
  <si>
    <t>Harun Indonesian</t>
  </si>
  <si>
    <t>Utilities - Administration</t>
  </si>
  <si>
    <t>HLB Card</t>
  </si>
  <si>
    <t>HLB Card-Club- 5439-2</t>
  </si>
  <si>
    <t>Ibrahim</t>
  </si>
  <si>
    <t>Imran -Indonesian</t>
  </si>
  <si>
    <t>I-Shaque</t>
  </si>
  <si>
    <t>Jamrul</t>
  </si>
  <si>
    <t>Johnny-Indonesian</t>
  </si>
  <si>
    <t>Joko - Indonesian</t>
  </si>
  <si>
    <t>Juwadi</t>
  </si>
  <si>
    <t>Kalidass  Indian</t>
  </si>
  <si>
    <t>Kharyanto - Indonesian</t>
  </si>
  <si>
    <t>Khirul</t>
  </si>
  <si>
    <t>Kumar -  Thai</t>
  </si>
  <si>
    <t>Kumari Indonesian</t>
  </si>
  <si>
    <t>Lal Munn - Burmese</t>
  </si>
  <si>
    <t>Leo - Indonesian</t>
  </si>
  <si>
    <t>Lokman Hse Owner -Mojid</t>
  </si>
  <si>
    <t>Maybank Credit Card</t>
  </si>
  <si>
    <t>Musa</t>
  </si>
  <si>
    <t>Naani</t>
  </si>
  <si>
    <t>Nasir</t>
  </si>
  <si>
    <t>Other Creditor</t>
  </si>
  <si>
    <t>Pak Haji</t>
  </si>
  <si>
    <t>RHB Credit Card</t>
  </si>
  <si>
    <t>Rusid</t>
  </si>
  <si>
    <t>Saifudin</t>
  </si>
  <si>
    <t>Salem</t>
  </si>
  <si>
    <t>Shagor Trofder</t>
  </si>
  <si>
    <t>Sopun</t>
  </si>
  <si>
    <t>Suparji</t>
  </si>
  <si>
    <t>Suryaji</t>
  </si>
  <si>
    <t>Thian Ding -Burmese</t>
  </si>
  <si>
    <t>TLC Architect</t>
  </si>
  <si>
    <t>Vee Loo Guna &amp; Associates</t>
  </si>
  <si>
    <t>Winston</t>
  </si>
  <si>
    <t>A M Office System Sdn Bhd</t>
  </si>
  <si>
    <t>A.1.Furniture</t>
  </si>
  <si>
    <t>AAR Fauzan Global Venture</t>
  </si>
  <si>
    <t>Abbys IT Services Sdn Bhd</t>
  </si>
  <si>
    <t>Abd Rohman Bin Kastar-TSM</t>
  </si>
  <si>
    <t>Abdul</t>
  </si>
  <si>
    <t>Abdul Karim Bin Sulaiman</t>
  </si>
  <si>
    <t>Abdussalaeh</t>
  </si>
  <si>
    <t>ABMJ Trading</t>
  </si>
  <si>
    <t>Accrued Billing</t>
  </si>
  <si>
    <t>Adi</t>
  </si>
  <si>
    <t>Admani Enterprise</t>
  </si>
  <si>
    <t>Age Tech Computer Centre</t>
  </si>
  <si>
    <t>AGS Precision &amp; Engineering</t>
  </si>
  <si>
    <t>Agus Niadi (B 5356883)</t>
  </si>
  <si>
    <t>Ah Heng Auto Enterprise</t>
  </si>
  <si>
    <t>Ah Heng-Tiler</t>
  </si>
  <si>
    <t>Aik Fresh Cool Aircond &amp; Electrical Enterprise</t>
  </si>
  <si>
    <t>Aircond Project</t>
  </si>
  <si>
    <t>AJJ Plumbing &amp; Constructions</t>
  </si>
  <si>
    <t>Akasha - TMB</t>
  </si>
  <si>
    <t>AKRV Enterprise</t>
  </si>
  <si>
    <t>Alat-Alat Ganti Jentera SINFUJI Sdn Bhd</t>
  </si>
  <si>
    <t>Alex - SC TGP</t>
  </si>
  <si>
    <t>Alex BnC</t>
  </si>
  <si>
    <t>Altap/Nazrul-TSM1</t>
  </si>
  <si>
    <t>Altap/Nazrul-TSM1A</t>
  </si>
  <si>
    <t>Always Interior Design</t>
  </si>
  <si>
    <t>Amalore Builder</t>
  </si>
  <si>
    <t>Ambi Towing Enterprise</t>
  </si>
  <si>
    <t>Amirudin Bin Rabu</t>
  </si>
  <si>
    <t>AMS Security Sdn Bhd</t>
  </si>
  <si>
    <t>Amy Auto Electrical Services</t>
  </si>
  <si>
    <t>Ang Boon Siang (Tiler)</t>
  </si>
  <si>
    <t>Ang Chwee Yew</t>
  </si>
  <si>
    <t>Ann Bong Crane Service</t>
  </si>
  <si>
    <t>Anthan Enterprise</t>
  </si>
  <si>
    <t>Anuar -Painter</t>
  </si>
  <si>
    <t>API Metals Sdn Bhd</t>
  </si>
  <si>
    <t>Applied Technology Group Sdn Bhd</t>
  </si>
  <si>
    <t>Aqib &amp; Razimin (Subcon)</t>
  </si>
  <si>
    <t>AR Vision Enterprise</t>
  </si>
  <si>
    <t>ARCHTECH</t>
  </si>
  <si>
    <t>ARPS Mixer Enterprise</t>
  </si>
  <si>
    <t>ARS Builders</t>
  </si>
  <si>
    <t>Asia Crane Machinery</t>
  </si>
  <si>
    <t>ASM Metal Sdn Bhd</t>
  </si>
  <si>
    <t>Asrof(Bar Bender)</t>
  </si>
  <si>
    <t>Aum Marketing</t>
  </si>
  <si>
    <t>Aviosupport Corporation (M) Sdn Bhd</t>
  </si>
  <si>
    <t>Ayie Ins Enterprise</t>
  </si>
  <si>
    <t>Ayya Enterprise</t>
  </si>
  <si>
    <t>Aza Harmoni Enterprise</t>
  </si>
  <si>
    <t>Bahagia Tiram Sdn Bhd</t>
  </si>
  <si>
    <t>Bahin Air-Conditioning &amp; Elec Sdn Bhd</t>
  </si>
  <si>
    <t>Balwant Enterprise</t>
  </si>
  <si>
    <t>Ban Gay Trading</t>
  </si>
  <si>
    <t>Basic Concrete Investment Account</t>
  </si>
  <si>
    <t>Basic Concrete Mix Sdn. Bhd.</t>
  </si>
  <si>
    <t>Basri(Formwork)</t>
  </si>
  <si>
    <t>Bayu - Painter</t>
  </si>
  <si>
    <t>Bayu Fencing(Yusof)</t>
  </si>
  <si>
    <t>Bee Chin</t>
  </si>
  <si>
    <t>Bengkel Kereta Ah Oh</t>
  </si>
  <si>
    <t>Berjaya Sompo Insurance Bhd</t>
  </si>
  <si>
    <t>Bersatu Hati Enterprise Sdn Bhd</t>
  </si>
  <si>
    <t>Best Advertising &amp; Signcraft</t>
  </si>
  <si>
    <t>Beyond Bath Sdn Bhd</t>
  </si>
  <si>
    <t>BHPetrol Merlimau</t>
  </si>
  <si>
    <t>Binaan Sinar Suria Baru</t>
  </si>
  <si>
    <t>Bioclear Sdn Bhd</t>
  </si>
  <si>
    <t>BNC Metal-Contra</t>
  </si>
  <si>
    <t>BNC Power (M) Sdn Bhd</t>
  </si>
  <si>
    <t>BNC_Stage Billing TR</t>
  </si>
  <si>
    <t>Boh Huat Chan Sdn Bhd</t>
  </si>
  <si>
    <t>Boh Huat Chan Timber Products S/B-TSM</t>
  </si>
  <si>
    <t>Boh Huat Chan Timber Products Sdn Bhd-TMB</t>
  </si>
  <si>
    <t>Bold &amp; Rich Resources</t>
  </si>
  <si>
    <t>Boustead Sissons Paints S/B</t>
  </si>
  <si>
    <t>Bramus Petroleum S/B</t>
  </si>
  <si>
    <t>Bright Spark Enterprise</t>
  </si>
  <si>
    <t>Bro Wiring Sdn Bhd</t>
  </si>
  <si>
    <t>BT Yap Aluminium &amp; Glass Works</t>
  </si>
  <si>
    <t>Buan Hoa Leong Mfg Sdn Bhd</t>
  </si>
  <si>
    <t>Build Great Trading Sdn Bhd</t>
  </si>
  <si>
    <t>Buildcon Concrete S/B</t>
  </si>
  <si>
    <t>Busaha</t>
  </si>
  <si>
    <t>Busaha-TSM P2</t>
  </si>
  <si>
    <t>Busaha-TSR P2 Ceiling</t>
  </si>
  <si>
    <t>Business Office Machines</t>
  </si>
  <si>
    <t>Buyung</t>
  </si>
  <si>
    <t>BWS Sales &amp; Services Sdn Bhd</t>
  </si>
  <si>
    <t>C &amp; S Builder Construction</t>
  </si>
  <si>
    <t>C.K.Hardware &amp; Timber Sdn Bhd</t>
  </si>
  <si>
    <t>Cartage Enterprise</t>
  </si>
  <si>
    <t>Cartraco Holdings Sdn Bhd</t>
  </si>
  <si>
    <t>Casso (M) Sdn Bhd</t>
  </si>
  <si>
    <t>Cemara Rendang Enterprise -TSM</t>
  </si>
  <si>
    <t>Cemara Rendang Enterprise-TMB</t>
  </si>
  <si>
    <t>Cementaid Sdn Bhd</t>
  </si>
  <si>
    <t>Centinel Enterprise Sdn Bhd</t>
  </si>
  <si>
    <t>Ceradana Construction &amp; Trading</t>
  </si>
  <si>
    <t>Cerapac Sdn Bhd</t>
  </si>
  <si>
    <t>Chai Heng Hardware</t>
  </si>
  <si>
    <t>Chandrasakaran Plumbing Works</t>
  </si>
  <si>
    <t>Chang Heng Enterprise</t>
  </si>
  <si>
    <t>Cheah Zong Cheng</t>
  </si>
  <si>
    <t>Chean Pin Trading</t>
  </si>
  <si>
    <t>Cheng Ann Renovation Works</t>
  </si>
  <si>
    <t>Cheng Heat Kyen</t>
  </si>
  <si>
    <t>Cheng Heng Tyre Shop</t>
  </si>
  <si>
    <t>Cheong Heng Construction &amp; Renov</t>
  </si>
  <si>
    <t>Chiislon Enterprise</t>
  </si>
  <si>
    <t>Chin Heng Daily Wear Stall</t>
  </si>
  <si>
    <t>Chin Soon Sin Hardware</t>
  </si>
  <si>
    <t>Ching Kiong Workshop</t>
  </si>
  <si>
    <t>Chong Gnoh Chai -TMB</t>
  </si>
  <si>
    <t>Chong Huat Autoparts Supply</t>
  </si>
  <si>
    <t>Chong Ngoh Chai - TSM</t>
  </si>
  <si>
    <t>Chong Ngoh Chai - TSM 1A</t>
  </si>
  <si>
    <t>Chop Guan Hock Hin Sdn Bhd</t>
  </si>
  <si>
    <t>Chop Lee Sum Woh</t>
  </si>
  <si>
    <t>Chuan Yi Trading</t>
  </si>
  <si>
    <t>CIDB Holding Sdn Bhd</t>
  </si>
  <si>
    <t>Cinta Hardware Trading</t>
  </si>
  <si>
    <t>Citi Business Machine Sdn Bhd</t>
  </si>
  <si>
    <t>City Hardware Enterprise</t>
  </si>
  <si>
    <t>CL Hardware Sdn Bhd</t>
  </si>
  <si>
    <t>Classic Enterprise-Inv</t>
  </si>
  <si>
    <t>Classic Enterprise-SC</t>
  </si>
  <si>
    <t>Classic Water Works (M) Sdn Bhd (1248872-P)</t>
  </si>
  <si>
    <t>CLT Consult Sdn Bhd</t>
  </si>
  <si>
    <t>CM Precast &amp; Construction Sdn Bhd</t>
  </si>
  <si>
    <t>CMCM Perniagaan Sdn Bhd</t>
  </si>
  <si>
    <t>CMCS Engineering Specialist Sdn Bhd</t>
  </si>
  <si>
    <t>CMPC Sdn BHd</t>
  </si>
  <si>
    <t>Concrete CutMarketing Sdn Bhd</t>
  </si>
  <si>
    <t>Construction Progrss Billing</t>
  </si>
  <si>
    <t>Crystal Medic Enterprise</t>
  </si>
  <si>
    <t>CS Sasha Engineering Services</t>
  </si>
  <si>
    <t>CT Furniture &amp; Office Equipment</t>
  </si>
  <si>
    <t>Cysnet Software</t>
  </si>
  <si>
    <t>D Elegant Metal Works Sdn Bhd</t>
  </si>
  <si>
    <t>Damatech Berkat</t>
  </si>
  <si>
    <t>Darmanto Didy</t>
  </si>
  <si>
    <t>David Lee Kok Thye-DT4</t>
  </si>
  <si>
    <t>Daya Teknik Enterprise Sdn Bhd</t>
  </si>
  <si>
    <t>De Apex Force Security &amp; Consultancy Sdn Bhd</t>
  </si>
  <si>
    <t>Deffered Taxation</t>
  </si>
  <si>
    <t>Deposit Received - Rental</t>
  </si>
  <si>
    <t>Destech Marketing &amp; Services</t>
  </si>
  <si>
    <t>Devito/John</t>
  </si>
  <si>
    <t>Diacom Enterprise</t>
  </si>
  <si>
    <t>Digital Mall</t>
  </si>
  <si>
    <t>Diners (M) S/B</t>
  </si>
  <si>
    <t>Dividend Payable</t>
  </si>
  <si>
    <t>DIWIYS Engineering</t>
  </si>
  <si>
    <t>DMS Maju Services</t>
  </si>
  <si>
    <t>Dong Ji (M) Sdn Bhd</t>
  </si>
  <si>
    <t>DRVT Enterprise</t>
  </si>
  <si>
    <t>DX Air Cond &amp; Electrical</t>
  </si>
  <si>
    <t>Dynapest Protection Services Sdn Bhd</t>
  </si>
  <si>
    <t>Easy Feel Enterprise</t>
  </si>
  <si>
    <t>EC Piles Sdn Bhd</t>
  </si>
  <si>
    <t>Ecomas Marketing</t>
  </si>
  <si>
    <t>EE Advertisement &amp; Design</t>
  </si>
  <si>
    <t>Efacs M&amp;E Engineering - General</t>
  </si>
  <si>
    <t>Efacs M&amp;E Engineering-TMB</t>
  </si>
  <si>
    <t>Efacs M&amp;E Engineering-TSM</t>
  </si>
  <si>
    <t>Eighty One Transport &amp; Tdg</t>
  </si>
  <si>
    <t>Einda Furniture Enterprise</t>
  </si>
  <si>
    <t>Electro Global</t>
  </si>
  <si>
    <t>Elektrik Kemat (MA0021605-V)</t>
  </si>
  <si>
    <t>Emerald Aircond &amp; Electrical Service</t>
  </si>
  <si>
    <t>Emum Capital Sdn Bhd</t>
  </si>
  <si>
    <t>Eng Beng</t>
  </si>
  <si>
    <t>Eng Kong Electrical &amp; Plumbing Contractor</t>
  </si>
  <si>
    <t>Eng Lian Concrete Sdn Bhd</t>
  </si>
  <si>
    <t>Eng Wah Crane &amp; Piling (Melaka) Sdn Bhd</t>
  </si>
  <si>
    <t>Engtex Marketing Sdn Bhd</t>
  </si>
  <si>
    <t>Enigma Iz Enterprise</t>
  </si>
  <si>
    <t>ERTM Ventures Sdn Bhd</t>
  </si>
  <si>
    <t>Eternal Ready Mix Sdn Bhd</t>
  </si>
  <si>
    <t>Etika Nr Enterprise</t>
  </si>
  <si>
    <t>Eureka Concept Advertising &amp; Communications</t>
  </si>
  <si>
    <t>Evergreen Hardware DIY (M) Sdn Bhd</t>
  </si>
  <si>
    <t>Excel Cabin Sdn Bhd</t>
  </si>
  <si>
    <t>Excellent Security Network Sdn Bhd</t>
  </si>
  <si>
    <t>Express Mix Concrete (M) Sdn Bhd</t>
  </si>
  <si>
    <t>Ezzy Teknik</t>
  </si>
  <si>
    <t>Fahmi Yahya Bin Mat Razak</t>
  </si>
  <si>
    <t>Fendi-RC Wall</t>
  </si>
  <si>
    <t>FG Autoparts Sdn Bhd</t>
  </si>
  <si>
    <t>Field Force Management Services</t>
  </si>
  <si>
    <t>Firman Success Enterprise</t>
  </si>
  <si>
    <t>Formogres Sdn Bhd</t>
  </si>
  <si>
    <t>Formsnet &amp; Media Sdn Bhd</t>
  </si>
  <si>
    <t>FR Fina Enterprise</t>
  </si>
  <si>
    <t>Francisca General Trading</t>
  </si>
  <si>
    <t>Fredy Workshop</t>
  </si>
  <si>
    <t>FTF Laboratory &amp; Engineering</t>
  </si>
  <si>
    <t>Fu Lian Trading</t>
  </si>
  <si>
    <t>Future IT And Security Sdn Bhd</t>
  </si>
  <si>
    <t>FZ Machinery Legacy</t>
  </si>
  <si>
    <t>G H Maju Enterprise</t>
  </si>
  <si>
    <t>G.L Advertising &amp; Design Sdn Bhd</t>
  </si>
  <si>
    <t>Galeri Perabot Lee</t>
  </si>
  <si>
    <t>Ganesan GB &amp; Brothers Enterprsie</t>
  </si>
  <si>
    <t>Gapit Enterprise</t>
  </si>
  <si>
    <t>Gasware Trading (M) Sdn Bhd</t>
  </si>
  <si>
    <t>GD Express Sdn Bhd</t>
  </si>
  <si>
    <t>Gee Ah Kaw-D.T.3</t>
  </si>
  <si>
    <t>Gee Lee Hang Machinery</t>
  </si>
  <si>
    <t>Gema Marketing S/B</t>
  </si>
  <si>
    <t>Geo Laser (M) Sdn Bhd</t>
  </si>
  <si>
    <t>Geo Level Sdn Bhd</t>
  </si>
  <si>
    <t>Gerak Jalinan Sdn Bhd</t>
  </si>
  <si>
    <t>Gim Lian Khim H/W Sdn Bhd</t>
  </si>
  <si>
    <t>GL Supreme Crane Sdn Bhd</t>
  </si>
  <si>
    <t>Global Stone House</t>
  </si>
  <si>
    <t>GMS Kalilsepire</t>
  </si>
  <si>
    <t>GNG Distributor Sdn Bhd</t>
  </si>
  <si>
    <t>Golden Keys &amp; Lock Enterprise</t>
  </si>
  <si>
    <t>Gopal Electrical Works</t>
  </si>
  <si>
    <t>Grand Hardware &amp; Enterprise Sdn Bhd</t>
  </si>
  <si>
    <t>Green Aim S/B</t>
  </si>
  <si>
    <t>Greendor Sdn Bhd</t>
  </si>
  <si>
    <t>GSK Consult Sdn Bhd</t>
  </si>
  <si>
    <t>GSM Auto Parts &amp; Machinery</t>
  </si>
  <si>
    <t>GT Racing Auto Parts Sdn Bhd</t>
  </si>
  <si>
    <t>GTS Petroleum Enterprise</t>
  </si>
  <si>
    <t>Guan Lai Hardware Sdn Bhd</t>
  </si>
  <si>
    <t>Guan Seng Steel Sdn Bhd</t>
  </si>
  <si>
    <t>GVK Construction</t>
  </si>
  <si>
    <t>GVU Sdn Bhd</t>
  </si>
  <si>
    <t>H C Chee Brothers Piling &amp; Construction Sdn Bhd</t>
  </si>
  <si>
    <t>Hakim Hanaffi Enterprise</t>
  </si>
  <si>
    <t>Hal Industries Sdn Bhd TSRP2</t>
  </si>
  <si>
    <t>Hal Industries Sdn Bhd-TMB</t>
  </si>
  <si>
    <t>Hal Industries TSR1</t>
  </si>
  <si>
    <t>Hanapiya Enterprise</t>
  </si>
  <si>
    <t>Hanson Building Materials Malaysia Sdn Bhd</t>
  </si>
  <si>
    <t>Hanson Quarry Products Sdn Bhd</t>
  </si>
  <si>
    <t>Hapsiri</t>
  </si>
  <si>
    <t>Harvest Parts Sdn Bhd</t>
  </si>
  <si>
    <t>Hasano Bin Syahri</t>
  </si>
  <si>
    <t>Hawaii Construction Melaka</t>
  </si>
  <si>
    <t>Hazara Pest Control</t>
  </si>
  <si>
    <t>HCOM Technology Sdn Bhd</t>
  </si>
  <si>
    <t>Hean Son Trading</t>
  </si>
  <si>
    <t>Hebat Computer &amp; Communication</t>
  </si>
  <si>
    <t>Heng Hock Auto Enterprise</t>
  </si>
  <si>
    <t>Heng Huat Auto Electrical Services</t>
  </si>
  <si>
    <t>Heng Key &amp; Locksmith Enterprise</t>
  </si>
  <si>
    <t>Heng Lai Tractors</t>
  </si>
  <si>
    <t>Heng Seng Hardware Sdn Bhd</t>
  </si>
  <si>
    <t>Herman</t>
  </si>
  <si>
    <t>HFZ Machinery Enterprise</t>
  </si>
  <si>
    <t>Hiap Guan Chan TImber H/W Merchant</t>
  </si>
  <si>
    <t>High Forces Sdn Bhd</t>
  </si>
  <si>
    <t>High Tech Monitoring Systems Sdn Bhd</t>
  </si>
  <si>
    <t>Hightech Frontier (Melaka) Sdn Bhd</t>
  </si>
  <si>
    <t>Hijrah Construction Sdn Bhd</t>
  </si>
  <si>
    <t>Hitachi Construction Machinery (M) Sdn Bhd</t>
  </si>
  <si>
    <t>Hj Othman Bin Abdullah</t>
  </si>
  <si>
    <t>Hock Lai Tiling &amp; Construction</t>
  </si>
  <si>
    <t>Hok Heng Electrical &amp; Plumbing Sdn Bhd</t>
  </si>
  <si>
    <t>Hok Meng Engineering Works</t>
  </si>
  <si>
    <t>Holik Bin Rasul - TMB</t>
  </si>
  <si>
    <t>Holik Bin Rasul -TSR P2</t>
  </si>
  <si>
    <t>Home Beauty Hardware</t>
  </si>
  <si>
    <t>Home Creative Lab Sdn Bhd</t>
  </si>
  <si>
    <t>Home Leader Sdn Bhd</t>
  </si>
  <si>
    <t>Hong Fung Agriculture Supplies</t>
  </si>
  <si>
    <t>Hong Huat</t>
  </si>
  <si>
    <t>Hong Huat Hardware &amp; Enterprise</t>
  </si>
  <si>
    <t>Hong Yik Marketing Sdn Bhd</t>
  </si>
  <si>
    <t>Honjen Enterprise S/B</t>
  </si>
  <si>
    <t>Hosoon Crane Service</t>
  </si>
  <si>
    <t>Hot Heavy Crane Services</t>
  </si>
  <si>
    <t>HSP Scaffolding Sdn Bhd</t>
  </si>
  <si>
    <t>Hua Kee Tractor Engineering</t>
  </si>
  <si>
    <t>Hua Thai Hardware</t>
  </si>
  <si>
    <t>Huat Hock Construction &amp; Trading</t>
  </si>
  <si>
    <t>Huat Hup Chuan Trdg</t>
  </si>
  <si>
    <t>Huatraco Scaffold Sdn Bhd</t>
  </si>
  <si>
    <t>Huls Asia Sdn Bhd</t>
  </si>
  <si>
    <t>Hup Chai Workshop</t>
  </si>
  <si>
    <t>Hup Huat Tangkak Workshop</t>
  </si>
  <si>
    <t>Hup Lee Timber &amp; Hardware Trading</t>
  </si>
  <si>
    <t>Husni</t>
  </si>
  <si>
    <t>Hwi Hong Timber Merchant &amp; Hardware Sdn Bhd</t>
  </si>
  <si>
    <t>Ian Seang Plaster Ceiling-TMB</t>
  </si>
  <si>
    <t>Ian Seang Plaster Ceiling-TSM</t>
  </si>
  <si>
    <t>Ibrahim TMB</t>
  </si>
  <si>
    <t>In-Cube Customize Sdn Bhd</t>
  </si>
  <si>
    <t>Infinity Actlink Construction</t>
  </si>
  <si>
    <t>Innovative Regeneration Sdn Bhd</t>
  </si>
  <si>
    <t>Inspirasi Media (Formsnet)</t>
  </si>
  <si>
    <t>Intan Ledang Enterprise</t>
  </si>
  <si>
    <t>Iqma Hani Enterprise</t>
  </si>
  <si>
    <t>Ira Teknik Consulting Engineers</t>
  </si>
  <si>
    <t>Itwan Piling &amp; Construction (M) Sdn Bhd</t>
  </si>
  <si>
    <t>Iwan-TMB</t>
  </si>
  <si>
    <t>Iwan-TSM</t>
  </si>
  <si>
    <t>J&amp;B Jasin Bemban Hardware Supplies</t>
  </si>
  <si>
    <t>Jamil</t>
  </si>
  <si>
    <t>Jasin Electrical Engineering Sdn Bhd</t>
  </si>
  <si>
    <t>Jati Ceramic Sdn Bhd</t>
  </si>
  <si>
    <t>Jaya Pelita Pharma</t>
  </si>
  <si>
    <t>JCT Furniture Enterprise</t>
  </si>
  <si>
    <t>Jegathesan A/L Karuppiah</t>
  </si>
  <si>
    <t>Jie Sheng Bemban Trading</t>
  </si>
  <si>
    <t>Jin Yan Hardware &amp; Enterprise</t>
  </si>
  <si>
    <t>Jireh Resources</t>
  </si>
  <si>
    <t>Jitt Huat Macinery Sdn Bhd</t>
  </si>
  <si>
    <t>JJBM Marketing</t>
  </si>
  <si>
    <t>JM Supply &amp; Services</t>
  </si>
  <si>
    <t>Jo Roofter</t>
  </si>
  <si>
    <t>Josim</t>
  </si>
  <si>
    <t>JP Lee Roller Shutter Sdn Bhd</t>
  </si>
  <si>
    <t>JS Jaya Tyres And Batteries Service Centre</t>
  </si>
  <si>
    <t>JS Yong Auto Workshop</t>
  </si>
  <si>
    <t>JT Dynamic Enterprise</t>
  </si>
  <si>
    <t>Ju Shun Marketing Sdn Bhd</t>
  </si>
  <si>
    <t>Jubin BMS (Klang) Sdn Bhd</t>
  </si>
  <si>
    <t>JY Hardware Enterprise</t>
  </si>
  <si>
    <t>K Insurance Sdn Bhd</t>
  </si>
  <si>
    <t>K N Choo Plumbing &amp; Construction Sdn Bhd</t>
  </si>
  <si>
    <t>K Sutharshan Enterprise</t>
  </si>
  <si>
    <t>K.C.S.Piau Trading (M) Sdn Bhd</t>
  </si>
  <si>
    <t>K.Prakash Naidu</t>
  </si>
  <si>
    <t>KAG Berkat (M) Sdn Bhd</t>
  </si>
  <si>
    <t>Kah Lee Aluminium And Glass Woks</t>
  </si>
  <si>
    <t>Kam Fatt Heng Hardware</t>
  </si>
  <si>
    <t>Kanbee Auto Accessories Sdn Bhd</t>
  </si>
  <si>
    <t>Kannan A/L Krishnan-TMB</t>
  </si>
  <si>
    <t>Kannan A/L Krishnan-TSM</t>
  </si>
  <si>
    <t>Karyono</t>
  </si>
  <si>
    <t>Karyono Workers</t>
  </si>
  <si>
    <t>Katano</t>
  </si>
  <si>
    <t>KC Yong Machinery Services</t>
  </si>
  <si>
    <t>Kedai Alat-Alat Pertanian Dan Servis Yully</t>
  </si>
  <si>
    <t>Kedai Daud Bin Dollah</t>
  </si>
  <si>
    <t>Kedai Kushen Ocean</t>
  </si>
  <si>
    <t>Kejuruteraan Bina MR</t>
  </si>
  <si>
    <t>Kejuruteraan Kooi Keong</t>
  </si>
  <si>
    <t>Kejuruteraan Rahim Global</t>
  </si>
  <si>
    <t>Kelang Timber Hardware Merchant Sdn Bhd</t>
  </si>
  <si>
    <t>Kelvin Eng Enterprise Sdn Bhd</t>
  </si>
  <si>
    <t>Keng Ma Transport Sdn Berhad</t>
  </si>
  <si>
    <t>Keshindraa Enterprise</t>
  </si>
  <si>
    <t>Kesindras Trans Sdn Bhd</t>
  </si>
  <si>
    <t>KGST Enterprise</t>
  </si>
  <si>
    <t>Khanthan</t>
  </si>
  <si>
    <t>Khen Hai Sdn Bhd</t>
  </si>
  <si>
    <t>Kho Machineries Enterprise</t>
  </si>
  <si>
    <t>Kian Aik Construction Enterprise</t>
  </si>
  <si>
    <t>Kian Hiap S/B</t>
  </si>
  <si>
    <t>Kian Teck Tangkak Sdn Bhd</t>
  </si>
  <si>
    <t>KJSS Trading Sdn Bhd</t>
  </si>
  <si>
    <t>KK Thiagarajan Enterprise</t>
  </si>
  <si>
    <t>KKC Paint Sdn Bhd</t>
  </si>
  <si>
    <t>Klinik &amp; Surgeri Bukit Tinggi</t>
  </si>
  <si>
    <t>Klinik Naharajan and Imaging Centre</t>
  </si>
  <si>
    <t>Klinik Penawar Dan Pembedahan</t>
  </si>
  <si>
    <t>KM Quarry Sdn Bhd</t>
  </si>
  <si>
    <t>Koh Bros Glass Sdn Bhd</t>
  </si>
  <si>
    <t>Konan Design Sdn Bhd</t>
  </si>
  <si>
    <t>KP Reka Teknik</t>
  </si>
  <si>
    <t>Krishnan A/L Arumugam II</t>
  </si>
  <si>
    <t>Krishnan A/l Rengsamy</t>
  </si>
  <si>
    <t>Krubong Workshop</t>
  </si>
  <si>
    <t>KSP Test Pile (M) S/B</t>
  </si>
  <si>
    <t>KSR Kasturi Enterprise</t>
  </si>
  <si>
    <t>Kuari ISdn Bhd Sdn Bhd</t>
  </si>
  <si>
    <t>Kudus-TSM</t>
  </si>
  <si>
    <t>Kujaya Enterprise</t>
  </si>
  <si>
    <t>Kumari - TSM P1</t>
  </si>
  <si>
    <t>Kumari Plastering- TSM P2</t>
  </si>
  <si>
    <t>Kumari Tiler-TSR P2</t>
  </si>
  <si>
    <t>Kumari-TMB</t>
  </si>
  <si>
    <t>Kumpulan GMC Enterprise Sdn Bhd</t>
  </si>
  <si>
    <t>KWL Marketing Sdn Bhd</t>
  </si>
  <si>
    <t>L.D Muthu Sdn Bhd</t>
  </si>
  <si>
    <t>Labur Bina Management Sdn Bhd</t>
  </si>
  <si>
    <t>Lakshmi Machineries Sdn Bhd</t>
  </si>
  <si>
    <t>Lalun</t>
  </si>
  <si>
    <t>Lau Brothers Metal Works</t>
  </si>
  <si>
    <t>Lau Tat (Alor Gajah) Sdn Bhd</t>
  </si>
  <si>
    <t>LCH Equipment</t>
  </si>
  <si>
    <t>Leader Electronic &amp; Electrical Trading Sdn Bhd</t>
  </si>
  <si>
    <t>Ledang Mix Sdn Bhd</t>
  </si>
  <si>
    <t>Lee Ah Teng-Painter</t>
  </si>
  <si>
    <t>Lee Hin Basikal &amp; Letrik</t>
  </si>
  <si>
    <t>Lee Hong Chan Paints Sdn Bhd</t>
  </si>
  <si>
    <t>Lee Keng Choy</t>
  </si>
  <si>
    <t>Lee Yoon Huat</t>
  </si>
  <si>
    <t>Lembah Cemerlang</t>
  </si>
  <si>
    <t>Letchumanan A/L Jaganathan</t>
  </si>
  <si>
    <t>Liahmad(Formwork)</t>
  </si>
  <si>
    <t>Lian Huat Machinery &amp; Hardware Trading</t>
  </si>
  <si>
    <t>Lian Seng Auto Enterprise</t>
  </si>
  <si>
    <t>Lias Mahadi Enterprise</t>
  </si>
  <si>
    <t>Lim Boon Hwa</t>
  </si>
  <si>
    <t>Lim Workshop</t>
  </si>
  <si>
    <t>Lim Yoong Kong</t>
  </si>
  <si>
    <t>Lion File Marketing Sdn Bhd</t>
  </si>
  <si>
    <t>Liow Lee Eng Ent.</t>
  </si>
  <si>
    <t>Liow Lee Eng Enterprise</t>
  </si>
  <si>
    <t>Litti Crane Enterprise</t>
  </si>
  <si>
    <t>Live Star Advertising S/B</t>
  </si>
  <si>
    <t>Liz Thomas Architect</t>
  </si>
  <si>
    <t>LJE Aluminium &amp; Glass Work</t>
  </si>
  <si>
    <t>LLC Aluminium &amp; Roller Shutter</t>
  </si>
  <si>
    <t>Loh Paints Sdn Bhd</t>
  </si>
  <si>
    <t>Lomas Enterprise</t>
  </si>
  <si>
    <t>LS Project &amp; Trading</t>
  </si>
  <si>
    <t>LT Hardware Trading Sdn Bhd</t>
  </si>
  <si>
    <t>LT Power Machinery Sdn Bhd</t>
  </si>
  <si>
    <t>LTS Plaster</t>
  </si>
  <si>
    <t>Lye Fah Soon Construction &amp; Tractor Works</t>
  </si>
  <si>
    <t>M &amp; L Heavy Machine Service</t>
  </si>
  <si>
    <t>M &amp; P Motor Trading</t>
  </si>
  <si>
    <t>M&amp;S Mega Contruction</t>
  </si>
  <si>
    <t>M.C. Motor &amp; Cycle Supply (Melaka) Sdn Bhd</t>
  </si>
  <si>
    <t>Ma Yee Lam - Original</t>
  </si>
  <si>
    <t>Ma Yee Lam -BNC</t>
  </si>
  <si>
    <t>Macromac Corporation (M) Sdn Bhd</t>
  </si>
  <si>
    <t>Madu Kenanga Sdn Bhd</t>
  </si>
  <si>
    <t>Maha Asia Sdn Bhd</t>
  </si>
  <si>
    <t>Maha Murni Jaya Electrical Engineering Sdn Bhd</t>
  </si>
  <si>
    <t>Main Office Equipments</t>
  </si>
  <si>
    <t>Majlis Daerah Kuala Selangor</t>
  </si>
  <si>
    <t>Majlis Perbandaran Jasin</t>
  </si>
  <si>
    <t>Maju Alat Ganti Sdn Bhd</t>
  </si>
  <si>
    <t>Man Heavy Machine</t>
  </si>
  <si>
    <t>Man Salleh-TSM P2</t>
  </si>
  <si>
    <t>Manikala Enterprise</t>
  </si>
  <si>
    <t>Manisa MBJR Ent</t>
  </si>
  <si>
    <t>Manitou Malaysia MH Sdn Bhd</t>
  </si>
  <si>
    <t>Man-Klang</t>
  </si>
  <si>
    <t>Mashkur - Plaster</t>
  </si>
  <si>
    <t>Mastile Klang Sdn Bhd</t>
  </si>
  <si>
    <t>Masyunkum-Yakob</t>
  </si>
  <si>
    <t>Masz Maju Enterprise</t>
  </si>
  <si>
    <t>Mat Juhri-TMB</t>
  </si>
  <si>
    <t>Mat Juhri-TSM</t>
  </si>
  <si>
    <t>Matubbar Jamal - BK 0896439</t>
  </si>
  <si>
    <t>MBA Steel &amp; Hardware</t>
  </si>
  <si>
    <t>Md Babu Molla</t>
  </si>
  <si>
    <t>Md Ekramul Haque</t>
  </si>
  <si>
    <t>MD Ranju</t>
  </si>
  <si>
    <t>Md Sujon Shek</t>
  </si>
  <si>
    <t>Meco Office System</t>
  </si>
  <si>
    <t>Media Kualiti</t>
  </si>
  <si>
    <t>Mega Auto Car Air-Cond Service</t>
  </si>
  <si>
    <t>Megaseal Enterprise</t>
  </si>
  <si>
    <t>Melvin Raj</t>
  </si>
  <si>
    <t>Meng Heng Crane Services</t>
  </si>
  <si>
    <t>Menn Senn Iron Works Construction</t>
  </si>
  <si>
    <t>Mesmenang Sdn. Bhd</t>
  </si>
  <si>
    <t>Messrs Murugesan Sinnandavar &amp; Associates</t>
  </si>
  <si>
    <t>MF Mktg Sdn Bhd</t>
  </si>
  <si>
    <t>MFS BINA ENTERPRISE</t>
  </si>
  <si>
    <t>Mishant &amp; Co</t>
  </si>
  <si>
    <t>Mitrran Enterprise</t>
  </si>
  <si>
    <t>Mizzah Hy Enterprise</t>
  </si>
  <si>
    <t>MK Color Kitchen &amp; Design</t>
  </si>
  <si>
    <t>MLK Management Services Sdn Bhd</t>
  </si>
  <si>
    <t>MM Doors Sdn Bhd</t>
  </si>
  <si>
    <t>Modern Ring Enterprise</t>
  </si>
  <si>
    <t>Moh Sadri</t>
  </si>
  <si>
    <t>Mohamad Koheron - C3813963</t>
  </si>
  <si>
    <t>Mohammed Hafij - BW 0204979</t>
  </si>
  <si>
    <t>Mohd Latiff &amp; Asso</t>
  </si>
  <si>
    <t>Mohd Salleh Bin Mohamad</t>
  </si>
  <si>
    <t>Mojid/Kudos</t>
  </si>
  <si>
    <t>Mok Hon Kong-Bk Pusher</t>
  </si>
  <si>
    <t>Monaa Crane Service</t>
  </si>
  <si>
    <t>Monar Bath Gallery</t>
  </si>
  <si>
    <t>Motif Renong Sdn Bhd</t>
  </si>
  <si>
    <t>Moxie Dynamic Solutions</t>
  </si>
  <si>
    <t>MPGHJ Raj Enterprise</t>
  </si>
  <si>
    <t>MR.D.I.Y (M) Sdn Bhd</t>
  </si>
  <si>
    <t>MS Coring &amp; Services</t>
  </si>
  <si>
    <t>MSE Concrete</t>
  </si>
  <si>
    <t>MSHL Enterprise</t>
  </si>
  <si>
    <t>MT Auto Service</t>
  </si>
  <si>
    <t>MTM Precision Sdn Bhd</t>
  </si>
  <si>
    <t>Muhammad Syazwan Bin Amiruddin</t>
  </si>
  <si>
    <t>Mui Fatt Industries Sdn Bhd</t>
  </si>
  <si>
    <t>Mukris - Masonry</t>
  </si>
  <si>
    <t>Multi Tech Electrical Construction Sdn Bhd</t>
  </si>
  <si>
    <t>Mumtaz Venture Resources</t>
  </si>
  <si>
    <t>Munir Hossain (BC0671753)</t>
  </si>
  <si>
    <t>Muniswara Kaliaman Enterprise</t>
  </si>
  <si>
    <t>Musahnan</t>
  </si>
  <si>
    <t>Muslim -SC Sri Murugan</t>
  </si>
  <si>
    <t>Musthofa Bin Astro</t>
  </si>
  <si>
    <t>MYK Steel &amp; Hardware</t>
  </si>
  <si>
    <t>Mymesin Machinery &amp; Hardware Sdn Bhd</t>
  </si>
  <si>
    <t>MYRevo Sdn Bhd</t>
  </si>
  <si>
    <t>MZ Gemilang Teguh Enterprise</t>
  </si>
  <si>
    <t>Namah Timber Hardware Sdn Bhd</t>
  </si>
  <si>
    <t>Nan Hong Wood Sdn Bhd</t>
  </si>
  <si>
    <t>Nanang Muarif-TMB</t>
  </si>
  <si>
    <t>Nanang Muarif-TSM B23</t>
  </si>
  <si>
    <t>Nantha Kumar A/L Dhanapal</t>
  </si>
  <si>
    <t>Nanyang Expertise Sdn Bhd</t>
  </si>
  <si>
    <t>Nara Consulting Engineers</t>
  </si>
  <si>
    <t>Nasar Roadmark Sdn Bhd</t>
  </si>
  <si>
    <t>Nasrun</t>
  </si>
  <si>
    <t>Nazrul / Altaf</t>
  </si>
  <si>
    <t>Neel Trading</t>
  </si>
  <si>
    <t>New Allwell Pest &amp; Cleaning Sdn Bhd</t>
  </si>
  <si>
    <t>New Kim Hin Industries</t>
  </si>
  <si>
    <t>New Power Glass &amp; Aluminium Works</t>
  </si>
  <si>
    <t>New Star Auto Enterprise</t>
  </si>
  <si>
    <t>Newtechs Construction &amp; Metal Work</t>
  </si>
  <si>
    <t>Nexus Engineering Consultants</t>
  </si>
  <si>
    <t>NG Ba Ba-D.Track 1</t>
  </si>
  <si>
    <t>Ng Crane Works</t>
  </si>
  <si>
    <t>NHA Delima Resources</t>
  </si>
  <si>
    <t>Niroshiman Enterprise</t>
  </si>
  <si>
    <t>Nizam Nzm Enterprise</t>
  </si>
  <si>
    <t>NLC General Pest Control Sdn Bhd</t>
  </si>
  <si>
    <t>Noble Door Sdn Bhd</t>
  </si>
  <si>
    <t>Nordin Bin Bakar</t>
  </si>
  <si>
    <t>NS Multi Trade Enterprise</t>
  </si>
  <si>
    <t>NSK Amu Enterprise</t>
  </si>
  <si>
    <t>Nyalas Quarry Sdn Bhd</t>
  </si>
  <si>
    <t>Ohin Engineering Sdn Bhd</t>
  </si>
  <si>
    <t>Omsai Services</t>
  </si>
  <si>
    <t>One Ethics</t>
  </si>
  <si>
    <t>One Medic Healthcare Sdn Bhd</t>
  </si>
  <si>
    <t>OneStop Home Solutions Sdn. Bhd.</t>
  </si>
  <si>
    <t>Ong Hin Construction</t>
  </si>
  <si>
    <t>Ong Peck Seng (Melaka) Sdn Bhd</t>
  </si>
  <si>
    <t>Ophir Global Sdn Bhd</t>
  </si>
  <si>
    <t>Ophir Quarry Sdn Bhd</t>
  </si>
  <si>
    <t>Optad Mktg Sdn Bhd</t>
  </si>
  <si>
    <t>Orange Light Sdn Bhd</t>
  </si>
  <si>
    <t>Original Clay Industries Sdn Bhd</t>
  </si>
  <si>
    <t>P.B.B.Logam Fu Shiong</t>
  </si>
  <si>
    <t>P.C Image Electronic Sdn Bhd</t>
  </si>
  <si>
    <t>Paan Road Construction</t>
  </si>
  <si>
    <t>Pamugi (AT 913609)</t>
  </si>
  <si>
    <t>Pang Bros Zine Construction</t>
  </si>
  <si>
    <t>Paramount Value Sdn Bhd</t>
  </si>
  <si>
    <t>Pasir Craning Services</t>
  </si>
  <si>
    <t>P'badanan P'gurusan Kodominium Garden Citi</t>
  </si>
  <si>
    <t>PCC Power Tech Sdn Bhd</t>
  </si>
  <si>
    <t>Peace Security Services (M) Sdn Bhd</t>
  </si>
  <si>
    <t>Pembbinaan Huiraumin</t>
  </si>
  <si>
    <t>Pembinaan BMS</t>
  </si>
  <si>
    <t>Pembinaan Jaya Maju</t>
  </si>
  <si>
    <t>Pembinaan Maz Bina</t>
  </si>
  <si>
    <t>Pembinaan Unik Enterprise</t>
  </si>
  <si>
    <t>Pendi(Bricklayer) - SMT</t>
  </si>
  <si>
    <t>Pendi(Bricklayer) - Tylon</t>
  </si>
  <si>
    <t>Peninsular LAndscaping &amp; Design</t>
  </si>
  <si>
    <t>Percetakan Gaya Maju S/B</t>
  </si>
  <si>
    <t>Perdagangan Perabutan Hsin Mah</t>
  </si>
  <si>
    <t>Perfect Readymix (Melaka) Sdn Bhd</t>
  </si>
  <si>
    <t>Perfect Steel System</t>
  </si>
  <si>
    <t>Permata Hectare Services Enterprise</t>
  </si>
  <si>
    <t>Permataa VSP Enterprise</t>
  </si>
  <si>
    <t>PERNIAGAAN BAHAN -BAHAN LOGAM FU SHIONG</t>
  </si>
  <si>
    <t>PERNIAGAAN BATU TUJUH SE</t>
  </si>
  <si>
    <t>Perniagaan Fah Soon</t>
  </si>
  <si>
    <t>Perniagaan Hing Hing Timber Sdn Bhd</t>
  </si>
  <si>
    <t>Perniagaan Mesin Lai Huat</t>
  </si>
  <si>
    <t>Perusahaan Batu Tujuh Sdn Bhd</t>
  </si>
  <si>
    <t>PJV Global Trading</t>
  </si>
  <si>
    <t>PMD_StageBilling</t>
  </si>
  <si>
    <t>Poliklinik &amp; Surgeri Merlimau</t>
  </si>
  <si>
    <t>Poliklinik Kanna Dan Surgeri</t>
  </si>
  <si>
    <t>Posim Marketing Sdn Bhd</t>
  </si>
  <si>
    <t>Powerdrive (Klang) Sdn Bhd</t>
  </si>
  <si>
    <t>Powin Steel Industries Sdn Bhd</t>
  </si>
  <si>
    <t>Premaraj Trading</t>
  </si>
  <si>
    <t>Prima Doors Tdg</t>
  </si>
  <si>
    <t>Prinsip Enterprise S/B</t>
  </si>
  <si>
    <t>Prinsip Securisk Sdn Bhd</t>
  </si>
  <si>
    <t>Prosov Enterprise</t>
  </si>
  <si>
    <t>Provision for Defect Works</t>
  </si>
  <si>
    <t>PS Decor Sdn Bhd</t>
  </si>
  <si>
    <t>PTS Hardware Trading Sdn Bhd</t>
  </si>
  <si>
    <t>Pusat Battery Bintang</t>
  </si>
  <si>
    <t>Pusat Perabut Pesona</t>
  </si>
  <si>
    <t>Pusat Servis Serkam</t>
  </si>
  <si>
    <t>Pusat Servis Tayar Bateri Dan Motor Ching Sing</t>
  </si>
  <si>
    <t>PW Toilet Rentals</t>
  </si>
  <si>
    <t>PZH Enterprise</t>
  </si>
  <si>
    <t>QCasts Sdn Bhd</t>
  </si>
  <si>
    <t>Qlux Group Sdn Bhd</t>
  </si>
  <si>
    <t>Quen Ho Tiling Constraction-TMB</t>
  </si>
  <si>
    <t>Quen Ho Tiling Construction-TSM</t>
  </si>
  <si>
    <t>R &amp; Sons Sdn Bhd</t>
  </si>
  <si>
    <t>R.M.Das Enterprise</t>
  </si>
  <si>
    <t>Rahman Teguh Enterprise</t>
  </si>
  <si>
    <t>Rajathurai</t>
  </si>
  <si>
    <t>Rajendran A/l Kalimuthu</t>
  </si>
  <si>
    <t>Ramachandran-BNC Loan</t>
  </si>
  <si>
    <t>Raman Plumbing</t>
  </si>
  <si>
    <t>Ramli</t>
  </si>
  <si>
    <t>Rangkaian Amirhaziq Enterprise</t>
  </si>
  <si>
    <t>Ranuja Tractors Works</t>
  </si>
  <si>
    <t>Rastam &amp; Co.(CIMB)</t>
  </si>
  <si>
    <t>RB Iron Works</t>
  </si>
  <si>
    <t>RD Auto Accessories</t>
  </si>
  <si>
    <t>RDKNS Enterprise</t>
  </si>
  <si>
    <t>Region Suppliers Sdn Bhd</t>
  </si>
  <si>
    <t>Reka Plaster &amp; Services</t>
  </si>
  <si>
    <t>Rembang Global Sdn Bhd</t>
  </si>
  <si>
    <t>Renophax Sdn Bhd</t>
  </si>
  <si>
    <t>Resintech Plastics (M) Sdn Bhd</t>
  </si>
  <si>
    <t>Retension Sum - TSM P1</t>
  </si>
  <si>
    <t>Retention Payable</t>
  </si>
  <si>
    <t>Rezeki Zill Enterprise</t>
  </si>
  <si>
    <t>Rezki IQ Enterprise</t>
  </si>
  <si>
    <t>Rinazz Enterprise</t>
  </si>
  <si>
    <t>Rizal Waja Enterprise</t>
  </si>
  <si>
    <t>Rizmai Enterprise</t>
  </si>
  <si>
    <t>RJ Info Martix (M) Sdn Bhd</t>
  </si>
  <si>
    <t>RKV Builders</t>
  </si>
  <si>
    <t>RLM Painting and Construction Works</t>
  </si>
  <si>
    <t>Road Builders</t>
  </si>
  <si>
    <t>Rohmat</t>
  </si>
  <si>
    <t>Roman Concrete Construction</t>
  </si>
  <si>
    <t>Roslan Bin Md Ali</t>
  </si>
  <si>
    <t>Roswell (Plumber)</t>
  </si>
  <si>
    <t>Roto Moulding Sdn Bhd</t>
  </si>
  <si>
    <t>Rozamir IR Enterprise</t>
  </si>
  <si>
    <t>RRG Merchantile-Cr</t>
  </si>
  <si>
    <t>RWT Tanks Sdn Bhd</t>
  </si>
  <si>
    <t>S &amp; P Success Enterprise</t>
  </si>
  <si>
    <t>S Ankeitah Transport</t>
  </si>
  <si>
    <t>S.A.W Engineering Roller Shutter</t>
  </si>
  <si>
    <t>S.P. Batu Tujuh Sdn Bhd</t>
  </si>
  <si>
    <t>SA Senna Enterprise</t>
  </si>
  <si>
    <t>Sagil Land Development Sdn Bhd (Cr)</t>
  </si>
  <si>
    <t>Saiful</t>
  </si>
  <si>
    <t>Sakrani</t>
  </si>
  <si>
    <t>Sambu Speed Service</t>
  </si>
  <si>
    <t>Samsul - Klang</t>
  </si>
  <si>
    <t>San Chuan Machinery</t>
  </si>
  <si>
    <t>San Hoe Builder Sdn Bhd</t>
  </si>
  <si>
    <t>Sanan-Ceiling</t>
  </si>
  <si>
    <t>Saton-Brick</t>
  </si>
  <si>
    <t>Saton-Drain</t>
  </si>
  <si>
    <t>Seasontrade Paint S/B</t>
  </si>
  <si>
    <t>Sebarang (M) Sdn Bhd</t>
  </si>
  <si>
    <t>Sejati Parts &amp; Trading Sdn Bhd</t>
  </si>
  <si>
    <t>Selvacandru Enterprise</t>
  </si>
  <si>
    <t>Sempang Emas Enterprise</t>
  </si>
  <si>
    <t>Seng Keong Machinery Services</t>
  </si>
  <si>
    <t>Setia Aircond</t>
  </si>
  <si>
    <t>Setia Erra Saksama Sdn Bhd</t>
  </si>
  <si>
    <t>Setia Maju Roofing Sdn Bhd</t>
  </si>
  <si>
    <t>Setu Earthwoks</t>
  </si>
  <si>
    <t>SF Steel Engineering</t>
  </si>
  <si>
    <t>SG Nursery</t>
  </si>
  <si>
    <t>Sgomiv Technology Sdn Bhd</t>
  </si>
  <si>
    <t>SH Crane Service</t>
  </si>
  <si>
    <t>Shaha Alam</t>
  </si>
  <si>
    <t>Shan Construction &amp; Trading</t>
  </si>
  <si>
    <t>Shenion Home Discovery Sdn Bhd</t>
  </si>
  <si>
    <t>Shilla Thanabalan Automobile</t>
  </si>
  <si>
    <t>Shin Huat Advertising &amp; Trading</t>
  </si>
  <si>
    <t>Shin Sheng Enterprise</t>
  </si>
  <si>
    <t>Shinji Renovation Works</t>
  </si>
  <si>
    <t>Shiti Vinayaga</t>
  </si>
  <si>
    <t>Shivonne Home Boutique</t>
  </si>
  <si>
    <t>Shower Door Stop S/B</t>
  </si>
  <si>
    <t>Shunmugam A/L Packiry</t>
  </si>
  <si>
    <t>Siemmah Terazzo Tiling (M) Sdn Bhd</t>
  </si>
  <si>
    <t>Sika Kimia Sdn Bhd</t>
  </si>
  <si>
    <t>Silver Aspen Resources</t>
  </si>
  <si>
    <t>Sin Ban Hong Hardware Sdn Bhd</t>
  </si>
  <si>
    <t>Sin Ee Glass And Aluminium Works</t>
  </si>
  <si>
    <t>Sin Hup Hin (Tangkak) Sdn Bhd</t>
  </si>
  <si>
    <t>Sin Seng Metal Works &amp; Construction</t>
  </si>
  <si>
    <t>Sin Seng Metal Works-TMB</t>
  </si>
  <si>
    <t>Sinar Jati Enterprises</t>
  </si>
  <si>
    <t>Sinar Jaya</t>
  </si>
  <si>
    <t>Sinfuji Machinery Parts &amp; Hardware Sdn Bhd</t>
  </si>
  <si>
    <t>Sing Kwung Jidosha Sdn Bhd (Melaka)</t>
  </si>
  <si>
    <t>Sing Lai Auto Air-Conditioners &amp; Service</t>
  </si>
  <si>
    <t>Sinmona Enterprise</t>
  </si>
  <si>
    <t>Sinnapper A/L Marithns</t>
  </si>
  <si>
    <t>Sivasaravanan A/L Tangamutu</t>
  </si>
  <si>
    <t>SJ Classic Industrie</t>
  </si>
  <si>
    <t>SJ Motor Spare Part Enterprise</t>
  </si>
  <si>
    <t>SKA Enterprise Sdn Bhd</t>
  </si>
  <si>
    <t>SKAV Enterprise</t>
  </si>
  <si>
    <t>SKR Son Enterprise</t>
  </si>
  <si>
    <t>SKSS Smartland Enterprise</t>
  </si>
  <si>
    <t>SKV Electrical Sdn Bhd</t>
  </si>
  <si>
    <t>SM Ace S/B</t>
  </si>
  <si>
    <t>S-Mix Concrete Industries (M) S/B</t>
  </si>
  <si>
    <t>SML Machinery</t>
  </si>
  <si>
    <t>SMP Construction Services</t>
  </si>
  <si>
    <t>SN Sinar Jati Enterprise</t>
  </si>
  <si>
    <t>Sofan Power Float</t>
  </si>
  <si>
    <t>Solid-Mix Cement Works S/B</t>
  </si>
  <si>
    <t>Solihan Zacky Bin Mohamad</t>
  </si>
  <si>
    <t>Song Huat Sin Sdn Bhd</t>
  </si>
  <si>
    <t>Soon Guan Heng Tdg</t>
  </si>
  <si>
    <t>Soon Hoe Steel Sdn Bhd</t>
  </si>
  <si>
    <t>Soon Yen Plumbing</t>
  </si>
  <si>
    <t>Soon Yi Hardware Trading</t>
  </si>
  <si>
    <t>Soung Bee Tiam-Plasterer</t>
  </si>
  <si>
    <t>SP Sinar Jaya Enterprise</t>
  </si>
  <si>
    <t>Speed Oxygen &amp; Machinery Sdn Bhd</t>
  </si>
  <si>
    <t>SPS Plaster Sdn Bhd</t>
  </si>
  <si>
    <t>Sri Andalas Nursery</t>
  </si>
  <si>
    <t>Sri Ask Maju Enterprise</t>
  </si>
  <si>
    <t>Sri Dhana Transport</t>
  </si>
  <si>
    <t>Sri Nava Trading</t>
  </si>
  <si>
    <t>Sri SM Majumas Trading</t>
  </si>
  <si>
    <t>Srie Serkam Grill &amp; Iron Work</t>
  </si>
  <si>
    <t>Sriratha Enterprise</t>
  </si>
  <si>
    <t>SS Piping  Ent</t>
  </si>
  <si>
    <t>ST Hardware Trdg</t>
  </si>
  <si>
    <t>Stella Supply Sdn Bhd</t>
  </si>
  <si>
    <t>Sterling Readymix Sdn Bhd</t>
  </si>
  <si>
    <t>Strengthen Technologies Sdn Bhd</t>
  </si>
  <si>
    <t>Strikeforce Security Sdn Bhd</t>
  </si>
  <si>
    <t>STSS Engineering Works</t>
  </si>
  <si>
    <t>Sub Cont - Abdul Momen</t>
  </si>
  <si>
    <t>Sub Cont - Hasan</t>
  </si>
  <si>
    <t>Subariansa</t>
  </si>
  <si>
    <t>Subcon - Amir Hamzah Bin Jaafar</t>
  </si>
  <si>
    <t>Subhan -STP</t>
  </si>
  <si>
    <t>Substantial Avenue Resouces</t>
  </si>
  <si>
    <t>Sugumaran</t>
  </si>
  <si>
    <t>Sujev Consultancy Vision Services</t>
  </si>
  <si>
    <t>Sujon Fabrication &amp; Trading</t>
  </si>
  <si>
    <t>Sum Huat (Tangkak) Sdn Bhd</t>
  </si>
  <si>
    <t>Sum Tim Wah</t>
  </si>
  <si>
    <t>Sun Region Trading</t>
  </si>
  <si>
    <t>Sun VK Enterprise</t>
  </si>
  <si>
    <t>Sunny Interior Decoration</t>
  </si>
  <si>
    <t>Sunway Enterprise (1988) Sdn Bhd</t>
  </si>
  <si>
    <t>Sunway Quarry Industries Sdn Bhd</t>
  </si>
  <si>
    <t>Super Ceramic Tiles (Klang) Sdn Bhd</t>
  </si>
  <si>
    <t>Super Ceramic Tiles (Melaka) Sdn Bhd</t>
  </si>
  <si>
    <t>Super Good Construction</t>
  </si>
  <si>
    <t>Super Sterling Mix (M) S/B</t>
  </si>
  <si>
    <t>Super Tab House (Klang) Sdn Bhd</t>
  </si>
  <si>
    <t>Suriyanto - TSM</t>
  </si>
  <si>
    <t>Sutoyo - Sewer - Chenderah</t>
  </si>
  <si>
    <t>Sutoyo -Sewer -TMB</t>
  </si>
  <si>
    <t>Sutoyo -TSR P2</t>
  </si>
  <si>
    <t>SVT Veeraiyah Enterprise</t>
  </si>
  <si>
    <t>SY Readymix Sdn Bhd</t>
  </si>
  <si>
    <t>Syarikat K.J.S.T. Enterprise</t>
  </si>
  <si>
    <t>Syarikat Pembinaan Swee Ming</t>
  </si>
  <si>
    <t>Syarikat Perusahaan Batu Tujuh</t>
  </si>
  <si>
    <t>Syarikat Selamat Kalil Sdn Bhd</t>
  </si>
  <si>
    <t>Syarikat V-Song</t>
  </si>
  <si>
    <t>Syarikat Yathavan</t>
  </si>
  <si>
    <t>Syed Kattuva</t>
  </si>
  <si>
    <t>Syk Mahyuddin Dan Siew Sdn Bhd</t>
  </si>
  <si>
    <t>Sykt Heng Lac Trading</t>
  </si>
  <si>
    <t>SYN Auto</t>
  </si>
  <si>
    <t>SZ Bumi Enterprise</t>
  </si>
  <si>
    <t>T &amp; T Metal Roofing S/B</t>
  </si>
  <si>
    <t>T.N.Machinery Hardware Sdn Bhd</t>
  </si>
  <si>
    <t>Tai Boon Ming</t>
  </si>
  <si>
    <t>Tai Fong Agro</t>
  </si>
  <si>
    <t>Tai Ma Heavy Machinery (M) Sdn Bhd</t>
  </si>
  <si>
    <t>Tai Nyok Hua</t>
  </si>
  <si>
    <t>Tai Tong Chong Kee</t>
  </si>
  <si>
    <t>Taija Brick Inds S/B</t>
  </si>
  <si>
    <t>Tamil Mannan A/L Loka Nathan</t>
  </si>
  <si>
    <t>Tamil Vanan Trading</t>
  </si>
  <si>
    <t>Tampin Sin Yong Wai Industry Sdn Bhd</t>
  </si>
  <si>
    <t>Tan Eng Han Constructions Sdn Bhd</t>
  </si>
  <si>
    <t>Tan Hup Seng Fuel Pump Company</t>
  </si>
  <si>
    <t>Tan Motor Tyres &amp; Batteries Service Centre</t>
  </si>
  <si>
    <t>Tan Tiler</t>
  </si>
  <si>
    <t>Tanabalan A/L Thandarayan</t>
  </si>
  <si>
    <t>Tang Boon Siew Trading</t>
  </si>
  <si>
    <t>Tang Lee (Melaka) Sdn Bhd</t>
  </si>
  <si>
    <t>Tangkak Auto Parts</t>
  </si>
  <si>
    <t>Target Orion Star Sdn Bhd</t>
  </si>
  <si>
    <t>Tautan Kasih Sdn Bhd</t>
  </si>
  <si>
    <t>Tawar Enterprise</t>
  </si>
  <si>
    <t>Tay Ah Huat</t>
  </si>
  <si>
    <t>Tay Hai Swee &amp; Sons Construction Works</t>
  </si>
  <si>
    <t>TCIM Sdn Bhd</t>
  </si>
  <si>
    <t>Technic Crane Service</t>
  </si>
  <si>
    <t>Tefong Electrical Sdn Bhd</t>
  </si>
  <si>
    <t>Tekpol Electric &amp; Supply Sdn Bhd</t>
  </si>
  <si>
    <t>Tekpol Electrical Sdn Bhd</t>
  </si>
  <si>
    <t>Tekun Concrete (M) Sdn Bhd</t>
  </si>
  <si>
    <t>Tenn Fasteners (Melaka) Sdn Bhd</t>
  </si>
  <si>
    <t>Teo Ong-D.T. 2</t>
  </si>
  <si>
    <t>Teobros Ceramica Sdn Bhd</t>
  </si>
  <si>
    <t>Tevarajan A/L Govindan</t>
  </si>
  <si>
    <t>Thai Heng Hardware Trading</t>
  </si>
  <si>
    <t>Thai Hing Machinery</t>
  </si>
  <si>
    <t>Thai Sheng Hardware Sdn Bhd</t>
  </si>
  <si>
    <t>Thara Stoneway Enterprise</t>
  </si>
  <si>
    <t>Thara Stoneway-S.Con</t>
  </si>
  <si>
    <t>Thirty One Home Amaze Enterprise</t>
  </si>
  <si>
    <t>Thong Loon Tyre Battery Sdn Bhd</t>
  </si>
  <si>
    <t>Thuraraju (Plumber)</t>
  </si>
  <si>
    <t>Tiam Heng Machinery Sdn Bhd</t>
  </si>
  <si>
    <t>Tiam Hong Workshop Sdn Bhd</t>
  </si>
  <si>
    <t>Tian Xia Painting &amp; Construction-TSM</t>
  </si>
  <si>
    <t>Tian Xia Painting&amp; Construction-TMB</t>
  </si>
  <si>
    <t>Tiara Bintang Trading Sdn Bhd</t>
  </si>
  <si>
    <t>Timber Grading Consultant</t>
  </si>
  <si>
    <t>Timber Top Marketing S/B</t>
  </si>
  <si>
    <t>Timur Permai Concrete</t>
  </si>
  <si>
    <t>Tin Puang Auto Accessories</t>
  </si>
  <si>
    <t>Tong Agencies</t>
  </si>
  <si>
    <t>Top San Scaffolding</t>
  </si>
  <si>
    <t>Top Security Door Sdn Bhd</t>
  </si>
  <si>
    <t>Topcon Instruments (Malaysia) Sdn Bhd</t>
  </si>
  <si>
    <t>Topcon Positioning Asia (Malaysia) Sdn Bhd</t>
  </si>
  <si>
    <t>Triangle Electrical &amp; Engineering Sdn Bhd</t>
  </si>
  <si>
    <t>Tricomas Mktg S/B</t>
  </si>
  <si>
    <t>Trion Vision Services</t>
  </si>
  <si>
    <t>Triple L Trading &amp; Engineering</t>
  </si>
  <si>
    <t>TSG Kim Hock</t>
  </si>
  <si>
    <t>TTS Construction Sdn Bhd</t>
  </si>
  <si>
    <t>Twin Stars Lighting Centre</t>
  </si>
  <si>
    <t>U-Flex (M) Sdn Bhd</t>
  </si>
  <si>
    <t>UK Bath &amp; Kitchen Sdn Bhd</t>
  </si>
  <si>
    <t>UMW Equipment Sdn Bhd</t>
  </si>
  <si>
    <t>UMW Toyota Motor Sdn Bhd</t>
  </si>
  <si>
    <t>Unique Progress Sdn Bhd</t>
  </si>
  <si>
    <t>Unitech Electrical Engineering S/B</t>
  </si>
  <si>
    <t>Univrsal Lab Testing</t>
  </si>
  <si>
    <t>URC Planners Sdn Bhd</t>
  </si>
  <si>
    <t>Uruswajar Concrete Sdn Bhd</t>
  </si>
  <si>
    <t>Usaha Syukur Sdn Bhd</t>
  </si>
  <si>
    <t>Usahajaya Lighting</t>
  </si>
  <si>
    <t>Usiss Sdn Bhd</t>
  </si>
  <si>
    <t>UUNT Ent. S/B</t>
  </si>
  <si>
    <t>V Sheng Workshop</t>
  </si>
  <si>
    <t>V.Micheal Enterprise</t>
  </si>
  <si>
    <t>Varshini Machinery Enterprise</t>
  </si>
  <si>
    <t>Vat Auto</t>
  </si>
  <si>
    <t>Vay Yeok Eng Enterprise</t>
  </si>
  <si>
    <t>Vegas Aluminium Works</t>
  </si>
  <si>
    <t>Veloo A/L Subramaniam</t>
  </si>
  <si>
    <t>Veton Office System Sdn Bhd</t>
  </si>
  <si>
    <t>Vijayan A/L Kaliyan</t>
  </si>
  <si>
    <t>Vijayan Amboalagan Quarry</t>
  </si>
  <si>
    <t>Vimeria (Malaysia) Sdn Bhd</t>
  </si>
  <si>
    <t>Vimeria Industries Sdn Bhd</t>
  </si>
  <si>
    <t>Vimix Concrete S/B</t>
  </si>
  <si>
    <t>Vitacom Enterprise</t>
  </si>
  <si>
    <t>Vivehkan &amp; Co</t>
  </si>
  <si>
    <t>VM Express Plumbing &amp; Renovation Specialist</t>
  </si>
  <si>
    <t>V-M.F.S Supply Sdn Bhd</t>
  </si>
  <si>
    <t>VP Electcom Enterprise</t>
  </si>
  <si>
    <t>VR General Contractor</t>
  </si>
  <si>
    <t>VS Tax Management PLT</t>
  </si>
  <si>
    <t>VSA Building Materials (M) Sdn Bhd</t>
  </si>
  <si>
    <t>W.T.Wire Mesh Trading Sdn Bhd</t>
  </si>
  <si>
    <t>Wan Bao Machinery Services</t>
  </si>
  <si>
    <t>Wan Eng Joo</t>
  </si>
  <si>
    <t>Warith Ika Enterprise</t>
  </si>
  <si>
    <t>Wat Chooi &amp; Sons Piling Trading</t>
  </si>
  <si>
    <t>Wee Chin Crane &amp; Engineering Sdn Bhd</t>
  </si>
  <si>
    <t>Wee Chin Yen</t>
  </si>
  <si>
    <t>Wee Wee Auto Workshop</t>
  </si>
  <si>
    <t>Weh Shen Construction Sdn Bhd</t>
  </si>
  <si>
    <t>Welson Alum Glass</t>
  </si>
  <si>
    <t>Wesmah Mosaic (M) Sdn Bhd</t>
  </si>
  <si>
    <t>White Horse Marketing Sdn Bhd</t>
  </si>
  <si>
    <t>Win Land Enterprise</t>
  </si>
  <si>
    <t>Winho Electrical Sdn Bhd</t>
  </si>
  <si>
    <t>Winstone Tiling Trading</t>
  </si>
  <si>
    <t>Wisdom Management Services Sdn Bhd</t>
  </si>
  <si>
    <t>Woh Chun Sdn Bhd</t>
  </si>
  <si>
    <t>Wong Yock Kong</t>
  </si>
  <si>
    <t>Xin Chean Pin Battery &amp; Sales</t>
  </si>
  <si>
    <t>Y.A.K Tiles Enterprise Sdn Bhd</t>
  </si>
  <si>
    <t>Y.J.T. Construction &amp; Tdg</t>
  </si>
  <si>
    <t>Yah Kim Hua Wood Specialist</t>
  </si>
  <si>
    <t>Yakob's Worker-TMB</t>
  </si>
  <si>
    <t>Yang Yang Gutter &amp; Roofing Construction Sdn Bhd</t>
  </si>
  <si>
    <t>Yangcin Construction</t>
  </si>
  <si>
    <t>Yangtze-Kiang Advertising</t>
  </si>
  <si>
    <t>Yaw Seng Huat Trading Sdn Bhd</t>
  </si>
  <si>
    <t>Yee Siang Ceramics Construction &amp; Trading</t>
  </si>
  <si>
    <t>Yeow Ooh Swarn</t>
  </si>
  <si>
    <t>Yew Lee Plumbing Contractor - Tsm</t>
  </si>
  <si>
    <t>Yihin Glass &amp; Aluminium Sdn Bhd</t>
  </si>
  <si>
    <t>YM Advantage Sdn Bhd</t>
  </si>
  <si>
    <t>YNR Intergrated</t>
  </si>
  <si>
    <t>YNR Nursery</t>
  </si>
  <si>
    <t>Yong Fung Machinery &amp; Agro Trading Sdn Bhd</t>
  </si>
  <si>
    <t>Yong Sern Car Air Cond &amp; Auto Care</t>
  </si>
  <si>
    <t>Yong Soon Twenty Enterprise</t>
  </si>
  <si>
    <t>Yontai Hardware Sdn Bhd</t>
  </si>
  <si>
    <t>You Lee Plumbing</t>
  </si>
  <si>
    <t>Your Painter Resources</t>
  </si>
  <si>
    <t>YTK Advertising &amp; Supply</t>
  </si>
  <si>
    <t>Yusof</t>
  </si>
  <si>
    <t>Yusof - Indonesian</t>
  </si>
  <si>
    <t>Yusof - Mason</t>
  </si>
  <si>
    <t>YW Yang Wei Piling</t>
  </si>
  <si>
    <t>Zainal Bin Husin</t>
  </si>
  <si>
    <t>ZK Trading</t>
  </si>
  <si>
    <t>ZNT Mission - Petronas Station</t>
  </si>
  <si>
    <t>Zonten Sdn Bhd</t>
  </si>
  <si>
    <t>Workers/staff Loan</t>
  </si>
  <si>
    <t>AHI Roofing (M) S/B</t>
  </si>
  <si>
    <t>Anand Capital Holding</t>
  </si>
  <si>
    <t>Anand Travels</t>
  </si>
  <si>
    <t>Ananth A/L Sivadas</t>
  </si>
  <si>
    <t>Anthonysamy</t>
  </si>
  <si>
    <t>Augustin</t>
  </si>
  <si>
    <t>BNC Chandran House</t>
  </si>
  <si>
    <t>BNC Group of Co.</t>
  </si>
  <si>
    <t>BNC Metal Stamping Sdn Bhd New Factory</t>
  </si>
  <si>
    <t>BNC Metal Stamping Sdn Bhd-Machine</t>
  </si>
  <si>
    <t>Chenderah Land Sdn Bhd</t>
  </si>
  <si>
    <t>Chew</t>
  </si>
  <si>
    <t>Consistent Freedom Sdn Bhd</t>
  </si>
  <si>
    <t>David -Monterez</t>
  </si>
  <si>
    <t>Daya Samudra Sdn Bhd</t>
  </si>
  <si>
    <t>Dr Kalyana</t>
  </si>
  <si>
    <t>Dr Selva</t>
  </si>
  <si>
    <t>Dr.Ramasamy</t>
  </si>
  <si>
    <t>Dr.Subra</t>
  </si>
  <si>
    <t>Golden Corporate Heritage</t>
  </si>
  <si>
    <t>Gomiv Knowledge S/B</t>
  </si>
  <si>
    <t>Guna - Seremban</t>
  </si>
  <si>
    <t>Guna -Btg Berjuntai</t>
  </si>
  <si>
    <t>HaveaBoard Bhd</t>
  </si>
  <si>
    <t>Helmtech Engineering Sdn Bhd</t>
  </si>
  <si>
    <t>Intan Biru Enterprise Sdn Bhd</t>
  </si>
  <si>
    <t>Jago Farms Sdn Bhd</t>
  </si>
  <si>
    <t>Kilang Tepung Mahas (M) Sdn Bhd</t>
  </si>
  <si>
    <t>Kooperasi Serberguna Kebangsaan Bhd</t>
  </si>
  <si>
    <t>Koperasi Kota</t>
  </si>
  <si>
    <t>KPRJ Builders Sdn Bhd</t>
  </si>
  <si>
    <t>Kumar A/l Kandasamy</t>
  </si>
  <si>
    <t>Kunasekaran</t>
  </si>
  <si>
    <t>Leela</t>
  </si>
  <si>
    <t>Lourdes Sek.7</t>
  </si>
  <si>
    <t>Manual-S.Park</t>
  </si>
  <si>
    <t>Maxicon Shipping</t>
  </si>
  <si>
    <t>Mettle Enterprise</t>
  </si>
  <si>
    <t>Mrs Thilakannu</t>
  </si>
  <si>
    <t>Murali Setia Alam</t>
  </si>
  <si>
    <t>Murugesu Andalas</t>
  </si>
  <si>
    <t>NLF-Seremban Barn</t>
  </si>
  <si>
    <t>Nor Rizah Binti Ahmad</t>
  </si>
  <si>
    <t>Persatuan Penganut Dewi Sri Maha Mariamman Alayam</t>
  </si>
  <si>
    <t>Pertubuhan Kebajikan Bhagawan Sri Ramakrishna</t>
  </si>
  <si>
    <t>Plastic Corridor (M) Sdn Bhd</t>
  </si>
  <si>
    <t>Prima Maju Development S/B</t>
  </si>
  <si>
    <t>Ramachandran - RRG</t>
  </si>
  <si>
    <t>Ramli - Hilux WLK1327</t>
  </si>
  <si>
    <t>Roda Cekap Sdn Bhd</t>
  </si>
  <si>
    <t>RRG Mercantile-Dt</t>
  </si>
  <si>
    <t>S Suthen Trading ( Machinery Electrician)</t>
  </si>
  <si>
    <t>S.O. Arjuna Jewellers</t>
  </si>
  <si>
    <t>Sagil Land Development Sdn Bhd</t>
  </si>
  <si>
    <t>Sasuka Engineering</t>
  </si>
  <si>
    <t>Serkam Ria Development S/B</t>
  </si>
  <si>
    <t>Serkam Shop - Hau Lim Teik &amp; Others</t>
  </si>
  <si>
    <t>Setia Alam</t>
  </si>
  <si>
    <t>Siti Maryam Maju Enterprise</t>
  </si>
  <si>
    <t>Sri Maha Mariamman Temple</t>
  </si>
  <si>
    <t>Sri Murugan Trading</t>
  </si>
  <si>
    <t>Takrif Hasil Korporat Sdn Bhd</t>
  </si>
  <si>
    <t>Tylon</t>
  </si>
  <si>
    <t>Veeloo - S/Alam</t>
  </si>
  <si>
    <t>Veerapan</t>
  </si>
  <si>
    <t>Velmurugan</t>
  </si>
  <si>
    <t>Vinzo Solutions Sdn Bhd</t>
  </si>
  <si>
    <t>Vision Best Air Freight Services</t>
  </si>
  <si>
    <t>Deposit</t>
  </si>
  <si>
    <t>Deposit - Rental</t>
  </si>
  <si>
    <t>Deposit - Tender</t>
  </si>
  <si>
    <t>Deposit - Water</t>
  </si>
  <si>
    <t>Deposit-Project</t>
  </si>
  <si>
    <t>Deposit-TNB</t>
  </si>
  <si>
    <t>Cukai Tanah</t>
  </si>
  <si>
    <t>GST Input Tax</t>
  </si>
  <si>
    <t>GST Output Tax</t>
  </si>
  <si>
    <t>GST Payable</t>
  </si>
  <si>
    <t>EPF - Site</t>
  </si>
  <si>
    <t>Socso - Office</t>
  </si>
  <si>
    <t>Socso - Site</t>
  </si>
  <si>
    <t>EIS - Office</t>
  </si>
  <si>
    <t>EIS - Site</t>
  </si>
  <si>
    <t>EPF - Office</t>
  </si>
  <si>
    <t>Compensation</t>
  </si>
  <si>
    <t>Compound</t>
  </si>
  <si>
    <t>Provision of Doubtful Debt</t>
  </si>
  <si>
    <t>Travelling Expenses - Administration</t>
  </si>
  <si>
    <t xml:space="preserve">Travelling Expenses - Site </t>
  </si>
  <si>
    <t>Rental - TPG Hpuse</t>
  </si>
  <si>
    <t>Upkeep-WPY 2841</t>
  </si>
  <si>
    <t>WLV 5314 - Petrol</t>
  </si>
  <si>
    <t>Accomodation-Office</t>
  </si>
  <si>
    <t>Accounting Fee</t>
  </si>
  <si>
    <t>X</t>
  </si>
  <si>
    <t>Audit Fee</t>
  </si>
  <si>
    <t>Auditors Remuneration</t>
  </si>
  <si>
    <t>Bad Debts Written Off</t>
  </si>
  <si>
    <t>Bank Charges</t>
  </si>
  <si>
    <t>Bank Interest</t>
  </si>
  <si>
    <t>BDL2136</t>
  </si>
  <si>
    <t>BDL2136-Petrol</t>
  </si>
  <si>
    <t>BHM9256</t>
  </si>
  <si>
    <t>Books &amp; Periodicals</t>
  </si>
  <si>
    <t>CIDB Fee /Levy</t>
  </si>
  <si>
    <t>Company Secretary Fees</t>
  </si>
  <si>
    <t>Documentation Fee</t>
  </si>
  <si>
    <t>Donation/ Gift</t>
  </si>
  <si>
    <t>Entertainment</t>
  </si>
  <si>
    <t>Fine/Late Chrg</t>
  </si>
  <si>
    <t>Insurance - General</t>
  </si>
  <si>
    <t>Interest- Hire Purchase</t>
  </si>
  <si>
    <t>Interest-Loan</t>
  </si>
  <si>
    <t>Legal Fees</t>
  </si>
  <si>
    <t>License</t>
  </si>
  <si>
    <t>Medical</t>
  </si>
  <si>
    <t>Office Sundries</t>
  </si>
  <si>
    <t>Parking &amp; Tol</t>
  </si>
  <si>
    <t>Permit</t>
  </si>
  <si>
    <t>Photocopier - Usage</t>
  </si>
  <si>
    <t>Postage &amp; Courier</t>
  </si>
  <si>
    <t>Processing Fee</t>
  </si>
  <si>
    <t>Quit Rent &amp; Assessment</t>
  </si>
  <si>
    <t>RiaKistan Portal</t>
  </si>
  <si>
    <t>Sales Discount Allowed</t>
  </si>
  <si>
    <t>Sales Promotion</t>
  </si>
  <si>
    <t>Secretary Fee</t>
  </si>
  <si>
    <t>Service Charges</t>
  </si>
  <si>
    <t>Staff Amenities</t>
  </si>
  <si>
    <t>Stamping Fee</t>
  </si>
  <si>
    <t>Subscription &amp; Membership Fee</t>
  </si>
  <si>
    <t>Tally Sales Expenses</t>
  </si>
  <si>
    <t>Training and Seminar</t>
  </si>
  <si>
    <t>Valuation Fee</t>
  </si>
  <si>
    <t>Write Off Account</t>
  </si>
  <si>
    <t>Write Off Asset</t>
  </si>
  <si>
    <t>Acc Depn - Handphone</t>
  </si>
  <si>
    <t>Acc Depn - Office Building</t>
  </si>
  <si>
    <t>Acc. Depn - Computer Hardware</t>
  </si>
  <si>
    <t>Acc. Depn - Computer Software</t>
  </si>
  <si>
    <t>Acc. Depn - Field Equipment</t>
  </si>
  <si>
    <t>Acc. Depn - Furniture &amp; Fittings</t>
  </si>
  <si>
    <t>Acc. Depn - Motor Vehicle</t>
  </si>
  <si>
    <t>Acc. Depn - Office Equipment</t>
  </si>
  <si>
    <t>Acc.Depn - Air Con</t>
  </si>
  <si>
    <t>Acc.Depn - Office Renovation</t>
  </si>
  <si>
    <t>Air Conditioning</t>
  </si>
  <si>
    <t>Building-Serkam Store</t>
  </si>
  <si>
    <t>Computer Hardware</t>
  </si>
  <si>
    <t>Computer Software</t>
  </si>
  <si>
    <t>Field Equipment</t>
  </si>
  <si>
    <t>Investment Property</t>
  </si>
  <si>
    <t>Land - Mukim Merlimau</t>
  </si>
  <si>
    <t>Motor Vehicle</t>
  </si>
  <si>
    <t>Office Equipment</t>
  </si>
  <si>
    <t>Office Renovation</t>
  </si>
  <si>
    <t>Office Renovation - Palm Grove</t>
  </si>
  <si>
    <t>Office Renovation - Serkam</t>
  </si>
  <si>
    <t>Fixed Deposit</t>
  </si>
  <si>
    <t>Bad Debt Recovery</t>
  </si>
  <si>
    <t>Dividend</t>
  </si>
  <si>
    <t>Gain on Disposal of Asset</t>
  </si>
  <si>
    <t>Interest Receivable</t>
  </si>
  <si>
    <t>Other Income</t>
  </si>
  <si>
    <t>Perkeso Subsidy Wages</t>
  </si>
  <si>
    <t>Rental Receivable</t>
  </si>
  <si>
    <t>Investment</t>
  </si>
  <si>
    <t>Ambank Term Loan</t>
  </si>
  <si>
    <t>AmIslamic Bhd-Term Loan</t>
  </si>
  <si>
    <t>Bank OD A/c</t>
  </si>
  <si>
    <t>CIMB Bank</t>
  </si>
  <si>
    <t>CIMB-Term Loan Off Bldg</t>
  </si>
  <si>
    <t>Hitachi Capital (M) Sdn Bhd</t>
  </si>
  <si>
    <t>HP - WYP5601 - Toyota Capital</t>
  </si>
  <si>
    <t>HP Loan - Maybank - BRJ6184</t>
  </si>
  <si>
    <t>HP Loan - MCR 1361 - Hino Lorrry</t>
  </si>
  <si>
    <t>HP Loan - ORIX Credit (Backhoe Loader)</t>
  </si>
  <si>
    <t>HP Loan - ORIX Credit (Soil Compactor)</t>
  </si>
  <si>
    <t>HP Loan - PBB - BPJ8967</t>
  </si>
  <si>
    <t>HP-MCL114 - Camry-Toyota Capital</t>
  </si>
  <si>
    <t>Loan From Josephine</t>
  </si>
  <si>
    <t>Maybank-Term Loan-Serkam</t>
  </si>
  <si>
    <t>MBB - Melaka Sales Office</t>
  </si>
  <si>
    <t>Misc. Expenses (ASSET)</t>
  </si>
  <si>
    <t>OCBC - Term Loan (THY1)</t>
  </si>
  <si>
    <t>OCBC IES Loan</t>
  </si>
  <si>
    <t>OCBC Term Loan</t>
  </si>
  <si>
    <t>Orix Credit (M) S/B-Backhoe-Case</t>
  </si>
  <si>
    <t>Orix Credit M'sia Sdn Bhd-Komatsu</t>
  </si>
  <si>
    <t>PBB - Term Loan - Melimau Land</t>
  </si>
  <si>
    <t>PBB Term Loan - Palm Grove Shoplot</t>
  </si>
  <si>
    <t>Public Bank Bhd - Hilux Loan</t>
  </si>
  <si>
    <t>Rajandran Palani - Maju Steel Loan</t>
  </si>
  <si>
    <t>RHB Crdt Card -Loan 50K</t>
  </si>
  <si>
    <t>Standard Chartered - RKSdn Bhd Termloan 500K</t>
  </si>
  <si>
    <t>Standard Chartered Loan - Credit Card</t>
  </si>
  <si>
    <t>Fendi - Advance</t>
  </si>
  <si>
    <t>Upkeep-Office</t>
  </si>
  <si>
    <t>Cement Unloading</t>
  </si>
  <si>
    <t>Cleaning - Worksite</t>
  </si>
  <si>
    <t>Construction Waste Disposal</t>
  </si>
  <si>
    <t>Crane/Lorry</t>
  </si>
  <si>
    <t>Elec.Bill-S.Supervisor Hse</t>
  </si>
  <si>
    <t>Electricity Bill-Rajan Hse</t>
  </si>
  <si>
    <t>Electricity-Site</t>
  </si>
  <si>
    <t>Indah Water - Site</t>
  </si>
  <si>
    <t>Insurance-Project/Job</t>
  </si>
  <si>
    <t>Machinery Rental</t>
  </si>
  <si>
    <t>MIsc Expenses - Site</t>
  </si>
  <si>
    <t>Mobilisation and Demobilisation</t>
  </si>
  <si>
    <t>Petrol/Diesel/Lubricant-Site</t>
  </si>
  <si>
    <t>Rental - Land</t>
  </si>
  <si>
    <t>Rental -S.Supervisor Hse</t>
  </si>
  <si>
    <t>Rental-Klg Site</t>
  </si>
  <si>
    <t>Sc CCTV Sewer Inspection</t>
  </si>
  <si>
    <t>SC Steel Portal</t>
  </si>
  <si>
    <t>Site Supervision Fee</t>
  </si>
  <si>
    <t>Soil &amp; Probe Test</t>
  </si>
  <si>
    <t>Storage Tank</t>
  </si>
  <si>
    <t>Sub Contractor - Building</t>
  </si>
  <si>
    <t>Sub Contractor - Infrastructure</t>
  </si>
  <si>
    <t>Sub Contractor Wages</t>
  </si>
  <si>
    <t>Tools</t>
  </si>
  <si>
    <t>Trades (Sub Contracting)</t>
  </si>
  <si>
    <t>Transportation</t>
  </si>
  <si>
    <t>Upkeep - Excavator Hitachi VD8736</t>
  </si>
  <si>
    <t>Upkeep- Excavator - Sumitomo BJK 803</t>
  </si>
  <si>
    <t>Upkeep -Lorry MCR1361</t>
  </si>
  <si>
    <t>Upkeep-Equipment</t>
  </si>
  <si>
    <t>Upkeep-Excavator Komatsu WXJ7525</t>
  </si>
  <si>
    <t>Upkeep-Lorry Toyota - WEY 2582</t>
  </si>
  <si>
    <t>Upkeep-Site</t>
  </si>
  <si>
    <t>Wages</t>
  </si>
  <si>
    <t>Wages - Direct Wages</t>
  </si>
  <si>
    <t>Water-Meter Installation</t>
  </si>
  <si>
    <t>Workers Accomodation</t>
  </si>
  <si>
    <t>Workers Food</t>
  </si>
  <si>
    <t>Upkeep Case M2  WVD5989</t>
  </si>
  <si>
    <t>Upkeep- Hilux - WBK 5443</t>
  </si>
  <si>
    <t>Upkeep Triton</t>
  </si>
  <si>
    <t>Upkeep-BDL2136</t>
  </si>
  <si>
    <t>Upkeep-Hilux - WLK1327</t>
  </si>
  <si>
    <t>Upkeep-Hilux-WYP5601</t>
  </si>
  <si>
    <t>Maintenances of Equipment's - Administration</t>
  </si>
  <si>
    <t>Upkeep-Computer</t>
  </si>
  <si>
    <t>Material - Building</t>
  </si>
  <si>
    <t>Material - House</t>
  </si>
  <si>
    <t>Material - Infrastructure</t>
  </si>
  <si>
    <t>Profesional Fee - Consultation Fee</t>
  </si>
  <si>
    <t>Profesional Fee - Interior Designer</t>
  </si>
  <si>
    <t>Profesional Fee-Landscaping</t>
  </si>
  <si>
    <t>Profession Fee-Survey</t>
  </si>
  <si>
    <t>Professional Fee - M &amp; E</t>
  </si>
  <si>
    <t>Professional Fee - QS</t>
  </si>
  <si>
    <t>Professional Fee -Architect</t>
  </si>
  <si>
    <t>Professional Fee- C&amp;S</t>
  </si>
  <si>
    <t>Professional Fee- Site Safety</t>
  </si>
  <si>
    <t>Professional Fee-Planning</t>
  </si>
  <si>
    <t>Professional Fee-Project Managemt</t>
  </si>
  <si>
    <t>QS Service Fee</t>
  </si>
  <si>
    <t>Survey Fee</t>
  </si>
  <si>
    <t>Tally Software - Purchase</t>
  </si>
  <si>
    <t>Director Remuneration</t>
  </si>
  <si>
    <t>Directors' Fees</t>
  </si>
  <si>
    <t>EPF - Office Staff</t>
  </si>
  <si>
    <t>Fee - Mr Pillai</t>
  </si>
  <si>
    <t>Office Staff Overtime</t>
  </si>
  <si>
    <t>Salary-Office</t>
  </si>
  <si>
    <t>Socso - Office Staff</t>
  </si>
  <si>
    <t>Salary - Jhonathan Bapoo</t>
  </si>
  <si>
    <t>Salary - Mastan</t>
  </si>
  <si>
    <t>Salary - Mohan Muniandy</t>
  </si>
  <si>
    <t>Salary - Mohd Azri B. Rahmat</t>
  </si>
  <si>
    <t>Salary - Mohd Haffiz Bin Supai</t>
  </si>
  <si>
    <t>Salary - Mohd Zairee B. Ab Hamid</t>
  </si>
  <si>
    <t>Salary - Norlizam Bin Muhamad</t>
  </si>
  <si>
    <t>Salary - Patchiappan Ponnuswamy</t>
  </si>
  <si>
    <t>Salary - Poobalan</t>
  </si>
  <si>
    <t>Salary - Poovenasharma Balakrishnan</t>
  </si>
  <si>
    <t>Salary - Rangarajan A/l Adykan</t>
  </si>
  <si>
    <t>Salary - Rubin Raj</t>
  </si>
  <si>
    <t>Salary - Sathu A/l Veloo</t>
  </si>
  <si>
    <t>Salary - Shiral Anuar Md Hane</t>
  </si>
  <si>
    <t>Salary - Siva A/l Raman</t>
  </si>
  <si>
    <t>Salary - Sri Ganesh A/l Alagappan</t>
  </si>
  <si>
    <t>Salary - Sri Vikgnesh Vellasamy</t>
  </si>
  <si>
    <t>Salary - Sugantheran Allaga Sundra</t>
  </si>
  <si>
    <t>Salary - Sukumaran</t>
  </si>
  <si>
    <t>Salary-Site</t>
  </si>
  <si>
    <t>Salary-Tevarajan A/L Govindan</t>
  </si>
  <si>
    <t>Shanker</t>
  </si>
  <si>
    <t>Store Rental</t>
  </si>
  <si>
    <t>Store Rental - Telok Pulai</t>
  </si>
  <si>
    <t>Temp Storage Space Rental</t>
  </si>
  <si>
    <t>MR Scallfolding</t>
  </si>
  <si>
    <t>MR-Backhoe/Excavator/Tractor</t>
  </si>
  <si>
    <t>MR-Crane and Skylift</t>
  </si>
  <si>
    <t>MR-Lorry</t>
  </si>
  <si>
    <t>Rental - Klang Off</t>
  </si>
  <si>
    <t>Rental - Serkam Off</t>
  </si>
  <si>
    <t>Rental Photocopier</t>
  </si>
  <si>
    <t>Dividend Paid</t>
  </si>
  <si>
    <t>Share Application</t>
  </si>
  <si>
    <t>Sales - Job</t>
  </si>
  <si>
    <t>Sales - Management Fee</t>
  </si>
  <si>
    <t>Sales - Misc</t>
  </si>
  <si>
    <t>Sales - Project</t>
  </si>
  <si>
    <t>Sales - Rental of Equipments</t>
  </si>
  <si>
    <t>Sales - TALLY</t>
  </si>
  <si>
    <t>Sales-Material</t>
  </si>
  <si>
    <t>Paid Up Capital</t>
  </si>
  <si>
    <t>Profit &amp; Loss A/c</t>
  </si>
  <si>
    <t>Provision for Tax</t>
  </si>
  <si>
    <t>Electricity - Office</t>
  </si>
  <si>
    <t xml:space="preserve">Indah Water - Office </t>
  </si>
  <si>
    <t>Internet - Office</t>
  </si>
  <si>
    <t>Telephone - Office</t>
  </si>
  <si>
    <t>Water - Office</t>
  </si>
  <si>
    <t>Internet - Site</t>
  </si>
  <si>
    <t>Telephone -Site</t>
  </si>
  <si>
    <t>Water- Site</t>
  </si>
  <si>
    <t>Utility - Indirect</t>
  </si>
  <si>
    <t>Electricity- Site</t>
  </si>
  <si>
    <t xml:space="preserve">Work in Progress </t>
  </si>
  <si>
    <t>Accomodation-Site</t>
  </si>
  <si>
    <t>Allowance ?</t>
  </si>
  <si>
    <t>BGV 1705 Maintenence</t>
  </si>
  <si>
    <t>Contribution Fee ?</t>
  </si>
  <si>
    <t>Differed Tax Expenses</t>
  </si>
  <si>
    <t>Discount Received</t>
  </si>
  <si>
    <t>Disposal of Asset - Gain</t>
  </si>
  <si>
    <t>Disposal of Asset - Loss</t>
  </si>
  <si>
    <t>Disposal of Fixed Asset</t>
  </si>
  <si>
    <t>GST Bad Debts</t>
  </si>
  <si>
    <t>GST Expense</t>
  </si>
  <si>
    <t>GST Not Paid</t>
  </si>
  <si>
    <t>Insurance - Site</t>
  </si>
  <si>
    <t>Land Cost</t>
  </si>
  <si>
    <t>Maintenance Fee ?</t>
  </si>
  <si>
    <t>Prepayments</t>
  </si>
  <si>
    <t>Retainage Receivable</t>
  </si>
  <si>
    <t>Small Asset - Maintenance</t>
  </si>
  <si>
    <t>Tax Penalty</t>
  </si>
  <si>
    <t>Taxation Fee</t>
  </si>
  <si>
    <t>Upkeep - Motor Vehicle - Administration</t>
  </si>
  <si>
    <t>Upkeep - Motor Vehicle - Construction</t>
  </si>
  <si>
    <t>WBK 5443</t>
  </si>
  <si>
    <t>WBK 5443-Petrol</t>
  </si>
  <si>
    <t>Tab - Stakeholder Details</t>
  </si>
  <si>
    <t>Move NOTES from Tab Status &amp; Bank Details to 1st Tab Stakeholder Details.</t>
  </si>
  <si>
    <t>Tab - Communication</t>
  </si>
  <si>
    <t>Remove This - 2. COMMUNICATION DETAILS</t>
  </si>
  <si>
    <t>Tab - Status &amp; Bank Details</t>
  </si>
  <si>
    <t>Remove This. 3. ADMINISTRATIVE METADATA &amp; CONTROL SYSTEM</t>
  </si>
  <si>
    <t>Status: Record Active  &gt;  Status - Active</t>
  </si>
  <si>
    <t>Legal Entity Reference &gt; Legal Entity</t>
  </si>
  <si>
    <t>You are taking the Bank Name from UI A-06. This Data is For User To Register all Bank Accounts own by User Company. Example Ria Kistana Sdn Bhd (Rksb). NOTHING To do with Stakeholder. There will be many bank that Rksb does not have bank Account. Further there will be duplication as Rksb has multiple Account in same Bank BUT different Branch.  Each stakeholder will have their  own Bank  which may NOT be same with ours. SO I suggest we have another UI A-028 to register all the banks. In this UI No Bank Name will be duplicated and all banks in Malysia will be included. then from this UI we display in Bank Name (Stakeholder and Also in Bank Account Register)</t>
  </si>
  <si>
    <t>Bank Name</t>
  </si>
  <si>
    <t>Add New Field</t>
  </si>
  <si>
    <t>NEW Registration No. All Numerical Value.</t>
  </si>
  <si>
    <t>Add New Field - Tin No</t>
  </si>
  <si>
    <t xml:space="preserve">Tin No  - ONE Textbox </t>
  </si>
  <si>
    <t>Communication Tab</t>
  </si>
  <si>
    <t>When user click ENTER system is saving Data. When User click ENTER system must move Cursor to Next Field.</t>
  </si>
  <si>
    <t>Kindly move Contact Communication to 1st Tab. Both Phone No and Email Details. Where we enter Name. Communication Tab remove.</t>
  </si>
  <si>
    <t>Stakeholder Details</t>
  </si>
  <si>
    <t>Still Display wrong Table Data.</t>
  </si>
  <si>
    <t>UI Saving</t>
  </si>
  <si>
    <t>Display beside Add New</t>
  </si>
  <si>
    <t>Sort and Display UOM Group by Language selected</t>
  </si>
  <si>
    <t>Master &gt; Material &gt; This is NOT displayed in Master. Have we completed this UI? I notice that I did not highlight as Urgent and place this in  Group A BUT in Group B. Kindly Check Menu_Layout</t>
  </si>
  <si>
    <t>Kindly Change the Caption from UOM List (EN) To UOM (EN) &amp; UOM List (BM) to UOM (BM)</t>
  </si>
  <si>
    <t>Add NEW</t>
  </si>
  <si>
    <t>User Creation</t>
  </si>
  <si>
    <t>Input Textbox Kindly make as in Stakeholder. Display +06</t>
  </si>
  <si>
    <t>Add User</t>
  </si>
  <si>
    <t>When saved does NOT Add into Dashboard. This morning I added Amirah …...Amirah Binti Mat Jamal ---amirahjamal93@gamail.com…+601116209494 see in Dashboard her name is NOT there. User also NOT receiving email.</t>
  </si>
  <si>
    <t>Show Who Created the Document - Suggestion - 1st 3 Name Char + Year of Birth or 1st 2 Char Name,  1 Char Father Name and Year of Birthday (2 Digit)</t>
  </si>
  <si>
    <t>IF there is Insufficient space then REMOVE - Notes.</t>
  </si>
  <si>
    <t>Left Align Dashboard Columns</t>
  </si>
  <si>
    <t>Sort and Display WPS Classification - Alphabetically.</t>
  </si>
  <si>
    <t>When I save data it DOES NOT Save Data. Error Message.</t>
  </si>
  <si>
    <t>Change This Caption - From Product / Service To Purchasing Documentation. Change the Data in This Column also</t>
  </si>
  <si>
    <t>WPS Grouping</t>
  </si>
  <si>
    <t>Dashbord Position</t>
  </si>
  <si>
    <t>Move beside  ADD New. We try to Standardise this.</t>
  </si>
  <si>
    <t>Checkbox_Value</t>
  </si>
  <si>
    <t>Completion_Date</t>
  </si>
  <si>
    <t xml:space="preserve">Align Immoveable and Leasehold. </t>
  </si>
  <si>
    <t>Leasehold</t>
  </si>
  <si>
    <t>UI Save</t>
  </si>
  <si>
    <t>Cannot Save Data.</t>
  </si>
  <si>
    <t>Kindly Check my amendments. As discussed on 25thJuly.</t>
  </si>
  <si>
    <t>Add Bank Accounts</t>
  </si>
  <si>
    <t>Type</t>
  </si>
  <si>
    <t>Rename Type To Account Type. Include Combo - Saving, Current Account, Overdraft. User to select One of this.</t>
  </si>
  <si>
    <t xml:space="preserve">Change Placeholder to Select Bank </t>
  </si>
  <si>
    <t>Field Remove some and Reduce some spacing</t>
  </si>
  <si>
    <t>Add State List</t>
  </si>
  <si>
    <t>Field To Be Added</t>
  </si>
  <si>
    <t xml:space="preserve">I have made some  Changes to the UI. Kindly Check my UI. </t>
  </si>
  <si>
    <t>Add UOM List</t>
  </si>
  <si>
    <t>Field Display</t>
  </si>
  <si>
    <t>Check Field Display. On Selection of Any Field. What is displayed</t>
  </si>
  <si>
    <t>Add WPS Classification Details</t>
  </si>
  <si>
    <t>This drop down should be those created in WPS Classification.</t>
  </si>
  <si>
    <t>Product / Work &amp; Services</t>
  </si>
  <si>
    <t>Product / Work &amp; Services. Rename as Product, Work and Service. Move to Column 4</t>
  </si>
  <si>
    <t>WPS Group (BM)  Display in Column 3</t>
  </si>
  <si>
    <t>UI Name</t>
  </si>
  <si>
    <t>Kindly Change this Caption to ADD WPS Group. Remove Details</t>
  </si>
  <si>
    <t>Beside ADD New Display Dashboard.</t>
  </si>
  <si>
    <t>Language Cannot Display. On Selecting Language to Sort Chart of Accounts - If Bahasa then Sort CA in Bahasa.</t>
  </si>
  <si>
    <t>Kindly Check my UI. On Selecting Classification System must display list of Account Description.</t>
  </si>
  <si>
    <t>GENERAL</t>
  </si>
  <si>
    <t>Rename Product and Material Master</t>
  </si>
  <si>
    <t>Menu</t>
  </si>
  <si>
    <t xml:space="preserve">Sort Salutation by Language selected. </t>
  </si>
  <si>
    <t>Branch Details - Branch Core Data Change to Stakeholder Facilities Register. Communication Details - Leave it as it is. 3rd Tab Change to Status. OR Can we can move this to 1st Tab and REMOVE the 3rd Tab</t>
  </si>
  <si>
    <t>How to Know how many Facilty has been register for this Stakeholder</t>
  </si>
  <si>
    <t>State Location</t>
  </si>
  <si>
    <t>This List is still wrong. Reading from Wrong Table.</t>
  </si>
  <si>
    <t>ADD NEW</t>
  </si>
  <si>
    <t>Display  Classification (EN) as Sort Alphabetically. If User Select Bahas then Classification(BM) - Sort Alphabetically</t>
  </si>
  <si>
    <t>Add New UI</t>
  </si>
  <si>
    <t>Kindly provide more space for NOTES.</t>
  </si>
  <si>
    <t>STAKEHOLDER COMMUNICATION - MAKER FORM</t>
  </si>
  <si>
    <t>TAB</t>
  </si>
  <si>
    <t>I have redesigned the Stakeholder UI Kindly check. This is in Worksheet Stakeholder.</t>
  </si>
  <si>
    <t>Contact Name - Allow User to select from Combobox. Note only if user has created this in Stakeholder Individual Register.</t>
  </si>
  <si>
    <t>Move this Field to Stakeholder Name since we are going to remove Stakeholder name.</t>
  </si>
  <si>
    <t>STAKEHOLDER MASTER - DASHBOARD</t>
  </si>
  <si>
    <t>Sort Alphabetical Order Stakeholder Name. If Possible move Staff name to 4th column. Currently Registration No.</t>
  </si>
  <si>
    <t>Kindly rearrange the Field Description. Stakeholder Name, Classification, Username (Remove Registration No). Rest of it is ok.</t>
  </si>
  <si>
    <t>Kindly Change Verifier Step &gt; Verifier and Approver Step &gt; Approver</t>
  </si>
  <si>
    <t xml:space="preserve">Multiple Location Flag </t>
  </si>
  <si>
    <t>Remove Registration No. Move Classification To 2nd Column. 3rd Column show Username who Made this.</t>
  </si>
  <si>
    <t>DECLINED</t>
  </si>
  <si>
    <t>PENDING</t>
  </si>
  <si>
    <r>
      <t xml:space="preserve">2nd Column - Just state </t>
    </r>
    <r>
      <rPr>
        <sz val="11"/>
        <color rgb="FFFF0000"/>
        <rFont val="Times New Roman"/>
        <family val="1"/>
      </rPr>
      <t xml:space="preserve">Balance Sheet </t>
    </r>
    <r>
      <rPr>
        <sz val="11"/>
        <color theme="1"/>
        <rFont val="Times New Roman"/>
        <family val="1"/>
      </rPr>
      <t>and NOT Is Balance Sheet</t>
    </r>
  </si>
  <si>
    <r>
      <t xml:space="preserve">User to </t>
    </r>
    <r>
      <rPr>
        <sz val="11"/>
        <color rgb="FFFF0000"/>
        <rFont val="Times New Roman"/>
        <family val="1"/>
      </rPr>
      <t>Select Voucher Type</t>
    </r>
    <r>
      <rPr>
        <sz val="11"/>
        <color theme="1"/>
        <rFont val="Times New Roman"/>
        <family val="1"/>
      </rPr>
      <t>. Get List from Accounting Voucher Type (Which we are going to rename)  1st Row if English and 2nd Row if Bahasa.</t>
    </r>
  </si>
  <si>
    <r>
      <t xml:space="preserve">If you don’t Show Classification its ok. But Must show </t>
    </r>
    <r>
      <rPr>
        <sz val="11"/>
        <color rgb="FFFF0000"/>
        <rFont val="Times New Roman"/>
        <family val="1"/>
      </rPr>
      <t>Account Description.</t>
    </r>
  </si>
  <si>
    <r>
      <t xml:space="preserve">If User Click Leasehold - Depr Year should be </t>
    </r>
    <r>
      <rPr>
        <sz val="11"/>
        <color rgb="FFC00000"/>
        <rFont val="Times New Roman"/>
        <family val="1"/>
      </rPr>
      <t>disable</t>
    </r>
    <r>
      <rPr>
        <sz val="11"/>
        <color theme="1"/>
        <rFont val="Times New Roman"/>
        <family val="1"/>
      </rPr>
      <t xml:space="preserve">. For this Group we </t>
    </r>
    <r>
      <rPr>
        <sz val="11"/>
        <color rgb="FFC00000"/>
        <rFont val="Times New Roman"/>
        <family val="1"/>
      </rPr>
      <t>can't set the Years in Group</t>
    </r>
    <r>
      <rPr>
        <sz val="11"/>
        <color theme="1"/>
        <rFont val="Times New Roman"/>
        <family val="1"/>
      </rPr>
      <t xml:space="preserve">. Need to set in </t>
    </r>
    <r>
      <rPr>
        <sz val="11"/>
        <color rgb="FFC00000"/>
        <rFont val="Times New Roman"/>
        <family val="1"/>
      </rPr>
      <t>Individual Asset.</t>
    </r>
  </si>
  <si>
    <r>
      <t xml:space="preserve">Make this as a </t>
    </r>
    <r>
      <rPr>
        <sz val="11"/>
        <color rgb="FFFF0000"/>
        <rFont val="Times New Roman"/>
        <family val="1"/>
      </rPr>
      <t>Combo Box. Use List Created in UI A-28</t>
    </r>
  </si>
  <si>
    <r>
      <t xml:space="preserve">Can we remove the State. Make the Opening Balance 1/2 space and remove short description. - This is already in Bank Name List. Try NOT to have Scroll. </t>
    </r>
    <r>
      <rPr>
        <sz val="11"/>
        <color rgb="FFFF0000"/>
        <rFont val="Times New Roman"/>
        <family val="1"/>
      </rPr>
      <t>Opening Balance can replace State</t>
    </r>
  </si>
  <si>
    <r>
      <t xml:space="preserve">This must be Combobox. Get list from Country - </t>
    </r>
    <r>
      <rPr>
        <sz val="11"/>
        <color rgb="FFFF0000"/>
        <rFont val="Times New Roman"/>
        <family val="1"/>
      </rPr>
      <t>UI A-16</t>
    </r>
  </si>
  <si>
    <r>
      <t xml:space="preserve">Please Change this to - </t>
    </r>
    <r>
      <rPr>
        <sz val="11"/>
        <color rgb="FFFF0000"/>
        <rFont val="Times New Roman"/>
        <family val="1"/>
      </rPr>
      <t>Purchase Order</t>
    </r>
  </si>
  <si>
    <r>
      <t xml:space="preserve">Please Change this to - </t>
    </r>
    <r>
      <rPr>
        <sz val="11"/>
        <color rgb="FFFF0000"/>
        <rFont val="Times New Roman"/>
        <family val="1"/>
      </rPr>
      <t>Work Order</t>
    </r>
  </si>
  <si>
    <r>
      <t xml:space="preserve">Please Change this to - </t>
    </r>
    <r>
      <rPr>
        <sz val="11"/>
        <color rgb="FFFF0000"/>
        <rFont val="Times New Roman"/>
        <family val="1"/>
      </rPr>
      <t>Purchasing Document</t>
    </r>
  </si>
  <si>
    <r>
      <t xml:space="preserve">Kindly Display as </t>
    </r>
    <r>
      <rPr>
        <sz val="11"/>
        <color rgb="FFFF0000"/>
        <rFont val="Times New Roman"/>
        <family val="1"/>
      </rPr>
      <t>Product, Work and Services</t>
    </r>
  </si>
  <si>
    <r>
      <t xml:space="preserve">This is </t>
    </r>
    <r>
      <rPr>
        <sz val="11"/>
        <color rgb="FFFF0000"/>
        <rFont val="Times New Roman"/>
        <family val="1"/>
      </rPr>
      <t>LABEL</t>
    </r>
    <r>
      <rPr>
        <sz val="11"/>
        <color theme="1"/>
        <rFont val="Times New Roman"/>
        <family val="1"/>
      </rPr>
      <t xml:space="preserve">. </t>
    </r>
    <r>
      <rPr>
        <sz val="11"/>
        <color rgb="FFFF0000"/>
        <rFont val="Times New Roman"/>
        <family val="1"/>
      </rPr>
      <t>Static Information.</t>
    </r>
    <r>
      <rPr>
        <sz val="11"/>
        <color theme="1"/>
        <rFont val="Times New Roman"/>
        <family val="1"/>
      </rPr>
      <t xml:space="preserve"> NOT Textbox or Combobox. On Selecting WPS Classification System will display Purchasing Group. User </t>
    </r>
    <r>
      <rPr>
        <sz val="11"/>
        <color rgb="FFFF0000"/>
        <rFont val="Times New Roman"/>
        <family val="1"/>
      </rPr>
      <t>NOT allow</t>
    </r>
    <r>
      <rPr>
        <sz val="11"/>
        <color theme="1"/>
        <rFont val="Times New Roman"/>
        <family val="1"/>
      </rPr>
      <t xml:space="preserve"> to do anything with this. The is to guide the User on What type of Group he is to create under this WPS Clarification. Information is available in WPS Clarification.</t>
    </r>
  </si>
  <si>
    <r>
      <t xml:space="preserve">Basically you have </t>
    </r>
    <r>
      <rPr>
        <b/>
        <sz val="11"/>
        <color rgb="FFFF0000"/>
        <rFont val="Times New Roman"/>
        <family val="1"/>
      </rPr>
      <t>UNDERSTOOD</t>
    </r>
    <r>
      <rPr>
        <sz val="11"/>
        <color theme="1"/>
        <rFont val="Times New Roman"/>
        <family val="1"/>
      </rPr>
      <t xml:space="preserve">  this UI completely WRONG</t>
    </r>
  </si>
  <si>
    <r>
      <t xml:space="preserve">Change Caption to </t>
    </r>
    <r>
      <rPr>
        <sz val="11"/>
        <color rgb="FFFF0000"/>
        <rFont val="Times New Roman"/>
        <family val="1"/>
      </rPr>
      <t>Asset Group Register</t>
    </r>
  </si>
  <si>
    <r>
      <t xml:space="preserve">Rename as </t>
    </r>
    <r>
      <rPr>
        <sz val="11"/>
        <color rgb="FFFF0000"/>
        <rFont val="Times New Roman"/>
        <family val="1"/>
      </rPr>
      <t>Accounting Classification</t>
    </r>
  </si>
  <si>
    <r>
      <t>When ever I Use</t>
    </r>
    <r>
      <rPr>
        <sz val="11"/>
        <color theme="3" tint="0.39997558519241921"/>
        <rFont val="Times New Roman"/>
        <family val="1"/>
      </rPr>
      <t xml:space="preserve"> purple colour</t>
    </r>
    <r>
      <rPr>
        <sz val="11"/>
        <color theme="1"/>
        <rFont val="Times New Roman"/>
        <family val="1"/>
      </rPr>
      <t xml:space="preserve"> in my UI it means it is LABEL. Static Information NOT Textbox, Combobox, Option Button or Checkbox. This is applicable for the ENTIRE System.</t>
    </r>
  </si>
  <si>
    <r>
      <t xml:space="preserve">Master - Displayed as Account Voucher </t>
    </r>
    <r>
      <rPr>
        <sz val="11"/>
        <color rgb="FFFF0000"/>
        <rFont val="Times New Roman"/>
        <family val="1"/>
      </rPr>
      <t>Type</t>
    </r>
  </si>
  <si>
    <r>
      <t xml:space="preserve">When the UI Open it is displayed as Accounting Voucher </t>
    </r>
    <r>
      <rPr>
        <sz val="11"/>
        <color rgb="FFFF0000"/>
        <rFont val="Times New Roman"/>
        <family val="1"/>
      </rPr>
      <t>Register</t>
    </r>
    <r>
      <rPr>
        <sz val="11"/>
        <color theme="1"/>
        <rFont val="Times New Roman"/>
        <family val="1"/>
      </rPr>
      <t xml:space="preserve">. I suggest we Call this </t>
    </r>
    <r>
      <rPr>
        <sz val="11"/>
        <color rgb="FFFF0000"/>
        <rFont val="Times New Roman"/>
        <family val="1"/>
      </rPr>
      <t>Accounting Voucher Master. Change this in Master Menu and UI Caption too.</t>
    </r>
  </si>
  <si>
    <r>
      <rPr>
        <sz val="11"/>
        <color rgb="FFFF0000"/>
        <rFont val="Times New Roman"/>
        <family val="1"/>
      </rPr>
      <t>Rename</t>
    </r>
    <r>
      <rPr>
        <sz val="11"/>
        <color theme="1"/>
        <rFont val="Times New Roman"/>
        <family val="1"/>
      </rPr>
      <t xml:space="preserve"> Work Product and Services</t>
    </r>
  </si>
  <si>
    <r>
      <t xml:space="preserve">In Left Panel move </t>
    </r>
    <r>
      <rPr>
        <sz val="11"/>
        <color rgb="FFFF0000"/>
        <rFont val="Times New Roman"/>
        <family val="1"/>
      </rPr>
      <t xml:space="preserve">Admin Panel </t>
    </r>
    <r>
      <rPr>
        <sz val="11"/>
        <color theme="1"/>
        <rFont val="Times New Roman"/>
        <family val="1"/>
      </rPr>
      <t>to the bottom. Kindly keep this always at the bottom.</t>
    </r>
  </si>
  <si>
    <r>
      <t xml:space="preserve">User Prima Maju Development Sdn BhdcoimbatoreTest-001. </t>
    </r>
    <r>
      <rPr>
        <sz val="11"/>
        <color rgb="FFFF0000"/>
        <rFont val="Times New Roman"/>
        <family val="1"/>
      </rPr>
      <t xml:space="preserve">Decline and Pending. </t>
    </r>
    <r>
      <rPr>
        <sz val="11"/>
        <color theme="1"/>
        <rFont val="Times New Roman"/>
        <family val="1"/>
      </rPr>
      <t>If Decline that I think we should REMOVE THE Record from Dashboard. To prevent further processing.</t>
    </r>
  </si>
  <si>
    <r>
      <t xml:space="preserve">Branch Function  - Facility. We Allow User to </t>
    </r>
    <r>
      <rPr>
        <sz val="11"/>
        <color rgb="FFFF0000"/>
        <rFont val="Times New Roman"/>
        <family val="1"/>
      </rPr>
      <t>Select From</t>
    </r>
    <r>
      <rPr>
        <sz val="11"/>
        <color theme="1"/>
        <rFont val="Times New Roman"/>
        <family val="1"/>
      </rPr>
      <t xml:space="preserve"> - Site Office, Branch Office, Sales Office, Store, Manufacturing, Showroom, Head Office, Distribution Centre (Kindly Arrange in Alphabetical Order)</t>
    </r>
  </si>
  <si>
    <r>
      <t xml:space="preserve">STAKEHOLDER BRANCH REGISTER - CORE SELECTION Change To </t>
    </r>
    <r>
      <rPr>
        <sz val="11"/>
        <color rgb="FFFF0000"/>
        <rFont val="Times New Roman"/>
        <family val="1"/>
      </rPr>
      <t>Stakeholder Facility Register</t>
    </r>
  </si>
  <si>
    <r>
      <t xml:space="preserve">Rename as </t>
    </r>
    <r>
      <rPr>
        <sz val="11"/>
        <color rgb="FFFF0000"/>
        <rFont val="Times New Roman"/>
        <family val="1"/>
      </rPr>
      <t>State</t>
    </r>
    <r>
      <rPr>
        <sz val="11"/>
        <color theme="1"/>
        <rFont val="Times New Roman"/>
        <family val="1"/>
      </rPr>
      <t>. This List is  NOT Correct. We already entered all state. Kindly check our data.</t>
    </r>
  </si>
  <si>
    <r>
      <t xml:space="preserve">Kindly Display another tab. </t>
    </r>
    <r>
      <rPr>
        <sz val="11"/>
        <color rgb="FFFF0000"/>
        <rFont val="Times New Roman"/>
        <family val="1"/>
      </rPr>
      <t>Dashboard &amp; ADD New</t>
    </r>
  </si>
  <si>
    <r>
      <t xml:space="preserve">Kindly Rename this as </t>
    </r>
    <r>
      <rPr>
        <sz val="11"/>
        <color rgb="FFFF0000"/>
        <rFont val="Times New Roman"/>
        <family val="1"/>
      </rPr>
      <t>STAKEHOLDER COMMUNICATION</t>
    </r>
  </si>
  <si>
    <r>
      <t xml:space="preserve">Change Maker Form To </t>
    </r>
    <r>
      <rPr>
        <b/>
        <sz val="11"/>
        <color rgb="FFFF0000"/>
        <rFont val="Times New Roman"/>
        <family val="1"/>
      </rPr>
      <t>ADD</t>
    </r>
  </si>
  <si>
    <r>
      <t xml:space="preserve">I suggest </t>
    </r>
    <r>
      <rPr>
        <sz val="11"/>
        <color rgb="FFFF0000"/>
        <rFont val="Times New Roman"/>
        <family val="1"/>
      </rPr>
      <t>Stakeholder Name</t>
    </r>
    <r>
      <rPr>
        <sz val="11"/>
        <color theme="1"/>
        <rFont val="Times New Roman"/>
        <family val="1"/>
      </rPr>
      <t xml:space="preserve">  be Selected in DASHBORAD itself. </t>
    </r>
    <r>
      <rPr>
        <b/>
        <sz val="11"/>
        <color rgb="FFFF0000"/>
        <rFont val="Times New Roman"/>
        <family val="1"/>
      </rPr>
      <t>WHY</t>
    </r>
    <r>
      <rPr>
        <sz val="11"/>
        <color theme="1"/>
        <rFont val="Times New Roman"/>
        <family val="1"/>
      </rPr>
      <t>. So that User can see the past communication before adding new communication.</t>
    </r>
  </si>
  <si>
    <r>
      <t xml:space="preserve">Kindly remove. </t>
    </r>
    <r>
      <rPr>
        <sz val="11"/>
        <color rgb="FFFF0000"/>
        <rFont val="Times New Roman"/>
        <family val="1"/>
      </rPr>
      <t>Responsible</t>
    </r>
  </si>
  <si>
    <r>
      <t>Remove this Field</t>
    </r>
    <r>
      <rPr>
        <sz val="11"/>
        <color rgb="FFFF0000"/>
        <rFont val="Times New Roman"/>
        <family val="1"/>
      </rPr>
      <t xml:space="preserve"> Business Rules</t>
    </r>
  </si>
  <si>
    <r>
      <t xml:space="preserve">Keep this Field Details - Rename </t>
    </r>
    <r>
      <rPr>
        <sz val="11"/>
        <color rgb="FFFF0000"/>
        <rFont val="Times New Roman"/>
        <family val="1"/>
      </rPr>
      <t>Communication Details.</t>
    </r>
  </si>
  <si>
    <r>
      <t>Remove this Caption.</t>
    </r>
    <r>
      <rPr>
        <sz val="11"/>
        <color rgb="FFFF0000"/>
        <rFont val="Times New Roman"/>
        <family val="1"/>
      </rPr>
      <t xml:space="preserve"> STAKEHOLDER DETAILS</t>
    </r>
  </si>
  <si>
    <r>
      <t xml:space="preserve">We rename as </t>
    </r>
    <r>
      <rPr>
        <sz val="11"/>
        <color rgb="FFFF0000"/>
        <rFont val="Times New Roman"/>
        <family val="1"/>
      </rPr>
      <t>Stakeholder Communication</t>
    </r>
    <r>
      <rPr>
        <sz val="11"/>
        <color theme="1"/>
        <rFont val="Times New Roman"/>
        <family val="1"/>
      </rPr>
      <t>. Here there is NO Maker, Verifier and Approver</t>
    </r>
  </si>
  <si>
    <r>
      <t xml:space="preserve">Change this Caption to </t>
    </r>
    <r>
      <rPr>
        <sz val="11"/>
        <color rgb="FFFF0000"/>
        <rFont val="Times New Roman"/>
        <family val="1"/>
      </rPr>
      <t>Subject</t>
    </r>
  </si>
  <si>
    <r>
      <t xml:space="preserve">Can we change this Field Caption from Responsible To </t>
    </r>
    <r>
      <rPr>
        <sz val="11"/>
        <color rgb="FFFF0000"/>
        <rFont val="Times New Roman"/>
        <family val="1"/>
      </rPr>
      <t>In Charge</t>
    </r>
    <r>
      <rPr>
        <sz val="11"/>
        <color theme="1"/>
        <rFont val="Times New Roman"/>
        <family val="1"/>
      </rPr>
      <t xml:space="preserve"> (What he in charge in this company). Note this is Auto displayed as created in </t>
    </r>
  </si>
  <si>
    <r>
      <t>Change this Field Caption Person Name To</t>
    </r>
    <r>
      <rPr>
        <sz val="11"/>
        <color rgb="FFFF0000"/>
        <rFont val="Times New Roman"/>
        <family val="1"/>
      </rPr>
      <t xml:space="preserve"> Contact Name</t>
    </r>
  </si>
  <si>
    <r>
      <t xml:space="preserve">Change this Field Caption from Responsible For To </t>
    </r>
    <r>
      <rPr>
        <sz val="11"/>
        <color rgb="FFFF0000"/>
        <rFont val="Times New Roman"/>
        <family val="1"/>
      </rPr>
      <t xml:space="preserve">In Charge </t>
    </r>
  </si>
  <si>
    <r>
      <t xml:space="preserve">We rename </t>
    </r>
    <r>
      <rPr>
        <sz val="11"/>
        <color rgb="FFFF0000"/>
        <rFont val="Times New Roman"/>
        <family val="1"/>
      </rPr>
      <t>Tab Caption - Stakeholders Details - Communication Details - Status &amp; Bank Details</t>
    </r>
  </si>
  <si>
    <r>
      <t xml:space="preserve">We move </t>
    </r>
    <r>
      <rPr>
        <b/>
        <sz val="11"/>
        <color rgb="FFFF0000"/>
        <rFont val="Times New Roman"/>
        <family val="1"/>
      </rPr>
      <t>Notes</t>
    </r>
    <r>
      <rPr>
        <sz val="11"/>
        <color theme="1"/>
        <rFont val="Times New Roman"/>
        <family val="1"/>
      </rPr>
      <t xml:space="preserve"> from3rd Tab to Stakeholders Details. 1st Tab</t>
    </r>
  </si>
  <si>
    <r>
      <t xml:space="preserve">Multiple Location </t>
    </r>
    <r>
      <rPr>
        <sz val="11"/>
        <color rgb="FFFF0000"/>
        <rFont val="Times New Roman"/>
        <family val="1"/>
      </rPr>
      <t>Flag</t>
    </r>
    <r>
      <rPr>
        <sz val="11"/>
        <rFont val="Times New Roman"/>
        <family val="1"/>
      </rPr>
      <t xml:space="preserve"> - Kindly remove the workd Flag.</t>
    </r>
  </si>
  <si>
    <r>
      <t xml:space="preserve">I suggest we do away with </t>
    </r>
    <r>
      <rPr>
        <b/>
        <sz val="11"/>
        <color theme="1"/>
        <rFont val="Times New Roman"/>
        <family val="1"/>
      </rPr>
      <t>Status</t>
    </r>
    <r>
      <rPr>
        <sz val="11"/>
        <color theme="1"/>
        <rFont val="Times New Roman"/>
        <family val="1"/>
      </rPr>
      <t xml:space="preserve">. WHY - we are only going to allow user </t>
    </r>
    <r>
      <rPr>
        <sz val="11"/>
        <color rgb="FFFF0000"/>
        <rFont val="Times New Roman"/>
        <family val="1"/>
      </rPr>
      <t>EDIT or DELETE Stakeholder Status = Active ONLY</t>
    </r>
  </si>
  <si>
    <r>
      <t xml:space="preserve">Verifier STEP we keep it Simple - </t>
    </r>
    <r>
      <rPr>
        <sz val="11"/>
        <color rgb="FFFF0000"/>
        <rFont val="Times New Roman"/>
        <family val="1"/>
      </rPr>
      <t>Verifier</t>
    </r>
  </si>
  <si>
    <r>
      <t xml:space="preserve">Approver STEP we keep it Simple - </t>
    </r>
    <r>
      <rPr>
        <sz val="11"/>
        <color rgb="FFFF0000"/>
        <rFont val="Times New Roman"/>
        <family val="1"/>
      </rPr>
      <t>Approver</t>
    </r>
  </si>
  <si>
    <r>
      <rPr>
        <sz val="11"/>
        <color rgb="FFFF0000"/>
        <rFont val="Times New Roman"/>
        <family val="1"/>
      </rPr>
      <t xml:space="preserve">Move Field Bank Name and Bank Account Number </t>
    </r>
    <r>
      <rPr>
        <sz val="11"/>
        <color theme="1"/>
        <rFont val="Times New Roman"/>
        <family val="1"/>
      </rPr>
      <t>To 3rd Tab Status &amp; Bank Details.</t>
    </r>
  </si>
  <si>
    <r>
      <t xml:space="preserve">Display </t>
    </r>
    <r>
      <rPr>
        <sz val="11"/>
        <color rgb="FFFF0000"/>
        <rFont val="Times New Roman"/>
        <family val="1"/>
      </rPr>
      <t>Bank Name</t>
    </r>
    <r>
      <rPr>
        <sz val="11"/>
        <rFont val="Times New Roman"/>
        <family val="1"/>
      </rPr>
      <t xml:space="preserve"> and</t>
    </r>
    <r>
      <rPr>
        <sz val="11"/>
        <color rgb="FFFF0000"/>
        <rFont val="Times New Roman"/>
        <family val="1"/>
      </rPr>
      <t xml:space="preserve"> Bank Account Number</t>
    </r>
    <r>
      <rPr>
        <sz val="11"/>
        <color theme="1"/>
        <rFont val="Times New Roman"/>
        <family val="1"/>
      </rPr>
      <t xml:space="preserve"> here. Remove Notes. Kindly take NOTE if it  is Multiple Location then Bank Name and Bank Account Number must be entered in Facility Register &amp; NOT here like as Communication.</t>
    </r>
  </si>
  <si>
    <r>
      <t xml:space="preserve">Make </t>
    </r>
    <r>
      <rPr>
        <sz val="11"/>
        <color rgb="FFFF0000"/>
        <rFont val="Times New Roman"/>
        <family val="1"/>
      </rPr>
      <t>Bank Name and Bank Account No as Optional</t>
    </r>
    <r>
      <rPr>
        <sz val="11"/>
        <color theme="1"/>
        <rFont val="Times New Roman"/>
        <family val="1"/>
      </rPr>
      <t>. Only if we award a job to this stakeholder we need this information.</t>
    </r>
  </si>
  <si>
    <r>
      <t>Registration No (Unique Value) </t>
    </r>
    <r>
      <rPr>
        <sz val="11"/>
        <color rgb="FFB30000"/>
        <rFont val="Times New Roman"/>
        <family val="1"/>
      </rPr>
      <t>*</t>
    </r>
    <r>
      <rPr>
        <sz val="11"/>
        <color theme="1"/>
        <rFont val="Times New Roman"/>
        <family val="1"/>
      </rPr>
      <t xml:space="preserve"> &gt; Registration No</t>
    </r>
  </si>
  <si>
    <r>
      <t xml:space="preserve">Operation, Date Requested, Stakeholder Name, Registration No, Classification, Details, Accept, Reject. What is </t>
    </r>
    <r>
      <rPr>
        <sz val="11"/>
        <color rgb="FFFF0000"/>
        <rFont val="Times New Roman"/>
        <family val="1"/>
      </rPr>
      <t>Operation</t>
    </r>
    <r>
      <rPr>
        <sz val="11"/>
        <color theme="1"/>
        <rFont val="Times New Roman"/>
        <family val="1"/>
      </rPr>
      <t xml:space="preserve">. Kindly rearrange as Date Created, Stakeholder, Classification, Legal Entity, Registration No, Approve and Reject </t>
    </r>
  </si>
  <si>
    <r>
      <t xml:space="preserve">Can Enter Data and test only if Item 23 is completed. </t>
    </r>
    <r>
      <rPr>
        <sz val="11"/>
        <color rgb="FFFF0000"/>
        <rFont val="Times New Roman"/>
        <family val="1"/>
      </rPr>
      <t>Kindly Check Menu Layout</t>
    </r>
  </si>
  <si>
    <r>
      <t xml:space="preserve">I added a few Data this Morning. It is NOT Working. Kindly Check. I did refresh. </t>
    </r>
    <r>
      <rPr>
        <sz val="11"/>
        <color rgb="FFFF0000"/>
        <rFont val="Times New Roman"/>
        <family val="1"/>
      </rPr>
      <t>Error Message Already Data Added</t>
    </r>
  </si>
  <si>
    <r>
      <t xml:space="preserve">Align to left all columns. </t>
    </r>
    <r>
      <rPr>
        <sz val="11"/>
        <color rgb="FFFF0000"/>
        <rFont val="Times New Roman"/>
        <family val="1"/>
      </rPr>
      <t>Kindly Check Menu_Layout</t>
    </r>
  </si>
  <si>
    <r>
      <t xml:space="preserve">I added a few Data this Morning. It is NOT Working. Kindly Check. I did refresh. </t>
    </r>
    <r>
      <rPr>
        <sz val="11"/>
        <color rgb="FFFF0000"/>
        <rFont val="Times New Roman"/>
        <family val="1"/>
      </rPr>
      <t>Error Message Data May be Existing</t>
    </r>
  </si>
  <si>
    <r>
      <t xml:space="preserve">. Field UOM Group. UOM Group is by </t>
    </r>
    <r>
      <rPr>
        <sz val="11"/>
        <color rgb="FFC00000"/>
        <rFont val="Times New Roman"/>
        <family val="1"/>
      </rPr>
      <t>Selecting</t>
    </r>
    <r>
      <rPr>
        <sz val="11"/>
        <color theme="1"/>
        <rFont val="Times New Roman"/>
        <family val="1"/>
      </rPr>
      <t xml:space="preserve"> Combobox. Kindly Check my UI A59 and as discussed on 24thJuly</t>
    </r>
  </si>
  <si>
    <r>
      <t xml:space="preserve">ADD </t>
    </r>
    <r>
      <rPr>
        <sz val="11"/>
        <color rgb="FFFF0000"/>
        <rFont val="Times New Roman"/>
        <family val="1"/>
      </rPr>
      <t>Dashboard</t>
    </r>
    <r>
      <rPr>
        <sz val="11"/>
        <color theme="1"/>
        <rFont val="Times New Roman"/>
        <family val="1"/>
      </rPr>
      <t xml:space="preserve"> Before Add New</t>
    </r>
  </si>
  <si>
    <r>
      <t xml:space="preserve">I Can Check </t>
    </r>
    <r>
      <rPr>
        <sz val="11"/>
        <color rgb="FFFF0000"/>
        <rFont val="Times New Roman"/>
        <family val="1"/>
      </rPr>
      <t>WPS Group</t>
    </r>
    <r>
      <rPr>
        <sz val="11"/>
        <color theme="1"/>
        <rFont val="Times New Roman"/>
        <family val="1"/>
      </rPr>
      <t xml:space="preserve"> ONLY if there is Data in WPS Clarification.</t>
    </r>
  </si>
  <si>
    <r>
      <t xml:space="preserve">Rename the User form Caption. Omit Word </t>
    </r>
    <r>
      <rPr>
        <sz val="11"/>
        <color rgb="FFA20000"/>
        <rFont val="Times New Roman"/>
        <family val="1"/>
      </rPr>
      <t>Details</t>
    </r>
  </si>
  <si>
    <r>
      <t xml:space="preserve">Reduce the space between Voucher Description EN &amp; BM. . Reduce the space Between Voucher Description BM and Preset. </t>
    </r>
    <r>
      <rPr>
        <sz val="11"/>
        <color rgb="FFC00000"/>
        <rFont val="Times New Roman"/>
        <family val="1"/>
      </rPr>
      <t>Insert Voucher Account Description.</t>
    </r>
  </si>
  <si>
    <r>
      <rPr>
        <sz val="11"/>
        <color rgb="FFC00000"/>
        <rFont val="Times New Roman"/>
        <family val="1"/>
      </rPr>
      <t>Depreciation Years.</t>
    </r>
    <r>
      <rPr>
        <sz val="11"/>
        <color theme="1"/>
        <rFont val="Times New Roman"/>
        <family val="1"/>
      </rPr>
      <t xml:space="preserve"> We have this information in Asset Group. ONLY applicable for Immoveable Asset that is Leasehold. I suggest we move to Immoveable Tab</t>
    </r>
  </si>
  <si>
    <r>
      <t xml:space="preserve">Rename Tab To </t>
    </r>
    <r>
      <rPr>
        <sz val="11"/>
        <color rgb="FFC00000"/>
        <rFont val="Times New Roman"/>
        <family val="1"/>
      </rPr>
      <t>Moveable Asset</t>
    </r>
  </si>
  <si>
    <r>
      <t xml:space="preserve">Primary Cost Centre Required. Change to </t>
    </r>
    <r>
      <rPr>
        <sz val="11"/>
        <color rgb="FFFF0000"/>
        <rFont val="Times New Roman"/>
        <family val="1"/>
      </rPr>
      <t xml:space="preserve">Cost Centre </t>
    </r>
    <r>
      <rPr>
        <sz val="11"/>
        <color theme="1"/>
        <rFont val="Times New Roman"/>
        <family val="1"/>
      </rPr>
      <t xml:space="preserve">. Distribute the space for column 2 &amp; </t>
    </r>
  </si>
  <si>
    <r>
      <t xml:space="preserve">Multiple Location Flag. Remove </t>
    </r>
    <r>
      <rPr>
        <b/>
        <sz val="11"/>
        <rFont val="Times New Roman"/>
        <family val="1"/>
      </rPr>
      <t xml:space="preserve">the Word </t>
    </r>
    <r>
      <rPr>
        <b/>
        <sz val="11"/>
        <color rgb="FFFF0000"/>
        <rFont val="Times New Roman"/>
        <family val="1"/>
      </rPr>
      <t>Flag</t>
    </r>
  </si>
  <si>
    <r>
      <t xml:space="preserve">Preset Account </t>
    </r>
    <r>
      <rPr>
        <sz val="11"/>
        <color rgb="FFA20000"/>
        <rFont val="Times New Roman"/>
        <family val="1"/>
      </rPr>
      <t>Decryption</t>
    </r>
    <r>
      <rPr>
        <sz val="11"/>
        <color rgb="FF475569"/>
        <rFont val="Times New Roman"/>
        <family val="1"/>
      </rPr>
      <t xml:space="preserve"> &gt; Preset Account </t>
    </r>
    <r>
      <rPr>
        <sz val="11"/>
        <color rgb="FFC00000"/>
        <rFont val="Times New Roman"/>
        <family val="1"/>
      </rPr>
      <t>Description</t>
    </r>
  </si>
  <si>
    <t>Short Description</t>
  </si>
  <si>
    <t xml:space="preserve">Enter if New Or in Edit - Select and Edit </t>
  </si>
  <si>
    <t>Details Description</t>
  </si>
  <si>
    <t>Ringkas</t>
  </si>
  <si>
    <t>Terperinci</t>
  </si>
  <si>
    <t>Tax Data</t>
  </si>
  <si>
    <t xml:space="preserve">Checkbox -  Caption = "Addition Information" </t>
  </si>
  <si>
    <t>Tax %</t>
  </si>
  <si>
    <t>Enter English Description. Brief Description. We will use this in Certification.</t>
  </si>
  <si>
    <t>Enter English Description. Detail Description. We will use this in Work Order.</t>
  </si>
  <si>
    <t xml:space="preserve">Further Specification Required. This is Variable information like Color &amp; Brand. Kindly Check Ria Kistana Portal. </t>
  </si>
  <si>
    <t>3D</t>
  </si>
  <si>
    <t>4,4A</t>
  </si>
  <si>
    <t>4B,4C</t>
  </si>
  <si>
    <t>Checkbox = Caption "Applicable"</t>
  </si>
  <si>
    <t>Enter SST %</t>
  </si>
  <si>
    <t>Enter GST %</t>
  </si>
  <si>
    <t xml:space="preserve">Checkbox  - Cpation "By Material" </t>
  </si>
  <si>
    <t>Purchasing UOM</t>
  </si>
  <si>
    <t>When Ordering this Material - Does the supplier require further information. Like Colour, Item Code, Brand etc. If Yes in Purchase Order (Later Module) User has to enter this information.</t>
  </si>
  <si>
    <t>6A,6B</t>
  </si>
  <si>
    <t>6C,6D</t>
  </si>
  <si>
    <t xml:space="preserve">The UOM that will be used for all Reports and Calculation. </t>
  </si>
  <si>
    <r>
      <t xml:space="preserve">UOM Used for purchasing. Can repeat Field 7 ONLY ONE TIME ( Field 8A - 11A). If Field 7 = Field 8A then Display Field 8B = 1. Else if Field 7 &lt;&gt; Field 8A and Field 8 = False then Automatically Disable Field and look for Value in UOM Conversation Table.  If Match Error (Value in NOT in Conversation Table) request user to EXIT and Update A-57.                                                                         </t>
    </r>
    <r>
      <rPr>
        <sz val="11"/>
        <color rgb="FFFF0000"/>
        <rFont val="Times New Roman"/>
        <family val="1"/>
      </rPr>
      <t xml:space="preserve"> If </t>
    </r>
    <r>
      <rPr>
        <sz val="11"/>
        <color rgb="FFC00000"/>
        <rFont val="Times New Roman"/>
        <family val="1"/>
      </rPr>
      <t xml:space="preserve">Field 8 = True </t>
    </r>
    <r>
      <rPr>
        <sz val="11"/>
        <color rgb="FFFF0000"/>
        <rFont val="Times New Roman"/>
        <family val="1"/>
      </rPr>
      <t>then Enable Field 8B, User to Enter 8B value.</t>
    </r>
    <r>
      <rPr>
        <sz val="11"/>
        <color theme="1"/>
        <rFont val="Times New Roman"/>
        <family val="1"/>
      </rPr>
      <t xml:space="preserve">                                                                                                                                                                                                                                      Kindly NOTE we will display </t>
    </r>
    <r>
      <rPr>
        <b/>
        <sz val="11"/>
        <color rgb="FFC00000"/>
        <rFont val="Times New Roman"/>
        <family val="1"/>
      </rPr>
      <t>ALL UOM regardless of UOM Group</t>
    </r>
    <r>
      <rPr>
        <sz val="11"/>
        <color theme="1"/>
        <rFont val="Times New Roman"/>
        <family val="1"/>
      </rPr>
      <t xml:space="preserve"> in 8A-11A. Allow search by 1st 1 and 2 alphabet in 8A - 11A</t>
    </r>
  </si>
  <si>
    <t>Only some Material current subjected to SST. Currently some 6% others 8%</t>
  </si>
  <si>
    <t>Previously we had GST. Now there is NO GST. Government planning to reintroduce GST.</t>
  </si>
  <si>
    <r>
      <rPr>
        <b/>
        <sz val="11"/>
        <color rgb="FFFF0000"/>
        <rFont val="Times New Roman"/>
        <family val="1"/>
      </rPr>
      <t xml:space="preserve">Some Material </t>
    </r>
    <r>
      <rPr>
        <sz val="11"/>
        <color theme="1"/>
        <rFont val="Times New Roman"/>
        <family val="1"/>
      </rPr>
      <t xml:space="preserve">have their own </t>
    </r>
    <r>
      <rPr>
        <sz val="11"/>
        <color rgb="FFFF0000"/>
        <rFont val="Times New Roman"/>
        <family val="1"/>
      </rPr>
      <t>Specific conversation Facto</t>
    </r>
    <r>
      <rPr>
        <sz val="11"/>
        <color theme="1"/>
        <rFont val="Times New Roman"/>
        <family val="1"/>
      </rPr>
      <t xml:space="preserve">r. We Can't use those stated listed in UOM Conversation Table. Example 1 MR of Steel Bar R6 and 1MR Steel Bar Y20. The Weight is very much different.  if we convert from MR To Kg. SAME UOM  MR &gt; Kg (For Both Y6 &amp; Y20) . But the Conversation Factor (CF) is different.  This field is to solve this issue. By Default </t>
    </r>
    <r>
      <rPr>
        <sz val="11"/>
        <color rgb="FFFF0000"/>
        <rFont val="Times New Roman"/>
        <family val="1"/>
      </rPr>
      <t>SET Field 8 To 11</t>
    </r>
    <r>
      <rPr>
        <sz val="11"/>
        <color theme="1"/>
        <rFont val="Times New Roman"/>
        <family val="1"/>
      </rPr>
      <t xml:space="preserve">  =  </t>
    </r>
    <r>
      <rPr>
        <sz val="11"/>
        <color rgb="FFFF0000"/>
        <rFont val="Times New Roman"/>
        <family val="1"/>
      </rPr>
      <t>False. WHY 95%</t>
    </r>
    <r>
      <rPr>
        <sz val="11"/>
        <color theme="1"/>
        <rFont val="Times New Roman"/>
        <family val="1"/>
      </rPr>
      <t xml:space="preserve"> of the material  our conversation table is applicable. The 2 Material Group we will have this issue is Steel Bar and Timber.</t>
    </r>
  </si>
  <si>
    <t xml:space="preserve">Conversion Factor </t>
  </si>
  <si>
    <t>FYI</t>
  </si>
  <si>
    <t>Busines Rules</t>
  </si>
  <si>
    <t xml:space="preserve">Kindly Check Ria Kistana Portal - Material Master - We have been operating this for 15years. BUT we are improving the UI </t>
  </si>
  <si>
    <t>In Malaysia Some things there is SST and others Nil. ONLY Enabled 4A if 4= True</t>
  </si>
  <si>
    <r>
      <t xml:space="preserve">You can Use any one of the Tax Format. BUT Use </t>
    </r>
    <r>
      <rPr>
        <b/>
        <sz val="11"/>
        <color rgb="FFFF0000"/>
        <rFont val="Times New Roman"/>
        <family val="1"/>
      </rPr>
      <t>ONLY ONE Format for BOTH W-03 &amp; W-04</t>
    </r>
  </si>
  <si>
    <t>3E</t>
  </si>
  <si>
    <t>Currently we do NOT have GST. Privious we had GST. ONLY Enabled 4C if 4B= 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</si>
</sst>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8" formatCode="&quot;RM&quot;#,##0.00;[Red]\-&quot;RM&quot;#,##0.00"/>
    <numFmt numFmtId="43" formatCode="_-* #,##0.00_-;\-* #,##0.00_-;_-* &quot;-&quot;??_-;_-@_-"/>
    <numFmt numFmtId="164" formatCode="[$-14409]dd/mm/yyyy;@"/>
    <numFmt numFmtId="165" formatCode="dd/mm/yyyy\ h:mm"/>
    <numFmt numFmtId="166" formatCode="[$-14409]d\ mmmm\,\ yyyy;@"/>
    <numFmt numFmtId="167" formatCode="d/m/yyyy\ \ h:mm:ss\ AM/PM"/>
    <numFmt numFmtId="168" formatCode="0.0"/>
    <numFmt numFmtId="169" formatCode="_-* #,##0.0_-;\-* #,##0.0_-;_-* &quot;-&quot;??_-;_-@_-"/>
    <numFmt numFmtId="170" formatCode="_-* #,##0_-;\-* #,##0_-;_-* &quot;-&quot;??_-;_-@_-"/>
    <numFmt numFmtId="171" formatCode="0.0000"/>
  </numFmts>
  <fonts count="188">
    <font>
      <sz val="11"/>
      <color theme="1"/>
      <name val="Calibri"/>
      <family val="2"/>
      <scheme val="minor"/>
    </font>
    <font>
      <sz val="11"/>
      <color rgb="FFFF0000"/>
      <name val="Calibri"/>
      <family val="2"/>
      <scheme val="minor"/>
    </font>
    <font>
      <sz val="20"/>
      <color theme="1"/>
      <name val="Calibri"/>
      <family val="2"/>
      <scheme val="minor"/>
    </font>
    <font>
      <sz val="14"/>
      <color rgb="FFFF0000"/>
      <name val="Calibri"/>
      <family val="2"/>
      <scheme val="minor"/>
    </font>
    <font>
      <sz val="14"/>
      <color theme="1"/>
      <name val="Calibri"/>
      <family val="2"/>
      <scheme val="minor"/>
    </font>
    <font>
      <sz val="12"/>
      <color theme="1"/>
      <name val="Calibri"/>
      <family val="2"/>
      <scheme val="minor"/>
    </font>
    <font>
      <b/>
      <sz val="14"/>
      <color rgb="FFFF0000"/>
      <name val="Calibri"/>
      <family val="2"/>
      <scheme val="minor"/>
    </font>
    <font>
      <sz val="11"/>
      <name val="Calibri"/>
      <family val="2"/>
      <scheme val="minor"/>
    </font>
    <font>
      <sz val="8"/>
      <name val="Calibri"/>
      <family val="2"/>
      <scheme val="minor"/>
    </font>
    <font>
      <sz val="16"/>
      <color theme="1"/>
      <name val="Calibri"/>
      <family val="2"/>
      <scheme val="minor"/>
    </font>
    <font>
      <sz val="9"/>
      <color indexed="81"/>
      <name val="Tahoma"/>
      <family val="2"/>
    </font>
    <font>
      <b/>
      <sz val="9"/>
      <color indexed="81"/>
      <name val="Tahoma"/>
      <family val="2"/>
    </font>
    <font>
      <sz val="12"/>
      <color rgb="FFFF0000"/>
      <name val="Calibri"/>
      <family val="2"/>
      <scheme val="minor"/>
    </font>
    <font>
      <sz val="8"/>
      <color rgb="FF696969"/>
      <name val="Segoe UI"/>
      <family val="2"/>
    </font>
    <font>
      <sz val="10"/>
      <color rgb="FF000000"/>
      <name val="Lucida Sans Unicode"/>
      <family val="2"/>
    </font>
    <font>
      <sz val="10"/>
      <color rgb="FF333333"/>
      <name val="Lucida Sans Unicode"/>
      <family val="2"/>
    </font>
    <font>
      <sz val="1"/>
      <color rgb="FFFFFFFF"/>
      <name val="Lucida Sans Unicode"/>
      <family val="2"/>
    </font>
    <font>
      <sz val="16"/>
      <color rgb="FFFF0000"/>
      <name val="Calibri"/>
      <family val="2"/>
      <scheme val="minor"/>
    </font>
    <font>
      <sz val="14"/>
      <color theme="1"/>
      <name val="Times New Roman"/>
      <family val="1"/>
    </font>
    <font>
      <sz val="12"/>
      <color theme="1"/>
      <name val="Times New Roman"/>
      <family val="1"/>
    </font>
    <font>
      <sz val="14"/>
      <color rgb="FFFF0000"/>
      <name val="Times New Roman"/>
      <family val="1"/>
    </font>
    <font>
      <sz val="14"/>
      <name val="Times New Roman"/>
      <family val="1"/>
    </font>
    <font>
      <u/>
      <sz val="11"/>
      <color theme="10"/>
      <name val="Calibri"/>
      <family val="2"/>
      <scheme val="minor"/>
    </font>
    <font>
      <sz val="14"/>
      <name val="Calibri"/>
      <family val="2"/>
      <scheme val="minor"/>
    </font>
    <font>
      <b/>
      <sz val="14"/>
      <color rgb="FFFF0000"/>
      <name val="Times New Roman"/>
      <family val="1"/>
    </font>
    <font>
      <sz val="11"/>
      <color rgb="FF000000"/>
      <name val="Lucida Sans Unicode"/>
      <family val="2"/>
    </font>
    <font>
      <sz val="12"/>
      <color rgb="FFFF0000"/>
      <name val="Times New Roman"/>
      <family val="1"/>
    </font>
    <font>
      <sz val="12"/>
      <name val="Times New Roman"/>
      <family val="1"/>
    </font>
    <font>
      <sz val="14"/>
      <color theme="4" tint="-0.249977111117893"/>
      <name val="Calibri"/>
      <family val="2"/>
      <scheme val="minor"/>
    </font>
    <font>
      <b/>
      <sz val="12"/>
      <color theme="1"/>
      <name val="Calibri"/>
      <family val="2"/>
      <scheme val="minor"/>
    </font>
    <font>
      <b/>
      <sz val="12"/>
      <name val="Calibri"/>
      <family val="2"/>
      <scheme val="minor"/>
    </font>
    <font>
      <sz val="12"/>
      <color rgb="FF000000"/>
      <name val="Times New Roman"/>
      <family val="1"/>
    </font>
    <font>
      <b/>
      <sz val="12"/>
      <name val="Times New Roman"/>
      <family val="1"/>
    </font>
    <font>
      <b/>
      <sz val="12"/>
      <color theme="3" tint="-0.249977111117893"/>
      <name val="Times New Roman"/>
      <family val="1"/>
    </font>
    <font>
      <sz val="11"/>
      <color theme="1"/>
      <name val="Times New Roman"/>
      <family val="1"/>
    </font>
    <font>
      <b/>
      <sz val="14"/>
      <color theme="3" tint="-0.249977111117893"/>
      <name val="Times New Roman"/>
      <family val="1"/>
    </font>
    <font>
      <u/>
      <sz val="11"/>
      <color theme="10"/>
      <name val="Times New Roman"/>
      <family val="1"/>
    </font>
    <font>
      <sz val="11"/>
      <name val="Times New Roman"/>
      <family val="1"/>
    </font>
    <font>
      <b/>
      <sz val="14"/>
      <color theme="1"/>
      <name val="Times New Roman"/>
      <family val="1"/>
    </font>
    <font>
      <b/>
      <sz val="12"/>
      <color theme="1"/>
      <name val="Times New Roman"/>
      <family val="1"/>
    </font>
    <font>
      <b/>
      <sz val="14"/>
      <name val="Times New Roman"/>
      <family val="1"/>
    </font>
    <font>
      <sz val="12"/>
      <name val="Calibri"/>
      <family val="2"/>
      <scheme val="minor"/>
    </font>
    <font>
      <sz val="8"/>
      <color rgb="FF800000"/>
      <name val="Lucida Sans Unicode"/>
      <family val="2"/>
    </font>
    <font>
      <b/>
      <sz val="16"/>
      <color rgb="FFFF0000"/>
      <name val="Calibri"/>
      <family val="2"/>
      <scheme val="minor"/>
    </font>
    <font>
      <sz val="11"/>
      <color theme="1"/>
      <name val="Segoe UI"/>
      <family val="2"/>
    </font>
    <font>
      <sz val="11"/>
      <color theme="7" tint="0.79998168889431442"/>
      <name val="Calibri"/>
      <family val="2"/>
      <scheme val="minor"/>
    </font>
    <font>
      <b/>
      <sz val="12"/>
      <color rgb="FF000000"/>
      <name val="Lucida Sans Unicode"/>
      <family val="2"/>
    </font>
    <font>
      <sz val="11"/>
      <color theme="1"/>
      <name val="Calibri"/>
      <family val="2"/>
      <scheme val="minor"/>
    </font>
    <font>
      <b/>
      <sz val="11"/>
      <color rgb="FFFF0000"/>
      <name val="Times New Roman"/>
      <family val="1"/>
    </font>
    <font>
      <b/>
      <sz val="11"/>
      <color theme="1"/>
      <name val="Times New Roman"/>
      <family val="1"/>
    </font>
    <font>
      <sz val="11"/>
      <color theme="1"/>
      <name val="Gautami"/>
      <family val="2"/>
    </font>
    <font>
      <b/>
      <sz val="11"/>
      <color rgb="FFFA7D00"/>
      <name val="Calibri"/>
      <family val="2"/>
      <scheme val="minor"/>
    </font>
    <font>
      <sz val="12"/>
      <color theme="1"/>
      <name val="Arial"/>
      <family val="2"/>
    </font>
    <font>
      <b/>
      <sz val="14"/>
      <color rgb="FFFF0000"/>
      <name val="Arial"/>
      <family val="2"/>
    </font>
    <font>
      <b/>
      <sz val="12"/>
      <name val="Arial"/>
      <family val="2"/>
    </font>
    <font>
      <sz val="11"/>
      <color rgb="FF1F1F1F"/>
      <name val="Inherit"/>
    </font>
    <font>
      <b/>
      <sz val="11"/>
      <name val="Times New Roman"/>
      <family val="1"/>
    </font>
    <font>
      <b/>
      <sz val="11"/>
      <color theme="1"/>
      <name val="Calibri"/>
      <family val="2"/>
      <scheme val="minor"/>
    </font>
    <font>
      <sz val="11"/>
      <color theme="1"/>
      <name val="Var(--theme-font-family)"/>
    </font>
    <font>
      <b/>
      <sz val="11"/>
      <color theme="1"/>
      <name val="Var(--theme-font-family)"/>
    </font>
    <font>
      <sz val="12"/>
      <color rgb="FF1F1F1F"/>
      <name val="Arial"/>
      <family val="2"/>
    </font>
    <font>
      <sz val="10"/>
      <color rgb="FF474747"/>
      <name val="Arial"/>
      <family val="2"/>
    </font>
    <font>
      <sz val="10"/>
      <color rgb="FF040C28"/>
      <name val="Arial"/>
      <family val="2"/>
    </font>
    <font>
      <b/>
      <sz val="11"/>
      <color rgb="FF1F1F1F"/>
      <name val="Arial"/>
      <family val="2"/>
    </font>
    <font>
      <sz val="11"/>
      <color rgb="FF1F1F1F"/>
      <name val="Arial"/>
      <family val="2"/>
    </font>
    <font>
      <sz val="11"/>
      <color theme="1"/>
      <name val="Arial"/>
      <family val="2"/>
    </font>
    <font>
      <sz val="10"/>
      <color rgb="FF212529"/>
      <name val="Trebuchet MS"/>
      <family val="2"/>
    </font>
    <font>
      <b/>
      <sz val="10"/>
      <color rgb="FF212529"/>
      <name val="Trebuchet MS"/>
      <family val="2"/>
    </font>
    <font>
      <sz val="9"/>
      <color rgb="FF343434"/>
      <name val="Noto Sans"/>
      <family val="2"/>
    </font>
    <font>
      <b/>
      <sz val="9"/>
      <color rgb="FF343434"/>
      <name val="Noto Sans"/>
      <family val="2"/>
    </font>
    <font>
      <u/>
      <sz val="12"/>
      <name val="Times New Roman"/>
      <family val="1"/>
    </font>
    <font>
      <sz val="16"/>
      <color rgb="FFFF0000"/>
      <name val="Times New Roman"/>
      <family val="1"/>
    </font>
    <font>
      <sz val="11"/>
      <color rgb="FFFF0000"/>
      <name val="Times New Roman"/>
      <family val="1"/>
    </font>
    <font>
      <sz val="11"/>
      <color rgb="FF202124"/>
      <name val="Times New Roman"/>
      <family val="1"/>
    </font>
    <font>
      <sz val="10"/>
      <color rgb="FF1F2328"/>
      <name val="Segoe UI"/>
      <family val="2"/>
    </font>
    <font>
      <sz val="11"/>
      <color rgb="FF000000"/>
      <name val="Verdana"/>
      <family val="2"/>
    </font>
    <font>
      <b/>
      <sz val="12"/>
      <color rgb="FF696969"/>
      <name val="Times New Roman"/>
      <family val="1"/>
    </font>
    <font>
      <sz val="11"/>
      <color rgb="FF000000"/>
      <name val="Times New Roman"/>
      <family val="1"/>
    </font>
    <font>
      <sz val="8"/>
      <color rgb="FF696969"/>
      <name val="Times New Roman"/>
      <family val="1"/>
    </font>
    <font>
      <sz val="10"/>
      <color rgb="FF000000"/>
      <name val="Times New Roman"/>
      <family val="1"/>
    </font>
    <font>
      <b/>
      <sz val="11"/>
      <color rgb="FF696969"/>
      <name val="Times New Roman"/>
      <family val="1"/>
    </font>
    <font>
      <sz val="8"/>
      <color theme="1"/>
      <name val="Times New Roman"/>
      <family val="1"/>
    </font>
    <font>
      <sz val="8"/>
      <name val="Times New Roman"/>
      <family val="1"/>
    </font>
    <font>
      <sz val="10"/>
      <color theme="1"/>
      <name val="Times New Roman"/>
      <family val="1"/>
    </font>
    <font>
      <sz val="9"/>
      <color theme="1"/>
      <name val="Times New Roman"/>
      <family val="1"/>
    </font>
    <font>
      <sz val="9"/>
      <name val="Times New Roman"/>
      <family val="1"/>
    </font>
    <font>
      <u/>
      <sz val="11"/>
      <name val="Times New Roman"/>
      <family val="1"/>
    </font>
    <font>
      <b/>
      <u/>
      <sz val="11"/>
      <color theme="10"/>
      <name val="Times New Roman"/>
      <family val="1"/>
    </font>
    <font>
      <sz val="16"/>
      <name val="Times New Roman"/>
      <family val="1"/>
    </font>
    <font>
      <b/>
      <sz val="12"/>
      <color rgb="FFFF0000"/>
      <name val="Times New Roman"/>
      <family val="1"/>
    </font>
    <font>
      <sz val="16"/>
      <color theme="8" tint="-0.249977111117893"/>
      <name val="Times New Roman"/>
      <family val="1"/>
    </font>
    <font>
      <sz val="14"/>
      <color rgb="FF000000"/>
      <name val="Times New Roman"/>
      <family val="1"/>
    </font>
    <font>
      <sz val="18"/>
      <color theme="1"/>
      <name val="Calibri"/>
      <family val="2"/>
      <scheme val="minor"/>
    </font>
    <font>
      <b/>
      <sz val="24"/>
      <color rgb="FF000000"/>
      <name val="Aharoni"/>
      <charset val="177"/>
    </font>
    <font>
      <sz val="12"/>
      <color rgb="FF000000"/>
      <name val="Tahoma"/>
      <family val="2"/>
    </font>
    <font>
      <b/>
      <sz val="11"/>
      <color rgb="FF000000"/>
      <name val="Verdana"/>
      <family val="2"/>
    </font>
    <font>
      <b/>
      <sz val="17"/>
      <color rgb="FF000000"/>
      <name val="Verdana"/>
      <family val="2"/>
    </font>
    <font>
      <b/>
      <sz val="11"/>
      <color rgb="FFCC0000"/>
      <name val="Verdana"/>
      <family val="2"/>
    </font>
    <font>
      <sz val="10"/>
      <color rgb="FF696969"/>
      <name val="Segoe UI"/>
      <family val="2"/>
    </font>
    <font>
      <sz val="11"/>
      <color rgb="FF800000"/>
      <name val="Lucida Sans Unicode"/>
      <family val="2"/>
    </font>
    <font>
      <sz val="18"/>
      <color rgb="FFFF0000"/>
      <name val="Calibri"/>
      <family val="2"/>
      <scheme val="minor"/>
    </font>
    <font>
      <sz val="11"/>
      <color rgb="FF000000"/>
      <name val="Calibri"/>
      <family val="2"/>
      <scheme val="minor"/>
    </font>
    <font>
      <b/>
      <sz val="11"/>
      <color rgb="FF000000"/>
      <name val="Calibri"/>
      <family val="2"/>
      <scheme val="minor"/>
    </font>
    <font>
      <b/>
      <sz val="14"/>
      <color theme="1"/>
      <name val="Calibri"/>
      <family val="2"/>
      <scheme val="minor"/>
    </font>
    <font>
      <b/>
      <sz val="11"/>
      <color rgb="FFFF0000"/>
      <name val="Calibri"/>
      <family val="2"/>
      <scheme val="minor"/>
    </font>
    <font>
      <b/>
      <sz val="11"/>
      <color rgb="FF00B050"/>
      <name val="Calibri"/>
      <family val="2"/>
      <scheme val="minor"/>
    </font>
    <font>
      <b/>
      <sz val="11"/>
      <name val="Calibri"/>
      <family val="2"/>
      <scheme val="minor"/>
    </font>
    <font>
      <i/>
      <sz val="11"/>
      <color theme="4" tint="-0.249977111117893"/>
      <name val="Calibri"/>
      <family val="2"/>
      <scheme val="minor"/>
    </font>
    <font>
      <b/>
      <sz val="11"/>
      <color theme="4" tint="-0.249977111117893"/>
      <name val="Calibri"/>
      <family val="2"/>
      <scheme val="minor"/>
    </font>
    <font>
      <sz val="16"/>
      <name val="Calibri"/>
      <family val="2"/>
      <scheme val="minor"/>
    </font>
    <font>
      <sz val="10"/>
      <color indexed="8"/>
      <name val="Arial"/>
      <family val="2"/>
    </font>
    <font>
      <sz val="10"/>
      <color theme="1"/>
      <name val="Arial"/>
      <family val="2"/>
    </font>
    <font>
      <i/>
      <sz val="8"/>
      <color theme="1"/>
      <name val="Times New Roman"/>
      <family val="1"/>
    </font>
    <font>
      <i/>
      <sz val="10"/>
      <name val="Times New Roman"/>
      <family val="1"/>
    </font>
    <font>
      <i/>
      <sz val="8"/>
      <name val="Times New Roman"/>
      <family val="1"/>
    </font>
    <font>
      <b/>
      <i/>
      <sz val="8"/>
      <name val="Times New Roman"/>
      <family val="1"/>
    </font>
    <font>
      <sz val="10"/>
      <color theme="1"/>
      <name val="Calibri"/>
      <family val="2"/>
      <scheme val="minor"/>
    </font>
    <font>
      <sz val="14"/>
      <color rgb="FF000000"/>
      <name val="Calibri"/>
      <family val="2"/>
      <scheme val="minor"/>
    </font>
    <font>
      <u/>
      <sz val="12"/>
      <color rgb="FF0000FF"/>
      <name val="Calibri"/>
      <family val="2"/>
      <scheme val="minor"/>
    </font>
    <font>
      <sz val="8"/>
      <color theme="1"/>
      <name val="Calibri"/>
      <family val="2"/>
      <scheme val="minor"/>
    </font>
    <font>
      <sz val="8"/>
      <color rgb="FF000000"/>
      <name val="Times New Roman"/>
      <family val="1"/>
    </font>
    <font>
      <b/>
      <sz val="12"/>
      <color rgb="FFFF0000"/>
      <name val="Calibri"/>
      <family val="2"/>
      <scheme val="minor"/>
    </font>
    <font>
      <sz val="14"/>
      <color theme="6" tint="-0.249977111117893"/>
      <name val="Times New Roman"/>
      <family val="1"/>
    </font>
    <font>
      <sz val="11"/>
      <color theme="8" tint="-0.249977111117893"/>
      <name val="Times New Roman"/>
      <family val="1"/>
    </font>
    <font>
      <sz val="11"/>
      <color theme="3" tint="0.39997558519241921"/>
      <name val="Times New Roman"/>
      <family val="1"/>
    </font>
    <font>
      <sz val="8"/>
      <color rgb="FFFF0000"/>
      <name val="Times New Roman"/>
      <family val="1"/>
    </font>
    <font>
      <b/>
      <sz val="8"/>
      <color rgb="FFFF0000"/>
      <name val="Times New Roman"/>
      <family val="1"/>
    </font>
    <font>
      <b/>
      <sz val="10"/>
      <name val="Times New Roman"/>
      <family val="1"/>
    </font>
    <font>
      <b/>
      <sz val="12"/>
      <color theme="3" tint="0.59999389629810485"/>
      <name val="Times New Roman"/>
      <family val="1"/>
    </font>
    <font>
      <sz val="9"/>
      <color theme="1"/>
      <name val="Calibri"/>
      <family val="2"/>
      <scheme val="minor"/>
    </font>
    <font>
      <sz val="9"/>
      <color rgb="FFFF0000"/>
      <name val="Times New Roman"/>
      <family val="1"/>
    </font>
    <font>
      <b/>
      <sz val="9"/>
      <color rgb="FFFF0000"/>
      <name val="Times New Roman"/>
      <family val="1"/>
    </font>
    <font>
      <b/>
      <sz val="9"/>
      <color rgb="FFFF0000"/>
      <name val="Calibri"/>
      <family val="2"/>
      <scheme val="minor"/>
    </font>
    <font>
      <sz val="9"/>
      <name val="Calibri"/>
      <family val="2"/>
      <scheme val="minor"/>
    </font>
    <font>
      <b/>
      <sz val="14"/>
      <name val="Calibri"/>
      <family val="2"/>
      <scheme val="minor"/>
    </font>
    <font>
      <sz val="9"/>
      <color rgb="FFFF0000"/>
      <name val="Calibri"/>
      <family val="2"/>
      <scheme val="minor"/>
    </font>
    <font>
      <i/>
      <sz val="8"/>
      <color rgb="FFFF0000"/>
      <name val="Times New Roman"/>
      <family val="1"/>
    </font>
    <font>
      <i/>
      <sz val="12"/>
      <color theme="1"/>
      <name val="Times New Roman"/>
      <family val="1"/>
    </font>
    <font>
      <i/>
      <sz val="12"/>
      <color rgb="FFFF0000"/>
      <name val="Times New Roman"/>
      <family val="1"/>
    </font>
    <font>
      <sz val="10"/>
      <color rgb="FFFF0000"/>
      <name val="Times New Roman"/>
      <family val="1"/>
    </font>
    <font>
      <sz val="10"/>
      <name val="Times New Roman"/>
      <family val="1"/>
    </font>
    <font>
      <u/>
      <sz val="11"/>
      <color theme="1"/>
      <name val="Times New Roman"/>
      <family val="1"/>
    </font>
    <font>
      <b/>
      <u/>
      <sz val="11"/>
      <name val="Times New Roman"/>
      <family val="1"/>
    </font>
    <font>
      <u/>
      <sz val="14"/>
      <color theme="10"/>
      <name val="Calibri"/>
      <family val="2"/>
      <scheme val="minor"/>
    </font>
    <font>
      <b/>
      <sz val="12"/>
      <color theme="8" tint="0.39997558519241921"/>
      <name val="Calibri"/>
      <family val="2"/>
      <scheme val="minor"/>
    </font>
    <font>
      <i/>
      <sz val="9"/>
      <color theme="1"/>
      <name val="Times New Roman"/>
      <family val="1"/>
    </font>
    <font>
      <b/>
      <sz val="12"/>
      <color theme="8" tint="-0.249977111117893"/>
      <name val="Calibri"/>
      <family val="2"/>
      <scheme val="minor"/>
    </font>
    <font>
      <b/>
      <sz val="12"/>
      <color theme="6" tint="-0.249977111117893"/>
      <name val="Calibri"/>
      <family val="2"/>
      <scheme val="minor"/>
    </font>
    <font>
      <sz val="11"/>
      <color theme="4" tint="-0.249977111117893"/>
      <name val="Times New Roman"/>
      <family val="1"/>
    </font>
    <font>
      <i/>
      <sz val="12"/>
      <name val="Calibri"/>
      <family val="2"/>
      <scheme val="minor"/>
    </font>
    <font>
      <sz val="11"/>
      <color theme="1"/>
      <name val="Aptos"/>
      <family val="2"/>
    </font>
    <font>
      <sz val="8"/>
      <color rgb="FF000000"/>
      <name val="Segoe UI"/>
      <family val="2"/>
    </font>
    <font>
      <sz val="11"/>
      <name val="Aptos"/>
      <family val="2"/>
    </font>
    <font>
      <u/>
      <sz val="11"/>
      <color theme="10"/>
      <name val="Aptos"/>
      <family val="2"/>
    </font>
    <font>
      <sz val="7"/>
      <color rgb="FFF8FAFC"/>
      <name val="Segoe UI"/>
      <family val="2"/>
    </font>
    <font>
      <sz val="12"/>
      <color rgb="FFFFFFFF"/>
      <name val="Calibri"/>
      <family val="2"/>
      <scheme val="minor"/>
    </font>
    <font>
      <sz val="12"/>
      <color rgb="FFC00000"/>
      <name val="Times New Roman"/>
      <family val="1"/>
    </font>
    <font>
      <b/>
      <sz val="14"/>
      <color rgb="FFA20000"/>
      <name val="Times New Roman"/>
      <family val="1"/>
    </font>
    <font>
      <sz val="10"/>
      <color theme="3" tint="-0.249977111117893"/>
      <name val="Times New Roman"/>
      <family val="1"/>
    </font>
    <font>
      <sz val="10"/>
      <color rgb="FFA20000"/>
      <name val="Times New Roman"/>
      <family val="1"/>
    </font>
    <font>
      <sz val="9"/>
      <color theme="3" tint="-0.249977111117893"/>
      <name val="Times New Roman"/>
      <family val="1"/>
    </font>
    <font>
      <sz val="14"/>
      <color rgb="FF1A1F2C"/>
      <name val="Segoe UI"/>
      <family val="2"/>
    </font>
    <font>
      <sz val="9"/>
      <color rgb="FF1A1F2C"/>
      <name val="Segoe UI"/>
      <family val="2"/>
    </font>
    <font>
      <sz val="9"/>
      <color rgb="FFA20000"/>
      <name val="Times New Roman"/>
      <family val="1"/>
    </font>
    <font>
      <sz val="11"/>
      <color rgb="FFC00000"/>
      <name val="Times New Roman"/>
      <family val="1"/>
    </font>
    <font>
      <sz val="11"/>
      <color rgb="FFC00000"/>
      <name val="Calibri"/>
      <family val="2"/>
      <scheme val="minor"/>
    </font>
    <font>
      <sz val="11"/>
      <color theme="0"/>
      <name val="Calibri"/>
      <family val="2"/>
      <scheme val="minor"/>
    </font>
    <font>
      <i/>
      <sz val="11"/>
      <name val="Times New Roman"/>
      <family val="1"/>
    </font>
    <font>
      <sz val="9"/>
      <color rgb="FFC00000"/>
      <name val="Times New Roman"/>
      <family val="1"/>
    </font>
    <font>
      <b/>
      <sz val="9"/>
      <color rgb="FFC00000"/>
      <name val="Times New Roman"/>
      <family val="1"/>
    </font>
    <font>
      <b/>
      <sz val="11"/>
      <color rgb="FFC00000"/>
      <name val="Calibri"/>
      <family val="2"/>
      <scheme val="minor"/>
    </font>
    <font>
      <i/>
      <sz val="12"/>
      <color rgb="FFC00000"/>
      <name val="Times New Roman"/>
      <family val="1"/>
    </font>
    <font>
      <u/>
      <sz val="12"/>
      <color theme="10"/>
      <name val="Calibri"/>
      <family val="2"/>
      <scheme val="minor"/>
    </font>
    <font>
      <i/>
      <sz val="11"/>
      <color rgb="FFC00000"/>
      <name val="Times New Roman"/>
      <family val="1"/>
    </font>
    <font>
      <sz val="9"/>
      <name val="Arial"/>
      <family val="2"/>
    </font>
    <font>
      <sz val="9"/>
      <color theme="1"/>
      <name val="Arial"/>
      <family val="2"/>
    </font>
    <font>
      <sz val="8"/>
      <color rgb="FF334155"/>
      <name val="Segoe UI"/>
      <family val="2"/>
    </font>
    <font>
      <b/>
      <sz val="6"/>
      <color rgb="FFFFFFFF"/>
      <name val="Segoe UI"/>
      <family val="2"/>
    </font>
    <font>
      <b/>
      <sz val="6"/>
      <color rgb="FF212529"/>
      <name val="Segoe UI"/>
      <family val="2"/>
    </font>
    <font>
      <sz val="11"/>
      <color rgb="FF475569"/>
      <name val="Times New Roman"/>
      <family val="1"/>
    </font>
    <font>
      <sz val="11"/>
      <color rgb="FF212529"/>
      <name val="Times New Roman"/>
      <family val="1"/>
    </font>
    <font>
      <sz val="11"/>
      <color rgb="FF1A1F2C"/>
      <name val="Times New Roman"/>
      <family val="1"/>
    </font>
    <font>
      <b/>
      <sz val="11"/>
      <color rgb="FFB30000"/>
      <name val="Times New Roman"/>
      <family val="1"/>
    </font>
    <font>
      <b/>
      <sz val="11"/>
      <color rgb="FFDC3545"/>
      <name val="Times New Roman"/>
      <family val="1"/>
    </font>
    <font>
      <sz val="11"/>
      <color rgb="FFB30000"/>
      <name val="Times New Roman"/>
      <family val="1"/>
    </font>
    <font>
      <sz val="11"/>
      <color rgb="FFA20000"/>
      <name val="Times New Roman"/>
      <family val="1"/>
    </font>
    <font>
      <sz val="11"/>
      <color rgb="FF0F172A"/>
      <name val="Times New Roman"/>
      <family val="1"/>
    </font>
    <font>
      <b/>
      <sz val="11"/>
      <color rgb="FFC00000"/>
      <name val="Times New Roman"/>
      <family val="1"/>
    </font>
  </fonts>
  <fills count="48">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F5F5F5"/>
        <bgColor indexed="64"/>
      </patternFill>
    </fill>
    <fill>
      <patternFill patternType="solid">
        <fgColor rgb="FFFFFFFF"/>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6" tint="0.79998168889431442"/>
        <bgColor theme="6" tint="0.79998168889431442"/>
      </patternFill>
    </fill>
    <fill>
      <patternFill patternType="solid">
        <fgColor theme="7" tint="0.59999389629810485"/>
        <bgColor theme="6" tint="0.79998168889431442"/>
      </patternFill>
    </fill>
    <fill>
      <patternFill patternType="solid">
        <fgColor theme="9"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F2F2F2"/>
      </patternFill>
    </fill>
    <fill>
      <patternFill patternType="solid">
        <fgColor rgb="FFF8F9FA"/>
        <bgColor indexed="64"/>
      </patternFill>
    </fill>
    <fill>
      <patternFill patternType="solid">
        <fgColor theme="8" tint="0.39997558519241921"/>
        <bgColor indexed="64"/>
      </patternFill>
    </fill>
    <fill>
      <patternFill patternType="solid">
        <fgColor rgb="FFFFFFCC"/>
        <bgColor indexed="64"/>
      </patternFill>
    </fill>
    <fill>
      <patternFill patternType="solid">
        <fgColor rgb="FFFFFF99"/>
        <bgColor indexed="64"/>
      </patternFill>
    </fill>
    <fill>
      <patternFill patternType="solid">
        <fgColor rgb="FFFFFF66"/>
        <bgColor indexed="64"/>
      </patternFill>
    </fill>
    <fill>
      <patternFill patternType="solid">
        <fgColor theme="6"/>
        <bgColor theme="6"/>
      </patternFill>
    </fill>
    <fill>
      <patternFill patternType="solid">
        <fgColor rgb="FFFFC000"/>
        <bgColor indexed="64"/>
      </patternFill>
    </fill>
    <fill>
      <patternFill patternType="solid">
        <fgColor theme="8" tint="0.59999389629810485"/>
        <bgColor theme="6" tint="0.79998168889431442"/>
      </patternFill>
    </fill>
    <fill>
      <patternFill patternType="solid">
        <fgColor theme="6" tint="0.39997558519241921"/>
        <bgColor theme="6" tint="0.79998168889431442"/>
      </patternFill>
    </fill>
    <fill>
      <patternFill patternType="solid">
        <fgColor theme="2" tint="-9.9978637043366805E-2"/>
        <bgColor indexed="64"/>
      </patternFill>
    </fill>
    <fill>
      <patternFill patternType="solid">
        <fgColor theme="2" tint="-0.249977111117893"/>
        <bgColor indexed="64"/>
      </patternFill>
    </fill>
    <fill>
      <patternFill patternType="solid">
        <fgColor rgb="FFC6EFCE"/>
        <bgColor indexed="64"/>
      </patternFill>
    </fill>
    <fill>
      <patternFill patternType="solid">
        <fgColor rgb="FF92D050"/>
        <bgColor indexed="64"/>
      </patternFill>
    </fill>
    <fill>
      <patternFill patternType="solid">
        <fgColor theme="8" tint="0.79998168889431442"/>
        <bgColor theme="8" tint="0.79998168889431442"/>
      </patternFill>
    </fill>
    <fill>
      <patternFill patternType="solid">
        <fgColor rgb="FFF8FAFC"/>
        <bgColor indexed="64"/>
      </patternFill>
    </fill>
    <fill>
      <patternFill patternType="solid">
        <fgColor rgb="FFA3DBFF"/>
        <bgColor indexed="64"/>
      </patternFill>
    </fill>
    <fill>
      <patternFill patternType="solid">
        <fgColor rgb="FF000000"/>
        <bgColor indexed="64"/>
      </patternFill>
    </fill>
    <fill>
      <patternFill patternType="solid">
        <fgColor rgb="FFF6C3FF"/>
        <bgColor indexed="64"/>
      </patternFill>
    </fill>
    <fill>
      <patternFill patternType="solid">
        <fgColor rgb="FFFF99CC"/>
        <bgColor indexed="64"/>
      </patternFill>
    </fill>
    <fill>
      <patternFill patternType="solid">
        <fgColor theme="5" tint="0.39997558519241921"/>
        <bgColor indexed="64"/>
      </patternFill>
    </fill>
    <fill>
      <patternFill patternType="solid">
        <fgColor rgb="FFFFFF66"/>
        <bgColor theme="6" tint="0.79998168889431442"/>
      </patternFill>
    </fill>
    <fill>
      <patternFill patternType="solid">
        <fgColor rgb="FFFFFF00"/>
        <bgColor theme="6" tint="0.79998168889431442"/>
      </patternFill>
    </fill>
    <fill>
      <patternFill patternType="solid">
        <fgColor rgb="FFF1F5F9"/>
        <bgColor indexed="64"/>
      </patternFill>
    </fill>
    <fill>
      <patternFill patternType="solid">
        <fgColor theme="6"/>
        <bgColor indexed="64"/>
      </patternFill>
    </fill>
  </fills>
  <borders count="11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6"/>
      </top>
      <bottom/>
      <diagonal/>
    </border>
    <border>
      <left style="thin">
        <color indexed="64"/>
      </left>
      <right/>
      <top style="thin">
        <color theme="6"/>
      </top>
      <bottom/>
      <diagonal/>
    </border>
    <border>
      <left style="thin">
        <color theme="6"/>
      </left>
      <right/>
      <top style="thin">
        <color theme="6"/>
      </top>
      <bottom/>
      <diagonal/>
    </border>
    <border>
      <left style="thin">
        <color theme="6"/>
      </left>
      <right style="thin">
        <color theme="6"/>
      </right>
      <top style="thin">
        <color theme="6"/>
      </top>
      <bottom style="thin">
        <color theme="6"/>
      </bottom>
      <diagonal/>
    </border>
    <border>
      <left style="thin">
        <color theme="6"/>
      </left>
      <right/>
      <top style="thin">
        <color indexed="64"/>
      </top>
      <bottom/>
      <diagonal/>
    </border>
    <border>
      <left style="thin">
        <color indexed="64"/>
      </left>
      <right/>
      <top style="thin">
        <color indexed="64"/>
      </top>
      <bottom/>
      <diagonal/>
    </border>
    <border>
      <left style="thin">
        <color theme="6"/>
      </left>
      <right style="thin">
        <color theme="6"/>
      </right>
      <top style="thin">
        <color theme="6"/>
      </top>
      <bottom/>
      <diagonal/>
    </border>
    <border>
      <left style="thin">
        <color indexed="64"/>
      </left>
      <right/>
      <top style="medium">
        <color theme="6"/>
      </top>
      <bottom/>
      <diagonal/>
    </border>
    <border>
      <left style="thin">
        <color indexed="64"/>
      </left>
      <right/>
      <top style="thin">
        <color indexed="64"/>
      </top>
      <bottom style="thin">
        <color theme="6"/>
      </bottom>
      <diagonal/>
    </border>
    <border>
      <left/>
      <right/>
      <top style="medium">
        <color theme="6"/>
      </top>
      <bottom/>
      <diagonal/>
    </border>
    <border>
      <left/>
      <right/>
      <top style="thin">
        <color indexed="64"/>
      </top>
      <bottom/>
      <diagonal/>
    </border>
    <border>
      <left style="thin">
        <color theme="6"/>
      </left>
      <right style="thin">
        <color theme="6"/>
      </right>
      <top/>
      <bottom/>
      <diagonal/>
    </border>
    <border>
      <left style="thin">
        <color indexed="64"/>
      </left>
      <right/>
      <top style="thin">
        <color indexed="64"/>
      </top>
      <bottom style="double">
        <color indexed="64"/>
      </bottom>
      <diagonal/>
    </border>
    <border>
      <left/>
      <right/>
      <top style="thin">
        <color theme="6" tint="0.39997558519241921"/>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style="thin">
        <color theme="6"/>
      </right>
      <top style="thin">
        <color theme="6" tint="0.39997558519241921"/>
      </top>
      <bottom style="thin">
        <color theme="6"/>
      </bottom>
      <diagonal/>
    </border>
    <border>
      <left/>
      <right style="thin">
        <color theme="6"/>
      </right>
      <top/>
      <bottom style="thin">
        <color theme="6"/>
      </bottom>
      <diagonal/>
    </border>
    <border>
      <left style="thin">
        <color theme="6"/>
      </left>
      <right style="thin">
        <color theme="6"/>
      </right>
      <top style="thin">
        <color theme="6" tint="0.39997558519241921"/>
      </top>
      <bottom style="thin">
        <color theme="6"/>
      </bottom>
      <diagonal/>
    </border>
    <border>
      <left style="thin">
        <color theme="6"/>
      </left>
      <right style="thin">
        <color theme="6"/>
      </right>
      <top/>
      <bottom style="thin">
        <color theme="6"/>
      </bottom>
      <diagonal/>
    </border>
    <border>
      <left style="thin">
        <color theme="6"/>
      </left>
      <right style="thin">
        <color theme="6" tint="0.39997558519241921"/>
      </right>
      <top style="thin">
        <color theme="6" tint="0.39997558519241921"/>
      </top>
      <bottom style="thin">
        <color theme="6"/>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thin">
        <color rgb="FF7F7F7F"/>
      </left>
      <right style="thin">
        <color rgb="FF7F7F7F"/>
      </right>
      <top style="thin">
        <color rgb="FF7F7F7F"/>
      </top>
      <bottom style="thin">
        <color rgb="FF7F7F7F"/>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
      <left/>
      <right/>
      <top/>
      <bottom style="thin">
        <color theme="6" tint="0.39997558519241921"/>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style="medium">
        <color indexed="64"/>
      </right>
      <top style="thin">
        <color indexed="64"/>
      </top>
      <bottom style="thin">
        <color indexed="64"/>
      </bottom>
      <diagonal/>
    </border>
    <border>
      <left style="thin">
        <color indexed="64"/>
      </left>
      <right/>
      <top style="thin">
        <color theme="6" tint="0.39997558519241921"/>
      </top>
      <bottom style="thin">
        <color theme="6" tint="0.39997558519241921"/>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thin">
        <color indexed="64"/>
      </bottom>
      <diagonal/>
    </border>
    <border>
      <left style="thin">
        <color indexed="64"/>
      </left>
      <right style="thin">
        <color theme="6"/>
      </right>
      <top style="thin">
        <color theme="6"/>
      </top>
      <bottom/>
      <diagonal/>
    </border>
    <border>
      <left/>
      <right style="thin">
        <color theme="6"/>
      </right>
      <top style="thin">
        <color theme="6"/>
      </top>
      <bottom/>
      <diagonal/>
    </border>
    <border>
      <left/>
      <right style="thin">
        <color theme="6"/>
      </right>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6"/>
      </left>
      <right/>
      <top/>
      <bottom/>
      <diagonal/>
    </border>
    <border>
      <left/>
      <right style="medium">
        <color rgb="FF808080"/>
      </right>
      <top style="thin">
        <color indexed="64"/>
      </top>
      <bottom style="thin">
        <color indexed="64"/>
      </bottom>
      <diagonal/>
    </border>
    <border>
      <left style="medium">
        <color rgb="FF808080"/>
      </left>
      <right/>
      <top style="thin">
        <color indexed="64"/>
      </top>
      <bottom style="medium">
        <color rgb="FF808080"/>
      </bottom>
      <diagonal/>
    </border>
    <border>
      <left/>
      <right style="medium">
        <color rgb="FF808080"/>
      </right>
      <top style="thin">
        <color indexed="64"/>
      </top>
      <bottom style="medium">
        <color rgb="FF808080"/>
      </bottom>
      <diagonal/>
    </border>
    <border>
      <left style="medium">
        <color rgb="FF808080"/>
      </left>
      <right/>
      <top style="medium">
        <color rgb="FF808080"/>
      </top>
      <bottom/>
      <diagonal/>
    </border>
    <border>
      <left/>
      <right style="medium">
        <color rgb="FF808080"/>
      </right>
      <top style="medium">
        <color rgb="FF808080"/>
      </top>
      <bottom/>
      <diagonal/>
    </border>
    <border>
      <left style="medium">
        <color rgb="FF808080"/>
      </left>
      <right/>
      <top/>
      <bottom style="medium">
        <color rgb="FF808080"/>
      </bottom>
      <diagonal/>
    </border>
    <border>
      <left style="medium">
        <color rgb="FF808080"/>
      </left>
      <right style="medium">
        <color rgb="FF808080"/>
      </right>
      <top/>
      <bottom style="medium">
        <color rgb="FF808080"/>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top/>
      <bottom style="medium">
        <color rgb="FF808080"/>
      </bottom>
      <diagonal/>
    </border>
    <border>
      <left/>
      <right/>
      <top style="medium">
        <color rgb="FF808080"/>
      </top>
      <bottom/>
      <diagonal/>
    </border>
    <border>
      <left style="medium">
        <color rgb="FF808080"/>
      </left>
      <right/>
      <top style="thin">
        <color indexed="64"/>
      </top>
      <bottom/>
      <diagonal/>
    </border>
    <border>
      <left/>
      <right style="medium">
        <color rgb="FF808080"/>
      </right>
      <top/>
      <bottom/>
      <diagonal/>
    </border>
    <border>
      <left style="medium">
        <color rgb="FF808080"/>
      </left>
      <right/>
      <top/>
      <bottom/>
      <diagonal/>
    </border>
    <border>
      <left/>
      <right style="medium">
        <color rgb="FF808080"/>
      </right>
      <top/>
      <bottom style="medium">
        <color rgb="FF808080"/>
      </bottom>
      <diagonal/>
    </border>
    <border>
      <left style="medium">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theme="6" tint="0.39997558519241921"/>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top style="thin">
        <color theme="8" tint="0.39997558519241921"/>
      </top>
      <bottom style="thin">
        <color theme="8" tint="0.39997558519241921"/>
      </bottom>
      <diagonal/>
    </border>
    <border>
      <left style="thin">
        <color indexed="64"/>
      </left>
      <right/>
      <top style="thin">
        <color theme="8" tint="0.39997558519241921"/>
      </top>
      <bottom style="thin">
        <color theme="8" tint="0.39997558519241921"/>
      </bottom>
      <diagonal/>
    </border>
    <border>
      <left/>
      <right/>
      <top/>
      <bottom style="medium">
        <color rgb="FFE2E8F0"/>
      </bottom>
      <diagonal/>
    </border>
  </borders>
  <cellStyleXfs count="6">
    <xf numFmtId="0" fontId="0" fillId="0" borderId="0"/>
    <xf numFmtId="0" fontId="22" fillId="0" borderId="0" applyNumberFormat="0" applyFill="0" applyBorder="0" applyAlignment="0" applyProtection="0"/>
    <xf numFmtId="9" fontId="47" fillId="0" borderId="0" applyFont="0" applyFill="0" applyBorder="0" applyAlignment="0" applyProtection="0"/>
    <xf numFmtId="0" fontId="51" fillId="23" borderId="52" applyNumberFormat="0" applyAlignment="0" applyProtection="0"/>
    <xf numFmtId="0" fontId="52" fillId="0" borderId="0"/>
    <xf numFmtId="43" fontId="47" fillId="0" borderId="0" applyFont="0" applyFill="0" applyBorder="0" applyAlignment="0" applyProtection="0"/>
  </cellStyleXfs>
  <cellXfs count="2610">
    <xf numFmtId="0" fontId="0" fillId="0" borderId="0" xfId="0"/>
    <xf numFmtId="0" fontId="1" fillId="0" borderId="0" xfId="0" applyFont="1"/>
    <xf numFmtId="14" fontId="0" fillId="0" borderId="0" xfId="0" applyNumberFormat="1"/>
    <xf numFmtId="0" fontId="2" fillId="0" borderId="0" xfId="0" applyFont="1" applyAlignment="1">
      <alignment horizontal="center"/>
    </xf>
    <xf numFmtId="0" fontId="3" fillId="0" borderId="0" xfId="0" applyFont="1"/>
    <xf numFmtId="0" fontId="0" fillId="7" borderId="1" xfId="0" applyFill="1" applyBorder="1"/>
    <xf numFmtId="0" fontId="3" fillId="10" borderId="1" xfId="0" applyFont="1" applyFill="1" applyBorder="1"/>
    <xf numFmtId="0" fontId="0" fillId="0" borderId="0" xfId="0" applyAlignment="1">
      <alignment horizontal="left"/>
    </xf>
    <xf numFmtId="0" fontId="7" fillId="0" borderId="0" xfId="0" applyFont="1" applyAlignment="1">
      <alignment horizontal="left"/>
    </xf>
    <xf numFmtId="0" fontId="0" fillId="0" borderId="0" xfId="0" applyAlignment="1">
      <alignment wrapText="1"/>
    </xf>
    <xf numFmtId="0" fontId="0" fillId="0" borderId="1" xfId="0" applyBorder="1"/>
    <xf numFmtId="0" fontId="14" fillId="12" borderId="0" xfId="0" applyFont="1" applyFill="1" applyAlignment="1">
      <alignment vertical="center" wrapText="1"/>
    </xf>
    <xf numFmtId="0" fontId="0" fillId="9" borderId="1" xfId="0" applyFill="1" applyBorder="1" applyAlignment="1">
      <alignment wrapText="1"/>
    </xf>
    <xf numFmtId="0" fontId="18" fillId="14" borderId="0" xfId="0" applyFont="1" applyFill="1" applyAlignment="1">
      <alignment horizontal="center" vertical="center"/>
    </xf>
    <xf numFmtId="0" fontId="18" fillId="3" borderId="0" xfId="0" applyFont="1" applyFill="1" applyAlignment="1">
      <alignment horizontal="center" vertical="center"/>
    </xf>
    <xf numFmtId="0" fontId="0" fillId="0" borderId="0" xfId="0" applyAlignment="1">
      <alignment vertical="top" wrapText="1"/>
    </xf>
    <xf numFmtId="0" fontId="18" fillId="4" borderId="0" xfId="0" applyFont="1" applyFill="1" applyAlignment="1">
      <alignment horizontal="center" vertical="center"/>
    </xf>
    <xf numFmtId="0" fontId="4" fillId="6" borderId="0" xfId="0" applyFont="1" applyFill="1" applyAlignment="1">
      <alignment horizontal="center" vertical="center"/>
    </xf>
    <xf numFmtId="0" fontId="18" fillId="14" borderId="0" xfId="0" applyFont="1" applyFill="1" applyAlignment="1">
      <alignment horizontal="left" vertical="center"/>
    </xf>
    <xf numFmtId="0" fontId="18" fillId="3" borderId="0" xfId="0" applyFont="1" applyFill="1" applyAlignment="1">
      <alignment horizontal="left" vertical="center"/>
    </xf>
    <xf numFmtId="0" fontId="18" fillId="4" borderId="0" xfId="0" applyFont="1" applyFill="1" applyAlignment="1">
      <alignment horizontal="left" vertical="center"/>
    </xf>
    <xf numFmtId="0" fontId="4" fillId="6" borderId="0" xfId="0" applyFont="1" applyFill="1" applyAlignment="1">
      <alignment horizontal="left" vertical="center"/>
    </xf>
    <xf numFmtId="0" fontId="18" fillId="4" borderId="0" xfId="0" applyFont="1" applyFill="1" applyAlignment="1">
      <alignment horizontal="left" vertical="center" wrapText="1"/>
    </xf>
    <xf numFmtId="0" fontId="4" fillId="6" borderId="0" xfId="0" applyFont="1" applyFill="1" applyAlignment="1">
      <alignment horizontal="left" vertical="center" wrapText="1"/>
    </xf>
    <xf numFmtId="0" fontId="18" fillId="6" borderId="0" xfId="0" applyFont="1" applyFill="1" applyAlignment="1">
      <alignment horizontal="left" vertical="center" wrapText="1"/>
    </xf>
    <xf numFmtId="0" fontId="18" fillId="14" borderId="0" xfId="0" applyFont="1" applyFill="1" applyAlignment="1">
      <alignment horizontal="left" vertical="center" wrapText="1"/>
    </xf>
    <xf numFmtId="0" fontId="18" fillId="3" borderId="0" xfId="0" applyFont="1" applyFill="1" applyAlignment="1">
      <alignment horizontal="left" vertical="center" wrapText="1"/>
    </xf>
    <xf numFmtId="0" fontId="0" fillId="0" borderId="1" xfId="0" applyBorder="1" applyAlignment="1">
      <alignment vertical="top" wrapText="1"/>
    </xf>
    <xf numFmtId="0" fontId="18" fillId="3" borderId="1" xfId="0" applyFont="1" applyFill="1" applyBorder="1" applyAlignment="1">
      <alignment horizontal="left" vertical="center" wrapText="1"/>
    </xf>
    <xf numFmtId="0" fontId="18" fillId="4" borderId="1" xfId="0" applyFont="1" applyFill="1" applyBorder="1" applyAlignment="1">
      <alignment horizontal="left" vertical="center" wrapText="1"/>
    </xf>
    <xf numFmtId="0" fontId="18" fillId="6" borderId="1" xfId="0" applyFont="1" applyFill="1" applyBorder="1" applyAlignment="1">
      <alignment horizontal="left" vertical="center" wrapText="1"/>
    </xf>
    <xf numFmtId="0" fontId="4" fillId="6" borderId="1" xfId="0" applyFont="1" applyFill="1" applyBorder="1" applyAlignment="1">
      <alignment wrapText="1"/>
    </xf>
    <xf numFmtId="0" fontId="19" fillId="14" borderId="0" xfId="0" applyFont="1" applyFill="1" applyAlignment="1">
      <alignment horizontal="left" vertical="center"/>
    </xf>
    <xf numFmtId="0" fontId="19" fillId="3" borderId="0" xfId="0" applyFont="1" applyFill="1" applyAlignment="1">
      <alignment horizontal="left" vertical="center"/>
    </xf>
    <xf numFmtId="0" fontId="19" fillId="4" borderId="0" xfId="0" applyFont="1" applyFill="1" applyAlignment="1">
      <alignment horizontal="left" vertical="center"/>
    </xf>
    <xf numFmtId="0" fontId="5" fillId="6" borderId="0" xfId="0" applyFont="1" applyFill="1" applyAlignment="1">
      <alignment horizontal="left" vertical="center"/>
    </xf>
    <xf numFmtId="0" fontId="5" fillId="6" borderId="0" xfId="0" applyFont="1" applyFill="1" applyAlignment="1">
      <alignment vertical="center"/>
    </xf>
    <xf numFmtId="0" fontId="9" fillId="4"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20" fillId="14" borderId="1" xfId="0" applyFont="1" applyFill="1" applyBorder="1" applyAlignment="1">
      <alignment horizontal="left" vertical="center" wrapText="1"/>
    </xf>
    <xf numFmtId="0" fontId="20" fillId="3" borderId="1" xfId="0" applyFont="1" applyFill="1" applyBorder="1" applyAlignment="1">
      <alignment horizontal="left" vertical="center" wrapText="1"/>
    </xf>
    <xf numFmtId="0" fontId="20" fillId="4" borderId="1" xfId="0" applyFont="1" applyFill="1" applyBorder="1" applyAlignment="1">
      <alignment horizontal="left" vertical="center" wrapText="1"/>
    </xf>
    <xf numFmtId="0" fontId="4" fillId="4" borderId="1" xfId="0" applyFont="1" applyFill="1" applyBorder="1" applyAlignment="1">
      <alignment wrapText="1"/>
    </xf>
    <xf numFmtId="0" fontId="0" fillId="0" borderId="0" xfId="0" applyAlignment="1">
      <alignment horizontal="left" wrapText="1"/>
    </xf>
    <xf numFmtId="0" fontId="18" fillId="0" borderId="0" xfId="0" applyFont="1"/>
    <xf numFmtId="0" fontId="18" fillId="15" borderId="0" xfId="0" applyFont="1" applyFill="1" applyAlignment="1">
      <alignment horizontal="left" vertical="center" wrapText="1"/>
    </xf>
    <xf numFmtId="0" fontId="4" fillId="14" borderId="0" xfId="0" applyFont="1" applyFill="1" applyAlignment="1">
      <alignment horizontal="left" vertical="center" wrapText="1"/>
    </xf>
    <xf numFmtId="0" fontId="18" fillId="15" borderId="0" xfId="0" applyFont="1" applyFill="1" applyAlignment="1">
      <alignment horizontal="left" vertical="center"/>
    </xf>
    <xf numFmtId="0" fontId="18" fillId="15" borderId="0" xfId="0" applyFont="1" applyFill="1"/>
    <xf numFmtId="0" fontId="0" fillId="3" borderId="0" xfId="0" applyFill="1"/>
    <xf numFmtId="0" fontId="1" fillId="0" borderId="0" xfId="0" applyFont="1" applyAlignment="1">
      <alignment horizontal="left"/>
    </xf>
    <xf numFmtId="0" fontId="17" fillId="0" borderId="0" xfId="0" applyFont="1" applyAlignment="1">
      <alignment wrapText="1"/>
    </xf>
    <xf numFmtId="0" fontId="20" fillId="10" borderId="1" xfId="0" applyFont="1" applyFill="1" applyBorder="1"/>
    <xf numFmtId="0" fontId="24" fillId="0" borderId="0" xfId="0" applyFont="1"/>
    <xf numFmtId="0" fontId="18" fillId="14" borderId="1" xfId="0" applyFont="1" applyFill="1" applyBorder="1" applyAlignment="1">
      <alignment vertical="top"/>
    </xf>
    <xf numFmtId="0" fontId="18" fillId="3" borderId="1" xfId="0" applyFont="1" applyFill="1" applyBorder="1" applyAlignment="1">
      <alignment vertical="top"/>
    </xf>
    <xf numFmtId="0" fontId="18" fillId="3" borderId="1" xfId="0" applyFont="1" applyFill="1" applyBorder="1"/>
    <xf numFmtId="0" fontId="5" fillId="6" borderId="0" xfId="0" applyFont="1" applyFill="1" applyAlignment="1">
      <alignment horizontal="left" vertical="center" wrapText="1"/>
    </xf>
    <xf numFmtId="0" fontId="19" fillId="4" borderId="1" xfId="0" applyFont="1" applyFill="1" applyBorder="1" applyAlignment="1">
      <alignment horizontal="left" vertical="center"/>
    </xf>
    <xf numFmtId="0" fontId="5" fillId="6" borderId="1" xfId="0" applyFont="1" applyFill="1" applyBorder="1" applyAlignment="1">
      <alignment horizontal="left" vertical="center"/>
    </xf>
    <xf numFmtId="0" fontId="19" fillId="14" borderId="1" xfId="0" applyFont="1" applyFill="1" applyBorder="1" applyAlignment="1">
      <alignment horizontal="left" vertical="center"/>
    </xf>
    <xf numFmtId="0" fontId="19" fillId="3" borderId="1" xfId="0" applyFont="1" applyFill="1" applyBorder="1" applyAlignment="1">
      <alignment horizontal="left" vertical="center"/>
    </xf>
    <xf numFmtId="0" fontId="0" fillId="0" borderId="1" xfId="0" applyBorder="1" applyAlignment="1">
      <alignment vertical="top"/>
    </xf>
    <xf numFmtId="0" fontId="19" fillId="0" borderId="0" xfId="0" applyFont="1" applyAlignment="1">
      <alignment horizontal="center"/>
    </xf>
    <xf numFmtId="0" fontId="5" fillId="0" borderId="1" xfId="0" applyFont="1" applyBorder="1" applyAlignment="1">
      <alignment horizontal="left"/>
    </xf>
    <xf numFmtId="0" fontId="0" fillId="0" borderId="1" xfId="0" applyBorder="1" applyAlignment="1">
      <alignment horizontal="center" vertical="center"/>
    </xf>
    <xf numFmtId="0" fontId="0" fillId="0" borderId="7" xfId="0" applyBorder="1"/>
    <xf numFmtId="0" fontId="22" fillId="0" borderId="1" xfId="1" applyBorder="1" applyAlignment="1">
      <alignment vertical="top"/>
    </xf>
    <xf numFmtId="0" fontId="5" fillId="14" borderId="0" xfId="0" applyFont="1" applyFill="1" applyAlignment="1">
      <alignment horizontal="left" vertical="center"/>
    </xf>
    <xf numFmtId="0" fontId="5" fillId="14" borderId="0" xfId="0" applyFont="1" applyFill="1" applyAlignment="1">
      <alignment vertical="center"/>
    </xf>
    <xf numFmtId="0" fontId="19" fillId="16" borderId="0" xfId="0" applyFont="1" applyFill="1" applyAlignment="1">
      <alignment horizontal="left" vertical="center"/>
    </xf>
    <xf numFmtId="0" fontId="0" fillId="0" borderId="1" xfId="0" applyBorder="1" applyAlignment="1">
      <alignment wrapText="1"/>
    </xf>
    <xf numFmtId="0" fontId="0" fillId="0" borderId="5" xfId="0" applyBorder="1" applyAlignment="1">
      <alignment vertical="top" wrapText="1"/>
    </xf>
    <xf numFmtId="0" fontId="0" fillId="9" borderId="1" xfId="0" applyFill="1" applyBorder="1" applyAlignment="1">
      <alignment vertical="top" wrapText="1"/>
    </xf>
    <xf numFmtId="0" fontId="5" fillId="0" borderId="1" xfId="0" applyFont="1" applyBorder="1" applyAlignment="1">
      <alignment horizontal="left" vertical="top" wrapText="1"/>
    </xf>
    <xf numFmtId="0" fontId="2" fillId="0" borderId="1" xfId="0" applyFont="1" applyBorder="1" applyAlignment="1">
      <alignment horizontal="center"/>
    </xf>
    <xf numFmtId="0" fontId="24" fillId="0" borderId="1" xfId="0" applyFont="1" applyBorder="1"/>
    <xf numFmtId="0" fontId="5" fillId="0" borderId="1" xfId="0" applyFont="1" applyBorder="1" applyAlignment="1">
      <alignment vertical="top"/>
    </xf>
    <xf numFmtId="0" fontId="18" fillId="14" borderId="0" xfId="0" applyFont="1" applyFill="1" applyAlignment="1">
      <alignment horizontal="center" vertical="center" wrapText="1"/>
    </xf>
    <xf numFmtId="0" fontId="18" fillId="3" borderId="0" xfId="0" applyFont="1" applyFill="1" applyAlignment="1">
      <alignment horizontal="center" vertical="center" wrapText="1"/>
    </xf>
    <xf numFmtId="0" fontId="1" fillId="14" borderId="0" xfId="0" applyFont="1" applyFill="1" applyAlignment="1">
      <alignment vertical="top" wrapText="1"/>
    </xf>
    <xf numFmtId="0" fontId="1" fillId="0" borderId="0" xfId="0" applyFont="1" applyAlignment="1">
      <alignment vertical="top" wrapText="1"/>
    </xf>
    <xf numFmtId="0" fontId="1" fillId="0" borderId="0" xfId="0" applyFont="1" applyAlignment="1">
      <alignment horizontal="left" vertical="top" wrapText="1"/>
    </xf>
    <xf numFmtId="0" fontId="20" fillId="14" borderId="1" xfId="0" applyFont="1" applyFill="1" applyBorder="1" applyAlignment="1">
      <alignment vertical="top"/>
    </xf>
    <xf numFmtId="0" fontId="20" fillId="3" borderId="1" xfId="0" applyFont="1" applyFill="1" applyBorder="1" applyAlignment="1">
      <alignment vertical="top"/>
    </xf>
    <xf numFmtId="0" fontId="20" fillId="4" borderId="0" xfId="0" applyFont="1" applyFill="1" applyAlignment="1">
      <alignment horizontal="left" vertical="center" wrapText="1"/>
    </xf>
    <xf numFmtId="0" fontId="21" fillId="3" borderId="1" xfId="0" applyFont="1" applyFill="1" applyBorder="1" applyAlignment="1">
      <alignment vertical="top"/>
    </xf>
    <xf numFmtId="0" fontId="21" fillId="14" borderId="1" xfId="0" applyFont="1" applyFill="1" applyBorder="1" applyAlignment="1">
      <alignment vertical="top"/>
    </xf>
    <xf numFmtId="0" fontId="0" fillId="0" borderId="5" xfId="0" applyBorder="1" applyAlignment="1">
      <alignment vertical="top"/>
    </xf>
    <xf numFmtId="0" fontId="5" fillId="14" borderId="0" xfId="0" applyFont="1" applyFill="1" applyAlignment="1">
      <alignment vertical="center" wrapText="1"/>
    </xf>
    <xf numFmtId="0" fontId="1" fillId="0" borderId="1" xfId="0" applyFont="1" applyBorder="1" applyAlignment="1">
      <alignment vertical="top"/>
    </xf>
    <xf numFmtId="0" fontId="0" fillId="0" borderId="0" xfId="0" applyAlignment="1">
      <alignment horizontal="left" vertical="top"/>
    </xf>
    <xf numFmtId="0" fontId="4" fillId="0" borderId="0" xfId="0" applyFont="1" applyAlignment="1">
      <alignment horizontal="left" vertical="top"/>
    </xf>
    <xf numFmtId="0" fontId="28" fillId="0" borderId="0" xfId="0" applyFont="1" applyAlignment="1">
      <alignment horizontal="left" vertical="top"/>
    </xf>
    <xf numFmtId="0" fontId="28" fillId="0" borderId="0" xfId="0" applyFont="1" applyAlignment="1">
      <alignment horizontal="left" vertical="top" wrapText="1"/>
    </xf>
    <xf numFmtId="0" fontId="6" fillId="0" borderId="0" xfId="0" applyFont="1" applyAlignment="1">
      <alignment horizontal="left" vertical="top"/>
    </xf>
    <xf numFmtId="0" fontId="12" fillId="0" borderId="0" xfId="0" applyFont="1" applyAlignment="1">
      <alignment horizontal="left" vertical="top" wrapText="1"/>
    </xf>
    <xf numFmtId="0" fontId="18" fillId="4" borderId="0" xfId="0" applyFont="1" applyFill="1" applyAlignment="1">
      <alignment horizontal="left" vertical="top" wrapText="1"/>
    </xf>
    <xf numFmtId="0" fontId="9" fillId="6" borderId="1" xfId="0" applyFont="1" applyFill="1" applyBorder="1" applyAlignment="1">
      <alignment horizontal="center" vertical="center" wrapText="1"/>
    </xf>
    <xf numFmtId="0" fontId="4" fillId="0" borderId="1" xfId="0" applyFont="1" applyBorder="1" applyAlignment="1">
      <alignment horizontal="left" vertical="top"/>
    </xf>
    <xf numFmtId="0" fontId="28" fillId="0" borderId="1" xfId="0" applyFont="1" applyBorder="1" applyAlignment="1">
      <alignment horizontal="left" vertical="top" wrapText="1"/>
    </xf>
    <xf numFmtId="0" fontId="18" fillId="4" borderId="1" xfId="0" applyFont="1" applyFill="1" applyBorder="1" applyAlignment="1">
      <alignment horizontal="center" vertical="center" wrapText="1"/>
    </xf>
    <xf numFmtId="0" fontId="4" fillId="6" borderId="1" xfId="0" applyFont="1" applyFill="1" applyBorder="1" applyAlignment="1">
      <alignment horizontal="center" vertical="center"/>
    </xf>
    <xf numFmtId="0" fontId="18" fillId="15" borderId="1" xfId="0" applyFont="1" applyFill="1" applyBorder="1" applyAlignment="1">
      <alignment horizontal="center" vertical="center" wrapText="1"/>
    </xf>
    <xf numFmtId="0" fontId="4" fillId="6" borderId="1" xfId="0" applyFont="1" applyFill="1" applyBorder="1" applyAlignment="1">
      <alignment horizontal="center" vertical="center" wrapText="1"/>
    </xf>
    <xf numFmtId="0" fontId="18" fillId="0" borderId="0" xfId="0" applyFont="1" applyAlignment="1">
      <alignment horizontal="center" vertical="center" wrapText="1"/>
    </xf>
    <xf numFmtId="0" fontId="18" fillId="14" borderId="0" xfId="0" applyFont="1" applyFill="1" applyAlignment="1">
      <alignment vertical="center"/>
    </xf>
    <xf numFmtId="0" fontId="17" fillId="3" borderId="1" xfId="0" applyFont="1" applyFill="1" applyBorder="1" applyAlignment="1">
      <alignment horizontal="center" vertical="center" wrapText="1"/>
    </xf>
    <xf numFmtId="0" fontId="17" fillId="4" borderId="1" xfId="0" applyFont="1" applyFill="1" applyBorder="1" applyAlignment="1">
      <alignment horizontal="center" vertical="center" wrapText="1"/>
    </xf>
    <xf numFmtId="0" fontId="23" fillId="0" borderId="0" xfId="0" applyFont="1" applyAlignment="1">
      <alignment horizontal="center"/>
    </xf>
    <xf numFmtId="0" fontId="19" fillId="0" borderId="0" xfId="0" applyFont="1" applyAlignment="1">
      <alignment horizontal="center" vertical="center"/>
    </xf>
    <xf numFmtId="0" fontId="5" fillId="0" borderId="1" xfId="0" applyFont="1" applyBorder="1" applyAlignment="1">
      <alignment horizontal="center"/>
    </xf>
    <xf numFmtId="0" fontId="0" fillId="0" borderId="0" xfId="0" applyAlignment="1">
      <alignment vertical="top"/>
    </xf>
    <xf numFmtId="0" fontId="0" fillId="0" borderId="0" xfId="0" applyAlignment="1">
      <alignment horizontal="right"/>
    </xf>
    <xf numFmtId="0" fontId="0" fillId="8" borderId="1" xfId="0" applyFill="1" applyBorder="1"/>
    <xf numFmtId="0" fontId="23" fillId="8" borderId="0" xfId="0" applyFont="1" applyFill="1"/>
    <xf numFmtId="0" fontId="20" fillId="10" borderId="0" xfId="0" applyFont="1" applyFill="1"/>
    <xf numFmtId="0" fontId="19" fillId="4" borderId="7" xfId="0" applyFont="1" applyFill="1" applyBorder="1"/>
    <xf numFmtId="0" fontId="19" fillId="4" borderId="23" xfId="0" applyFont="1" applyFill="1" applyBorder="1"/>
    <xf numFmtId="0" fontId="31" fillId="4" borderId="7" xfId="0" applyFont="1" applyFill="1" applyBorder="1" applyAlignment="1">
      <alignment vertical="center" wrapText="1"/>
    </xf>
    <xf numFmtId="0" fontId="31" fillId="4" borderId="22" xfId="0" applyFont="1" applyFill="1" applyBorder="1" applyAlignment="1">
      <alignment vertical="center" wrapText="1"/>
    </xf>
    <xf numFmtId="0" fontId="31" fillId="4" borderId="1" xfId="0" applyFont="1" applyFill="1" applyBorder="1" applyAlignment="1">
      <alignment vertical="center" wrapText="1"/>
    </xf>
    <xf numFmtId="0" fontId="23" fillId="0" borderId="0" xfId="0" applyFont="1"/>
    <xf numFmtId="0" fontId="33" fillId="8" borderId="0" xfId="0" applyFont="1" applyFill="1" applyAlignment="1">
      <alignment horizontal="center"/>
    </xf>
    <xf numFmtId="0" fontId="33" fillId="8" borderId="0" xfId="0" applyFont="1" applyFill="1"/>
    <xf numFmtId="0" fontId="32" fillId="0" borderId="0" xfId="0" applyFont="1" applyAlignment="1">
      <alignment horizontal="left"/>
    </xf>
    <xf numFmtId="0" fontId="32" fillId="8" borderId="0" xfId="0" applyFont="1" applyFill="1" applyAlignment="1">
      <alignment horizontal="center"/>
    </xf>
    <xf numFmtId="0" fontId="32" fillId="0" borderId="0" xfId="0" applyFont="1"/>
    <xf numFmtId="0" fontId="34" fillId="8" borderId="1" xfId="0" applyFont="1" applyFill="1" applyBorder="1"/>
    <xf numFmtId="0" fontId="34" fillId="0" borderId="0" xfId="0" applyFont="1"/>
    <xf numFmtId="0" fontId="34" fillId="7" borderId="1" xfId="0" applyFont="1" applyFill="1" applyBorder="1"/>
    <xf numFmtId="0" fontId="23" fillId="8" borderId="4" xfId="0" applyFont="1" applyFill="1" applyBorder="1"/>
    <xf numFmtId="0" fontId="27" fillId="8" borderId="0" xfId="0" applyFont="1" applyFill="1"/>
    <xf numFmtId="0" fontId="19" fillId="0" borderId="0" xfId="0" applyFont="1"/>
    <xf numFmtId="0" fontId="19" fillId="7" borderId="1" xfId="0" applyFont="1" applyFill="1" applyBorder="1"/>
    <xf numFmtId="0" fontId="35" fillId="0" borderId="0" xfId="0" applyFont="1"/>
    <xf numFmtId="0" fontId="0" fillId="0" borderId="3" xfId="0" applyBorder="1"/>
    <xf numFmtId="0" fontId="23" fillId="8" borderId="1" xfId="0" applyFont="1" applyFill="1" applyBorder="1"/>
    <xf numFmtId="0" fontId="34" fillId="0" borderId="1" xfId="0" applyFont="1" applyBorder="1"/>
    <xf numFmtId="0" fontId="34" fillId="0" borderId="3" xfId="0" applyFont="1" applyBorder="1"/>
    <xf numFmtId="0" fontId="21" fillId="0" borderId="8" xfId="0" applyFont="1" applyBorder="1"/>
    <xf numFmtId="0" fontId="24" fillId="0" borderId="33" xfId="0" applyFont="1" applyBorder="1"/>
    <xf numFmtId="0" fontId="24" fillId="0" borderId="29" xfId="0" applyFont="1" applyBorder="1"/>
    <xf numFmtId="0" fontId="24" fillId="0" borderId="30" xfId="0" applyFont="1" applyBorder="1"/>
    <xf numFmtId="0" fontId="24" fillId="0" borderId="34" xfId="0" applyFont="1" applyBorder="1"/>
    <xf numFmtId="0" fontId="31" fillId="4" borderId="33" xfId="0" applyFont="1" applyFill="1" applyBorder="1" applyAlignment="1">
      <alignment vertical="center" wrapText="1"/>
    </xf>
    <xf numFmtId="0" fontId="0" fillId="7" borderId="33" xfId="0" applyFill="1" applyBorder="1"/>
    <xf numFmtId="0" fontId="31" fillId="4" borderId="8" xfId="0" applyFont="1" applyFill="1" applyBorder="1" applyAlignment="1">
      <alignment vertical="center" wrapText="1"/>
    </xf>
    <xf numFmtId="0" fontId="24" fillId="0" borderId="28" xfId="0" applyFont="1" applyBorder="1"/>
    <xf numFmtId="0" fontId="0" fillId="7" borderId="1" xfId="0" applyFill="1" applyBorder="1" applyAlignment="1">
      <alignment wrapText="1"/>
    </xf>
    <xf numFmtId="0" fontId="0" fillId="7" borderId="1" xfId="0" applyFill="1" applyBorder="1" applyAlignment="1">
      <alignment horizontal="center" vertical="center" wrapText="1"/>
    </xf>
    <xf numFmtId="0" fontId="25" fillId="7" borderId="1" xfId="0" applyFont="1" applyFill="1" applyBorder="1" applyAlignment="1">
      <alignment vertical="center" wrapText="1"/>
    </xf>
    <xf numFmtId="0" fontId="23" fillId="10" borderId="9" xfId="0" applyFont="1" applyFill="1" applyBorder="1"/>
    <xf numFmtId="0" fontId="23" fillId="8" borderId="6" xfId="0" applyFont="1" applyFill="1" applyBorder="1"/>
    <xf numFmtId="0" fontId="0" fillId="8" borderId="1" xfId="0" applyFill="1" applyBorder="1" applyAlignment="1">
      <alignment wrapText="1"/>
    </xf>
    <xf numFmtId="0" fontId="38" fillId="0" borderId="0" xfId="0" applyFont="1" applyAlignment="1">
      <alignment vertical="center"/>
    </xf>
    <xf numFmtId="0" fontId="0" fillId="0" borderId="3" xfId="0" applyBorder="1" applyAlignment="1">
      <alignment wrapText="1"/>
    </xf>
    <xf numFmtId="0" fontId="19" fillId="8" borderId="7" xfId="0" applyFont="1" applyFill="1" applyBorder="1"/>
    <xf numFmtId="0" fontId="19" fillId="8" borderId="23" xfId="0" applyFont="1" applyFill="1" applyBorder="1"/>
    <xf numFmtId="0" fontId="31" fillId="0" borderId="0" xfId="0" applyFont="1" applyAlignment="1">
      <alignment vertical="center" wrapText="1"/>
    </xf>
    <xf numFmtId="0" fontId="24" fillId="0" borderId="39" xfId="0" applyFont="1" applyBorder="1"/>
    <xf numFmtId="0" fontId="24" fillId="0" borderId="8" xfId="0" applyFont="1" applyBorder="1"/>
    <xf numFmtId="0" fontId="22" fillId="0" borderId="1" xfId="1" applyBorder="1" applyAlignment="1">
      <alignment vertical="center"/>
    </xf>
    <xf numFmtId="0" fontId="0" fillId="8" borderId="0" xfId="0" applyFill="1"/>
    <xf numFmtId="0" fontId="27" fillId="8" borderId="1" xfId="0" applyFont="1" applyFill="1" applyBorder="1"/>
    <xf numFmtId="0" fontId="27" fillId="7" borderId="1" xfId="0" applyFont="1" applyFill="1" applyBorder="1"/>
    <xf numFmtId="14" fontId="27" fillId="7" borderId="1" xfId="0" applyNumberFormat="1" applyFont="1" applyFill="1" applyBorder="1" applyAlignment="1">
      <alignment horizontal="left"/>
    </xf>
    <xf numFmtId="0" fontId="19" fillId="4" borderId="1" xfId="0" applyFont="1" applyFill="1" applyBorder="1"/>
    <xf numFmtId="0" fontId="3" fillId="10" borderId="22" xfId="0" applyFont="1" applyFill="1" applyBorder="1"/>
    <xf numFmtId="0" fontId="20" fillId="10" borderId="3" xfId="0" applyFont="1" applyFill="1" applyBorder="1"/>
    <xf numFmtId="0" fontId="7" fillId="0" borderId="0" xfId="0" applyFont="1"/>
    <xf numFmtId="0" fontId="27" fillId="0" borderId="0" xfId="0" applyFont="1"/>
    <xf numFmtId="0" fontId="19" fillId="4" borderId="6" xfId="0" applyFont="1" applyFill="1" applyBorder="1"/>
    <xf numFmtId="0" fontId="27" fillId="7" borderId="13" xfId="0" applyFont="1" applyFill="1" applyBorder="1" applyAlignment="1">
      <alignment horizontal="left"/>
    </xf>
    <xf numFmtId="0" fontId="19" fillId="7" borderId="7" xfId="0" applyFont="1" applyFill="1" applyBorder="1"/>
    <xf numFmtId="0" fontId="19" fillId="4" borderId="0" xfId="0" applyFont="1" applyFill="1"/>
    <xf numFmtId="0" fontId="39" fillId="4" borderId="1" xfId="0" applyFont="1" applyFill="1" applyBorder="1" applyAlignment="1">
      <alignment horizontal="center"/>
    </xf>
    <xf numFmtId="0" fontId="27" fillId="7" borderId="13" xfId="0" applyFont="1" applyFill="1" applyBorder="1"/>
    <xf numFmtId="0" fontId="19" fillId="0" borderId="1" xfId="0" applyFont="1" applyBorder="1"/>
    <xf numFmtId="0" fontId="19" fillId="4" borderId="13" xfId="0" applyFont="1" applyFill="1" applyBorder="1"/>
    <xf numFmtId="0" fontId="19" fillId="0" borderId="7" xfId="0" applyFont="1" applyBorder="1"/>
    <xf numFmtId="0" fontId="0" fillId="7" borderId="6" xfId="0" applyFill="1" applyBorder="1"/>
    <xf numFmtId="0" fontId="7" fillId="0" borderId="1" xfId="0" applyFont="1" applyBorder="1"/>
    <xf numFmtId="0" fontId="19" fillId="4" borderId="1" xfId="0" applyFont="1" applyFill="1" applyBorder="1" applyAlignment="1">
      <alignment vertical="center"/>
    </xf>
    <xf numFmtId="0" fontId="0" fillId="7" borderId="1" xfId="0" applyFill="1" applyBorder="1" applyAlignment="1">
      <alignment vertical="center"/>
    </xf>
    <xf numFmtId="0" fontId="4" fillId="0" borderId="0" xfId="0" applyFont="1" applyAlignment="1">
      <alignment vertical="center"/>
    </xf>
    <xf numFmtId="0" fontId="27" fillId="8" borderId="7" xfId="0" applyFont="1" applyFill="1" applyBorder="1"/>
    <xf numFmtId="0" fontId="19" fillId="0" borderId="3" xfId="0" applyFont="1" applyBorder="1" applyAlignment="1">
      <alignment vertical="top"/>
    </xf>
    <xf numFmtId="0" fontId="27" fillId="8" borderId="7" xfId="0" applyFont="1" applyFill="1" applyBorder="1" applyAlignment="1">
      <alignment horizontal="center" vertical="center" wrapText="1"/>
    </xf>
    <xf numFmtId="0" fontId="27" fillId="8" borderId="6" xfId="0" applyFont="1" applyFill="1" applyBorder="1"/>
    <xf numFmtId="0" fontId="19" fillId="4" borderId="3" xfId="0" applyFont="1" applyFill="1" applyBorder="1"/>
    <xf numFmtId="0" fontId="27" fillId="8" borderId="33" xfId="0" applyFont="1" applyFill="1" applyBorder="1"/>
    <xf numFmtId="0" fontId="19" fillId="0" borderId="0" xfId="0" applyFont="1" applyAlignment="1">
      <alignment vertical="center"/>
    </xf>
    <xf numFmtId="0" fontId="27" fillId="8" borderId="4" xfId="0" applyFont="1" applyFill="1" applyBorder="1"/>
    <xf numFmtId="0" fontId="27" fillId="8" borderId="13" xfId="0" applyFont="1" applyFill="1" applyBorder="1" applyAlignment="1">
      <alignment horizontal="center" vertical="center" wrapText="1"/>
    </xf>
    <xf numFmtId="0" fontId="0" fillId="7" borderId="6" xfId="0" applyFill="1" applyBorder="1" applyAlignment="1">
      <alignment vertical="center"/>
    </xf>
    <xf numFmtId="0" fontId="34" fillId="11" borderId="1" xfId="0" applyFont="1" applyFill="1" applyBorder="1" applyAlignment="1">
      <alignment horizontal="center" vertical="center"/>
    </xf>
    <xf numFmtId="0" fontId="41" fillId="8" borderId="0" xfId="0" applyFont="1" applyFill="1"/>
    <xf numFmtId="0" fontId="22" fillId="0" borderId="0" xfId="1"/>
    <xf numFmtId="0" fontId="41" fillId="8" borderId="0" xfId="0" applyFont="1" applyFill="1" applyAlignment="1">
      <alignment horizontal="center"/>
    </xf>
    <xf numFmtId="0" fontId="19" fillId="4" borderId="6" xfId="0" applyFont="1" applyFill="1" applyBorder="1" applyAlignment="1">
      <alignment vertical="center"/>
    </xf>
    <xf numFmtId="0" fontId="27" fillId="8" borderId="13" xfId="0" applyFont="1" applyFill="1" applyBorder="1"/>
    <xf numFmtId="0" fontId="7" fillId="0" borderId="1" xfId="0" applyFont="1" applyBorder="1" applyAlignment="1">
      <alignment horizontal="center" wrapText="1"/>
    </xf>
    <xf numFmtId="0" fontId="19" fillId="7" borderId="7" xfId="0" applyFont="1" applyFill="1" applyBorder="1" applyAlignment="1">
      <alignment horizontal="right"/>
    </xf>
    <xf numFmtId="0" fontId="27" fillId="0" borderId="6" xfId="0" applyFont="1" applyBorder="1"/>
    <xf numFmtId="0" fontId="27" fillId="0" borderId="7" xfId="0" applyFont="1" applyBorder="1"/>
    <xf numFmtId="0" fontId="42" fillId="0" borderId="0" xfId="0" applyFont="1" applyAlignment="1">
      <alignment vertical="center" wrapText="1"/>
    </xf>
    <xf numFmtId="0" fontId="7" fillId="0" borderId="1" xfId="0" applyFont="1" applyBorder="1" applyAlignment="1">
      <alignment horizontal="left" wrapText="1"/>
    </xf>
    <xf numFmtId="0" fontId="19" fillId="4" borderId="13" xfId="0" applyFont="1" applyFill="1" applyBorder="1" applyAlignment="1">
      <alignment vertical="center"/>
    </xf>
    <xf numFmtId="0" fontId="23" fillId="8" borderId="2" xfId="0" applyFont="1" applyFill="1" applyBorder="1"/>
    <xf numFmtId="0" fontId="0" fillId="0" borderId="0" xfId="0" applyAlignment="1">
      <alignment horizontal="center"/>
    </xf>
    <xf numFmtId="0" fontId="0" fillId="0" borderId="10" xfId="0" applyBorder="1"/>
    <xf numFmtId="0" fontId="0" fillId="0" borderId="11" xfId="0" applyBorder="1"/>
    <xf numFmtId="0" fontId="0" fillId="0" borderId="12" xfId="0" applyBorder="1"/>
    <xf numFmtId="0" fontId="34" fillId="0" borderId="0" xfId="0" applyFont="1" applyAlignment="1">
      <alignment vertical="center"/>
    </xf>
    <xf numFmtId="0" fontId="27" fillId="0" borderId="0" xfId="0" applyFont="1" applyAlignment="1">
      <alignment horizontal="center"/>
    </xf>
    <xf numFmtId="0" fontId="34" fillId="11" borderId="22" xfId="0" applyFont="1" applyFill="1" applyBorder="1" applyAlignment="1">
      <alignment horizontal="center" vertical="center"/>
    </xf>
    <xf numFmtId="0" fontId="34" fillId="0" borderId="0" xfId="0" applyFont="1" applyAlignment="1">
      <alignment horizontal="center" vertical="center"/>
    </xf>
    <xf numFmtId="0" fontId="19" fillId="4" borderId="7" xfId="0" applyFont="1" applyFill="1" applyBorder="1" applyAlignment="1">
      <alignment vertical="center"/>
    </xf>
    <xf numFmtId="0" fontId="15" fillId="13" borderId="0" xfId="0" applyFont="1" applyFill="1" applyAlignment="1">
      <alignment vertical="top" wrapText="1"/>
    </xf>
    <xf numFmtId="0" fontId="16" fillId="0" borderId="0" xfId="0" applyFont="1" applyAlignment="1">
      <alignment horizontal="center" vertical="center" wrapText="1"/>
    </xf>
    <xf numFmtId="0" fontId="0" fillId="14" borderId="1" xfId="0" applyFill="1" applyBorder="1"/>
    <xf numFmtId="0" fontId="34" fillId="14" borderId="1" xfId="0" applyFont="1" applyFill="1" applyBorder="1"/>
    <xf numFmtId="0" fontId="14" fillId="20" borderId="1" xfId="0" applyFont="1" applyFill="1" applyBorder="1" applyAlignment="1">
      <alignment vertical="center" wrapText="1"/>
    </xf>
    <xf numFmtId="0" fontId="14" fillId="0" borderId="0" xfId="0" applyFont="1" applyAlignment="1">
      <alignment vertical="center" wrapText="1"/>
    </xf>
    <xf numFmtId="0" fontId="19" fillId="8" borderId="1" xfId="0" applyFont="1" applyFill="1" applyBorder="1"/>
    <xf numFmtId="0" fontId="29" fillId="14" borderId="1" xfId="0" applyFont="1" applyFill="1" applyBorder="1"/>
    <xf numFmtId="0" fontId="34" fillId="14" borderId="9" xfId="0" applyFont="1" applyFill="1" applyBorder="1"/>
    <xf numFmtId="0" fontId="19" fillId="8" borderId="9" xfId="0" applyFont="1" applyFill="1" applyBorder="1"/>
    <xf numFmtId="0" fontId="0" fillId="0" borderId="0" xfId="0" applyAlignment="1">
      <alignment vertical="center"/>
    </xf>
    <xf numFmtId="0" fontId="27" fillId="7" borderId="6" xfId="0" applyFont="1" applyFill="1" applyBorder="1"/>
    <xf numFmtId="0" fontId="3" fillId="10" borderId="23" xfId="0" applyFont="1" applyFill="1" applyBorder="1"/>
    <xf numFmtId="0" fontId="20" fillId="10" borderId="5" xfId="0" applyFont="1" applyFill="1" applyBorder="1"/>
    <xf numFmtId="0" fontId="0" fillId="7" borderId="1" xfId="0" applyFill="1" applyBorder="1" applyAlignment="1">
      <alignment vertical="center" wrapText="1"/>
    </xf>
    <xf numFmtId="0" fontId="20" fillId="10" borderId="5" xfId="0" applyFont="1" applyFill="1" applyBorder="1" applyAlignment="1">
      <alignment horizontal="center"/>
    </xf>
    <xf numFmtId="0" fontId="23" fillId="8" borderId="7" xfId="0" applyFont="1" applyFill="1" applyBorder="1"/>
    <xf numFmtId="0" fontId="0" fillId="0" borderId="0" xfId="0" applyAlignment="1">
      <alignment vertical="center" wrapText="1"/>
    </xf>
    <xf numFmtId="0" fontId="21" fillId="0" borderId="0" xfId="0" applyFont="1"/>
    <xf numFmtId="0" fontId="44" fillId="7" borderId="1" xfId="0" applyFont="1" applyFill="1" applyBorder="1" applyAlignment="1">
      <alignment vertical="center" wrapText="1"/>
    </xf>
    <xf numFmtId="0" fontId="5" fillId="14" borderId="1" xfId="0" applyFont="1" applyFill="1" applyBorder="1" applyAlignment="1">
      <alignment horizontal="left"/>
    </xf>
    <xf numFmtId="0" fontId="7" fillId="0" borderId="0" xfId="0" applyFont="1" applyAlignment="1">
      <alignment horizontal="left" wrapText="1"/>
    </xf>
    <xf numFmtId="0" fontId="34" fillId="11" borderId="7" xfId="0" applyFont="1" applyFill="1" applyBorder="1" applyAlignment="1">
      <alignment horizontal="center" vertical="center"/>
    </xf>
    <xf numFmtId="0" fontId="27" fillId="0" borderId="22" xfId="0" applyFont="1" applyBorder="1" applyAlignment="1">
      <alignment horizontal="center"/>
    </xf>
    <xf numFmtId="0" fontId="21" fillId="0" borderId="41" xfId="0" applyFont="1" applyBorder="1" applyAlignment="1">
      <alignment vertical="center"/>
    </xf>
    <xf numFmtId="0" fontId="19" fillId="8" borderId="0" xfId="0" applyFont="1" applyFill="1"/>
    <xf numFmtId="0" fontId="20" fillId="0" borderId="0" xfId="0" applyFont="1"/>
    <xf numFmtId="0" fontId="0" fillId="14" borderId="0" xfId="0" applyFill="1"/>
    <xf numFmtId="49" fontId="0" fillId="0" borderId="0" xfId="0" applyNumberFormat="1" applyAlignment="1">
      <alignment horizontal="right"/>
    </xf>
    <xf numFmtId="0" fontId="22" fillId="0" borderId="0" xfId="1" applyAlignment="1">
      <alignment horizontal="right"/>
    </xf>
    <xf numFmtId="0" fontId="22" fillId="0" borderId="0" xfId="1" applyFill="1" applyAlignment="1">
      <alignment horizontal="right"/>
    </xf>
    <xf numFmtId="0" fontId="23" fillId="8" borderId="8" xfId="0" applyFont="1" applyFill="1" applyBorder="1"/>
    <xf numFmtId="0" fontId="37" fillId="0" borderId="9" xfId="0" applyFont="1" applyBorder="1" applyAlignment="1">
      <alignment vertical="center"/>
    </xf>
    <xf numFmtId="0" fontId="21" fillId="0" borderId="0" xfId="0" applyFont="1" applyAlignment="1">
      <alignment vertical="center"/>
    </xf>
    <xf numFmtId="16" fontId="0" fillId="0" borderId="0" xfId="0" applyNumberFormat="1"/>
    <xf numFmtId="0" fontId="27" fillId="7" borderId="4" xfId="0" applyFont="1" applyFill="1" applyBorder="1"/>
    <xf numFmtId="0" fontId="20" fillId="10" borderId="0" xfId="0" applyFont="1" applyFill="1" applyAlignment="1">
      <alignment horizontal="center"/>
    </xf>
    <xf numFmtId="0" fontId="27" fillId="0" borderId="13" xfId="0" applyFont="1" applyBorder="1"/>
    <xf numFmtId="0" fontId="34" fillId="11" borderId="0" xfId="0" applyFont="1" applyFill="1" applyAlignment="1">
      <alignment horizontal="center" vertical="center"/>
    </xf>
    <xf numFmtId="0" fontId="19" fillId="8" borderId="1" xfId="0" applyFont="1" applyFill="1" applyBorder="1" applyAlignment="1">
      <alignment horizontal="right"/>
    </xf>
    <xf numFmtId="49" fontId="27" fillId="7" borderId="1" xfId="0" applyNumberFormat="1" applyFont="1" applyFill="1" applyBorder="1" applyAlignment="1">
      <alignment horizontal="left"/>
    </xf>
    <xf numFmtId="0" fontId="23" fillId="10" borderId="2" xfId="0" applyFont="1" applyFill="1" applyBorder="1" applyAlignment="1">
      <alignment wrapText="1"/>
    </xf>
    <xf numFmtId="0" fontId="23" fillId="10" borderId="24" xfId="0" applyFont="1" applyFill="1" applyBorder="1" applyAlignment="1">
      <alignment wrapText="1"/>
    </xf>
    <xf numFmtId="0" fontId="25" fillId="5" borderId="22" xfId="0" applyFont="1" applyFill="1" applyBorder="1" applyAlignment="1">
      <alignment vertical="center" wrapText="1"/>
    </xf>
    <xf numFmtId="0" fontId="21" fillId="10" borderId="9" xfId="0" applyFont="1" applyFill="1" applyBorder="1" applyAlignment="1">
      <alignment horizontal="left"/>
    </xf>
    <xf numFmtId="0" fontId="37" fillId="14" borderId="6" xfId="0" applyFont="1" applyFill="1" applyBorder="1" applyAlignment="1">
      <alignment horizontal="left" wrapText="1"/>
    </xf>
    <xf numFmtId="0" fontId="45" fillId="22" borderId="1" xfId="0" applyFont="1" applyFill="1" applyBorder="1"/>
    <xf numFmtId="0" fontId="37" fillId="14" borderId="4" xfId="0" applyFont="1" applyFill="1" applyBorder="1" applyAlignment="1">
      <alignment horizontal="left" wrapText="1"/>
    </xf>
    <xf numFmtId="0" fontId="0" fillId="22" borderId="9" xfId="0" applyFill="1" applyBorder="1"/>
    <xf numFmtId="0" fontId="37" fillId="0" borderId="0" xfId="0" applyFont="1" applyAlignment="1">
      <alignment horizontal="left" wrapText="1"/>
    </xf>
    <xf numFmtId="0" fontId="37" fillId="14" borderId="1" xfId="0" applyFont="1" applyFill="1" applyBorder="1" applyAlignment="1">
      <alignment horizontal="left" wrapText="1"/>
    </xf>
    <xf numFmtId="0" fontId="21" fillId="10" borderId="4" xfId="0" applyFont="1" applyFill="1" applyBorder="1" applyAlignment="1">
      <alignment horizontal="left"/>
    </xf>
    <xf numFmtId="0" fontId="23" fillId="10" borderId="2" xfId="0" applyFont="1" applyFill="1" applyBorder="1"/>
    <xf numFmtId="0" fontId="23" fillId="10" borderId="24" xfId="0" applyFont="1" applyFill="1" applyBorder="1"/>
    <xf numFmtId="0" fontId="37" fillId="8" borderId="0" xfId="0" applyFont="1" applyFill="1" applyAlignment="1">
      <alignment horizontal="center"/>
    </xf>
    <xf numFmtId="0" fontId="37" fillId="0" borderId="0" xfId="0" applyFont="1" applyAlignment="1">
      <alignment horizontal="center"/>
    </xf>
    <xf numFmtId="0" fontId="23" fillId="10" borderId="0" xfId="0" applyFont="1" applyFill="1"/>
    <xf numFmtId="0" fontId="25" fillId="21" borderId="6" xfId="0" applyFont="1" applyFill="1" applyBorder="1" applyAlignment="1">
      <alignment horizontal="left" vertical="top" wrapText="1"/>
    </xf>
    <xf numFmtId="0" fontId="25" fillId="21" borderId="6" xfId="0" applyFont="1" applyFill="1" applyBorder="1" applyAlignment="1">
      <alignment horizontal="left" vertical="center" wrapText="1"/>
    </xf>
    <xf numFmtId="0" fontId="25" fillId="7" borderId="7" xfId="0" applyFont="1" applyFill="1" applyBorder="1" applyAlignment="1">
      <alignment vertical="center" wrapText="1"/>
    </xf>
    <xf numFmtId="0" fontId="0" fillId="8" borderId="1" xfId="0" applyFill="1" applyBorder="1" applyAlignment="1">
      <alignment horizontal="center" wrapText="1"/>
    </xf>
    <xf numFmtId="0" fontId="25" fillId="21" borderId="1" xfId="0" applyFont="1" applyFill="1" applyBorder="1" applyAlignment="1">
      <alignment horizontal="left" vertical="center" wrapText="1"/>
    </xf>
    <xf numFmtId="0" fontId="0" fillId="8" borderId="6" xfId="0" applyFill="1" applyBorder="1" applyAlignment="1">
      <alignment horizontal="center" wrapText="1"/>
    </xf>
    <xf numFmtId="0" fontId="25" fillId="7" borderId="6" xfId="0" applyFont="1" applyFill="1" applyBorder="1" applyAlignment="1">
      <alignment vertical="center" wrapText="1"/>
    </xf>
    <xf numFmtId="0" fontId="27" fillId="0" borderId="1" xfId="0" applyFont="1" applyBorder="1"/>
    <xf numFmtId="0" fontId="19" fillId="11" borderId="7" xfId="0" applyFont="1" applyFill="1" applyBorder="1" applyAlignment="1">
      <alignment horizontal="right"/>
    </xf>
    <xf numFmtId="0" fontId="27" fillId="7" borderId="0" xfId="0" applyFont="1" applyFill="1"/>
    <xf numFmtId="0" fontId="25" fillId="7" borderId="13" xfId="0" applyFont="1" applyFill="1" applyBorder="1" applyAlignment="1">
      <alignment vertical="center" wrapText="1"/>
    </xf>
    <xf numFmtId="14" fontId="22" fillId="0" borderId="0" xfId="1" applyNumberFormat="1"/>
    <xf numFmtId="0" fontId="7" fillId="8" borderId="1" xfId="0" applyFont="1" applyFill="1" applyBorder="1" applyAlignment="1">
      <alignment horizontal="center"/>
    </xf>
    <xf numFmtId="49" fontId="0" fillId="0" borderId="0" xfId="0" applyNumberFormat="1" applyAlignment="1">
      <alignment horizontal="left"/>
    </xf>
    <xf numFmtId="0" fontId="5" fillId="0" borderId="7" xfId="0" applyFont="1" applyBorder="1" applyAlignment="1">
      <alignment horizontal="center"/>
    </xf>
    <xf numFmtId="0" fontId="0" fillId="0" borderId="6" xfId="0" applyBorder="1"/>
    <xf numFmtId="0" fontId="0" fillId="0" borderId="13" xfId="0" applyBorder="1"/>
    <xf numFmtId="164" fontId="24" fillId="0" borderId="0" xfId="0" applyNumberFormat="1" applyFont="1" applyAlignment="1">
      <alignment horizontal="left"/>
    </xf>
    <xf numFmtId="1" fontId="24" fillId="0" borderId="0" xfId="0" applyNumberFormat="1" applyFont="1" applyAlignment="1">
      <alignment horizontal="left"/>
    </xf>
    <xf numFmtId="0" fontId="34" fillId="0" borderId="0" xfId="0" applyFont="1" applyAlignment="1">
      <alignment horizontal="right"/>
    </xf>
    <xf numFmtId="0" fontId="34" fillId="0" borderId="0" xfId="0" applyFont="1" applyAlignment="1">
      <alignment horizontal="left"/>
    </xf>
    <xf numFmtId="164" fontId="48" fillId="0" borderId="0" xfId="0" applyNumberFormat="1" applyFont="1" applyAlignment="1">
      <alignment horizontal="right"/>
    </xf>
    <xf numFmtId="1" fontId="48" fillId="0" borderId="0" xfId="0" applyNumberFormat="1" applyFont="1" applyAlignment="1">
      <alignment horizontal="right"/>
    </xf>
    <xf numFmtId="0" fontId="34" fillId="2" borderId="0" xfId="0" applyFont="1" applyFill="1" applyAlignment="1">
      <alignment horizontal="center"/>
    </xf>
    <xf numFmtId="164" fontId="49" fillId="0" borderId="44" xfId="0" applyNumberFormat="1" applyFont="1" applyBorder="1" applyAlignment="1">
      <alignment horizontal="left"/>
    </xf>
    <xf numFmtId="1" fontId="49" fillId="0" borderId="45" xfId="0" applyNumberFormat="1" applyFont="1" applyBorder="1" applyAlignment="1">
      <alignment horizontal="left"/>
    </xf>
    <xf numFmtId="14" fontId="49" fillId="0" borderId="31" xfId="0" applyNumberFormat="1" applyFont="1" applyBorder="1"/>
    <xf numFmtId="0" fontId="49" fillId="0" borderId="46" xfId="0" applyFont="1" applyBorder="1"/>
    <xf numFmtId="0" fontId="49" fillId="0" borderId="31" xfId="0" applyFont="1" applyBorder="1" applyAlignment="1">
      <alignment horizontal="center"/>
    </xf>
    <xf numFmtId="0" fontId="49" fillId="0" borderId="47" xfId="0" applyFont="1" applyBorder="1" applyAlignment="1">
      <alignment horizontal="center"/>
    </xf>
    <xf numFmtId="0" fontId="49" fillId="0" borderId="48" xfId="0" applyFont="1" applyBorder="1"/>
    <xf numFmtId="164" fontId="37" fillId="0" borderId="42" xfId="0" applyNumberFormat="1" applyFont="1" applyBorder="1" applyAlignment="1">
      <alignment horizontal="right"/>
    </xf>
    <xf numFmtId="1" fontId="37" fillId="0" borderId="0" xfId="0" applyNumberFormat="1" applyFont="1" applyAlignment="1">
      <alignment horizontal="right"/>
    </xf>
    <xf numFmtId="0" fontId="37" fillId="0" borderId="41" xfId="0" applyFont="1" applyBorder="1" applyAlignment="1">
      <alignment horizontal="left"/>
    </xf>
    <xf numFmtId="165" fontId="37" fillId="0" borderId="43" xfId="0" applyNumberFormat="1" applyFont="1" applyBorder="1" applyAlignment="1">
      <alignment horizontal="left"/>
    </xf>
    <xf numFmtId="1" fontId="37" fillId="0" borderId="41" xfId="0" applyNumberFormat="1" applyFont="1" applyBorder="1" applyAlignment="1">
      <alignment horizontal="right"/>
    </xf>
    <xf numFmtId="0" fontId="34" fillId="0" borderId="41" xfId="0" applyFont="1" applyBorder="1"/>
    <xf numFmtId="0" fontId="34" fillId="0" borderId="41" xfId="0" applyFont="1" applyBorder="1" applyAlignment="1">
      <alignment horizontal="center"/>
    </xf>
    <xf numFmtId="166" fontId="37" fillId="0" borderId="42" xfId="0" applyNumberFormat="1" applyFont="1" applyBorder="1" applyAlignment="1">
      <alignment horizontal="right"/>
    </xf>
    <xf numFmtId="166" fontId="37" fillId="0" borderId="49" xfId="0" applyNumberFormat="1" applyFont="1" applyBorder="1" applyAlignment="1">
      <alignment horizontal="right"/>
    </xf>
    <xf numFmtId="1" fontId="37" fillId="0" borderId="50" xfId="0" applyNumberFormat="1" applyFont="1" applyBorder="1" applyAlignment="1">
      <alignment horizontal="right"/>
    </xf>
    <xf numFmtId="0" fontId="34" fillId="0" borderId="50" xfId="0" applyFont="1" applyBorder="1"/>
    <xf numFmtId="0" fontId="37" fillId="0" borderId="50" xfId="0" applyFont="1" applyBorder="1" applyAlignment="1">
      <alignment horizontal="left"/>
    </xf>
    <xf numFmtId="0" fontId="34" fillId="0" borderId="50" xfId="0" applyFont="1" applyBorder="1" applyAlignment="1">
      <alignment horizontal="center"/>
    </xf>
    <xf numFmtId="165" fontId="37" fillId="0" borderId="51" xfId="0" applyNumberFormat="1" applyFont="1" applyBorder="1" applyAlignment="1">
      <alignment horizontal="left"/>
    </xf>
    <xf numFmtId="164" fontId="37" fillId="0" borderId="49" xfId="0" applyNumberFormat="1" applyFont="1" applyBorder="1" applyAlignment="1">
      <alignment horizontal="right"/>
    </xf>
    <xf numFmtId="14" fontId="37" fillId="2" borderId="0" xfId="0" applyNumberFormat="1" applyFont="1" applyFill="1" applyAlignment="1">
      <alignment horizontal="left"/>
    </xf>
    <xf numFmtId="164" fontId="50" fillId="0" borderId="0" xfId="0" applyNumberFormat="1" applyFont="1" applyAlignment="1">
      <alignment horizontal="right"/>
    </xf>
    <xf numFmtId="1" fontId="50" fillId="0" borderId="0" xfId="0" applyNumberFormat="1" applyFont="1" applyAlignment="1">
      <alignment horizontal="right"/>
    </xf>
    <xf numFmtId="0" fontId="50" fillId="0" borderId="0" xfId="0" applyFont="1"/>
    <xf numFmtId="0" fontId="50" fillId="0" borderId="0" xfId="0" applyFont="1" applyAlignment="1">
      <alignment horizontal="center"/>
    </xf>
    <xf numFmtId="0" fontId="5" fillId="14" borderId="1" xfId="0" applyFont="1" applyFill="1" applyBorder="1" applyAlignment="1">
      <alignment horizontal="left" vertical="center"/>
    </xf>
    <xf numFmtId="0" fontId="53" fillId="0" borderId="0" xfId="4" applyFont="1"/>
    <xf numFmtId="0" fontId="52" fillId="0" borderId="0" xfId="4"/>
    <xf numFmtId="0" fontId="52" fillId="0" borderId="0" xfId="4" applyAlignment="1">
      <alignment horizontal="left"/>
    </xf>
    <xf numFmtId="0" fontId="54" fillId="0" borderId="0" xfId="4" applyFont="1"/>
    <xf numFmtId="0" fontId="54" fillId="0" borderId="0" xfId="4" applyFont="1" applyAlignment="1">
      <alignment horizontal="left"/>
    </xf>
    <xf numFmtId="167" fontId="52" fillId="0" borderId="0" xfId="4" applyNumberFormat="1" applyAlignment="1">
      <alignment horizontal="left"/>
    </xf>
    <xf numFmtId="0" fontId="6" fillId="0" borderId="0" xfId="0" applyFont="1"/>
    <xf numFmtId="0" fontId="29" fillId="0" borderId="0" xfId="0" applyFont="1"/>
    <xf numFmtId="0" fontId="29" fillId="0" borderId="0" xfId="0" applyFont="1" applyAlignment="1">
      <alignment horizontal="left"/>
    </xf>
    <xf numFmtId="22" fontId="29" fillId="0" borderId="0" xfId="0" applyNumberFormat="1" applyFont="1" applyAlignment="1">
      <alignment horizontal="left"/>
    </xf>
    <xf numFmtId="0" fontId="7" fillId="0" borderId="0" xfId="3" applyFont="1" applyFill="1" applyBorder="1" applyAlignment="1">
      <alignment horizontal="left"/>
    </xf>
    <xf numFmtId="0" fontId="7" fillId="0" borderId="0" xfId="3" applyNumberFormat="1" applyFont="1" applyFill="1" applyBorder="1"/>
    <xf numFmtId="22" fontId="0" fillId="0" borderId="0" xfId="0" applyNumberFormat="1"/>
    <xf numFmtId="22" fontId="7" fillId="0" borderId="0" xfId="0" applyNumberFormat="1" applyFont="1" applyAlignment="1">
      <alignment horizontal="left"/>
    </xf>
    <xf numFmtId="0" fontId="55" fillId="0" borderId="0" xfId="0" applyFont="1" applyAlignment="1">
      <alignment horizontal="left" vertical="center"/>
    </xf>
    <xf numFmtId="0" fontId="55" fillId="24" borderId="0" xfId="0" applyFont="1" applyFill="1" applyAlignment="1">
      <alignment horizontal="left" vertical="center"/>
    </xf>
    <xf numFmtId="0" fontId="20" fillId="10" borderId="8" xfId="0" applyFont="1" applyFill="1" applyBorder="1"/>
    <xf numFmtId="0" fontId="19" fillId="8" borderId="24" xfId="0" applyFont="1" applyFill="1" applyBorder="1"/>
    <xf numFmtId="0" fontId="0" fillId="14" borderId="9" xfId="0" applyFill="1" applyBorder="1"/>
    <xf numFmtId="0" fontId="27" fillId="8" borderId="1" xfId="0" applyFont="1" applyFill="1" applyBorder="1" applyAlignment="1">
      <alignment vertical="center"/>
    </xf>
    <xf numFmtId="0" fontId="19" fillId="8" borderId="6" xfId="0" applyFont="1" applyFill="1" applyBorder="1" applyAlignment="1">
      <alignment vertical="center"/>
    </xf>
    <xf numFmtId="0" fontId="34" fillId="0" borderId="7" xfId="0" applyFont="1" applyBorder="1"/>
    <xf numFmtId="0" fontId="34" fillId="0" borderId="22" xfId="0" applyFont="1" applyBorder="1"/>
    <xf numFmtId="0" fontId="17" fillId="0" borderId="0" xfId="0" applyFont="1" applyAlignment="1">
      <alignment vertical="top" wrapText="1"/>
    </xf>
    <xf numFmtId="0" fontId="19" fillId="4" borderId="5" xfId="0" applyFont="1" applyFill="1" applyBorder="1"/>
    <xf numFmtId="0" fontId="19" fillId="4" borderId="33" xfId="0" applyFont="1" applyFill="1" applyBorder="1" applyAlignment="1">
      <alignment horizontal="left"/>
    </xf>
    <xf numFmtId="0" fontId="19" fillId="4" borderId="8" xfId="0" applyFont="1" applyFill="1" applyBorder="1" applyAlignment="1">
      <alignment horizontal="left"/>
    </xf>
    <xf numFmtId="0" fontId="27" fillId="8" borderId="8" xfId="0" applyFont="1" applyFill="1" applyBorder="1"/>
    <xf numFmtId="0" fontId="30" fillId="8" borderId="24" xfId="0" applyFont="1" applyFill="1" applyBorder="1" applyAlignment="1">
      <alignment vertical="center"/>
    </xf>
    <xf numFmtId="0" fontId="30" fillId="8" borderId="9" xfId="0" applyFont="1" applyFill="1" applyBorder="1" applyAlignment="1">
      <alignment vertical="center"/>
    </xf>
    <xf numFmtId="0" fontId="0" fillId="14" borderId="6" xfId="0" applyFill="1" applyBorder="1"/>
    <xf numFmtId="0" fontId="0" fillId="14" borderId="1" xfId="0" applyFill="1" applyBorder="1" applyAlignment="1">
      <alignment horizontal="left" vertical="center"/>
    </xf>
    <xf numFmtId="0" fontId="0" fillId="8" borderId="6" xfId="0" applyFill="1" applyBorder="1"/>
    <xf numFmtId="0" fontId="34" fillId="8" borderId="13" xfId="0" applyFont="1" applyFill="1" applyBorder="1" applyAlignment="1">
      <alignment horizontal="center" vertical="center"/>
    </xf>
    <xf numFmtId="0" fontId="34" fillId="8" borderId="38" xfId="0" applyFont="1" applyFill="1" applyBorder="1" applyAlignment="1">
      <alignment horizontal="center" vertical="center"/>
    </xf>
    <xf numFmtId="0" fontId="34" fillId="8" borderId="1" xfId="0" applyFont="1" applyFill="1" applyBorder="1" applyAlignment="1">
      <alignment horizontal="center" vertical="center"/>
    </xf>
    <xf numFmtId="0" fontId="34" fillId="8" borderId="9" xfId="0" applyFont="1" applyFill="1" applyBorder="1" applyAlignment="1">
      <alignment horizontal="center" vertical="center"/>
    </xf>
    <xf numFmtId="0" fontId="19" fillId="21" borderId="6" xfId="0" applyFont="1" applyFill="1" applyBorder="1"/>
    <xf numFmtId="0" fontId="5" fillId="14" borderId="13" xfId="0" applyFont="1" applyFill="1" applyBorder="1" applyAlignment="1">
      <alignment horizontal="left" vertical="center"/>
    </xf>
    <xf numFmtId="0" fontId="0" fillId="22" borderId="7" xfId="0" applyFill="1" applyBorder="1" applyAlignment="1">
      <alignment horizontal="left" vertical="center"/>
    </xf>
    <xf numFmtId="0" fontId="0" fillId="7" borderId="13" xfId="0" applyFill="1" applyBorder="1" applyAlignment="1">
      <alignment vertical="center"/>
    </xf>
    <xf numFmtId="0" fontId="0" fillId="7" borderId="1" xfId="0" applyFill="1" applyBorder="1" applyAlignment="1">
      <alignment horizontal="left" vertical="center"/>
    </xf>
    <xf numFmtId="0" fontId="0" fillId="7" borderId="6" xfId="0" applyFill="1" applyBorder="1" applyAlignment="1">
      <alignment horizontal="left" vertical="center"/>
    </xf>
    <xf numFmtId="0" fontId="0" fillId="0" borderId="11" xfId="0" applyBorder="1" applyAlignment="1">
      <alignment vertical="center"/>
    </xf>
    <xf numFmtId="0" fontId="0" fillId="0" borderId="10" xfId="0" applyBorder="1" applyAlignment="1">
      <alignment vertical="center"/>
    </xf>
    <xf numFmtId="0" fontId="19" fillId="21" borderId="1" xfId="0" applyFont="1" applyFill="1" applyBorder="1"/>
    <xf numFmtId="0" fontId="41" fillId="8" borderId="1" xfId="0" applyFont="1" applyFill="1" applyBorder="1"/>
    <xf numFmtId="0" fontId="41" fillId="8" borderId="1" xfId="0" applyFont="1" applyFill="1" applyBorder="1" applyAlignment="1">
      <alignment horizontal="center"/>
    </xf>
    <xf numFmtId="0" fontId="30" fillId="8" borderId="9" xfId="0" applyFont="1" applyFill="1" applyBorder="1" applyAlignment="1">
      <alignment horizontal="left" vertical="center"/>
    </xf>
    <xf numFmtId="0" fontId="34" fillId="0" borderId="0" xfId="0" applyFont="1" applyAlignment="1">
      <alignment vertical="top"/>
    </xf>
    <xf numFmtId="0" fontId="34" fillId="0" borderId="0" xfId="0" applyFont="1" applyAlignment="1">
      <alignment wrapText="1"/>
    </xf>
    <xf numFmtId="0" fontId="58" fillId="0" borderId="0" xfId="0" applyFont="1" applyAlignment="1">
      <alignment horizontal="left" vertical="center" indent="1"/>
    </xf>
    <xf numFmtId="0" fontId="59" fillId="0" borderId="0" xfId="0" applyFont="1" applyAlignment="1">
      <alignment vertical="center"/>
    </xf>
    <xf numFmtId="0" fontId="59" fillId="0" borderId="0" xfId="0" applyFont="1" applyAlignment="1">
      <alignment horizontal="left" vertical="center"/>
    </xf>
    <xf numFmtId="0" fontId="57" fillId="0" borderId="0" xfId="0" applyFont="1" applyAlignment="1">
      <alignment horizontal="left" vertical="center"/>
    </xf>
    <xf numFmtId="0" fontId="60" fillId="0" borderId="0" xfId="0" applyFont="1"/>
    <xf numFmtId="0" fontId="61" fillId="0" borderId="0" xfId="0" applyFont="1"/>
    <xf numFmtId="0" fontId="63" fillId="13" borderId="0" xfId="0" applyFont="1" applyFill="1" applyAlignment="1">
      <alignment horizontal="left" vertical="top" wrapText="1"/>
    </xf>
    <xf numFmtId="9" fontId="63" fillId="13" borderId="1" xfId="0" applyNumberFormat="1" applyFont="1" applyFill="1" applyBorder="1" applyAlignment="1">
      <alignment vertical="center" wrapText="1"/>
    </xf>
    <xf numFmtId="9" fontId="64" fillId="13" borderId="1" xfId="0" applyNumberFormat="1" applyFont="1" applyFill="1" applyBorder="1" applyAlignment="1">
      <alignment vertical="center" wrapText="1"/>
    </xf>
    <xf numFmtId="10" fontId="64" fillId="13" borderId="1" xfId="0" applyNumberFormat="1" applyFont="1" applyFill="1" applyBorder="1" applyAlignment="1">
      <alignment vertical="center" wrapText="1"/>
    </xf>
    <xf numFmtId="8" fontId="64" fillId="13" borderId="1" xfId="0" applyNumberFormat="1" applyFont="1" applyFill="1" applyBorder="1" applyAlignment="1">
      <alignment vertical="center" wrapText="1"/>
    </xf>
    <xf numFmtId="0" fontId="65" fillId="0" borderId="0" xfId="0" applyFont="1"/>
    <xf numFmtId="0" fontId="5" fillId="14" borderId="33" xfId="0" applyFont="1" applyFill="1" applyBorder="1" applyAlignment="1">
      <alignment horizontal="left" vertical="center"/>
    </xf>
    <xf numFmtId="0" fontId="34" fillId="8" borderId="0" xfId="0" applyFont="1" applyFill="1" applyAlignment="1">
      <alignment horizontal="center" vertical="center"/>
    </xf>
    <xf numFmtId="0" fontId="4" fillId="0" borderId="0" xfId="0" applyFont="1"/>
    <xf numFmtId="0" fontId="68" fillId="13" borderId="1" xfId="0" applyFont="1" applyFill="1" applyBorder="1" applyAlignment="1">
      <alignment vertical="center" wrapText="1"/>
    </xf>
    <xf numFmtId="0" fontId="69" fillId="13" borderId="1" xfId="0" applyFont="1" applyFill="1" applyBorder="1" applyAlignment="1">
      <alignment vertical="center" wrapText="1"/>
    </xf>
    <xf numFmtId="0" fontId="68" fillId="13" borderId="1" xfId="0" applyFont="1" applyFill="1" applyBorder="1" applyAlignment="1">
      <alignment horizontal="right" vertical="center" wrapText="1"/>
    </xf>
    <xf numFmtId="8" fontId="68" fillId="13" borderId="1" xfId="0" applyNumberFormat="1" applyFont="1" applyFill="1" applyBorder="1" applyAlignment="1">
      <alignment horizontal="right" vertical="center" wrapText="1"/>
    </xf>
    <xf numFmtId="0" fontId="29" fillId="21" borderId="0" xfId="0" applyFont="1" applyFill="1" applyAlignment="1">
      <alignment horizontal="left" vertical="center"/>
    </xf>
    <xf numFmtId="0" fontId="34" fillId="14" borderId="3" xfId="0" applyFont="1" applyFill="1" applyBorder="1"/>
    <xf numFmtId="0" fontId="30" fillId="0" borderId="0" xfId="0" applyFont="1" applyAlignment="1">
      <alignment vertical="top"/>
    </xf>
    <xf numFmtId="0" fontId="30" fillId="0" borderId="0" xfId="0" applyFont="1" applyAlignment="1">
      <alignment vertical="center"/>
    </xf>
    <xf numFmtId="0" fontId="30" fillId="0" borderId="0" xfId="0" applyFont="1" applyAlignment="1">
      <alignment horizontal="right" vertical="center"/>
    </xf>
    <xf numFmtId="0" fontId="27" fillId="0" borderId="24" xfId="0" applyFont="1" applyBorder="1" applyAlignment="1">
      <alignment horizontal="center" vertical="center"/>
    </xf>
    <xf numFmtId="0" fontId="27" fillId="0" borderId="9" xfId="0" applyFont="1" applyBorder="1" applyAlignment="1">
      <alignment vertical="center"/>
    </xf>
    <xf numFmtId="0" fontId="70" fillId="0" borderId="4" xfId="1" applyFont="1" applyBorder="1" applyAlignment="1">
      <alignment vertical="center"/>
    </xf>
    <xf numFmtId="0" fontId="36" fillId="0" borderId="0" xfId="1" applyFont="1" applyBorder="1" applyAlignment="1">
      <alignment vertical="center"/>
    </xf>
    <xf numFmtId="0" fontId="37" fillId="0" borderId="0" xfId="0" applyFont="1" applyAlignment="1">
      <alignment vertical="top"/>
    </xf>
    <xf numFmtId="0" fontId="37" fillId="0" borderId="0" xfId="0" applyFont="1"/>
    <xf numFmtId="1" fontId="34" fillId="0" borderId="0" xfId="0" applyNumberFormat="1" applyFont="1"/>
    <xf numFmtId="0" fontId="34" fillId="18" borderId="57" xfId="0" applyFont="1" applyFill="1" applyBorder="1" applyAlignment="1">
      <alignment horizontal="left"/>
    </xf>
    <xf numFmtId="0" fontId="34" fillId="0" borderId="57" xfId="0" applyFont="1" applyBorder="1" applyAlignment="1">
      <alignment horizontal="left"/>
    </xf>
    <xf numFmtId="0" fontId="56" fillId="29" borderId="57" xfId="0" applyFont="1" applyFill="1" applyBorder="1" applyAlignment="1">
      <alignment horizontal="left"/>
    </xf>
    <xf numFmtId="0" fontId="56" fillId="0" borderId="0" xfId="0" applyFont="1" applyAlignment="1">
      <alignment vertical="center"/>
    </xf>
    <xf numFmtId="0" fontId="22" fillId="0" borderId="0" xfId="1" applyFill="1" applyBorder="1" applyAlignment="1">
      <alignment vertical="top"/>
    </xf>
    <xf numFmtId="0" fontId="34" fillId="0" borderId="0" xfId="0" applyFont="1" applyAlignment="1">
      <alignment vertical="top" wrapText="1"/>
    </xf>
    <xf numFmtId="0" fontId="22" fillId="0" borderId="0" xfId="1" applyFill="1"/>
    <xf numFmtId="0" fontId="20" fillId="10" borderId="33" xfId="0" applyFont="1" applyFill="1" applyBorder="1"/>
    <xf numFmtId="0" fontId="34" fillId="11" borderId="7" xfId="0" applyFont="1" applyFill="1" applyBorder="1"/>
    <xf numFmtId="0" fontId="0" fillId="22" borderId="6" xfId="0" applyFill="1" applyBorder="1" applyAlignment="1">
      <alignment horizontal="center" vertical="center"/>
    </xf>
    <xf numFmtId="0" fontId="19" fillId="11" borderId="22" xfId="0" applyFont="1" applyFill="1" applyBorder="1" applyAlignment="1">
      <alignment horizontal="right"/>
    </xf>
    <xf numFmtId="0" fontId="27" fillId="0" borderId="22" xfId="0" applyFont="1" applyBorder="1"/>
    <xf numFmtId="0" fontId="0" fillId="8" borderId="1" xfId="0" applyFill="1" applyBorder="1" applyAlignment="1">
      <alignment horizontal="left"/>
    </xf>
    <xf numFmtId="0" fontId="19" fillId="11" borderId="38" xfId="0" applyFont="1" applyFill="1" applyBorder="1" applyAlignment="1">
      <alignment horizontal="right"/>
    </xf>
    <xf numFmtId="0" fontId="39" fillId="11" borderId="7" xfId="0" applyFont="1" applyFill="1" applyBorder="1" applyAlignment="1">
      <alignment horizontal="right"/>
    </xf>
    <xf numFmtId="0" fontId="19" fillId="11" borderId="13" xfId="0" applyFont="1" applyFill="1" applyBorder="1" applyAlignment="1">
      <alignment horizontal="right"/>
    </xf>
    <xf numFmtId="0" fontId="37" fillId="0" borderId="0" xfId="1" applyFont="1" applyBorder="1" applyAlignment="1">
      <alignment vertical="top"/>
    </xf>
    <xf numFmtId="0" fontId="23" fillId="8" borderId="3" xfId="0" applyFont="1" applyFill="1" applyBorder="1"/>
    <xf numFmtId="0" fontId="19" fillId="4" borderId="9" xfId="0" applyFont="1" applyFill="1" applyBorder="1"/>
    <xf numFmtId="0" fontId="20" fillId="10" borderId="1" xfId="0" applyFont="1" applyFill="1" applyBorder="1" applyAlignment="1">
      <alignment horizontal="center"/>
    </xf>
    <xf numFmtId="0" fontId="20" fillId="10" borderId="6" xfId="0" applyFont="1" applyFill="1" applyBorder="1"/>
    <xf numFmtId="0" fontId="27" fillId="8" borderId="3" xfId="0" applyFont="1" applyFill="1" applyBorder="1"/>
    <xf numFmtId="0" fontId="0" fillId="14" borderId="1" xfId="0" applyFill="1" applyBorder="1" applyAlignment="1">
      <alignment horizontal="left"/>
    </xf>
    <xf numFmtId="0" fontId="22" fillId="0" borderId="0" xfId="1" applyBorder="1" applyAlignment="1">
      <alignment vertical="top"/>
    </xf>
    <xf numFmtId="0" fontId="19" fillId="8" borderId="22" xfId="0" applyFont="1" applyFill="1" applyBorder="1"/>
    <xf numFmtId="0" fontId="72" fillId="0" borderId="41" xfId="0" applyFont="1" applyBorder="1" applyAlignment="1">
      <alignment vertical="center"/>
    </xf>
    <xf numFmtId="0" fontId="19" fillId="14" borderId="1" xfId="0" applyFont="1" applyFill="1" applyBorder="1"/>
    <xf numFmtId="0" fontId="19" fillId="8" borderId="7" xfId="0" applyFont="1" applyFill="1" applyBorder="1" applyAlignment="1">
      <alignment horizontal="right"/>
    </xf>
    <xf numFmtId="0" fontId="19" fillId="14" borderId="6" xfId="0" applyFont="1" applyFill="1" applyBorder="1" applyAlignment="1">
      <alignment horizontal="left" vertical="center"/>
    </xf>
    <xf numFmtId="0" fontId="19" fillId="0" borderId="0" xfId="0" applyFont="1" applyAlignment="1">
      <alignment horizontal="right"/>
    </xf>
    <xf numFmtId="49" fontId="0" fillId="0" borderId="1" xfId="0" applyNumberFormat="1" applyBorder="1" applyAlignment="1">
      <alignment horizontal="left"/>
    </xf>
    <xf numFmtId="0" fontId="73" fillId="0" borderId="1" xfId="0" applyFont="1" applyBorder="1" applyAlignment="1">
      <alignment horizontal="left" vertical="center"/>
    </xf>
    <xf numFmtId="0" fontId="27" fillId="0" borderId="0" xfId="0" applyFont="1" applyAlignment="1">
      <alignment vertical="center" wrapText="1"/>
    </xf>
    <xf numFmtId="16" fontId="0" fillId="0" borderId="1" xfId="0" applyNumberFormat="1" applyBorder="1"/>
    <xf numFmtId="0" fontId="57" fillId="14" borderId="1" xfId="0" applyFont="1" applyFill="1" applyBorder="1"/>
    <xf numFmtId="43" fontId="0" fillId="0" borderId="0" xfId="5" applyFont="1"/>
    <xf numFmtId="0" fontId="39" fillId="0" borderId="0" xfId="0" applyFont="1" applyAlignment="1">
      <alignment horizontal="center"/>
    </xf>
    <xf numFmtId="0" fontId="27" fillId="7" borderId="6" xfId="0" applyFont="1" applyFill="1" applyBorder="1" applyAlignment="1">
      <alignment horizontal="left"/>
    </xf>
    <xf numFmtId="0" fontId="57" fillId="0" borderId="0" xfId="0" applyFont="1"/>
    <xf numFmtId="0" fontId="0" fillId="4" borderId="1" xfId="0" applyFill="1" applyBorder="1"/>
    <xf numFmtId="0" fontId="0" fillId="21" borderId="1" xfId="0" applyFill="1" applyBorder="1"/>
    <xf numFmtId="0" fontId="73" fillId="24" borderId="1" xfId="0" applyFont="1" applyFill="1" applyBorder="1" applyAlignment="1">
      <alignment horizontal="left" vertical="center"/>
    </xf>
    <xf numFmtId="0" fontId="19" fillId="8" borderId="6" xfId="0" applyFont="1" applyFill="1" applyBorder="1"/>
    <xf numFmtId="0" fontId="41" fillId="0" borderId="0" xfId="0" applyFont="1" applyAlignment="1">
      <alignment horizontal="center"/>
    </xf>
    <xf numFmtId="0" fontId="7" fillId="0" borderId="0" xfId="0" applyFont="1" applyAlignment="1">
      <alignment horizontal="center" wrapText="1"/>
    </xf>
    <xf numFmtId="0" fontId="19" fillId="0" borderId="0" xfId="0" applyFont="1" applyAlignment="1">
      <alignment vertical="top"/>
    </xf>
    <xf numFmtId="0" fontId="71" fillId="0" borderId="0" xfId="0" applyFont="1" applyAlignment="1">
      <alignment wrapText="1"/>
    </xf>
    <xf numFmtId="0" fontId="74" fillId="0" borderId="0" xfId="0" applyFont="1" applyAlignment="1">
      <alignment horizontal="left" vertical="center" wrapText="1" indent="1"/>
    </xf>
    <xf numFmtId="0" fontId="44" fillId="0" borderId="13" xfId="0" applyFont="1" applyBorder="1" applyAlignment="1">
      <alignment horizontal="center" vertical="center" wrapText="1"/>
    </xf>
    <xf numFmtId="0" fontId="32" fillId="29" borderId="41" xfId="0" applyFont="1" applyFill="1" applyBorder="1" applyAlignment="1">
      <alignment vertical="center"/>
    </xf>
    <xf numFmtId="0" fontId="6" fillId="0" borderId="0" xfId="0" applyFont="1" applyAlignment="1">
      <alignment wrapText="1"/>
    </xf>
    <xf numFmtId="1" fontId="32" fillId="29" borderId="59" xfId="0" applyNumberFormat="1" applyFont="1" applyFill="1" applyBorder="1" applyAlignment="1">
      <alignment horizontal="center" vertical="center"/>
    </xf>
    <xf numFmtId="0" fontId="32" fillId="29" borderId="41" xfId="0" applyFont="1" applyFill="1" applyBorder="1" applyAlignment="1">
      <alignment horizontal="center" vertical="center"/>
    </xf>
    <xf numFmtId="0" fontId="56" fillId="29" borderId="41" xfId="0" applyFont="1" applyFill="1" applyBorder="1" applyAlignment="1">
      <alignment vertical="center"/>
    </xf>
    <xf numFmtId="0" fontId="56" fillId="29" borderId="43" xfId="1" applyFont="1" applyFill="1" applyBorder="1" applyAlignment="1">
      <alignment vertical="center"/>
    </xf>
    <xf numFmtId="0" fontId="56" fillId="29" borderId="50" xfId="0" applyFont="1" applyFill="1" applyBorder="1" applyAlignment="1">
      <alignment vertical="center"/>
    </xf>
    <xf numFmtId="0" fontId="44" fillId="7" borderId="6" xfId="0" applyFont="1" applyFill="1" applyBorder="1" applyAlignment="1">
      <alignment vertical="center" wrapText="1"/>
    </xf>
    <xf numFmtId="0" fontId="44" fillId="0" borderId="13" xfId="0" applyFont="1" applyBorder="1" applyAlignment="1">
      <alignment vertical="center" wrapText="1"/>
    </xf>
    <xf numFmtId="0" fontId="30" fillId="29" borderId="49" xfId="0" applyFont="1" applyFill="1" applyBorder="1" applyAlignment="1">
      <alignment horizontal="left"/>
    </xf>
    <xf numFmtId="0" fontId="34" fillId="18" borderId="1" xfId="0" applyFont="1" applyFill="1" applyBorder="1"/>
    <xf numFmtId="0" fontId="0" fillId="21" borderId="56" xfId="0" applyFill="1" applyBorder="1"/>
    <xf numFmtId="0" fontId="34" fillId="4" borderId="1" xfId="0" applyFont="1" applyFill="1" applyBorder="1"/>
    <xf numFmtId="0" fontId="19" fillId="18" borderId="1" xfId="0" applyFont="1" applyFill="1" applyBorder="1" applyAlignment="1">
      <alignment horizontal="left"/>
    </xf>
    <xf numFmtId="0" fontId="19" fillId="4" borderId="1" xfId="0" applyFont="1" applyFill="1" applyBorder="1" applyAlignment="1">
      <alignment horizontal="left"/>
    </xf>
    <xf numFmtId="0" fontId="7" fillId="7" borderId="1" xfId="0" applyFont="1" applyFill="1" applyBorder="1"/>
    <xf numFmtId="0" fontId="19" fillId="0" borderId="23" xfId="0" applyFont="1" applyBorder="1"/>
    <xf numFmtId="0" fontId="34" fillId="0" borderId="1" xfId="0" applyFont="1" applyBorder="1" applyAlignment="1">
      <alignment vertical="top"/>
    </xf>
    <xf numFmtId="0" fontId="0" fillId="7" borderId="1" xfId="0" applyFill="1" applyBorder="1" applyAlignment="1">
      <alignment horizontal="right"/>
    </xf>
    <xf numFmtId="0" fontId="18" fillId="0" borderId="0" xfId="0" applyFont="1" applyAlignment="1">
      <alignment vertical="top"/>
    </xf>
    <xf numFmtId="0" fontId="5" fillId="7" borderId="1" xfId="0" applyFont="1" applyFill="1" applyBorder="1" applyAlignment="1">
      <alignment horizontal="right"/>
    </xf>
    <xf numFmtId="0" fontId="29" fillId="7" borderId="13" xfId="0" applyFont="1" applyFill="1" applyBorder="1"/>
    <xf numFmtId="0" fontId="29" fillId="7" borderId="7" xfId="0" applyFont="1" applyFill="1" applyBorder="1"/>
    <xf numFmtId="0" fontId="5" fillId="7" borderId="6" xfId="0" applyFont="1" applyFill="1" applyBorder="1"/>
    <xf numFmtId="0" fontId="75" fillId="0" borderId="0" xfId="0" applyFont="1"/>
    <xf numFmtId="0" fontId="27" fillId="0" borderId="5" xfId="0" applyFont="1" applyBorder="1"/>
    <xf numFmtId="0" fontId="5" fillId="7" borderId="1" xfId="0" applyFont="1" applyFill="1" applyBorder="1"/>
    <xf numFmtId="0" fontId="5" fillId="7" borderId="3" xfId="0" applyFont="1" applyFill="1" applyBorder="1" applyAlignment="1">
      <alignment horizontal="center"/>
    </xf>
    <xf numFmtId="0" fontId="19" fillId="8" borderId="3" xfId="0" applyFont="1" applyFill="1" applyBorder="1"/>
    <xf numFmtId="0" fontId="0" fillId="7" borderId="9" xfId="0" applyFill="1" applyBorder="1" applyAlignment="1">
      <alignment horizontal="right"/>
    </xf>
    <xf numFmtId="168" fontId="0" fillId="7" borderId="1" xfId="0" applyNumberFormat="1" applyFill="1" applyBorder="1" applyAlignment="1">
      <alignment horizontal="right"/>
    </xf>
    <xf numFmtId="0" fontId="0" fillId="21" borderId="0" xfId="0" applyFill="1"/>
    <xf numFmtId="0" fontId="5" fillId="7" borderId="13" xfId="0" applyFont="1" applyFill="1" applyBorder="1"/>
    <xf numFmtId="0" fontId="5" fillId="7" borderId="7" xfId="0" applyFont="1" applyFill="1" applyBorder="1"/>
    <xf numFmtId="0" fontId="19" fillId="14" borderId="1" xfId="0" applyFont="1" applyFill="1" applyBorder="1" applyAlignment="1">
      <alignment horizontal="center" vertical="center"/>
    </xf>
    <xf numFmtId="0" fontId="36" fillId="0" borderId="0" xfId="1" applyFont="1"/>
    <xf numFmtId="0" fontId="21" fillId="8" borderId="0" xfId="0" applyFont="1" applyFill="1"/>
    <xf numFmtId="0" fontId="21" fillId="8" borderId="4" xfId="0" applyFont="1" applyFill="1" applyBorder="1"/>
    <xf numFmtId="0" fontId="34" fillId="0" borderId="6" xfId="0" applyFont="1" applyBorder="1"/>
    <xf numFmtId="0" fontId="20" fillId="10" borderId="23" xfId="0" applyFont="1" applyFill="1" applyBorder="1"/>
    <xf numFmtId="0" fontId="19" fillId="7" borderId="1" xfId="0" applyFont="1" applyFill="1" applyBorder="1" applyAlignment="1">
      <alignment horizontal="center" vertical="center"/>
    </xf>
    <xf numFmtId="0" fontId="34" fillId="0" borderId="0" xfId="0" applyFont="1" applyAlignment="1">
      <alignment horizontal="center" vertical="center" wrapText="1"/>
    </xf>
    <xf numFmtId="0" fontId="34" fillId="14" borderId="1" xfId="0" applyFont="1" applyFill="1" applyBorder="1" applyAlignment="1">
      <alignment vertical="center"/>
    </xf>
    <xf numFmtId="0" fontId="34" fillId="0" borderId="0" xfId="0" applyFont="1" applyAlignment="1">
      <alignment vertical="center" wrapText="1"/>
    </xf>
    <xf numFmtId="0" fontId="27" fillId="8" borderId="1" xfId="0" applyFont="1" applyFill="1" applyBorder="1" applyAlignment="1">
      <alignment horizontal="center" vertical="center"/>
    </xf>
    <xf numFmtId="0" fontId="34" fillId="26" borderId="1" xfId="0" applyFont="1" applyFill="1" applyBorder="1" applyAlignment="1">
      <alignment vertical="center"/>
    </xf>
    <xf numFmtId="0" fontId="34" fillId="27" borderId="1" xfId="0" applyFont="1" applyFill="1" applyBorder="1" applyAlignment="1">
      <alignment vertical="center"/>
    </xf>
    <xf numFmtId="0" fontId="34" fillId="28" borderId="1" xfId="0" applyFont="1" applyFill="1" applyBorder="1" applyAlignment="1">
      <alignment vertical="center"/>
    </xf>
    <xf numFmtId="0" fontId="76" fillId="0" borderId="0" xfId="0" applyFont="1" applyAlignment="1">
      <alignment vertical="center" wrapText="1"/>
    </xf>
    <xf numFmtId="0" fontId="37" fillId="10" borderId="0" xfId="0" applyFont="1" applyFill="1" applyAlignment="1">
      <alignment horizontal="right"/>
    </xf>
    <xf numFmtId="0" fontId="37" fillId="8" borderId="24" xfId="0" applyFont="1" applyFill="1" applyBorder="1" applyAlignment="1">
      <alignment horizontal="right"/>
    </xf>
    <xf numFmtId="0" fontId="19" fillId="7" borderId="1" xfId="0" applyFont="1" applyFill="1" applyBorder="1" applyAlignment="1">
      <alignment horizontal="right"/>
    </xf>
    <xf numFmtId="0" fontId="27" fillId="14" borderId="6" xfId="0" applyFont="1" applyFill="1" applyBorder="1"/>
    <xf numFmtId="14" fontId="27" fillId="0" borderId="5" xfId="0" applyNumberFormat="1" applyFont="1" applyBorder="1" applyAlignment="1">
      <alignment horizontal="left"/>
    </xf>
    <xf numFmtId="0" fontId="27" fillId="0" borderId="1" xfId="0" applyFont="1" applyBorder="1" applyAlignment="1">
      <alignment horizontal="left"/>
    </xf>
    <xf numFmtId="0" fontId="27" fillId="4" borderId="1" xfId="0" applyFont="1" applyFill="1" applyBorder="1"/>
    <xf numFmtId="0" fontId="34" fillId="0" borderId="1" xfId="0" applyFont="1" applyBorder="1" applyAlignment="1">
      <alignment horizontal="left"/>
    </xf>
    <xf numFmtId="0" fontId="34" fillId="0" borderId="1" xfId="0" applyFont="1" applyBorder="1" applyAlignment="1">
      <alignment vertical="center"/>
    </xf>
    <xf numFmtId="0" fontId="72" fillId="0" borderId="0" xfId="0" applyFont="1" applyAlignment="1">
      <alignment wrapText="1"/>
    </xf>
    <xf numFmtId="0" fontId="22" fillId="0" borderId="0" xfId="1" applyBorder="1" applyAlignment="1">
      <alignment vertical="center"/>
    </xf>
    <xf numFmtId="0" fontId="22" fillId="0" borderId="0" xfId="1" applyFill="1" applyBorder="1"/>
    <xf numFmtId="0" fontId="21" fillId="8" borderId="1" xfId="0" applyFont="1" applyFill="1" applyBorder="1"/>
    <xf numFmtId="0" fontId="21" fillId="8" borderId="7" xfId="0" applyFont="1" applyFill="1" applyBorder="1" applyAlignment="1">
      <alignment horizontal="center"/>
    </xf>
    <xf numFmtId="0" fontId="72" fillId="0" borderId="0" xfId="0" applyFont="1"/>
    <xf numFmtId="17" fontId="0" fillId="0" borderId="0" xfId="0" applyNumberFormat="1" applyAlignment="1">
      <alignment horizontal="center"/>
    </xf>
    <xf numFmtId="0" fontId="0" fillId="20" borderId="0" xfId="0" applyFill="1" applyAlignment="1">
      <alignment horizontal="center"/>
    </xf>
    <xf numFmtId="0" fontId="0" fillId="30" borderId="0" xfId="0" applyFill="1" applyAlignment="1">
      <alignment horizontal="center"/>
    </xf>
    <xf numFmtId="0" fontId="0" fillId="25" borderId="0" xfId="0" applyFill="1" applyAlignment="1">
      <alignment horizontal="center"/>
    </xf>
    <xf numFmtId="0" fontId="0" fillId="22" borderId="0" xfId="0" applyFill="1" applyAlignment="1">
      <alignment horizontal="center"/>
    </xf>
    <xf numFmtId="0" fontId="39" fillId="14" borderId="1" xfId="0" applyFont="1" applyFill="1" applyBorder="1"/>
    <xf numFmtId="0" fontId="34" fillId="7" borderId="1" xfId="0" applyFont="1" applyFill="1" applyBorder="1" applyAlignment="1">
      <alignment vertical="center" wrapText="1"/>
    </xf>
    <xf numFmtId="0" fontId="34" fillId="7" borderId="6" xfId="0" applyFont="1" applyFill="1" applyBorder="1" applyAlignment="1">
      <alignment vertical="center" wrapText="1"/>
    </xf>
    <xf numFmtId="0" fontId="19" fillId="14" borderId="1" xfId="0" applyFont="1" applyFill="1" applyBorder="1" applyAlignment="1">
      <alignment horizontal="left"/>
    </xf>
    <xf numFmtId="0" fontId="79" fillId="12" borderId="0" xfId="0" applyFont="1" applyFill="1" applyAlignment="1">
      <alignment vertical="center" wrapText="1"/>
    </xf>
    <xf numFmtId="0" fontId="34" fillId="0" borderId="13" xfId="0" applyFont="1" applyBorder="1" applyAlignment="1">
      <alignment vertical="center" wrapText="1"/>
    </xf>
    <xf numFmtId="0" fontId="80" fillId="0" borderId="0" xfId="0" applyFont="1" applyAlignment="1">
      <alignment horizontal="left" vertical="top" wrapText="1"/>
    </xf>
    <xf numFmtId="0" fontId="80" fillId="0" borderId="0" xfId="0" applyFont="1" applyAlignment="1">
      <alignment horizontal="left" vertical="center" wrapText="1"/>
    </xf>
    <xf numFmtId="0" fontId="81" fillId="7" borderId="1" xfId="0" applyFont="1" applyFill="1" applyBorder="1" applyAlignment="1">
      <alignment vertical="center" wrapText="1"/>
    </xf>
    <xf numFmtId="0" fontId="19" fillId="0" borderId="9" xfId="0" applyFont="1" applyBorder="1"/>
    <xf numFmtId="0" fontId="37" fillId="0" borderId="0" xfId="0" applyFont="1" applyAlignment="1">
      <alignment vertical="center" wrapText="1"/>
    </xf>
    <xf numFmtId="0" fontId="34" fillId="7" borderId="4" xfId="0" applyFont="1" applyFill="1" applyBorder="1" applyAlignment="1">
      <alignment vertical="center" wrapText="1"/>
    </xf>
    <xf numFmtId="0" fontId="34" fillId="14" borderId="6" xfId="0" applyFont="1" applyFill="1" applyBorder="1"/>
    <xf numFmtId="0" fontId="34" fillId="0" borderId="7" xfId="0" applyFont="1" applyBorder="1" applyAlignment="1">
      <alignment vertical="center" wrapText="1"/>
    </xf>
    <xf numFmtId="0" fontId="83" fillId="7" borderId="6" xfId="0" applyFont="1" applyFill="1" applyBorder="1" applyAlignment="1">
      <alignment vertical="center" wrapText="1"/>
    </xf>
    <xf numFmtId="0" fontId="83" fillId="7" borderId="13" xfId="0" applyFont="1" applyFill="1" applyBorder="1" applyAlignment="1">
      <alignment vertical="center" wrapText="1"/>
    </xf>
    <xf numFmtId="0" fontId="39" fillId="0" borderId="0" xfId="0" applyFont="1" applyAlignment="1">
      <alignment horizontal="left"/>
    </xf>
    <xf numFmtId="0" fontId="71" fillId="0" borderId="0" xfId="0" applyFont="1"/>
    <xf numFmtId="0" fontId="22" fillId="0" borderId="6" xfId="1" applyBorder="1" applyAlignment="1">
      <alignment vertical="center"/>
    </xf>
    <xf numFmtId="0" fontId="34" fillId="14" borderId="7" xfId="0" applyFont="1" applyFill="1" applyBorder="1"/>
    <xf numFmtId="0" fontId="21" fillId="0" borderId="0" xfId="0" applyFont="1" applyAlignment="1">
      <alignment wrapText="1"/>
    </xf>
    <xf numFmtId="0" fontId="37" fillId="8" borderId="1" xfId="0" applyFont="1" applyFill="1" applyBorder="1" applyAlignment="1">
      <alignment vertical="center" wrapText="1"/>
    </xf>
    <xf numFmtId="0" fontId="37" fillId="8" borderId="6" xfId="0" applyFont="1" applyFill="1" applyBorder="1" applyAlignment="1">
      <alignment vertical="center" wrapText="1"/>
    </xf>
    <xf numFmtId="0" fontId="0" fillId="20" borderId="1" xfId="0" applyFill="1" applyBorder="1"/>
    <xf numFmtId="0" fontId="19" fillId="4" borderId="33" xfId="0" applyFont="1" applyFill="1" applyBorder="1"/>
    <xf numFmtId="0" fontId="34" fillId="8" borderId="33" xfId="0" applyFont="1" applyFill="1" applyBorder="1"/>
    <xf numFmtId="0" fontId="34" fillId="8" borderId="6" xfId="0" applyFont="1" applyFill="1" applyBorder="1"/>
    <xf numFmtId="0" fontId="19" fillId="4" borderId="8" xfId="0" applyFont="1" applyFill="1" applyBorder="1"/>
    <xf numFmtId="0" fontId="35" fillId="8" borderId="1" xfId="0" applyFont="1" applyFill="1" applyBorder="1"/>
    <xf numFmtId="0" fontId="34" fillId="0" borderId="33" xfId="0" applyFont="1" applyBorder="1"/>
    <xf numFmtId="0" fontId="24" fillId="10" borderId="33" xfId="0" applyFont="1" applyFill="1" applyBorder="1"/>
    <xf numFmtId="0" fontId="24" fillId="10" borderId="29" xfId="0" applyFont="1" applyFill="1" applyBorder="1"/>
    <xf numFmtId="0" fontId="24" fillId="29" borderId="65" xfId="0" applyFont="1" applyFill="1" applyBorder="1"/>
    <xf numFmtId="0" fontId="34" fillId="7" borderId="33" xfId="0" applyFont="1" applyFill="1" applyBorder="1"/>
    <xf numFmtId="0" fontId="31" fillId="4" borderId="6" xfId="0" applyFont="1" applyFill="1" applyBorder="1" applyAlignment="1">
      <alignment vertical="center" wrapText="1"/>
    </xf>
    <xf numFmtId="0" fontId="24" fillId="10" borderId="8" xfId="0" applyFont="1" applyFill="1" applyBorder="1"/>
    <xf numFmtId="0" fontId="34" fillId="8" borderId="38" xfId="0" applyFont="1" applyFill="1" applyBorder="1" applyAlignment="1">
      <alignment horizontal="right"/>
    </xf>
    <xf numFmtId="0" fontId="34" fillId="7" borderId="3" xfId="0" applyFont="1" applyFill="1" applyBorder="1"/>
    <xf numFmtId="0" fontId="24" fillId="10" borderId="28" xfId="0" applyFont="1" applyFill="1" applyBorder="1"/>
    <xf numFmtId="0" fontId="31" fillId="0" borderId="33" xfId="0" applyFont="1" applyBorder="1" applyAlignment="1">
      <alignment vertical="center" wrapText="1"/>
    </xf>
    <xf numFmtId="0" fontId="31" fillId="0" borderId="36" xfId="0" applyFont="1" applyBorder="1" applyAlignment="1">
      <alignment vertical="center" wrapText="1"/>
    </xf>
    <xf numFmtId="0" fontId="77" fillId="0" borderId="0" xfId="0" applyFont="1" applyAlignment="1">
      <alignment vertical="center" wrapText="1"/>
    </xf>
    <xf numFmtId="0" fontId="48" fillId="10" borderId="8" xfId="0" applyFont="1" applyFill="1" applyBorder="1"/>
    <xf numFmtId="0" fontId="48" fillId="10" borderId="0" xfId="0" applyFont="1" applyFill="1"/>
    <xf numFmtId="0" fontId="34" fillId="0" borderId="0" xfId="0" applyFont="1" applyAlignment="1">
      <alignment horizontal="left" indent="4"/>
    </xf>
    <xf numFmtId="9" fontId="34" fillId="0" borderId="0" xfId="0" applyNumberFormat="1" applyFont="1" applyAlignment="1">
      <alignment horizontal="left"/>
    </xf>
    <xf numFmtId="0" fontId="48" fillId="0" borderId="0" xfId="0" applyFont="1" applyAlignment="1">
      <alignment wrapText="1"/>
    </xf>
    <xf numFmtId="0" fontId="36" fillId="0" borderId="0" xfId="1" applyFont="1" applyFill="1" applyBorder="1" applyAlignment="1">
      <alignment vertical="top"/>
    </xf>
    <xf numFmtId="0" fontId="37" fillId="0" borderId="33" xfId="0" applyFont="1" applyBorder="1" applyAlignment="1">
      <alignment horizontal="left" vertical="center"/>
    </xf>
    <xf numFmtId="0" fontId="31" fillId="0" borderId="33" xfId="0" applyFont="1" applyBorder="1" applyAlignment="1">
      <alignment vertical="center"/>
    </xf>
    <xf numFmtId="0" fontId="35" fillId="8" borderId="7" xfId="0" applyFont="1" applyFill="1" applyBorder="1"/>
    <xf numFmtId="0" fontId="36" fillId="0" borderId="8" xfId="1" applyFont="1" applyBorder="1"/>
    <xf numFmtId="0" fontId="37" fillId="8" borderId="1" xfId="0" applyFont="1" applyFill="1" applyBorder="1" applyAlignment="1">
      <alignment horizontal="right"/>
    </xf>
    <xf numFmtId="0" fontId="37" fillId="8" borderId="38" xfId="0" applyFont="1" applyFill="1" applyBorder="1" applyAlignment="1">
      <alignment horizontal="right"/>
    </xf>
    <xf numFmtId="0" fontId="37" fillId="8" borderId="38" xfId="0" applyFont="1" applyFill="1" applyBorder="1" applyAlignment="1">
      <alignment horizontal="right" wrapText="1"/>
    </xf>
    <xf numFmtId="0" fontId="86" fillId="8" borderId="33" xfId="1" applyFont="1" applyFill="1" applyBorder="1" applyAlignment="1">
      <alignment horizontal="right"/>
    </xf>
    <xf numFmtId="0" fontId="37" fillId="8" borderId="33" xfId="0" applyFont="1" applyFill="1" applyBorder="1" applyAlignment="1">
      <alignment horizontal="right"/>
    </xf>
    <xf numFmtId="0" fontId="37" fillId="8" borderId="33" xfId="0" applyFont="1" applyFill="1" applyBorder="1" applyAlignment="1">
      <alignment horizontal="right" vertical="center"/>
    </xf>
    <xf numFmtId="0" fontId="37" fillId="8" borderId="6" xfId="0" applyFont="1" applyFill="1" applyBorder="1" applyAlignment="1">
      <alignment horizontal="right"/>
    </xf>
    <xf numFmtId="0" fontId="34" fillId="0" borderId="51" xfId="0" applyFont="1" applyBorder="1"/>
    <xf numFmtId="0" fontId="19" fillId="7" borderId="13" xfId="0" applyFont="1" applyFill="1" applyBorder="1" applyAlignment="1">
      <alignment horizontal="center" vertical="center"/>
    </xf>
    <xf numFmtId="0" fontId="19" fillId="14" borderId="7" xfId="0" applyFont="1" applyFill="1" applyBorder="1" applyAlignment="1">
      <alignment horizontal="center" vertical="center"/>
    </xf>
    <xf numFmtId="0" fontId="19" fillId="14" borderId="1" xfId="0" applyFont="1" applyFill="1" applyBorder="1" applyAlignment="1">
      <alignment vertical="center"/>
    </xf>
    <xf numFmtId="0" fontId="39" fillId="14" borderId="1" xfId="0" applyFont="1" applyFill="1" applyBorder="1" applyAlignment="1">
      <alignment vertical="center"/>
    </xf>
    <xf numFmtId="0" fontId="19" fillId="14" borderId="3" xfId="0" applyFont="1" applyFill="1" applyBorder="1" applyAlignment="1">
      <alignment vertical="center"/>
    </xf>
    <xf numFmtId="0" fontId="34" fillId="14" borderId="3" xfId="0" applyFont="1" applyFill="1" applyBorder="1" applyAlignment="1">
      <alignment vertical="center"/>
    </xf>
    <xf numFmtId="0" fontId="19" fillId="8" borderId="0" xfId="0" applyFont="1" applyFill="1" applyAlignment="1">
      <alignment horizontal="center" vertical="center"/>
    </xf>
    <xf numFmtId="0" fontId="34" fillId="14" borderId="1" xfId="0" applyFont="1" applyFill="1" applyBorder="1" applyAlignment="1">
      <alignment vertical="center" wrapText="1"/>
    </xf>
    <xf numFmtId="0" fontId="34" fillId="14" borderId="1" xfId="0" applyFont="1" applyFill="1" applyBorder="1" applyAlignment="1">
      <alignment horizontal="left" vertical="center" wrapText="1"/>
    </xf>
    <xf numFmtId="0" fontId="19" fillId="0" borderId="0" xfId="0" applyFont="1" applyAlignment="1">
      <alignment horizontal="left"/>
    </xf>
    <xf numFmtId="0" fontId="22" fillId="0" borderId="0" xfId="1" applyBorder="1"/>
    <xf numFmtId="0" fontId="32" fillId="29" borderId="33" xfId="0" applyFont="1" applyFill="1" applyBorder="1" applyAlignment="1">
      <alignment horizontal="center"/>
    </xf>
    <xf numFmtId="0" fontId="32" fillId="29" borderId="33" xfId="0" applyFont="1" applyFill="1" applyBorder="1" applyAlignment="1">
      <alignment vertical="top"/>
    </xf>
    <xf numFmtId="0" fontId="56" fillId="29" borderId="33" xfId="0" applyFont="1" applyFill="1" applyBorder="1" applyAlignment="1">
      <alignment vertical="top"/>
    </xf>
    <xf numFmtId="0" fontId="87" fillId="29" borderId="3" xfId="1" applyFont="1" applyFill="1" applyBorder="1" applyAlignment="1">
      <alignment vertical="top"/>
    </xf>
    <xf numFmtId="0" fontId="36" fillId="18" borderId="1" xfId="1" applyFont="1" applyFill="1" applyBorder="1"/>
    <xf numFmtId="0" fontId="19" fillId="14" borderId="3" xfId="0" applyFont="1" applyFill="1" applyBorder="1" applyAlignment="1">
      <alignment horizontal="left" vertical="center"/>
    </xf>
    <xf numFmtId="0" fontId="27" fillId="8" borderId="3" xfId="0" applyFont="1" applyFill="1" applyBorder="1" applyAlignment="1">
      <alignment horizontal="center" vertical="center"/>
    </xf>
    <xf numFmtId="0" fontId="34" fillId="0" borderId="8" xfId="0" applyFont="1" applyBorder="1" applyAlignment="1">
      <alignment horizontal="left" vertical="center"/>
    </xf>
    <xf numFmtId="0" fontId="19" fillId="8" borderId="8" xfId="0" applyFont="1" applyFill="1" applyBorder="1" applyAlignment="1">
      <alignment horizontal="left" vertical="center"/>
    </xf>
    <xf numFmtId="0" fontId="19" fillId="8" borderId="3" xfId="0" applyFont="1" applyFill="1" applyBorder="1" applyAlignment="1">
      <alignment vertical="center"/>
    </xf>
    <xf numFmtId="0" fontId="19" fillId="8" borderId="5" xfId="0" applyFont="1" applyFill="1" applyBorder="1" applyAlignment="1">
      <alignment vertical="center"/>
    </xf>
    <xf numFmtId="0" fontId="19" fillId="8" borderId="9" xfId="0" applyFont="1" applyFill="1" applyBorder="1" applyAlignment="1">
      <alignment vertical="center"/>
    </xf>
    <xf numFmtId="0" fontId="19" fillId="0" borderId="24" xfId="0" applyFont="1" applyBorder="1"/>
    <xf numFmtId="0" fontId="19" fillId="8" borderId="33" xfId="0" applyFont="1" applyFill="1" applyBorder="1"/>
    <xf numFmtId="0" fontId="34" fillId="0" borderId="0" xfId="0" applyFont="1" applyAlignment="1">
      <alignment horizontal="left" vertical="top" wrapText="1"/>
    </xf>
    <xf numFmtId="0" fontId="19" fillId="18" borderId="1" xfId="0" applyFont="1" applyFill="1" applyBorder="1" applyAlignment="1">
      <alignment horizontal="center"/>
    </xf>
    <xf numFmtId="0" fontId="19" fillId="0" borderId="1" xfId="0" applyFont="1" applyBorder="1" applyAlignment="1">
      <alignment horizontal="center"/>
    </xf>
    <xf numFmtId="0" fontId="19" fillId="0" borderId="1" xfId="0" applyFont="1" applyBorder="1" applyAlignment="1">
      <alignment horizontal="left"/>
    </xf>
    <xf numFmtId="0" fontId="19" fillId="0" borderId="1" xfId="0" applyFont="1" applyBorder="1" applyAlignment="1">
      <alignment vertical="top"/>
    </xf>
    <xf numFmtId="0" fontId="19" fillId="0" borderId="1" xfId="0" applyFont="1" applyBorder="1" applyAlignment="1">
      <alignment horizontal="right" vertical="top"/>
    </xf>
    <xf numFmtId="0" fontId="22" fillId="0" borderId="1" xfId="1" applyBorder="1"/>
    <xf numFmtId="0" fontId="22" fillId="18" borderId="1" xfId="1" applyFill="1" applyBorder="1"/>
    <xf numFmtId="0" fontId="37" fillId="18" borderId="1" xfId="0" applyFont="1" applyFill="1" applyBorder="1"/>
    <xf numFmtId="0" fontId="34" fillId="18" borderId="1" xfId="0" applyFont="1" applyFill="1" applyBorder="1" applyAlignment="1">
      <alignment vertical="top"/>
    </xf>
    <xf numFmtId="0" fontId="19" fillId="18" borderId="1" xfId="0" applyFont="1" applyFill="1" applyBorder="1" applyAlignment="1">
      <alignment horizontal="right" vertical="top"/>
    </xf>
    <xf numFmtId="0" fontId="39" fillId="7" borderId="7" xfId="0" applyFont="1" applyFill="1" applyBorder="1"/>
    <xf numFmtId="0" fontId="34" fillId="7" borderId="7" xfId="0" applyFont="1" applyFill="1" applyBorder="1"/>
    <xf numFmtId="0" fontId="34" fillId="11" borderId="1" xfId="0" applyFont="1" applyFill="1" applyBorder="1" applyAlignment="1">
      <alignment horizontal="left" vertical="center"/>
    </xf>
    <xf numFmtId="0" fontId="34" fillId="7" borderId="38" xfId="0" applyFont="1" applyFill="1" applyBorder="1"/>
    <xf numFmtId="0" fontId="34" fillId="14" borderId="38" xfId="0" applyFont="1" applyFill="1" applyBorder="1"/>
    <xf numFmtId="0" fontId="56" fillId="29" borderId="33" xfId="0" applyFont="1" applyFill="1" applyBorder="1" applyAlignment="1">
      <alignment horizontal="center"/>
    </xf>
    <xf numFmtId="0" fontId="56" fillId="29" borderId="33" xfId="0" applyFont="1" applyFill="1" applyBorder="1" applyAlignment="1">
      <alignment horizontal="left"/>
    </xf>
    <xf numFmtId="0" fontId="7" fillId="0" borderId="0" xfId="0" applyFont="1" applyAlignment="1">
      <alignment vertical="top"/>
    </xf>
    <xf numFmtId="0" fontId="22" fillId="0" borderId="0" xfId="1" applyFill="1" applyBorder="1" applyAlignment="1">
      <alignment vertical="center"/>
    </xf>
    <xf numFmtId="0" fontId="37" fillId="18" borderId="50" xfId="0" applyFont="1" applyFill="1" applyBorder="1" applyAlignment="1">
      <alignment vertical="top"/>
    </xf>
    <xf numFmtId="0" fontId="37" fillId="0" borderId="50" xfId="0" applyFont="1" applyBorder="1" applyAlignment="1">
      <alignment vertical="top"/>
    </xf>
    <xf numFmtId="0" fontId="88" fillId="0" borderId="0" xfId="0" applyFont="1" applyAlignment="1">
      <alignment wrapText="1"/>
    </xf>
    <xf numFmtId="0" fontId="26" fillId="0" borderId="0" xfId="0" applyFont="1" applyAlignment="1">
      <alignment wrapText="1"/>
    </xf>
    <xf numFmtId="0" fontId="89" fillId="0" borderId="0" xfId="0" applyFont="1" applyAlignment="1">
      <alignment vertical="center"/>
    </xf>
    <xf numFmtId="0" fontId="39" fillId="0" borderId="0" xfId="0" applyFont="1" applyAlignment="1">
      <alignment horizontal="right" vertical="center"/>
    </xf>
    <xf numFmtId="0" fontId="39" fillId="0" borderId="0" xfId="0" applyFont="1" applyAlignment="1">
      <alignment vertical="center"/>
    </xf>
    <xf numFmtId="14" fontId="34" fillId="0" borderId="0" xfId="0" applyNumberFormat="1" applyFont="1"/>
    <xf numFmtId="0" fontId="32" fillId="8" borderId="7" xfId="0" applyFont="1" applyFill="1" applyBorder="1"/>
    <xf numFmtId="0" fontId="34" fillId="18" borderId="49" xfId="0" applyFont="1" applyFill="1" applyBorder="1" applyAlignment="1">
      <alignment horizontal="center"/>
    </xf>
    <xf numFmtId="0" fontId="34" fillId="18" borderId="50" xfId="0" applyFont="1" applyFill="1" applyBorder="1" applyAlignment="1">
      <alignment horizontal="left"/>
    </xf>
    <xf numFmtId="0" fontId="34" fillId="18" borderId="50" xfId="0" applyFont="1" applyFill="1" applyBorder="1" applyAlignment="1">
      <alignment vertical="top"/>
    </xf>
    <xf numFmtId="0" fontId="34" fillId="18" borderId="50" xfId="0" applyFont="1" applyFill="1" applyBorder="1" applyAlignment="1">
      <alignment vertical="top" wrapText="1"/>
    </xf>
    <xf numFmtId="0" fontId="36" fillId="18" borderId="51" xfId="1" applyFont="1" applyFill="1" applyBorder="1" applyAlignment="1">
      <alignment vertical="top"/>
    </xf>
    <xf numFmtId="0" fontId="24" fillId="0" borderId="32" xfId="0" applyFont="1" applyBorder="1"/>
    <xf numFmtId="0" fontId="34" fillId="0" borderId="49" xfId="0" applyFont="1" applyBorder="1" applyAlignment="1">
      <alignment horizontal="center"/>
    </xf>
    <xf numFmtId="0" fontId="34" fillId="0" borderId="50" xfId="0" applyFont="1" applyBorder="1" applyAlignment="1">
      <alignment horizontal="left"/>
    </xf>
    <xf numFmtId="0" fontId="34" fillId="0" borderId="50" xfId="0" applyFont="1" applyBorder="1" applyAlignment="1">
      <alignment vertical="top"/>
    </xf>
    <xf numFmtId="0" fontId="34" fillId="0" borderId="50" xfId="0" applyFont="1" applyBorder="1" applyAlignment="1">
      <alignment vertical="top" wrapText="1"/>
    </xf>
    <xf numFmtId="0" fontId="36" fillId="0" borderId="51" xfId="1" applyFont="1" applyBorder="1" applyAlignment="1">
      <alignment vertical="top"/>
    </xf>
    <xf numFmtId="0" fontId="34" fillId="18" borderId="35" xfId="0" applyFont="1" applyFill="1" applyBorder="1"/>
    <xf numFmtId="0" fontId="34" fillId="18" borderId="37" xfId="0" applyFont="1" applyFill="1" applyBorder="1"/>
    <xf numFmtId="0" fontId="34" fillId="9" borderId="1" xfId="0" applyFont="1" applyFill="1" applyBorder="1" applyAlignment="1">
      <alignment wrapText="1"/>
    </xf>
    <xf numFmtId="0" fontId="34" fillId="8" borderId="0" xfId="0" applyFont="1" applyFill="1"/>
    <xf numFmtId="0" fontId="34" fillId="18" borderId="8" xfId="0" applyFont="1" applyFill="1" applyBorder="1"/>
    <xf numFmtId="0" fontId="34" fillId="18" borderId="0" xfId="0" applyFont="1" applyFill="1"/>
    <xf numFmtId="0" fontId="19" fillId="0" borderId="34" xfId="0" applyFont="1" applyBorder="1" applyAlignment="1">
      <alignment vertical="top" wrapText="1"/>
    </xf>
    <xf numFmtId="0" fontId="19" fillId="8" borderId="1" xfId="0" applyFont="1" applyFill="1" applyBorder="1" applyAlignment="1">
      <alignment vertical="top" wrapText="1"/>
    </xf>
    <xf numFmtId="0" fontId="19" fillId="18" borderId="34" xfId="0" applyFont="1" applyFill="1" applyBorder="1" applyAlignment="1">
      <alignment vertical="top" wrapText="1"/>
    </xf>
    <xf numFmtId="0" fontId="34" fillId="0" borderId="1" xfId="0" applyFont="1" applyBorder="1" applyAlignment="1">
      <alignment wrapText="1"/>
    </xf>
    <xf numFmtId="0" fontId="34" fillId="22" borderId="1" xfId="0" applyFont="1" applyFill="1" applyBorder="1"/>
    <xf numFmtId="0" fontId="34" fillId="0" borderId="1" xfId="0" applyFont="1" applyBorder="1" applyAlignment="1">
      <alignment vertical="top" wrapText="1"/>
    </xf>
    <xf numFmtId="0" fontId="19" fillId="0" borderId="34" xfId="0" applyFont="1" applyBorder="1" applyAlignment="1">
      <alignment vertical="top"/>
    </xf>
    <xf numFmtId="0" fontId="34" fillId="8" borderId="36" xfId="0" applyFont="1" applyFill="1" applyBorder="1"/>
    <xf numFmtId="0" fontId="34" fillId="8" borderId="3" xfId="0" applyFont="1" applyFill="1" applyBorder="1"/>
    <xf numFmtId="0" fontId="19" fillId="18" borderId="31" xfId="0" applyFont="1" applyFill="1" applyBorder="1" applyAlignment="1">
      <alignment vertical="top" wrapText="1"/>
    </xf>
    <xf numFmtId="0" fontId="34" fillId="0" borderId="49" xfId="0" applyFont="1" applyBorder="1"/>
    <xf numFmtId="0" fontId="34" fillId="0" borderId="50" xfId="0" applyFont="1" applyBorder="1" applyAlignment="1">
      <alignment horizontal="right"/>
    </xf>
    <xf numFmtId="0" fontId="34" fillId="18" borderId="49" xfId="0" applyFont="1" applyFill="1" applyBorder="1"/>
    <xf numFmtId="0" fontId="34" fillId="18" borderId="50" xfId="0" applyFont="1" applyFill="1" applyBorder="1"/>
    <xf numFmtId="0" fontId="34" fillId="18" borderId="50" xfId="0" applyFont="1" applyFill="1" applyBorder="1" applyAlignment="1">
      <alignment horizontal="right"/>
    </xf>
    <xf numFmtId="0" fontId="34" fillId="18" borderId="51" xfId="0" applyFont="1" applyFill="1" applyBorder="1"/>
    <xf numFmtId="0" fontId="37" fillId="0" borderId="0" xfId="0" applyFont="1" applyAlignment="1">
      <alignment horizontal="left" vertical="center"/>
    </xf>
    <xf numFmtId="0" fontId="37" fillId="7" borderId="1" xfId="0" applyFont="1" applyFill="1" applyBorder="1" applyAlignment="1">
      <alignment horizontal="left" vertical="center"/>
    </xf>
    <xf numFmtId="0" fontId="37" fillId="22" borderId="1" xfId="0" applyFont="1" applyFill="1" applyBorder="1" applyAlignment="1">
      <alignment horizontal="left" vertical="center"/>
    </xf>
    <xf numFmtId="0" fontId="34" fillId="8" borderId="40" xfId="0" applyFont="1" applyFill="1" applyBorder="1"/>
    <xf numFmtId="0" fontId="19" fillId="0" borderId="42" xfId="0" applyFont="1" applyBorder="1" applyAlignment="1">
      <alignment horizontal="center"/>
    </xf>
    <xf numFmtId="0" fontId="19" fillId="0" borderId="41" xfId="0" applyFont="1" applyBorder="1" applyAlignment="1">
      <alignment horizontal="left"/>
    </xf>
    <xf numFmtId="0" fontId="27" fillId="0" borderId="41" xfId="0" applyFont="1" applyBorder="1" applyAlignment="1">
      <alignment vertical="top"/>
    </xf>
    <xf numFmtId="0" fontId="19" fillId="0" borderId="41" xfId="0" applyFont="1" applyBorder="1" applyAlignment="1">
      <alignment vertical="top"/>
    </xf>
    <xf numFmtId="0" fontId="34" fillId="0" borderId="41" xfId="0" applyFont="1" applyBorder="1" applyAlignment="1">
      <alignment vertical="top" wrapText="1"/>
    </xf>
    <xf numFmtId="0" fontId="34" fillId="0" borderId="41" xfId="0" applyFont="1" applyBorder="1" applyAlignment="1">
      <alignment vertical="top"/>
    </xf>
    <xf numFmtId="0" fontId="36" fillId="0" borderId="43" xfId="1" applyFont="1" applyBorder="1" applyAlignment="1">
      <alignment vertical="top"/>
    </xf>
    <xf numFmtId="0" fontId="34" fillId="8" borderId="1" xfId="0" applyFont="1" applyFill="1" applyBorder="1" applyAlignment="1">
      <alignment horizontal="right"/>
    </xf>
    <xf numFmtId="0" fontId="19" fillId="0" borderId="0" xfId="0" applyFont="1" applyAlignment="1">
      <alignment vertical="top" wrapText="1"/>
    </xf>
    <xf numFmtId="0" fontId="19" fillId="19" borderId="6" xfId="0" applyFont="1" applyFill="1" applyBorder="1" applyAlignment="1">
      <alignment vertical="top" wrapText="1"/>
    </xf>
    <xf numFmtId="0" fontId="19" fillId="8" borderId="6" xfId="0" applyFont="1" applyFill="1" applyBorder="1" applyAlignment="1">
      <alignment vertical="top" wrapText="1"/>
    </xf>
    <xf numFmtId="0" fontId="19" fillId="8" borderId="33" xfId="0" applyFont="1" applyFill="1" applyBorder="1" applyAlignment="1">
      <alignment vertical="top" wrapText="1"/>
    </xf>
    <xf numFmtId="0" fontId="19" fillId="8" borderId="38" xfId="0" applyFont="1" applyFill="1" applyBorder="1" applyAlignment="1">
      <alignment vertical="top" wrapText="1"/>
    </xf>
    <xf numFmtId="0" fontId="31" fillId="14" borderId="1" xfId="0" applyFont="1" applyFill="1" applyBorder="1" applyAlignment="1">
      <alignment vertical="center" wrapText="1"/>
    </xf>
    <xf numFmtId="0" fontId="24" fillId="0" borderId="38" xfId="0" applyFont="1" applyBorder="1"/>
    <xf numFmtId="0" fontId="19" fillId="19" borderId="13" xfId="0" applyFont="1" applyFill="1" applyBorder="1" applyAlignment="1">
      <alignment vertical="top" wrapText="1"/>
    </xf>
    <xf numFmtId="169" fontId="34" fillId="8" borderId="1" xfId="5" applyNumberFormat="1" applyFont="1" applyFill="1" applyBorder="1" applyAlignment="1"/>
    <xf numFmtId="170" fontId="34" fillId="8" borderId="1" xfId="5" applyNumberFormat="1" applyFont="1" applyFill="1" applyBorder="1" applyAlignment="1"/>
    <xf numFmtId="0" fontId="27" fillId="20" borderId="1" xfId="0" applyFont="1" applyFill="1" applyBorder="1" applyAlignment="1">
      <alignment vertical="center" wrapText="1"/>
    </xf>
    <xf numFmtId="0" fontId="90" fillId="10" borderId="0" xfId="0" applyFont="1" applyFill="1"/>
    <xf numFmtId="0" fontId="18" fillId="0" borderId="1" xfId="0" applyFont="1" applyBorder="1" applyAlignment="1">
      <alignment vertical="center"/>
    </xf>
    <xf numFmtId="0" fontId="21" fillId="8" borderId="6" xfId="0" applyFont="1" applyFill="1" applyBorder="1"/>
    <xf numFmtId="0" fontId="36" fillId="0" borderId="1" xfId="1" applyFont="1" applyBorder="1" applyAlignment="1">
      <alignment vertical="center"/>
    </xf>
    <xf numFmtId="0" fontId="21" fillId="10" borderId="9" xfId="0" applyFont="1" applyFill="1" applyBorder="1"/>
    <xf numFmtId="0" fontId="21" fillId="10" borderId="4" xfId="0" applyFont="1" applyFill="1" applyBorder="1"/>
    <xf numFmtId="0" fontId="34" fillId="7" borderId="1" xfId="0" applyFont="1" applyFill="1" applyBorder="1" applyAlignment="1">
      <alignment wrapText="1"/>
    </xf>
    <xf numFmtId="0" fontId="31" fillId="14" borderId="6" xfId="0" applyFont="1" applyFill="1" applyBorder="1" applyAlignment="1">
      <alignment vertical="center" wrapText="1"/>
    </xf>
    <xf numFmtId="0" fontId="34" fillId="8" borderId="1" xfId="0" applyFont="1" applyFill="1" applyBorder="1" applyAlignment="1">
      <alignment wrapText="1"/>
    </xf>
    <xf numFmtId="0" fontId="34" fillId="22" borderId="1" xfId="0" applyFont="1" applyFill="1" applyBorder="1" applyAlignment="1">
      <alignment wrapText="1"/>
    </xf>
    <xf numFmtId="0" fontId="34" fillId="9" borderId="1" xfId="0" applyFont="1" applyFill="1" applyBorder="1" applyAlignment="1">
      <alignment vertical="top" wrapText="1"/>
    </xf>
    <xf numFmtId="0" fontId="34" fillId="22" borderId="1" xfId="0" applyFont="1" applyFill="1" applyBorder="1" applyAlignment="1">
      <alignment horizontal="right" wrapText="1"/>
    </xf>
    <xf numFmtId="0" fontId="34" fillId="9" borderId="1" xfId="0" applyFont="1" applyFill="1" applyBorder="1" applyAlignment="1">
      <alignment horizontal="left" wrapText="1"/>
    </xf>
    <xf numFmtId="0" fontId="77" fillId="7" borderId="1" xfId="0" applyFont="1" applyFill="1" applyBorder="1" applyAlignment="1">
      <alignment vertical="center" wrapText="1"/>
    </xf>
    <xf numFmtId="0" fontId="34" fillId="9" borderId="5" xfId="0" applyFont="1" applyFill="1" applyBorder="1" applyAlignment="1">
      <alignment wrapText="1"/>
    </xf>
    <xf numFmtId="0" fontId="34" fillId="7" borderId="6" xfId="0" applyFont="1" applyFill="1" applyBorder="1"/>
    <xf numFmtId="0" fontId="34" fillId="7" borderId="3" xfId="0" applyFont="1" applyFill="1" applyBorder="1" applyAlignment="1">
      <alignment wrapText="1"/>
    </xf>
    <xf numFmtId="0" fontId="34" fillId="9" borderId="0" xfId="0" applyFont="1" applyFill="1" applyAlignment="1">
      <alignment horizontal="left" vertical="top" wrapText="1"/>
    </xf>
    <xf numFmtId="0" fontId="34" fillId="22" borderId="7" xfId="0" applyFont="1" applyFill="1" applyBorder="1" applyAlignment="1">
      <alignment horizontal="right" wrapText="1"/>
    </xf>
    <xf numFmtId="0" fontId="31" fillId="21" borderId="1" xfId="0" applyFont="1" applyFill="1" applyBorder="1" applyAlignment="1">
      <alignment vertical="center" wrapText="1"/>
    </xf>
    <xf numFmtId="0" fontId="34" fillId="7" borderId="6" xfId="0" applyFont="1" applyFill="1" applyBorder="1" applyAlignment="1">
      <alignment wrapText="1"/>
    </xf>
    <xf numFmtId="0" fontId="49" fillId="0" borderId="0" xfId="0" applyFont="1"/>
    <xf numFmtId="0" fontId="77" fillId="4" borderId="6" xfId="0" applyFont="1" applyFill="1" applyBorder="1" applyAlignment="1">
      <alignment vertical="center" wrapText="1"/>
    </xf>
    <xf numFmtId="0" fontId="34" fillId="8" borderId="6" xfId="0" applyFont="1" applyFill="1" applyBorder="1" applyAlignment="1">
      <alignment wrapText="1"/>
    </xf>
    <xf numFmtId="0" fontId="21" fillId="8" borderId="3" xfId="0" applyFont="1" applyFill="1" applyBorder="1" applyAlignment="1">
      <alignment horizontal="center"/>
    </xf>
    <xf numFmtId="0" fontId="34" fillId="8" borderId="1" xfId="0" applyFont="1" applyFill="1" applyBorder="1" applyAlignment="1">
      <alignment horizontal="right" wrapText="1"/>
    </xf>
    <xf numFmtId="0" fontId="37" fillId="11" borderId="25" xfId="0" applyFont="1" applyFill="1" applyBorder="1" applyAlignment="1">
      <alignment vertical="center" wrapText="1"/>
    </xf>
    <xf numFmtId="0" fontId="37" fillId="11" borderId="26" xfId="0" applyFont="1" applyFill="1" applyBorder="1" applyAlignment="1">
      <alignment vertical="center" wrapText="1"/>
    </xf>
    <xf numFmtId="0" fontId="37" fillId="11" borderId="27" xfId="0" applyFont="1" applyFill="1" applyBorder="1" applyAlignment="1">
      <alignment vertical="center" wrapText="1"/>
    </xf>
    <xf numFmtId="0" fontId="34" fillId="0" borderId="1" xfId="0" applyFont="1" applyBorder="1" applyAlignment="1">
      <alignment horizontal="right" vertical="center"/>
    </xf>
    <xf numFmtId="0" fontId="39" fillId="14" borderId="38" xfId="0" applyFont="1" applyFill="1" applyBorder="1" applyAlignment="1">
      <alignment horizontal="center"/>
    </xf>
    <xf numFmtId="0" fontId="72" fillId="0" borderId="0" xfId="0" applyFont="1" applyAlignment="1">
      <alignment vertical="center"/>
    </xf>
    <xf numFmtId="0" fontId="34" fillId="14" borderId="8" xfId="0" applyFont="1" applyFill="1" applyBorder="1"/>
    <xf numFmtId="0" fontId="34" fillId="14" borderId="33" xfId="0" applyFont="1" applyFill="1" applyBorder="1"/>
    <xf numFmtId="43" fontId="34" fillId="0" borderId="0" xfId="5" applyFont="1"/>
    <xf numFmtId="0" fontId="37" fillId="8" borderId="6" xfId="0" applyFont="1" applyFill="1" applyBorder="1"/>
    <xf numFmtId="0" fontId="34" fillId="8" borderId="13" xfId="0" applyFont="1" applyFill="1" applyBorder="1" applyAlignment="1">
      <alignment horizontal="left" indent="4"/>
    </xf>
    <xf numFmtId="0" fontId="34" fillId="14" borderId="0" xfId="0" applyFont="1" applyFill="1"/>
    <xf numFmtId="0" fontId="34" fillId="8" borderId="0" xfId="0" applyFont="1" applyFill="1" applyAlignment="1">
      <alignment horizontal="left" indent="4"/>
    </xf>
    <xf numFmtId="0" fontId="40" fillId="0" borderId="0" xfId="0" applyFont="1"/>
    <xf numFmtId="0" fontId="34" fillId="0" borderId="64" xfId="0" applyFont="1" applyBorder="1" applyAlignment="1">
      <alignment wrapText="1"/>
    </xf>
    <xf numFmtId="0" fontId="19" fillId="19" borderId="7" xfId="0" applyFont="1" applyFill="1" applyBorder="1" applyAlignment="1">
      <alignment vertical="top" wrapText="1"/>
    </xf>
    <xf numFmtId="0" fontId="31" fillId="7" borderId="6" xfId="0" applyFont="1" applyFill="1" applyBorder="1" applyAlignment="1">
      <alignment vertical="center" wrapText="1"/>
    </xf>
    <xf numFmtId="0" fontId="19" fillId="8" borderId="7" xfId="0" applyFont="1" applyFill="1" applyBorder="1" applyAlignment="1">
      <alignment vertical="top" wrapText="1"/>
    </xf>
    <xf numFmtId="0" fontId="31" fillId="7" borderId="33" xfId="0" applyFont="1" applyFill="1" applyBorder="1" applyAlignment="1">
      <alignment vertical="center" wrapText="1"/>
    </xf>
    <xf numFmtId="0" fontId="34" fillId="11" borderId="1" xfId="0" applyFont="1" applyFill="1" applyBorder="1"/>
    <xf numFmtId="0" fontId="34" fillId="31" borderId="1" xfId="0" applyFont="1" applyFill="1" applyBorder="1"/>
    <xf numFmtId="0" fontId="34" fillId="0" borderId="8" xfId="0" applyFont="1" applyBorder="1" applyAlignment="1">
      <alignment vertical="center" wrapText="1"/>
    </xf>
    <xf numFmtId="0" fontId="34" fillId="0" borderId="23" xfId="0" applyFont="1" applyBorder="1" applyAlignment="1">
      <alignment vertical="center" wrapText="1"/>
    </xf>
    <xf numFmtId="0" fontId="34" fillId="0" borderId="4" xfId="0" applyFont="1" applyBorder="1" applyAlignment="1">
      <alignment vertical="center" wrapText="1"/>
    </xf>
    <xf numFmtId="0" fontId="34" fillId="0" borderId="24" xfId="0" applyFont="1" applyBorder="1" applyAlignment="1">
      <alignment vertical="center" wrapText="1"/>
    </xf>
    <xf numFmtId="0" fontId="34" fillId="22" borderId="7" xfId="0" applyFont="1" applyFill="1" applyBorder="1" applyAlignment="1">
      <alignment wrapText="1"/>
    </xf>
    <xf numFmtId="0" fontId="34" fillId="7" borderId="9" xfId="0" applyFont="1" applyFill="1" applyBorder="1" applyAlignment="1">
      <alignment wrapText="1"/>
    </xf>
    <xf numFmtId="0" fontId="34" fillId="11" borderId="3" xfId="0" applyFont="1" applyFill="1" applyBorder="1"/>
    <xf numFmtId="0" fontId="19" fillId="19" borderId="38" xfId="0" applyFont="1" applyFill="1" applyBorder="1" applyAlignment="1">
      <alignment vertical="top" wrapText="1"/>
    </xf>
    <xf numFmtId="0" fontId="34" fillId="2" borderId="1" xfId="0" applyFont="1" applyFill="1" applyBorder="1"/>
    <xf numFmtId="0" fontId="34" fillId="2" borderId="1" xfId="0" applyFont="1" applyFill="1" applyBorder="1" applyAlignment="1">
      <alignment vertical="top" wrapText="1"/>
    </xf>
    <xf numFmtId="0" fontId="40" fillId="8" borderId="4" xfId="0" applyFont="1" applyFill="1" applyBorder="1"/>
    <xf numFmtId="0" fontId="40" fillId="8" borderId="2" xfId="0" applyFont="1" applyFill="1" applyBorder="1"/>
    <xf numFmtId="0" fontId="40" fillId="8" borderId="0" xfId="0" applyFont="1" applyFill="1" applyAlignment="1">
      <alignment horizontal="center"/>
    </xf>
    <xf numFmtId="0" fontId="19" fillId="19" borderId="37" xfId="0" applyFont="1" applyFill="1" applyBorder="1" applyAlignment="1">
      <alignment vertical="top" wrapText="1"/>
    </xf>
    <xf numFmtId="0" fontId="19" fillId="8" borderId="28" xfId="0" applyFont="1" applyFill="1" applyBorder="1" applyAlignment="1">
      <alignment vertical="top" wrapText="1"/>
    </xf>
    <xf numFmtId="0" fontId="19" fillId="19" borderId="28" xfId="0" applyFont="1" applyFill="1" applyBorder="1" applyAlignment="1">
      <alignment vertical="top" wrapText="1"/>
    </xf>
    <xf numFmtId="0" fontId="19" fillId="8" borderId="29" xfId="0" applyFont="1" applyFill="1" applyBorder="1" applyAlignment="1">
      <alignment vertical="top" wrapText="1"/>
    </xf>
    <xf numFmtId="0" fontId="19" fillId="19" borderId="29" xfId="0" applyFont="1" applyFill="1" applyBorder="1" applyAlignment="1">
      <alignment vertical="top" wrapText="1"/>
    </xf>
    <xf numFmtId="0" fontId="39" fillId="14" borderId="33" xfId="0" applyFont="1" applyFill="1" applyBorder="1" applyAlignment="1">
      <alignment horizontal="left"/>
    </xf>
    <xf numFmtId="0" fontId="19" fillId="8" borderId="22" xfId="0" applyFont="1" applyFill="1" applyBorder="1" applyAlignment="1">
      <alignment vertical="top" wrapText="1"/>
    </xf>
    <xf numFmtId="0" fontId="40" fillId="0" borderId="8" xfId="0" applyFont="1" applyBorder="1"/>
    <xf numFmtId="0" fontId="32" fillId="0" borderId="0" xfId="0" applyFont="1" applyAlignment="1">
      <alignment horizontal="center"/>
    </xf>
    <xf numFmtId="0" fontId="33" fillId="0" borderId="0" xfId="0" applyFont="1" applyAlignment="1">
      <alignment horizontal="right"/>
    </xf>
    <xf numFmtId="0" fontId="38" fillId="0" borderId="0" xfId="0" applyFont="1" applyAlignment="1">
      <alignment horizontal="center"/>
    </xf>
    <xf numFmtId="0" fontId="31" fillId="0" borderId="0" xfId="0" applyFont="1" applyAlignment="1">
      <alignment horizontal="left" vertical="top" wrapText="1"/>
    </xf>
    <xf numFmtId="0" fontId="77" fillId="0" borderId="0" xfId="0" applyFont="1" applyAlignment="1">
      <alignment vertical="top" wrapText="1"/>
    </xf>
    <xf numFmtId="0" fontId="38" fillId="0" borderId="0" xfId="0" applyFont="1"/>
    <xf numFmtId="0" fontId="40" fillId="0" borderId="50" xfId="0" applyFont="1" applyBorder="1" applyAlignment="1">
      <alignment vertical="top"/>
    </xf>
    <xf numFmtId="0" fontId="34" fillId="21" borderId="3" xfId="0" applyFont="1" applyFill="1" applyBorder="1"/>
    <xf numFmtId="0" fontId="34" fillId="21" borderId="33" xfId="0" applyFont="1" applyFill="1" applyBorder="1"/>
    <xf numFmtId="0" fontId="34" fillId="21" borderId="1" xfId="0" applyFont="1" applyFill="1" applyBorder="1"/>
    <xf numFmtId="0" fontId="24" fillId="0" borderId="66" xfId="0" applyFont="1" applyBorder="1"/>
    <xf numFmtId="0" fontId="19" fillId="0" borderId="65" xfId="0" applyFont="1" applyBorder="1" applyAlignment="1">
      <alignment vertical="top" wrapText="1"/>
    </xf>
    <xf numFmtId="0" fontId="19" fillId="18" borderId="65" xfId="0" applyFont="1" applyFill="1" applyBorder="1" applyAlignment="1">
      <alignment vertical="top" wrapText="1"/>
    </xf>
    <xf numFmtId="0" fontId="19" fillId="0" borderId="65" xfId="0" applyFont="1" applyBorder="1" applyAlignment="1">
      <alignment vertical="top"/>
    </xf>
    <xf numFmtId="0" fontId="19" fillId="19" borderId="1" xfId="0" applyFont="1" applyFill="1" applyBorder="1" applyAlignment="1">
      <alignment vertical="top" wrapText="1"/>
    </xf>
    <xf numFmtId="0" fontId="31" fillId="21" borderId="9" xfId="0" applyFont="1" applyFill="1" applyBorder="1" applyAlignment="1">
      <alignment vertical="center" wrapText="1"/>
    </xf>
    <xf numFmtId="0" fontId="31" fillId="21" borderId="6" xfId="0" applyFont="1" applyFill="1" applyBorder="1" applyAlignment="1">
      <alignment vertical="center" wrapText="1"/>
    </xf>
    <xf numFmtId="0" fontId="24" fillId="0" borderId="76" xfId="0" applyFont="1" applyBorder="1"/>
    <xf numFmtId="0" fontId="33" fillId="8" borderId="1" xfId="0" applyFont="1" applyFill="1" applyBorder="1"/>
    <xf numFmtId="0" fontId="34" fillId="21" borderId="9" xfId="0" applyFont="1" applyFill="1" applyBorder="1"/>
    <xf numFmtId="0" fontId="34" fillId="7" borderId="9" xfId="0" applyFont="1" applyFill="1" applyBorder="1"/>
    <xf numFmtId="0" fontId="34" fillId="8" borderId="7" xfId="0" applyFont="1" applyFill="1" applyBorder="1"/>
    <xf numFmtId="0" fontId="89" fillId="8" borderId="3" xfId="0" applyFont="1" applyFill="1" applyBorder="1" applyAlignment="1">
      <alignment horizontal="center"/>
    </xf>
    <xf numFmtId="0" fontId="19" fillId="19" borderId="7" xfId="0" applyFont="1" applyFill="1" applyBorder="1" applyAlignment="1">
      <alignment horizontal="right" vertical="top" wrapText="1"/>
    </xf>
    <xf numFmtId="0" fontId="95" fillId="13" borderId="1" xfId="0" applyFont="1" applyFill="1" applyBorder="1" applyAlignment="1">
      <alignment horizontal="left" vertical="center" wrapText="1"/>
    </xf>
    <xf numFmtId="0" fontId="95" fillId="13" borderId="0" xfId="0" applyFont="1" applyFill="1" applyAlignment="1">
      <alignment horizontal="left" vertical="center" wrapText="1"/>
    </xf>
    <xf numFmtId="0" fontId="57" fillId="0" borderId="1" xfId="0" applyFont="1" applyBorder="1"/>
    <xf numFmtId="0" fontId="75" fillId="13" borderId="1" xfId="0" applyFont="1" applyFill="1" applyBorder="1" applyAlignment="1">
      <alignment horizontal="right" vertical="center" wrapText="1" indent="1"/>
    </xf>
    <xf numFmtId="0" fontId="75" fillId="13" borderId="1" xfId="0" applyFont="1" applyFill="1" applyBorder="1" applyAlignment="1">
      <alignment horizontal="left" vertical="center" wrapText="1" indent="1"/>
    </xf>
    <xf numFmtId="43" fontId="75" fillId="13" borderId="1" xfId="5" applyFont="1" applyFill="1" applyBorder="1" applyAlignment="1">
      <alignment horizontal="right" vertical="center" wrapText="1" indent="1"/>
    </xf>
    <xf numFmtId="0" fontId="75" fillId="13" borderId="82" xfId="0" applyFont="1" applyFill="1" applyBorder="1" applyAlignment="1">
      <alignment horizontal="right" vertical="center" wrapText="1" indent="1"/>
    </xf>
    <xf numFmtId="0" fontId="75" fillId="13" borderId="82" xfId="0" applyFont="1" applyFill="1" applyBorder="1" applyAlignment="1">
      <alignment horizontal="left" vertical="center" wrapText="1" indent="1"/>
    </xf>
    <xf numFmtId="43" fontId="75" fillId="13" borderId="83" xfId="5" applyFont="1" applyFill="1" applyBorder="1" applyAlignment="1">
      <alignment horizontal="right" vertical="center" wrapText="1" indent="1"/>
    </xf>
    <xf numFmtId="0" fontId="95" fillId="13" borderId="82" xfId="0" applyFont="1" applyFill="1" applyBorder="1" applyAlignment="1">
      <alignment horizontal="right" vertical="center" wrapText="1" indent="1"/>
    </xf>
    <xf numFmtId="0" fontId="95" fillId="13" borderId="82" xfId="0" applyFont="1" applyFill="1" applyBorder="1" applyAlignment="1">
      <alignment horizontal="center" vertical="center" wrapText="1"/>
    </xf>
    <xf numFmtId="43" fontId="95" fillId="13" borderId="83" xfId="5" applyFont="1" applyFill="1" applyBorder="1" applyAlignment="1">
      <alignment horizontal="right" vertical="center" wrapText="1" indent="1"/>
    </xf>
    <xf numFmtId="0" fontId="95" fillId="13" borderId="87" xfId="0" applyFont="1" applyFill="1" applyBorder="1" applyAlignment="1">
      <alignment horizontal="right" vertical="center" wrapText="1" indent="1"/>
    </xf>
    <xf numFmtId="0" fontId="89" fillId="8" borderId="1" xfId="0" applyFont="1" applyFill="1" applyBorder="1" applyAlignment="1">
      <alignment horizontal="center"/>
    </xf>
    <xf numFmtId="0" fontId="98" fillId="0" borderId="0" xfId="0" applyFont="1" applyAlignment="1">
      <alignment vertical="center" wrapText="1"/>
    </xf>
    <xf numFmtId="0" fontId="37" fillId="0" borderId="16" xfId="0" applyFont="1" applyBorder="1" applyAlignment="1">
      <alignment vertical="center" wrapText="1"/>
    </xf>
    <xf numFmtId="0" fontId="14" fillId="0" borderId="1" xfId="0" applyFont="1" applyBorder="1" applyAlignment="1">
      <alignment vertical="center" wrapText="1"/>
    </xf>
    <xf numFmtId="0" fontId="34" fillId="22" borderId="3" xfId="0" applyFont="1" applyFill="1" applyBorder="1" applyAlignment="1">
      <alignment horizontal="right"/>
    </xf>
    <xf numFmtId="0" fontId="14" fillId="0" borderId="1" xfId="0" applyFont="1" applyBorder="1" applyAlignment="1">
      <alignment horizontal="left" vertical="center" wrapText="1"/>
    </xf>
    <xf numFmtId="0" fontId="99" fillId="0" borderId="1" xfId="0" applyFont="1" applyBorder="1" applyAlignment="1">
      <alignment horizontal="left" vertical="center" wrapText="1"/>
    </xf>
    <xf numFmtId="0" fontId="31" fillId="21" borderId="9" xfId="0" applyFont="1" applyFill="1" applyBorder="1" applyAlignment="1">
      <alignment horizontal="center" vertical="center" wrapText="1"/>
    </xf>
    <xf numFmtId="0" fontId="18" fillId="0" borderId="1" xfId="0" applyFont="1" applyBorder="1" applyAlignment="1">
      <alignment horizontal="right"/>
    </xf>
    <xf numFmtId="0" fontId="34" fillId="0" borderId="1" xfId="0" applyFont="1" applyBorder="1" applyAlignment="1">
      <alignment horizontal="right"/>
    </xf>
    <xf numFmtId="0" fontId="38" fillId="0" borderId="1" xfId="0" applyFont="1" applyBorder="1"/>
    <xf numFmtId="0" fontId="49" fillId="0" borderId="1" xfId="0" applyFont="1" applyBorder="1"/>
    <xf numFmtId="0" fontId="34" fillId="21" borderId="3" xfId="0" applyFont="1" applyFill="1" applyBorder="1" applyAlignment="1">
      <alignment vertical="center"/>
    </xf>
    <xf numFmtId="0" fontId="34" fillId="21" borderId="9" xfId="0" applyFont="1" applyFill="1" applyBorder="1" applyAlignment="1">
      <alignment vertical="center"/>
    </xf>
    <xf numFmtId="0" fontId="31" fillId="21" borderId="13" xfId="0" applyFont="1" applyFill="1" applyBorder="1" applyAlignment="1">
      <alignment vertical="center" wrapText="1"/>
    </xf>
    <xf numFmtId="0" fontId="31" fillId="21" borderId="0" xfId="0" applyFont="1" applyFill="1" applyAlignment="1">
      <alignment vertical="center" wrapText="1"/>
    </xf>
    <xf numFmtId="0" fontId="19" fillId="4" borderId="0" xfId="0" applyFont="1" applyFill="1" applyAlignment="1">
      <alignment vertical="center"/>
    </xf>
    <xf numFmtId="0" fontId="43" fillId="0" borderId="0" xfId="0" applyFont="1" applyAlignment="1">
      <alignment horizontal="center" vertical="center"/>
    </xf>
    <xf numFmtId="9" fontId="100" fillId="0" borderId="0" xfId="2" applyFont="1"/>
    <xf numFmtId="0" fontId="0" fillId="2" borderId="0" xfId="0" applyFill="1"/>
    <xf numFmtId="0" fontId="101" fillId="0" borderId="0" xfId="0" applyFont="1"/>
    <xf numFmtId="0" fontId="29" fillId="14" borderId="6" xfId="0" applyFont="1" applyFill="1" applyBorder="1"/>
    <xf numFmtId="0" fontId="29" fillId="14" borderId="7" xfId="0" applyFont="1" applyFill="1" applyBorder="1"/>
    <xf numFmtId="0" fontId="4" fillId="14" borderId="1" xfId="0" applyFont="1" applyFill="1" applyBorder="1"/>
    <xf numFmtId="0" fontId="5" fillId="14" borderId="1" xfId="0" applyFont="1" applyFill="1" applyBorder="1"/>
    <xf numFmtId="0" fontId="103" fillId="14" borderId="1" xfId="0" applyFont="1" applyFill="1" applyBorder="1"/>
    <xf numFmtId="0" fontId="40" fillId="14" borderId="1" xfId="0" applyFont="1" applyFill="1" applyBorder="1" applyAlignment="1">
      <alignment horizontal="center"/>
    </xf>
    <xf numFmtId="0" fontId="40" fillId="14" borderId="6" xfId="0" applyFont="1" applyFill="1" applyBorder="1" applyAlignment="1">
      <alignment horizontal="center"/>
    </xf>
    <xf numFmtId="0" fontId="19" fillId="0" borderId="8" xfId="0" applyFont="1" applyBorder="1"/>
    <xf numFmtId="0" fontId="5" fillId="0" borderId="7" xfId="0" applyFont="1" applyBorder="1"/>
    <xf numFmtId="0" fontId="19" fillId="0" borderId="22" xfId="0" applyFont="1" applyBorder="1"/>
    <xf numFmtId="0" fontId="34" fillId="0" borderId="7" xfId="0" applyFont="1" applyBorder="1" applyAlignment="1">
      <alignment horizontal="left"/>
    </xf>
    <xf numFmtId="168" fontId="34" fillId="0" borderId="7" xfId="0" applyNumberFormat="1" applyFont="1" applyBorder="1"/>
    <xf numFmtId="168" fontId="34" fillId="0" borderId="22" xfId="0" applyNumberFormat="1" applyFont="1" applyBorder="1"/>
    <xf numFmtId="0" fontId="22" fillId="0" borderId="3" xfId="1" applyBorder="1" applyAlignment="1">
      <alignment vertical="center"/>
    </xf>
    <xf numFmtId="0" fontId="34" fillId="0" borderId="22" xfId="0" applyFont="1" applyBorder="1" applyAlignment="1">
      <alignment horizontal="left"/>
    </xf>
    <xf numFmtId="0" fontId="0" fillId="0" borderId="6" xfId="0" applyBorder="1" applyAlignment="1">
      <alignment vertical="center"/>
    </xf>
    <xf numFmtId="0" fontId="7" fillId="7" borderId="6" xfId="0" applyFont="1" applyFill="1" applyBorder="1" applyAlignment="1">
      <alignment horizontal="left"/>
    </xf>
    <xf numFmtId="0" fontId="7" fillId="7" borderId="6" xfId="0" applyFont="1" applyFill="1" applyBorder="1"/>
    <xf numFmtId="0" fontId="7" fillId="7" borderId="13" xfId="0" applyFont="1" applyFill="1" applyBorder="1"/>
    <xf numFmtId="0" fontId="7" fillId="0" borderId="7" xfId="0" applyFont="1" applyBorder="1" applyAlignment="1">
      <alignment horizontal="left"/>
    </xf>
    <xf numFmtId="0" fontId="7" fillId="7" borderId="13" xfId="0" applyFont="1" applyFill="1" applyBorder="1" applyAlignment="1">
      <alignment horizontal="left"/>
    </xf>
    <xf numFmtId="0" fontId="7" fillId="0" borderId="13" xfId="0" applyFont="1" applyBorder="1" applyAlignment="1">
      <alignment horizontal="left"/>
    </xf>
    <xf numFmtId="0" fontId="7" fillId="8" borderId="6" xfId="0" applyFont="1" applyFill="1" applyBorder="1" applyAlignment="1">
      <alignment horizontal="left"/>
    </xf>
    <xf numFmtId="0" fontId="34" fillId="0" borderId="0" xfId="0" applyFont="1" applyAlignment="1">
      <alignment horizontal="center"/>
    </xf>
    <xf numFmtId="0" fontId="0" fillId="0" borderId="1" xfId="0" applyBorder="1" applyAlignment="1">
      <alignment horizontal="left"/>
    </xf>
    <xf numFmtId="0" fontId="27" fillId="7" borderId="1" xfId="0" applyFont="1" applyFill="1" applyBorder="1" applyAlignment="1">
      <alignment horizontal="center"/>
    </xf>
    <xf numFmtId="0" fontId="23" fillId="8" borderId="7" xfId="0" applyFont="1" applyFill="1" applyBorder="1" applyAlignment="1">
      <alignment horizontal="center"/>
    </xf>
    <xf numFmtId="0" fontId="39" fillId="14" borderId="1" xfId="0" applyFont="1" applyFill="1" applyBorder="1" applyAlignment="1">
      <alignment horizontal="center" vertical="center"/>
    </xf>
    <xf numFmtId="0" fontId="27" fillId="7" borderId="1" xfId="0" applyFont="1" applyFill="1" applyBorder="1" applyAlignment="1">
      <alignment horizontal="left"/>
    </xf>
    <xf numFmtId="0" fontId="44" fillId="7" borderId="6" xfId="0" applyFont="1" applyFill="1" applyBorder="1" applyAlignment="1">
      <alignment horizontal="center" vertical="center" wrapText="1"/>
    </xf>
    <xf numFmtId="0" fontId="13" fillId="0" borderId="0" xfId="0" applyFont="1" applyAlignment="1">
      <alignment vertical="center" wrapText="1"/>
    </xf>
    <xf numFmtId="0" fontId="29" fillId="0" borderId="0" xfId="0" applyFont="1" applyAlignment="1">
      <alignment horizontal="center"/>
    </xf>
    <xf numFmtId="0" fontId="0" fillId="7" borderId="1" xfId="0" applyFill="1" applyBorder="1" applyAlignment="1">
      <alignment horizontal="left"/>
    </xf>
    <xf numFmtId="0" fontId="5" fillId="14" borderId="6" xfId="0" applyFont="1" applyFill="1" applyBorder="1" applyAlignment="1">
      <alignment horizontal="left"/>
    </xf>
    <xf numFmtId="0" fontId="27" fillId="8" borderId="1" xfId="0" applyFont="1" applyFill="1" applyBorder="1" applyAlignment="1">
      <alignment horizontal="center"/>
    </xf>
    <xf numFmtId="0" fontId="21" fillId="8" borderId="0" xfId="0" applyFont="1" applyFill="1" applyAlignment="1">
      <alignment horizontal="center"/>
    </xf>
    <xf numFmtId="0" fontId="37" fillId="0" borderId="0" xfId="0" applyFont="1" applyAlignment="1">
      <alignment horizontal="left" vertical="center" wrapText="1"/>
    </xf>
    <xf numFmtId="0" fontId="21" fillId="8" borderId="1" xfId="0" applyFont="1" applyFill="1" applyBorder="1" applyAlignment="1">
      <alignment horizontal="center"/>
    </xf>
    <xf numFmtId="0" fontId="34" fillId="0" borderId="0" xfId="0" applyFont="1" applyAlignment="1">
      <alignment horizontal="left" wrapText="1"/>
    </xf>
    <xf numFmtId="0" fontId="34" fillId="0" borderId="0" xfId="0" applyFont="1" applyAlignment="1">
      <alignment horizontal="left" vertical="center" wrapText="1"/>
    </xf>
    <xf numFmtId="0" fontId="77" fillId="0" borderId="0" xfId="0" applyFont="1" applyAlignment="1">
      <alignment horizontal="left" vertical="center" wrapText="1"/>
    </xf>
    <xf numFmtId="0" fontId="75" fillId="13" borderId="0" xfId="0" applyFont="1" applyFill="1" applyAlignment="1">
      <alignment horizontal="left" vertical="center" wrapText="1" indent="1"/>
    </xf>
    <xf numFmtId="0" fontId="34" fillId="22" borderId="1" xfId="0" applyFont="1" applyFill="1" applyBorder="1" applyAlignment="1">
      <alignment horizontal="right"/>
    </xf>
    <xf numFmtId="0" fontId="98" fillId="0" borderId="1" xfId="0" applyFont="1" applyBorder="1" applyAlignment="1">
      <alignment horizontal="left" vertical="center" wrapText="1"/>
    </xf>
    <xf numFmtId="0" fontId="95" fillId="13" borderId="82" xfId="0" applyFont="1" applyFill="1" applyBorder="1" applyAlignment="1">
      <alignment horizontal="left" vertical="center" wrapText="1" indent="1"/>
    </xf>
    <xf numFmtId="0" fontId="95" fillId="13" borderId="1" xfId="0" applyFont="1" applyFill="1" applyBorder="1" applyAlignment="1">
      <alignment horizontal="center" vertical="center" wrapText="1"/>
    </xf>
    <xf numFmtId="0" fontId="21" fillId="0" borderId="8" xfId="0" applyFont="1" applyBorder="1" applyAlignment="1">
      <alignment horizontal="center"/>
    </xf>
    <xf numFmtId="0" fontId="21" fillId="0" borderId="0" xfId="0" applyFont="1" applyAlignment="1">
      <alignment horizontal="center"/>
    </xf>
    <xf numFmtId="0" fontId="34" fillId="7" borderId="7" xfId="0" applyFont="1" applyFill="1" applyBorder="1" applyAlignment="1">
      <alignment horizontal="center"/>
    </xf>
    <xf numFmtId="0" fontId="31" fillId="0" borderId="0" xfId="0" applyFont="1" applyAlignment="1">
      <alignment horizontal="left" vertical="center" wrapText="1"/>
    </xf>
    <xf numFmtId="0" fontId="34" fillId="7" borderId="1" xfId="0" applyFont="1" applyFill="1" applyBorder="1" applyAlignment="1">
      <alignment horizontal="left"/>
    </xf>
    <xf numFmtId="0" fontId="34" fillId="21" borderId="1" xfId="0" applyFont="1" applyFill="1" applyBorder="1" applyAlignment="1">
      <alignment horizontal="center"/>
    </xf>
    <xf numFmtId="0" fontId="19" fillId="21" borderId="1" xfId="0" applyFont="1" applyFill="1" applyBorder="1" applyAlignment="1">
      <alignment horizontal="center"/>
    </xf>
    <xf numFmtId="0" fontId="19" fillId="21" borderId="7" xfId="0" applyFont="1" applyFill="1" applyBorder="1" applyAlignment="1">
      <alignment horizontal="center"/>
    </xf>
    <xf numFmtId="0" fontId="34" fillId="21" borderId="4" xfId="0" applyFont="1" applyFill="1" applyBorder="1" applyAlignment="1">
      <alignment horizontal="center"/>
    </xf>
    <xf numFmtId="0" fontId="34" fillId="14" borderId="0" xfId="0" applyFont="1" applyFill="1" applyAlignment="1">
      <alignment horizontal="center"/>
    </xf>
    <xf numFmtId="0" fontId="17" fillId="0" borderId="0" xfId="0" applyFont="1" applyAlignment="1">
      <alignment horizontal="left" vertical="top" wrapText="1"/>
    </xf>
    <xf numFmtId="0" fontId="26" fillId="0" borderId="0" xfId="0" applyFont="1" applyAlignment="1">
      <alignment horizontal="center" wrapText="1"/>
    </xf>
    <xf numFmtId="0" fontId="0" fillId="7" borderId="1" xfId="0" applyFill="1" applyBorder="1" applyAlignment="1">
      <alignment horizontal="center" vertical="center"/>
    </xf>
    <xf numFmtId="0" fontId="19" fillId="4" borderId="6" xfId="0" applyFont="1" applyFill="1" applyBorder="1" applyAlignment="1">
      <alignment horizontal="center" vertical="center"/>
    </xf>
    <xf numFmtId="0" fontId="19" fillId="4" borderId="7" xfId="0" applyFont="1" applyFill="1" applyBorder="1" applyAlignment="1">
      <alignment horizontal="center" vertical="center"/>
    </xf>
    <xf numFmtId="0" fontId="19" fillId="4" borderId="13" xfId="0" applyFont="1" applyFill="1" applyBorder="1" applyAlignment="1">
      <alignment horizontal="center" vertical="center"/>
    </xf>
    <xf numFmtId="0" fontId="39" fillId="4" borderId="6" xfId="0" applyFont="1" applyFill="1" applyBorder="1" applyAlignment="1">
      <alignment horizontal="center"/>
    </xf>
    <xf numFmtId="0" fontId="39" fillId="4" borderId="13" xfId="0" applyFont="1" applyFill="1" applyBorder="1" applyAlignment="1">
      <alignment horizontal="center"/>
    </xf>
    <xf numFmtId="0" fontId="39" fillId="4" borderId="7" xfId="0" applyFont="1" applyFill="1" applyBorder="1" applyAlignment="1">
      <alignment horizontal="center"/>
    </xf>
    <xf numFmtId="0" fontId="34" fillId="0" borderId="0" xfId="0" applyFont="1" applyAlignment="1">
      <alignment horizontal="left" vertical="center"/>
    </xf>
    <xf numFmtId="0" fontId="19" fillId="0" borderId="0" xfId="0" applyFont="1" applyAlignment="1">
      <alignment horizontal="left" vertical="center"/>
    </xf>
    <xf numFmtId="0" fontId="17" fillId="0" borderId="0" xfId="0" applyFont="1" applyAlignment="1">
      <alignment horizontal="center" vertical="top" wrapText="1"/>
    </xf>
    <xf numFmtId="0" fontId="23" fillId="8" borderId="0" xfId="0" applyFont="1" applyFill="1" applyAlignment="1">
      <alignment horizontal="center"/>
    </xf>
    <xf numFmtId="0" fontId="23" fillId="8" borderId="23" xfId="0" applyFont="1" applyFill="1" applyBorder="1" applyAlignment="1">
      <alignment horizontal="center"/>
    </xf>
    <xf numFmtId="0" fontId="19" fillId="14" borderId="6" xfId="0" applyFont="1" applyFill="1" applyBorder="1" applyAlignment="1">
      <alignment horizontal="center" vertical="center"/>
    </xf>
    <xf numFmtId="0" fontId="19" fillId="14" borderId="13" xfId="0" applyFont="1" applyFill="1" applyBorder="1" applyAlignment="1">
      <alignment horizontal="center" vertical="center"/>
    </xf>
    <xf numFmtId="0" fontId="27" fillId="8" borderId="0" xfId="0" applyFont="1" applyFill="1" applyAlignment="1">
      <alignment horizontal="center"/>
    </xf>
    <xf numFmtId="0" fontId="0" fillId="7" borderId="7" xfId="0" applyFill="1" applyBorder="1" applyAlignment="1">
      <alignment horizontal="center" vertical="center"/>
    </xf>
    <xf numFmtId="0" fontId="27" fillId="0" borderId="13" xfId="0" applyFont="1" applyBorder="1" applyAlignment="1">
      <alignment horizontal="center"/>
    </xf>
    <xf numFmtId="0" fontId="27" fillId="0" borderId="7" xfId="0" applyFont="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27" fillId="8" borderId="7" xfId="0" applyFont="1" applyFill="1" applyBorder="1" applyAlignment="1">
      <alignment horizontal="center"/>
    </xf>
    <xf numFmtId="0" fontId="76" fillId="0" borderId="0" xfId="0" applyFont="1" applyAlignment="1">
      <alignment horizontal="center" vertical="center" wrapText="1"/>
    </xf>
    <xf numFmtId="0" fontId="19" fillId="7" borderId="6" xfId="0" applyFont="1" applyFill="1" applyBorder="1" applyAlignment="1">
      <alignment horizontal="center" vertical="center"/>
    </xf>
    <xf numFmtId="0" fontId="19" fillId="8" borderId="33" xfId="0" applyFont="1" applyFill="1" applyBorder="1" applyAlignment="1">
      <alignment horizontal="center" vertical="center"/>
    </xf>
    <xf numFmtId="0" fontId="19" fillId="8" borderId="8" xfId="0" applyFont="1" applyFill="1" applyBorder="1" applyAlignment="1">
      <alignment horizontal="center" vertical="center"/>
    </xf>
    <xf numFmtId="0" fontId="23" fillId="8" borderId="1" xfId="0" applyFont="1" applyFill="1" applyBorder="1" applyAlignment="1">
      <alignment horizontal="center"/>
    </xf>
    <xf numFmtId="0" fontId="37" fillId="0" borderId="0" xfId="0" applyFont="1" applyAlignment="1">
      <alignment horizontal="left"/>
    </xf>
    <xf numFmtId="0" fontId="17" fillId="0" borderId="0" xfId="0" applyFont="1" applyAlignment="1">
      <alignment horizontal="left" vertical="center" wrapText="1"/>
    </xf>
    <xf numFmtId="0" fontId="103" fillId="0" borderId="0" xfId="0" applyFont="1" applyAlignment="1">
      <alignment horizontal="left"/>
    </xf>
    <xf numFmtId="0" fontId="4" fillId="0" borderId="0" xfId="0" applyFont="1" applyAlignment="1">
      <alignment horizontal="left"/>
    </xf>
    <xf numFmtId="0" fontId="5" fillId="0" borderId="0" xfId="0" applyFont="1"/>
    <xf numFmtId="0" fontId="4" fillId="0" borderId="1" xfId="0" applyFont="1" applyBorder="1"/>
    <xf numFmtId="164" fontId="0" fillId="0" borderId="0" xfId="0" applyNumberFormat="1"/>
    <xf numFmtId="164" fontId="4" fillId="0" borderId="1" xfId="0" applyNumberFormat="1" applyFont="1" applyBorder="1"/>
    <xf numFmtId="164" fontId="0" fillId="0" borderId="1" xfId="0" applyNumberFormat="1" applyBorder="1"/>
    <xf numFmtId="164" fontId="0" fillId="0" borderId="0" xfId="0" applyNumberFormat="1" applyAlignment="1">
      <alignment horizontal="left"/>
    </xf>
    <xf numFmtId="0" fontId="4" fillId="0" borderId="1" xfId="0" applyFont="1" applyBorder="1" applyAlignment="1">
      <alignment wrapText="1"/>
    </xf>
    <xf numFmtId="0" fontId="7" fillId="0" borderId="0" xfId="0" applyFont="1" applyAlignment="1">
      <alignment vertical="top" wrapText="1"/>
    </xf>
    <xf numFmtId="0" fontId="4" fillId="21" borderId="1" xfId="0" applyFont="1" applyFill="1" applyBorder="1" applyAlignment="1">
      <alignment horizontal="center"/>
    </xf>
    <xf numFmtId="0" fontId="4" fillId="7" borderId="1" xfId="0" applyFont="1" applyFill="1" applyBorder="1" applyAlignment="1">
      <alignment horizontal="center"/>
    </xf>
    <xf numFmtId="0" fontId="0" fillId="0" borderId="0" xfId="0" applyAlignment="1">
      <alignment horizontal="left" vertical="top" wrapText="1"/>
    </xf>
    <xf numFmtId="0" fontId="109" fillId="0" borderId="0" xfId="0" applyFont="1" applyAlignment="1">
      <alignment horizontal="left" vertical="top" wrapText="1"/>
    </xf>
    <xf numFmtId="0" fontId="109" fillId="0" borderId="0" xfId="0" applyFont="1" applyAlignment="1">
      <alignment horizontal="center" wrapText="1"/>
    </xf>
    <xf numFmtId="0" fontId="2" fillId="0" borderId="0" xfId="0" applyFont="1" applyAlignment="1">
      <alignment horizontal="left"/>
    </xf>
    <xf numFmtId="0" fontId="23" fillId="0" borderId="0" xfId="0" applyFont="1" applyAlignment="1">
      <alignment vertical="top"/>
    </xf>
    <xf numFmtId="0" fontId="21" fillId="0" borderId="0" xfId="0" applyFont="1" applyAlignment="1">
      <alignment vertical="top"/>
    </xf>
    <xf numFmtId="0" fontId="1" fillId="0" borderId="0" xfId="0" applyFont="1" applyAlignment="1">
      <alignment vertical="center"/>
    </xf>
    <xf numFmtId="0" fontId="20" fillId="0" borderId="0" xfId="0" applyFont="1" applyAlignment="1">
      <alignment vertical="top"/>
    </xf>
    <xf numFmtId="0" fontId="38" fillId="0" borderId="0" xfId="0" applyFont="1" applyAlignment="1">
      <alignment horizontal="left"/>
    </xf>
    <xf numFmtId="0" fontId="109" fillId="0" borderId="13" xfId="0" applyFont="1" applyBorder="1" applyAlignment="1">
      <alignment horizontal="left" vertical="top" wrapText="1"/>
    </xf>
    <xf numFmtId="14" fontId="21" fillId="0" borderId="13" xfId="0" applyNumberFormat="1" applyFont="1" applyBorder="1" applyAlignment="1">
      <alignment vertical="top"/>
    </xf>
    <xf numFmtId="0" fontId="57" fillId="14" borderId="1" xfId="0" applyFont="1" applyFill="1" applyBorder="1" applyAlignment="1">
      <alignment horizontal="left"/>
    </xf>
    <xf numFmtId="0" fontId="19" fillId="8" borderId="1" xfId="0" applyFont="1" applyFill="1" applyBorder="1" applyAlignment="1">
      <alignment horizontal="center"/>
    </xf>
    <xf numFmtId="0" fontId="19" fillId="8" borderId="6" xfId="0" applyFont="1" applyFill="1" applyBorder="1" applyAlignment="1">
      <alignment horizontal="center"/>
    </xf>
    <xf numFmtId="0" fontId="34" fillId="18" borderId="41" xfId="0" applyFont="1" applyFill="1" applyBorder="1"/>
    <xf numFmtId="0" fontId="37" fillId="0" borderId="41" xfId="0" applyFont="1" applyBorder="1" applyAlignment="1">
      <alignment vertical="top"/>
    </xf>
    <xf numFmtId="0" fontId="34" fillId="18" borderId="41" xfId="0" applyFont="1" applyFill="1" applyBorder="1" applyAlignment="1">
      <alignment vertical="top"/>
    </xf>
    <xf numFmtId="0" fontId="49" fillId="29" borderId="3" xfId="1" applyFont="1" applyFill="1" applyBorder="1" applyAlignment="1">
      <alignment vertical="top"/>
    </xf>
    <xf numFmtId="0" fontId="22" fillId="0" borderId="41" xfId="1" applyBorder="1" applyAlignment="1">
      <alignment vertical="center"/>
    </xf>
    <xf numFmtId="0" fontId="22" fillId="0" borderId="41" xfId="1" applyFill="1" applyBorder="1" applyAlignment="1">
      <alignment vertical="center"/>
    </xf>
    <xf numFmtId="0" fontId="0" fillId="8" borderId="1" xfId="0" applyFill="1" applyBorder="1" applyAlignment="1">
      <alignment horizontal="center"/>
    </xf>
    <xf numFmtId="0" fontId="19" fillId="8" borderId="7" xfId="0" applyFont="1" applyFill="1" applyBorder="1" applyAlignment="1">
      <alignment horizontal="center"/>
    </xf>
    <xf numFmtId="0" fontId="73" fillId="0" borderId="0" xfId="0" applyFont="1" applyAlignment="1">
      <alignment horizontal="left" vertical="center"/>
    </xf>
    <xf numFmtId="0" fontId="57" fillId="0" borderId="9" xfId="0" applyFont="1" applyBorder="1"/>
    <xf numFmtId="0" fontId="57" fillId="6" borderId="1" xfId="0" applyFont="1" applyFill="1" applyBorder="1"/>
    <xf numFmtId="0" fontId="27" fillId="0" borderId="0" xfId="0" applyFont="1" applyAlignment="1">
      <alignment horizontal="center" wrapText="1"/>
    </xf>
    <xf numFmtId="0" fontId="27" fillId="8" borderId="6" xfId="0" applyFont="1" applyFill="1" applyBorder="1" applyAlignment="1">
      <alignment horizontal="center" vertical="center" wrapText="1"/>
    </xf>
    <xf numFmtId="0" fontId="0" fillId="14" borderId="0" xfId="0" applyFill="1" applyAlignment="1">
      <alignment vertical="top"/>
    </xf>
    <xf numFmtId="49" fontId="57" fillId="0" borderId="0" xfId="0" applyNumberFormat="1" applyFont="1" applyAlignment="1">
      <alignment horizontal="left"/>
    </xf>
    <xf numFmtId="0" fontId="27" fillId="0" borderId="0" xfId="0" applyFont="1" applyAlignment="1">
      <alignment horizontal="center" vertical="center" wrapText="1"/>
    </xf>
    <xf numFmtId="0" fontId="27" fillId="0" borderId="26" xfId="0" applyFont="1" applyBorder="1" applyAlignment="1">
      <alignment vertical="center" wrapText="1"/>
    </xf>
    <xf numFmtId="0" fontId="27" fillId="0" borderId="27" xfId="0" applyFont="1" applyBorder="1" applyAlignment="1">
      <alignment vertical="center" wrapText="1"/>
    </xf>
    <xf numFmtId="0" fontId="0" fillId="0" borderId="5" xfId="0" applyBorder="1"/>
    <xf numFmtId="0" fontId="0" fillId="14" borderId="23" xfId="0" applyFill="1" applyBorder="1"/>
    <xf numFmtId="0" fontId="27" fillId="0" borderId="17" xfId="0" applyFont="1" applyBorder="1" applyAlignment="1">
      <alignment horizontal="center" vertical="center" wrapText="1"/>
    </xf>
    <xf numFmtId="0" fontId="39" fillId="0" borderId="0" xfId="0" applyFont="1"/>
    <xf numFmtId="0" fontId="27" fillId="7" borderId="1" xfId="0" applyFont="1" applyFill="1" applyBorder="1" applyAlignment="1">
      <alignment vertical="center"/>
    </xf>
    <xf numFmtId="0" fontId="27" fillId="7" borderId="3" xfId="0" applyFont="1" applyFill="1" applyBorder="1" applyAlignment="1">
      <alignment vertical="center"/>
    </xf>
    <xf numFmtId="0" fontId="19" fillId="0" borderId="13" xfId="0" applyFont="1" applyBorder="1"/>
    <xf numFmtId="0" fontId="27" fillId="7" borderId="3" xfId="0" applyFont="1" applyFill="1" applyBorder="1" applyAlignment="1">
      <alignment horizontal="left"/>
    </xf>
    <xf numFmtId="0" fontId="19" fillId="8" borderId="2" xfId="0" applyFont="1" applyFill="1" applyBorder="1"/>
    <xf numFmtId="0" fontId="27" fillId="7" borderId="3" xfId="0" applyFont="1" applyFill="1" applyBorder="1"/>
    <xf numFmtId="0" fontId="29" fillId="14" borderId="1" xfId="0" applyFont="1" applyFill="1" applyBorder="1" applyAlignment="1">
      <alignment horizontal="center"/>
    </xf>
    <xf numFmtId="16" fontId="0" fillId="0" borderId="3" xfId="0" applyNumberFormat="1" applyBorder="1"/>
    <xf numFmtId="0" fontId="103" fillId="0" borderId="0" xfId="0" applyFont="1"/>
    <xf numFmtId="0" fontId="0" fillId="0" borderId="8" xfId="0" applyBorder="1"/>
    <xf numFmtId="0" fontId="27" fillId="7" borderId="8" xfId="0" applyFont="1" applyFill="1" applyBorder="1"/>
    <xf numFmtId="0" fontId="103" fillId="0" borderId="0" xfId="0" applyFont="1" applyAlignment="1">
      <alignment horizontal="center"/>
    </xf>
    <xf numFmtId="171" fontId="0" fillId="0" borderId="1" xfId="0" applyNumberFormat="1" applyBorder="1"/>
    <xf numFmtId="0" fontId="0" fillId="0" borderId="0" xfId="0" applyAlignment="1">
      <alignment horizontal="center" vertical="center" wrapText="1"/>
    </xf>
    <xf numFmtId="0" fontId="27" fillId="7" borderId="33" xfId="0" applyFont="1" applyFill="1" applyBorder="1"/>
    <xf numFmtId="0" fontId="110" fillId="0" borderId="1" xfId="0" applyFont="1" applyBorder="1" applyAlignment="1">
      <alignment vertical="top" wrapText="1" readingOrder="1"/>
    </xf>
    <xf numFmtId="0" fontId="111" fillId="0" borderId="1" xfId="0" applyFont="1" applyBorder="1" applyAlignment="1">
      <alignment vertical="top" wrapText="1"/>
    </xf>
    <xf numFmtId="0" fontId="29" fillId="0" borderId="1" xfId="0" applyFont="1" applyBorder="1" applyAlignment="1">
      <alignment horizontal="center"/>
    </xf>
    <xf numFmtId="0" fontId="77" fillId="0" borderId="0" xfId="0" applyFont="1" applyAlignment="1">
      <alignment horizontal="left"/>
    </xf>
    <xf numFmtId="0" fontId="29" fillId="0" borderId="13" xfId="0" applyFont="1" applyBorder="1"/>
    <xf numFmtId="43" fontId="29" fillId="0" borderId="13" xfId="0" applyNumberFormat="1" applyFont="1" applyBorder="1"/>
    <xf numFmtId="0" fontId="57" fillId="0" borderId="13" xfId="0" applyFont="1" applyBorder="1"/>
    <xf numFmtId="0" fontId="57" fillId="0" borderId="13" xfId="0" applyFont="1" applyBorder="1" applyAlignment="1">
      <alignment wrapText="1"/>
    </xf>
    <xf numFmtId="43" fontId="29" fillId="0" borderId="0" xfId="0" applyNumberFormat="1" applyFont="1"/>
    <xf numFmtId="0" fontId="23" fillId="8" borderId="8" xfId="0" applyFont="1" applyFill="1" applyBorder="1" applyAlignment="1">
      <alignment horizontal="center"/>
    </xf>
    <xf numFmtId="0" fontId="103" fillId="16" borderId="4" xfId="0" applyFont="1" applyFill="1" applyBorder="1" applyAlignment="1">
      <alignment horizontal="center"/>
    </xf>
    <xf numFmtId="0" fontId="103" fillId="16" borderId="2" xfId="0" applyFont="1" applyFill="1" applyBorder="1" applyAlignment="1">
      <alignment horizontal="center"/>
    </xf>
    <xf numFmtId="0" fontId="19" fillId="8" borderId="13" xfId="0" applyFont="1" applyFill="1" applyBorder="1"/>
    <xf numFmtId="14" fontId="0" fillId="0" borderId="1" xfId="0" applyNumberFormat="1" applyBorder="1"/>
    <xf numFmtId="4" fontId="0" fillId="0" borderId="1" xfId="0" applyNumberFormat="1" applyBorder="1"/>
    <xf numFmtId="0" fontId="26" fillId="0" borderId="0" xfId="0" applyFont="1" applyAlignment="1">
      <alignment horizontal="left"/>
    </xf>
    <xf numFmtId="0" fontId="21" fillId="14" borderId="1" xfId="0" applyFont="1" applyFill="1" applyBorder="1" applyAlignment="1">
      <alignment vertical="center"/>
    </xf>
    <xf numFmtId="0" fontId="21" fillId="14" borderId="1" xfId="0" applyFont="1" applyFill="1" applyBorder="1" applyAlignment="1">
      <alignment horizontal="left" vertical="center"/>
    </xf>
    <xf numFmtId="0" fontId="21" fillId="0" borderId="0" xfId="0" applyFont="1" applyAlignment="1">
      <alignment horizontal="left" vertical="center"/>
    </xf>
    <xf numFmtId="0" fontId="37" fillId="7" borderId="1" xfId="0" applyFont="1" applyFill="1" applyBorder="1" applyAlignment="1">
      <alignment vertical="center"/>
    </xf>
    <xf numFmtId="0" fontId="0" fillId="7" borderId="7" xfId="0" applyFill="1" applyBorder="1"/>
    <xf numFmtId="0" fontId="27" fillId="11" borderId="5" xfId="0" applyFont="1" applyFill="1" applyBorder="1" applyAlignment="1">
      <alignment vertical="center" wrapText="1"/>
    </xf>
    <xf numFmtId="0" fontId="20" fillId="10" borderId="8" xfId="0" applyFont="1" applyFill="1" applyBorder="1" applyAlignment="1">
      <alignment horizontal="center"/>
    </xf>
    <xf numFmtId="0" fontId="21" fillId="10" borderId="33" xfId="0" applyFont="1" applyFill="1" applyBorder="1"/>
    <xf numFmtId="0" fontId="103" fillId="16" borderId="8" xfId="0" applyFont="1" applyFill="1" applyBorder="1"/>
    <xf numFmtId="0" fontId="103" fillId="16" borderId="0" xfId="0" applyFont="1" applyFill="1"/>
    <xf numFmtId="0" fontId="65" fillId="0" borderId="0" xfId="0" applyFont="1" applyAlignment="1">
      <alignment vertical="center"/>
    </xf>
    <xf numFmtId="0" fontId="19" fillId="14" borderId="13" xfId="0" applyFont="1" applyFill="1" applyBorder="1" applyAlignment="1">
      <alignment horizontal="center"/>
    </xf>
    <xf numFmtId="0" fontId="0" fillId="14" borderId="6" xfId="0" applyFill="1" applyBorder="1" applyAlignment="1">
      <alignment horizontal="left" vertical="center"/>
    </xf>
    <xf numFmtId="0" fontId="22" fillId="0" borderId="0" xfId="1" applyFill="1" applyBorder="1" applyAlignment="1">
      <alignment horizontal="right"/>
    </xf>
    <xf numFmtId="0" fontId="22" fillId="0" borderId="0" xfId="1" applyAlignment="1">
      <alignment horizontal="left"/>
    </xf>
    <xf numFmtId="0" fontId="77" fillId="0" borderId="0" xfId="0" applyFont="1" applyAlignment="1">
      <alignment horizontal="left" vertical="top"/>
    </xf>
    <xf numFmtId="0" fontId="77" fillId="0" borderId="0" xfId="0" applyFont="1"/>
    <xf numFmtId="0" fontId="27" fillId="14" borderId="1" xfId="0" applyFont="1" applyFill="1" applyBorder="1"/>
    <xf numFmtId="0" fontId="19" fillId="14" borderId="7" xfId="0" applyFont="1" applyFill="1" applyBorder="1"/>
    <xf numFmtId="4" fontId="0" fillId="0" borderId="0" xfId="0" applyNumberFormat="1"/>
    <xf numFmtId="0" fontId="23" fillId="8" borderId="33" xfId="0" applyFont="1" applyFill="1" applyBorder="1"/>
    <xf numFmtId="0" fontId="19" fillId="14" borderId="13" xfId="0" applyFont="1" applyFill="1" applyBorder="1"/>
    <xf numFmtId="0" fontId="19" fillId="14" borderId="7" xfId="0" applyFont="1" applyFill="1" applyBorder="1" applyAlignment="1">
      <alignment horizontal="center"/>
    </xf>
    <xf numFmtId="43" fontId="0" fillId="0" borderId="0" xfId="5" applyFont="1" applyFill="1" applyBorder="1"/>
    <xf numFmtId="9" fontId="0" fillId="0" borderId="0" xfId="2" applyFont="1" applyFill="1" applyBorder="1"/>
    <xf numFmtId="9" fontId="0" fillId="0" borderId="0" xfId="0" applyNumberFormat="1"/>
    <xf numFmtId="0" fontId="27" fillId="0" borderId="0" xfId="0" applyFont="1" applyAlignment="1">
      <alignment vertical="center"/>
    </xf>
    <xf numFmtId="0" fontId="103" fillId="0" borderId="2" xfId="0" applyFont="1" applyBorder="1" applyAlignment="1">
      <alignment horizontal="center"/>
    </xf>
    <xf numFmtId="0" fontId="5" fillId="14" borderId="6" xfId="0" applyFont="1" applyFill="1" applyBorder="1"/>
    <xf numFmtId="0" fontId="20" fillId="10" borderId="7" xfId="0" applyFont="1" applyFill="1" applyBorder="1"/>
    <xf numFmtId="0" fontId="5" fillId="14" borderId="13" xfId="0" applyFont="1" applyFill="1" applyBorder="1" applyAlignment="1">
      <alignment horizontal="left"/>
    </xf>
    <xf numFmtId="0" fontId="21" fillId="10" borderId="7" xfId="0" applyFont="1" applyFill="1" applyBorder="1"/>
    <xf numFmtId="0" fontId="20" fillId="0" borderId="0" xfId="0" applyFont="1" applyAlignment="1">
      <alignment horizontal="center"/>
    </xf>
    <xf numFmtId="0" fontId="23" fillId="8" borderId="22" xfId="0" applyFont="1" applyFill="1" applyBorder="1"/>
    <xf numFmtId="0" fontId="23" fillId="8" borderId="22" xfId="0" applyFont="1" applyFill="1" applyBorder="1" applyAlignment="1">
      <alignment horizontal="right"/>
    </xf>
    <xf numFmtId="0" fontId="17" fillId="0" borderId="0" xfId="0" applyFont="1" applyAlignment="1">
      <alignment horizontal="left" wrapText="1"/>
    </xf>
    <xf numFmtId="0" fontId="77" fillId="0" borderId="0" xfId="0" applyFont="1" applyAlignment="1">
      <alignment vertical="top"/>
    </xf>
    <xf numFmtId="8" fontId="0" fillId="0" borderId="0" xfId="0" applyNumberFormat="1"/>
    <xf numFmtId="8" fontId="0" fillId="0" borderId="0" xfId="0" applyNumberFormat="1" applyAlignment="1">
      <alignment horizontal="right"/>
    </xf>
    <xf numFmtId="0" fontId="27" fillId="8" borderId="7" xfId="0" applyFont="1" applyFill="1" applyBorder="1" applyAlignment="1">
      <alignment horizontal="right"/>
    </xf>
    <xf numFmtId="0" fontId="21" fillId="14" borderId="22" xfId="0" applyFont="1" applyFill="1" applyBorder="1" applyAlignment="1">
      <alignment horizontal="left" vertical="center"/>
    </xf>
    <xf numFmtId="0" fontId="20" fillId="10" borderId="3" xfId="0" applyFont="1" applyFill="1" applyBorder="1" applyAlignment="1">
      <alignment horizontal="center"/>
    </xf>
    <xf numFmtId="0" fontId="21" fillId="14" borderId="3" xfId="0" applyFont="1" applyFill="1" applyBorder="1" applyAlignment="1">
      <alignment vertical="center"/>
    </xf>
    <xf numFmtId="0" fontId="32" fillId="14" borderId="1" xfId="0" applyFont="1" applyFill="1" applyBorder="1" applyAlignment="1">
      <alignment vertical="center"/>
    </xf>
    <xf numFmtId="0" fontId="37" fillId="7" borderId="6" xfId="0" applyFont="1" applyFill="1" applyBorder="1" applyAlignment="1">
      <alignment vertical="center"/>
    </xf>
    <xf numFmtId="0" fontId="32" fillId="14" borderId="6" xfId="0" applyFont="1" applyFill="1" applyBorder="1" applyAlignment="1">
      <alignment vertical="center"/>
    </xf>
    <xf numFmtId="0" fontId="34" fillId="7" borderId="13" xfId="0" applyFont="1" applyFill="1" applyBorder="1" applyAlignment="1">
      <alignment vertical="center" wrapText="1"/>
    </xf>
    <xf numFmtId="0" fontId="79" fillId="0" borderId="0" xfId="0" applyFont="1" applyAlignment="1">
      <alignment vertical="center" wrapText="1"/>
    </xf>
    <xf numFmtId="0" fontId="34" fillId="0" borderId="1" xfId="0" applyFont="1" applyBorder="1" applyAlignment="1">
      <alignment vertical="center" wrapText="1"/>
    </xf>
    <xf numFmtId="0" fontId="81" fillId="7" borderId="6" xfId="0" applyFont="1" applyFill="1" applyBorder="1" applyAlignment="1">
      <alignment vertical="center" wrapText="1"/>
    </xf>
    <xf numFmtId="0" fontId="79" fillId="7" borderId="1" xfId="0" applyFont="1" applyFill="1" applyBorder="1" applyAlignment="1">
      <alignment vertical="center" wrapText="1"/>
    </xf>
    <xf numFmtId="0" fontId="22" fillId="0" borderId="33" xfId="1" applyBorder="1" applyAlignment="1">
      <alignment vertical="center"/>
    </xf>
    <xf numFmtId="0" fontId="21" fillId="10" borderId="1" xfId="0" applyFont="1" applyFill="1" applyBorder="1"/>
    <xf numFmtId="0" fontId="21" fillId="8" borderId="3" xfId="0" applyFont="1" applyFill="1" applyBorder="1"/>
    <xf numFmtId="0" fontId="114" fillId="7" borderId="1" xfId="0" applyFont="1" applyFill="1" applyBorder="1"/>
    <xf numFmtId="0" fontId="112" fillId="7" borderId="1" xfId="0" applyFont="1" applyFill="1" applyBorder="1" applyAlignment="1">
      <alignment vertical="center" wrapText="1"/>
    </xf>
    <xf numFmtId="0" fontId="115" fillId="8" borderId="33" xfId="0" applyFont="1" applyFill="1" applyBorder="1"/>
    <xf numFmtId="0" fontId="83" fillId="0" borderId="0" xfId="0" applyFont="1"/>
    <xf numFmtId="0" fontId="84" fillId="0" borderId="0" xfId="0" applyFont="1"/>
    <xf numFmtId="0" fontId="84" fillId="0" borderId="0" xfId="0" applyFont="1" applyAlignment="1">
      <alignment vertical="center" wrapText="1"/>
    </xf>
    <xf numFmtId="0" fontId="85" fillId="0" borderId="13" xfId="0" applyFont="1" applyBorder="1" applyAlignment="1">
      <alignment horizontal="center"/>
    </xf>
    <xf numFmtId="0" fontId="39" fillId="14" borderId="1" xfId="0" applyFont="1" applyFill="1" applyBorder="1" applyAlignment="1">
      <alignment horizontal="left"/>
    </xf>
    <xf numFmtId="0" fontId="37" fillId="8" borderId="3" xfId="0" applyFont="1" applyFill="1" applyBorder="1" applyAlignment="1">
      <alignment vertical="center" wrapText="1"/>
    </xf>
    <xf numFmtId="0" fontId="37" fillId="8" borderId="33" xfId="0" applyFont="1" applyFill="1" applyBorder="1" applyAlignment="1">
      <alignment vertical="center" wrapText="1"/>
    </xf>
    <xf numFmtId="0" fontId="37" fillId="0" borderId="33" xfId="0" applyFont="1" applyBorder="1" applyAlignment="1">
      <alignment vertical="center" wrapText="1"/>
    </xf>
    <xf numFmtId="0" fontId="37" fillId="0" borderId="38" xfId="0" applyFont="1" applyBorder="1" applyAlignment="1">
      <alignment vertical="center" wrapText="1"/>
    </xf>
    <xf numFmtId="0" fontId="37" fillId="0" borderId="38" xfId="0" applyFont="1" applyBorder="1" applyAlignment="1">
      <alignment horizontal="center" vertical="center" wrapText="1"/>
    </xf>
    <xf numFmtId="0" fontId="81" fillId="7" borderId="3" xfId="0" applyFont="1" applyFill="1" applyBorder="1" applyAlignment="1">
      <alignment horizontal="center" vertical="center" wrapText="1"/>
    </xf>
    <xf numFmtId="0" fontId="81" fillId="7" borderId="1" xfId="0" applyFont="1" applyFill="1" applyBorder="1" applyAlignment="1">
      <alignment horizontal="left" vertical="center" wrapText="1"/>
    </xf>
    <xf numFmtId="0" fontId="22" fillId="0" borderId="6" xfId="1" applyBorder="1"/>
    <xf numFmtId="0" fontId="70" fillId="0" borderId="0" xfId="1" applyFont="1" applyBorder="1" applyAlignment="1">
      <alignment vertical="center"/>
    </xf>
    <xf numFmtId="0" fontId="17" fillId="0" borderId="0" xfId="0" applyFont="1"/>
    <xf numFmtId="0" fontId="84" fillId="0" borderId="0" xfId="0" applyFont="1" applyAlignment="1">
      <alignment horizontal="left" vertical="top" wrapText="1"/>
    </xf>
    <xf numFmtId="0" fontId="88" fillId="0" borderId="0" xfId="0" applyFont="1" applyAlignment="1">
      <alignment horizontal="left" vertical="top" wrapText="1"/>
    </xf>
    <xf numFmtId="0" fontId="116" fillId="0" borderId="1" xfId="0" applyFont="1" applyBorder="1" applyAlignment="1">
      <alignment vertical="top"/>
    </xf>
    <xf numFmtId="0" fontId="116" fillId="0" borderId="3" xfId="0" applyFont="1" applyBorder="1" applyAlignment="1">
      <alignment vertical="top"/>
    </xf>
    <xf numFmtId="0" fontId="117" fillId="0" borderId="0" xfId="0" applyFont="1"/>
    <xf numFmtId="0" fontId="118" fillId="0" borderId="0" xfId="1" applyFont="1"/>
    <xf numFmtId="0" fontId="85" fillId="7" borderId="6" xfId="0" applyFont="1" applyFill="1" applyBorder="1"/>
    <xf numFmtId="0" fontId="120" fillId="7" borderId="6" xfId="0" applyFont="1" applyFill="1" applyBorder="1" applyAlignment="1">
      <alignment vertical="center" wrapText="1"/>
    </xf>
    <xf numFmtId="0" fontId="81" fillId="7" borderId="6" xfId="0" applyFont="1" applyFill="1" applyBorder="1"/>
    <xf numFmtId="0" fontId="81" fillId="7" borderId="6" xfId="0" applyFont="1" applyFill="1" applyBorder="1" applyAlignment="1">
      <alignment horizontal="left" vertical="center" wrapText="1"/>
    </xf>
    <xf numFmtId="0" fontId="81" fillId="7" borderId="13" xfId="0" applyFont="1" applyFill="1" applyBorder="1" applyAlignment="1">
      <alignment vertical="center" wrapText="1"/>
    </xf>
    <xf numFmtId="0" fontId="85" fillId="7" borderId="4" xfId="0" applyFont="1" applyFill="1" applyBorder="1"/>
    <xf numFmtId="0" fontId="119" fillId="7" borderId="6" xfId="0" applyFont="1" applyFill="1" applyBorder="1" applyAlignment="1">
      <alignment horizontal="left"/>
    </xf>
    <xf numFmtId="0" fontId="27" fillId="7" borderId="9" xfId="0" applyFont="1" applyFill="1" applyBorder="1"/>
    <xf numFmtId="0" fontId="19" fillId="8" borderId="6" xfId="0" applyFont="1" applyFill="1" applyBorder="1" applyAlignment="1">
      <alignment horizontal="left"/>
    </xf>
    <xf numFmtId="0" fontId="19" fillId="8" borderId="9" xfId="0" applyFont="1" applyFill="1" applyBorder="1" applyAlignment="1">
      <alignment horizontal="right"/>
    </xf>
    <xf numFmtId="0" fontId="104" fillId="0" borderId="0" xfId="0" applyFont="1" applyAlignment="1">
      <alignment horizontal="left"/>
    </xf>
    <xf numFmtId="0" fontId="121" fillId="0" borderId="0" xfId="0" applyFont="1"/>
    <xf numFmtId="0" fontId="122" fillId="0" borderId="0" xfId="0" applyFont="1" applyAlignment="1">
      <alignment horizontal="center"/>
    </xf>
    <xf numFmtId="1" fontId="123" fillId="0" borderId="0" xfId="0" applyNumberFormat="1" applyFont="1"/>
    <xf numFmtId="0" fontId="34" fillId="0" borderId="9" xfId="0" applyFont="1" applyBorder="1"/>
    <xf numFmtId="0" fontId="34" fillId="0" borderId="24" xfId="0" applyFont="1" applyBorder="1"/>
    <xf numFmtId="0" fontId="91" fillId="0" borderId="0" xfId="0" applyFont="1"/>
    <xf numFmtId="0" fontId="91" fillId="0" borderId="8" xfId="0" applyFont="1" applyBorder="1"/>
    <xf numFmtId="0" fontId="124" fillId="0" borderId="0" xfId="0" applyFont="1" applyAlignment="1">
      <alignment vertical="center"/>
    </xf>
    <xf numFmtId="0" fontId="125" fillId="0" borderId="0" xfId="0" applyFont="1" applyAlignment="1">
      <alignment wrapText="1"/>
    </xf>
    <xf numFmtId="0" fontId="125" fillId="0" borderId="38" xfId="0" applyFont="1" applyBorder="1"/>
    <xf numFmtId="0" fontId="27" fillId="0" borderId="0" xfId="0" applyFont="1" applyAlignment="1">
      <alignment horizontal="left" vertical="center" wrapText="1"/>
    </xf>
    <xf numFmtId="0" fontId="89" fillId="0" borderId="0" xfId="0" applyFont="1"/>
    <xf numFmtId="0" fontId="21" fillId="8" borderId="33" xfId="0" applyFont="1" applyFill="1" applyBorder="1"/>
    <xf numFmtId="0" fontId="84" fillId="0" borderId="0" xfId="0" applyFont="1" applyAlignment="1">
      <alignment wrapText="1"/>
    </xf>
    <xf numFmtId="0" fontId="81" fillId="0" borderId="0" xfId="0" applyFont="1"/>
    <xf numFmtId="0" fontId="21" fillId="8" borderId="22" xfId="0" applyFont="1" applyFill="1" applyBorder="1"/>
    <xf numFmtId="0" fontId="82" fillId="8" borderId="6" xfId="0" applyFont="1" applyFill="1" applyBorder="1"/>
    <xf numFmtId="0" fontId="21" fillId="10" borderId="6" xfId="0" applyFont="1" applyFill="1" applyBorder="1"/>
    <xf numFmtId="0" fontId="23" fillId="8" borderId="13" xfId="0" applyFont="1" applyFill="1" applyBorder="1"/>
    <xf numFmtId="0" fontId="114" fillId="7" borderId="6" xfId="0" applyFont="1" applyFill="1" applyBorder="1"/>
    <xf numFmtId="0" fontId="0" fillId="7" borderId="13" xfId="0" applyFill="1" applyBorder="1"/>
    <xf numFmtId="0" fontId="37" fillId="7" borderId="6" xfId="0" applyFont="1" applyFill="1" applyBorder="1" applyAlignment="1">
      <alignment horizontal="left" vertical="center"/>
    </xf>
    <xf numFmtId="0" fontId="77" fillId="0" borderId="1" xfId="0" applyFont="1" applyBorder="1"/>
    <xf numFmtId="0" fontId="81" fillId="0" borderId="0" xfId="0" applyFont="1" applyAlignment="1">
      <alignment wrapText="1"/>
    </xf>
    <xf numFmtId="0" fontId="81" fillId="0" borderId="8" xfId="0" applyFont="1" applyBorder="1" applyAlignment="1">
      <alignment horizontal="left" vertical="top" wrapText="1"/>
    </xf>
    <xf numFmtId="0" fontId="81" fillId="0" borderId="0" xfId="0" applyFont="1" applyAlignment="1">
      <alignment horizontal="left"/>
    </xf>
    <xf numFmtId="1" fontId="20" fillId="0" borderId="0" xfId="0" applyNumberFormat="1" applyFont="1"/>
    <xf numFmtId="0" fontId="119" fillId="8" borderId="6" xfId="0" applyFont="1" applyFill="1" applyBorder="1" applyAlignment="1">
      <alignment horizontal="left"/>
    </xf>
    <xf numFmtId="0" fontId="0" fillId="14" borderId="3" xfId="0" applyFill="1" applyBorder="1" applyAlignment="1">
      <alignment horizontal="left" vertical="center"/>
    </xf>
    <xf numFmtId="0" fontId="27" fillId="0" borderId="8" xfId="0" applyFont="1" applyBorder="1" applyAlignment="1">
      <alignment vertical="center" wrapText="1"/>
    </xf>
    <xf numFmtId="0" fontId="21" fillId="8" borderId="7" xfId="0" applyFont="1" applyFill="1" applyBorder="1" applyAlignment="1">
      <alignment horizontal="left"/>
    </xf>
    <xf numFmtId="0" fontId="0" fillId="14" borderId="3" xfId="0" applyFill="1" applyBorder="1"/>
    <xf numFmtId="0" fontId="0" fillId="8" borderId="3" xfId="0" applyFill="1" applyBorder="1"/>
    <xf numFmtId="0" fontId="85" fillId="7" borderId="1" xfId="0" applyFont="1" applyFill="1" applyBorder="1"/>
    <xf numFmtId="0" fontId="0" fillId="14" borderId="5" xfId="0" applyFill="1" applyBorder="1"/>
    <xf numFmtId="0" fontId="85" fillId="8" borderId="6" xfId="0" applyFont="1" applyFill="1" applyBorder="1"/>
    <xf numFmtId="0" fontId="81" fillId="7" borderId="3" xfId="0" applyFont="1" applyFill="1" applyBorder="1" applyAlignment="1">
      <alignment horizontal="left" vertical="center" wrapText="1"/>
    </xf>
    <xf numFmtId="0" fontId="79" fillId="7" borderId="3" xfId="0" applyFont="1" applyFill="1" applyBorder="1" applyAlignment="1">
      <alignment vertical="center" wrapText="1"/>
    </xf>
    <xf numFmtId="0" fontId="82" fillId="0" borderId="38" xfId="0" applyFont="1" applyBorder="1"/>
    <xf numFmtId="0" fontId="19" fillId="8" borderId="1" xfId="0" applyFont="1" applyFill="1" applyBorder="1" applyAlignment="1">
      <alignment horizontal="center" vertical="center"/>
    </xf>
    <xf numFmtId="0" fontId="19" fillId="8" borderId="1" xfId="0" applyFont="1" applyFill="1" applyBorder="1" applyAlignment="1">
      <alignment vertical="center"/>
    </xf>
    <xf numFmtId="0" fontId="114" fillId="7" borderId="6" xfId="0" applyFont="1" applyFill="1" applyBorder="1" applyAlignment="1">
      <alignment wrapText="1"/>
    </xf>
    <xf numFmtId="0" fontId="126" fillId="0" borderId="0" xfId="0" applyFont="1" applyAlignment="1">
      <alignment wrapText="1"/>
    </xf>
    <xf numFmtId="0" fontId="82" fillId="7" borderId="6" xfId="0" applyFont="1" applyFill="1" applyBorder="1"/>
    <xf numFmtId="0" fontId="82" fillId="7" borderId="6" xfId="0" applyFont="1" applyFill="1" applyBorder="1" applyAlignment="1">
      <alignment wrapText="1"/>
    </xf>
    <xf numFmtId="0" fontId="82" fillId="0" borderId="0" xfId="0" applyFont="1" applyAlignment="1">
      <alignment vertical="center" wrapText="1"/>
    </xf>
    <xf numFmtId="0" fontId="82" fillId="0" borderId="2" xfId="0" applyFont="1" applyBorder="1" applyAlignment="1">
      <alignment vertical="center" wrapText="1"/>
    </xf>
    <xf numFmtId="0" fontId="82" fillId="7" borderId="6" xfId="0" applyFont="1" applyFill="1" applyBorder="1" applyAlignment="1">
      <alignment vertical="center" wrapText="1"/>
    </xf>
    <xf numFmtId="0" fontId="127" fillId="7" borderId="1" xfId="0" applyFont="1" applyFill="1" applyBorder="1" applyAlignment="1">
      <alignment vertical="center" wrapText="1"/>
    </xf>
    <xf numFmtId="9" fontId="0" fillId="0" borderId="0" xfId="2" applyFont="1" applyBorder="1" applyAlignment="1">
      <alignment horizontal="left"/>
    </xf>
    <xf numFmtId="0" fontId="34" fillId="0" borderId="6" xfId="0" applyFont="1" applyBorder="1" applyAlignment="1">
      <alignment vertical="top"/>
    </xf>
    <xf numFmtId="0" fontId="84" fillId="0" borderId="1" xfId="0" applyFont="1" applyBorder="1" applyAlignment="1">
      <alignment vertical="top" wrapText="1"/>
    </xf>
    <xf numFmtId="0" fontId="84" fillId="0" borderId="1" xfId="0" applyFont="1" applyBorder="1" applyAlignment="1">
      <alignment vertical="center" wrapText="1"/>
    </xf>
    <xf numFmtId="0" fontId="72" fillId="0" borderId="1" xfId="0" applyFont="1" applyBorder="1" applyAlignment="1">
      <alignment wrapText="1"/>
    </xf>
    <xf numFmtId="0" fontId="22" fillId="0" borderId="6" xfId="1" applyFill="1" applyBorder="1"/>
    <xf numFmtId="0" fontId="116" fillId="0" borderId="1" xfId="0" applyFont="1" applyBorder="1" applyAlignment="1">
      <alignment vertical="top" wrapText="1"/>
    </xf>
    <xf numFmtId="0" fontId="57" fillId="6" borderId="1" xfId="0" applyFont="1" applyFill="1" applyBorder="1" applyAlignment="1">
      <alignment wrapText="1"/>
    </xf>
    <xf numFmtId="0" fontId="57" fillId="14" borderId="1" xfId="0" applyFont="1" applyFill="1" applyBorder="1" applyAlignment="1">
      <alignment horizontal="center" vertical="center"/>
    </xf>
    <xf numFmtId="0" fontId="85" fillId="0" borderId="1" xfId="0" applyFont="1" applyBorder="1" applyAlignment="1">
      <alignment vertical="center" wrapText="1"/>
    </xf>
    <xf numFmtId="0" fontId="85" fillId="0" borderId="9" xfId="0" applyFont="1" applyBorder="1" applyAlignment="1">
      <alignment vertical="center" wrapText="1"/>
    </xf>
    <xf numFmtId="0" fontId="85" fillId="0" borderId="17" xfId="0" applyFont="1" applyBorder="1" applyAlignment="1">
      <alignment horizontal="center" vertical="center" wrapText="1"/>
    </xf>
    <xf numFmtId="0" fontId="85" fillId="0" borderId="18" xfId="0" applyFont="1" applyBorder="1" applyAlignment="1">
      <alignment horizontal="center" vertical="center" wrapText="1"/>
    </xf>
    <xf numFmtId="0" fontId="85" fillId="8" borderId="6" xfId="0" applyFont="1" applyFill="1" applyBorder="1" applyAlignment="1">
      <alignment horizontal="left" vertical="center"/>
    </xf>
    <xf numFmtId="0" fontId="1" fillId="14" borderId="1" xfId="0" applyFont="1" applyFill="1" applyBorder="1" applyAlignment="1">
      <alignment horizontal="left" vertical="center"/>
    </xf>
    <xf numFmtId="0" fontId="85" fillId="7" borderId="6" xfId="0" applyFont="1" applyFill="1" applyBorder="1" applyAlignment="1">
      <alignment horizontal="left" vertical="center"/>
    </xf>
    <xf numFmtId="0" fontId="85" fillId="7" borderId="6" xfId="0" applyFont="1" applyFill="1" applyBorder="1" applyAlignment="1">
      <alignment horizontal="left" vertical="center" wrapText="1"/>
    </xf>
    <xf numFmtId="0" fontId="85" fillId="7" borderId="13" xfId="0" applyFont="1" applyFill="1" applyBorder="1" applyAlignment="1">
      <alignment horizontal="left" vertical="center" wrapText="1"/>
    </xf>
    <xf numFmtId="0" fontId="85" fillId="7" borderId="1" xfId="0" applyFont="1" applyFill="1" applyBorder="1" applyAlignment="1">
      <alignment horizontal="left" vertical="center" wrapText="1"/>
    </xf>
    <xf numFmtId="0" fontId="85" fillId="7" borderId="1" xfId="0" applyFont="1" applyFill="1" applyBorder="1" applyAlignment="1">
      <alignment horizontal="left" vertical="center"/>
    </xf>
    <xf numFmtId="0" fontId="128" fillId="0" borderId="38" xfId="0" applyFont="1" applyBorder="1"/>
    <xf numFmtId="0" fontId="119" fillId="0" borderId="0" xfId="0" applyFont="1" applyAlignment="1">
      <alignment horizontal="left"/>
    </xf>
    <xf numFmtId="0" fontId="119" fillId="0" borderId="1" xfId="0" applyFont="1" applyBorder="1" applyAlignment="1">
      <alignment horizontal="left"/>
    </xf>
    <xf numFmtId="0" fontId="112" fillId="7" borderId="6" xfId="0" applyFont="1" applyFill="1" applyBorder="1" applyAlignment="1">
      <alignment vertical="center" wrapText="1"/>
    </xf>
    <xf numFmtId="0" fontId="112" fillId="7" borderId="13" xfId="0" applyFont="1" applyFill="1" applyBorder="1" applyAlignment="1">
      <alignment vertical="center" wrapText="1"/>
    </xf>
    <xf numFmtId="0" fontId="19" fillId="8" borderId="22" xfId="0" applyFont="1" applyFill="1" applyBorder="1" applyAlignment="1">
      <alignment horizontal="right"/>
    </xf>
    <xf numFmtId="0" fontId="82" fillId="8" borderId="1" xfId="0" applyFont="1" applyFill="1" applyBorder="1" applyAlignment="1">
      <alignment vertical="center" wrapText="1"/>
    </xf>
    <xf numFmtId="0" fontId="112" fillId="0" borderId="0" xfId="0" applyFont="1" applyAlignment="1">
      <alignment vertical="center" wrapText="1"/>
    </xf>
    <xf numFmtId="0" fontId="5" fillId="0" borderId="1" xfId="0" applyFont="1" applyBorder="1" applyAlignment="1">
      <alignment vertical="center"/>
    </xf>
    <xf numFmtId="0" fontId="23" fillId="8" borderId="8" xfId="0" applyFont="1" applyFill="1" applyBorder="1" applyAlignment="1">
      <alignment horizontal="left"/>
    </xf>
    <xf numFmtId="0" fontId="130" fillId="8" borderId="1" xfId="0" applyFont="1" applyFill="1" applyBorder="1" applyAlignment="1">
      <alignment wrapText="1"/>
    </xf>
    <xf numFmtId="0" fontId="0" fillId="0" borderId="1" xfId="0" applyBorder="1" applyAlignment="1">
      <alignment vertical="center"/>
    </xf>
    <xf numFmtId="0" fontId="0" fillId="0" borderId="1" xfId="0" applyBorder="1" applyAlignment="1">
      <alignment horizontal="left" vertical="center"/>
    </xf>
    <xf numFmtId="0" fontId="116" fillId="0" borderId="1" xfId="0" applyFont="1" applyBorder="1" applyAlignment="1">
      <alignment horizontal="left" vertical="center"/>
    </xf>
    <xf numFmtId="0" fontId="116" fillId="0" borderId="3" xfId="0" applyFont="1" applyBorder="1" applyAlignment="1">
      <alignment horizontal="left" vertical="center"/>
    </xf>
    <xf numFmtId="0" fontId="7" fillId="7" borderId="1" xfId="0" applyFont="1" applyFill="1" applyBorder="1" applyAlignment="1">
      <alignment vertical="center"/>
    </xf>
    <xf numFmtId="0" fontId="7" fillId="0" borderId="0" xfId="0" applyFont="1" applyAlignment="1">
      <alignment vertical="center"/>
    </xf>
    <xf numFmtId="0" fontId="22" fillId="0" borderId="6" xfId="1" applyBorder="1" applyAlignment="1">
      <alignment horizontal="left"/>
    </xf>
    <xf numFmtId="0" fontId="103" fillId="16" borderId="4" xfId="0" applyFont="1" applyFill="1" applyBorder="1" applyAlignment="1">
      <alignment vertical="center"/>
    </xf>
    <xf numFmtId="0" fontId="103" fillId="16" borderId="2" xfId="0" applyFont="1" applyFill="1" applyBorder="1" applyAlignment="1">
      <alignment vertical="center"/>
    </xf>
    <xf numFmtId="0" fontId="84" fillId="0" borderId="0" xfId="0" applyFont="1" applyAlignment="1">
      <alignment vertical="top" wrapText="1"/>
    </xf>
    <xf numFmtId="0" fontId="84" fillId="8" borderId="7" xfId="0" applyFont="1" applyFill="1" applyBorder="1"/>
    <xf numFmtId="0" fontId="27" fillId="0" borderId="1" xfId="0" applyFont="1" applyBorder="1" applyAlignment="1">
      <alignment vertical="center" wrapText="1"/>
    </xf>
    <xf numFmtId="0" fontId="85" fillId="0" borderId="0" xfId="0" applyFont="1" applyAlignment="1">
      <alignment horizontal="left" vertical="top" wrapText="1"/>
    </xf>
    <xf numFmtId="0" fontId="0" fillId="0" borderId="1" xfId="0" applyBorder="1" applyAlignment="1">
      <alignment horizontal="left" vertical="center" wrapText="1"/>
    </xf>
    <xf numFmtId="0" fontId="85" fillId="14" borderId="1" xfId="0" applyFont="1" applyFill="1" applyBorder="1" applyAlignment="1">
      <alignment horizontal="left" vertical="center"/>
    </xf>
    <xf numFmtId="0" fontId="21" fillId="14" borderId="6" xfId="0" applyFont="1" applyFill="1" applyBorder="1" applyAlignment="1">
      <alignment vertical="center"/>
    </xf>
    <xf numFmtId="0" fontId="21" fillId="14" borderId="6" xfId="0" applyFont="1" applyFill="1" applyBorder="1" applyAlignment="1">
      <alignment horizontal="left" vertical="center"/>
    </xf>
    <xf numFmtId="0" fontId="21" fillId="14" borderId="33" xfId="0" applyFont="1" applyFill="1" applyBorder="1" applyAlignment="1">
      <alignment vertical="center"/>
    </xf>
    <xf numFmtId="0" fontId="21" fillId="14" borderId="8" xfId="0" applyFont="1" applyFill="1" applyBorder="1" applyAlignment="1">
      <alignment vertical="center"/>
    </xf>
    <xf numFmtId="0" fontId="129" fillId="0" borderId="0" xfId="0" applyFont="1" applyAlignment="1">
      <alignment vertical="top"/>
    </xf>
    <xf numFmtId="0" fontId="85" fillId="0" borderId="0" xfId="0" applyFont="1" applyAlignment="1">
      <alignment horizontal="left" vertical="top"/>
    </xf>
    <xf numFmtId="0" fontId="129" fillId="0" borderId="0" xfId="0" applyFont="1" applyAlignment="1">
      <alignment horizontal="left" vertical="top"/>
    </xf>
    <xf numFmtId="0" fontId="27" fillId="7" borderId="1" xfId="0" applyFont="1" applyFill="1" applyBorder="1" applyAlignment="1">
      <alignment vertical="top" wrapText="1"/>
    </xf>
    <xf numFmtId="0" fontId="19" fillId="7" borderId="1" xfId="0" applyFont="1" applyFill="1" applyBorder="1" applyAlignment="1">
      <alignment vertical="top"/>
    </xf>
    <xf numFmtId="0" fontId="23" fillId="8" borderId="7" xfId="0" applyFont="1" applyFill="1" applyBorder="1" applyAlignment="1">
      <alignment vertical="top"/>
    </xf>
    <xf numFmtId="0" fontId="37" fillId="7" borderId="1" xfId="0" applyFont="1" applyFill="1" applyBorder="1" applyAlignment="1">
      <alignment vertical="top"/>
    </xf>
    <xf numFmtId="0" fontId="19" fillId="7" borderId="1" xfId="0" applyFont="1" applyFill="1" applyBorder="1" applyAlignment="1">
      <alignment vertical="top" wrapText="1"/>
    </xf>
    <xf numFmtId="0" fontId="129" fillId="7" borderId="1" xfId="0" applyFont="1" applyFill="1" applyBorder="1" applyAlignment="1">
      <alignment horizontal="left" vertical="top"/>
    </xf>
    <xf numFmtId="0" fontId="85" fillId="7" borderId="1" xfId="0" applyFont="1" applyFill="1" applyBorder="1" applyAlignment="1">
      <alignment vertical="top" wrapText="1"/>
    </xf>
    <xf numFmtId="0" fontId="85" fillId="7" borderId="1" xfId="0" applyFont="1" applyFill="1" applyBorder="1" applyAlignment="1">
      <alignment vertical="top"/>
    </xf>
    <xf numFmtId="0" fontId="129" fillId="7" borderId="1" xfId="0" applyFont="1" applyFill="1" applyBorder="1" applyAlignment="1">
      <alignment horizontal="left" vertical="top" wrapText="1"/>
    </xf>
    <xf numFmtId="0" fontId="84" fillId="7" borderId="1" xfId="0" applyFont="1" applyFill="1" applyBorder="1" applyAlignment="1">
      <alignment vertical="top" wrapText="1"/>
    </xf>
    <xf numFmtId="0" fontId="82" fillId="0" borderId="0" xfId="0" applyFont="1"/>
    <xf numFmtId="0" fontId="52" fillId="0" borderId="0" xfId="0" applyFont="1" applyAlignment="1">
      <alignment vertical="center"/>
    </xf>
    <xf numFmtId="0" fontId="52" fillId="0" borderId="0" xfId="0" applyFont="1"/>
    <xf numFmtId="0" fontId="23" fillId="0" borderId="0" xfId="0" applyFont="1" applyAlignment="1">
      <alignment horizontal="left"/>
    </xf>
    <xf numFmtId="0" fontId="82" fillId="0" borderId="0" xfId="0" applyFont="1" applyAlignment="1">
      <alignment horizontal="left" vertical="top" wrapText="1"/>
    </xf>
    <xf numFmtId="0" fontId="127" fillId="7" borderId="3" xfId="0" applyFont="1" applyFill="1" applyBorder="1" applyAlignment="1">
      <alignment vertical="center" wrapText="1"/>
    </xf>
    <xf numFmtId="0" fontId="82" fillId="7" borderId="33" xfId="0" applyFont="1" applyFill="1" applyBorder="1" applyAlignment="1">
      <alignment vertical="center" wrapText="1"/>
    </xf>
    <xf numFmtId="0" fontId="127" fillId="0" borderId="0" xfId="0" applyFont="1" applyAlignment="1">
      <alignment vertical="center" wrapText="1"/>
    </xf>
    <xf numFmtId="0" fontId="37" fillId="7" borderId="13" xfId="0" applyFont="1" applyFill="1" applyBorder="1" applyAlignment="1">
      <alignment horizontal="left" vertical="center"/>
    </xf>
    <xf numFmtId="0" fontId="19" fillId="8" borderId="6" xfId="0" applyFont="1" applyFill="1" applyBorder="1" applyAlignment="1">
      <alignment horizontal="left" vertical="center"/>
    </xf>
    <xf numFmtId="0" fontId="19" fillId="8" borderId="1" xfId="0" applyFont="1" applyFill="1" applyBorder="1" applyAlignment="1">
      <alignment horizontal="left" vertical="center"/>
    </xf>
    <xf numFmtId="0" fontId="125" fillId="0" borderId="38" xfId="0" applyFont="1" applyBorder="1" applyAlignment="1">
      <alignment vertical="top"/>
    </xf>
    <xf numFmtId="0" fontId="134" fillId="17" borderId="0" xfId="0" applyFont="1" applyFill="1" applyAlignment="1">
      <alignment horizontal="center" vertical="center"/>
    </xf>
    <xf numFmtId="0" fontId="21" fillId="14" borderId="4" xfId="0" applyFont="1" applyFill="1" applyBorder="1" applyAlignment="1">
      <alignment vertical="center"/>
    </xf>
    <xf numFmtId="0" fontId="37" fillId="7" borderId="9" xfId="0" applyFont="1" applyFill="1" applyBorder="1" applyAlignment="1">
      <alignment vertical="center" wrapText="1"/>
    </xf>
    <xf numFmtId="0" fontId="84" fillId="8" borderId="7" xfId="0" applyFont="1" applyFill="1" applyBorder="1" applyAlignment="1">
      <alignment horizontal="right" wrapText="1"/>
    </xf>
    <xf numFmtId="0" fontId="84" fillId="0" borderId="8" xfId="0" applyFont="1" applyBorder="1" applyAlignment="1">
      <alignment horizontal="left" vertical="top" wrapText="1"/>
    </xf>
    <xf numFmtId="0" fontId="19" fillId="8" borderId="7" xfId="0" applyFont="1" applyFill="1" applyBorder="1" applyAlignment="1">
      <alignment vertical="center"/>
    </xf>
    <xf numFmtId="0" fontId="130" fillId="8" borderId="99" xfId="0" applyFont="1" applyFill="1" applyBorder="1" applyAlignment="1">
      <alignment vertical="center" wrapText="1"/>
    </xf>
    <xf numFmtId="0" fontId="124" fillId="0" borderId="0" xfId="0" applyFont="1" applyAlignment="1">
      <alignment vertical="top" wrapText="1"/>
    </xf>
    <xf numFmtId="0" fontId="19" fillId="0" borderId="0" xfId="0" applyFont="1" applyAlignment="1">
      <alignment horizontal="left" vertical="top"/>
    </xf>
    <xf numFmtId="0" fontId="85" fillId="0" borderId="0" xfId="0" applyFont="1" applyAlignment="1">
      <alignment wrapText="1"/>
    </xf>
    <xf numFmtId="0" fontId="34" fillId="14" borderId="6" xfId="0" applyFont="1" applyFill="1" applyBorder="1" applyAlignment="1">
      <alignment vertical="center"/>
    </xf>
    <xf numFmtId="0" fontId="112" fillId="0" borderId="0" xfId="0" applyFont="1" applyAlignment="1">
      <alignment horizontal="left" vertical="center" wrapText="1"/>
    </xf>
    <xf numFmtId="0" fontId="34" fillId="14" borderId="9" xfId="0" applyFont="1" applyFill="1" applyBorder="1" applyAlignment="1">
      <alignment vertical="center"/>
    </xf>
    <xf numFmtId="0" fontId="85" fillId="0" borderId="0" xfId="0" applyFont="1" applyAlignment="1">
      <alignment vertical="center" wrapText="1"/>
    </xf>
    <xf numFmtId="0" fontId="18" fillId="14" borderId="99" xfId="0" applyFont="1" applyFill="1" applyBorder="1" applyAlignment="1">
      <alignment horizontal="center" vertical="center"/>
    </xf>
    <xf numFmtId="0" fontId="34" fillId="14" borderId="33" xfId="0" applyFont="1" applyFill="1" applyBorder="1" applyAlignment="1">
      <alignment vertical="center"/>
    </xf>
    <xf numFmtId="0" fontId="112" fillId="7" borderId="11" xfId="0" applyFont="1" applyFill="1" applyBorder="1" applyAlignment="1">
      <alignment vertical="center" wrapText="1"/>
    </xf>
    <xf numFmtId="0" fontId="4" fillId="0" borderId="41" xfId="0" applyFont="1" applyBorder="1"/>
    <xf numFmtId="0" fontId="84" fillId="8" borderId="7" xfId="0" applyFont="1" applyFill="1" applyBorder="1" applyAlignment="1">
      <alignment wrapText="1"/>
    </xf>
    <xf numFmtId="0" fontId="0" fillId="0" borderId="3" xfId="0" applyBorder="1" applyAlignment="1">
      <alignment horizontal="left"/>
    </xf>
    <xf numFmtId="0" fontId="0" fillId="0" borderId="3" xfId="0" applyBorder="1" applyAlignment="1">
      <alignment vertical="center"/>
    </xf>
    <xf numFmtId="0" fontId="0" fillId="0" borderId="3" xfId="0" applyBorder="1" applyAlignment="1">
      <alignment vertical="top" wrapText="1"/>
    </xf>
    <xf numFmtId="0" fontId="19" fillId="8" borderId="6" xfId="0" applyFont="1" applyFill="1" applyBorder="1" applyAlignment="1">
      <alignment horizontal="left" vertical="center" wrapText="1"/>
    </xf>
    <xf numFmtId="0" fontId="85" fillId="14" borderId="70" xfId="0" applyFont="1" applyFill="1" applyBorder="1" applyAlignment="1">
      <alignment horizontal="left" vertical="center"/>
    </xf>
    <xf numFmtId="0" fontId="0" fillId="7" borderId="102" xfId="0" applyFill="1" applyBorder="1"/>
    <xf numFmtId="0" fontId="85" fillId="14" borderId="103" xfId="0" applyFont="1" applyFill="1" applyBorder="1" applyAlignment="1">
      <alignment horizontal="left" vertical="center"/>
    </xf>
    <xf numFmtId="0" fontId="0" fillId="7" borderId="58" xfId="0" applyFill="1" applyBorder="1"/>
    <xf numFmtId="0" fontId="85" fillId="14" borderId="73" xfId="0" applyFont="1" applyFill="1" applyBorder="1" applyAlignment="1">
      <alignment horizontal="left" vertical="center"/>
    </xf>
    <xf numFmtId="0" fontId="0" fillId="7" borderId="104" xfId="0" applyFill="1" applyBorder="1"/>
    <xf numFmtId="0" fontId="84" fillId="8" borderId="7" xfId="0" applyFont="1" applyFill="1" applyBorder="1" applyAlignment="1">
      <alignment vertical="top"/>
    </xf>
    <xf numFmtId="0" fontId="0" fillId="0" borderId="8" xfId="0" applyBorder="1" applyAlignment="1">
      <alignment horizontal="left" vertical="top" wrapText="1"/>
    </xf>
    <xf numFmtId="0" fontId="129" fillId="7" borderId="1" xfId="0" applyFont="1" applyFill="1" applyBorder="1" applyAlignment="1">
      <alignment horizontal="left"/>
    </xf>
    <xf numFmtId="0" fontId="129" fillId="7" borderId="1" xfId="0" applyFont="1" applyFill="1" applyBorder="1" applyAlignment="1">
      <alignment horizontal="left" wrapText="1"/>
    </xf>
    <xf numFmtId="0" fontId="84" fillId="7" borderId="1" xfId="0" applyFont="1" applyFill="1" applyBorder="1" applyAlignment="1">
      <alignment horizontal="left"/>
    </xf>
    <xf numFmtId="0" fontId="21" fillId="10" borderId="0" xfId="0" applyFont="1" applyFill="1"/>
    <xf numFmtId="0" fontId="103" fillId="16" borderId="0" xfId="0" applyFont="1" applyFill="1" applyAlignment="1">
      <alignment horizontal="center"/>
    </xf>
    <xf numFmtId="0" fontId="27" fillId="11" borderId="0" xfId="0" applyFont="1" applyFill="1" applyAlignment="1">
      <alignment horizontal="center" vertical="center" wrapText="1"/>
    </xf>
    <xf numFmtId="0" fontId="37" fillId="0" borderId="1" xfId="0" applyFont="1" applyBorder="1" applyAlignment="1">
      <alignment horizontal="left" vertical="center"/>
    </xf>
    <xf numFmtId="49" fontId="19" fillId="14" borderId="1" xfId="0" applyNumberFormat="1" applyFont="1" applyFill="1" applyBorder="1" applyAlignment="1">
      <alignment horizontal="center" vertical="center"/>
    </xf>
    <xf numFmtId="49" fontId="0" fillId="0" borderId="1" xfId="0" applyNumberFormat="1" applyBorder="1"/>
    <xf numFmtId="49" fontId="0" fillId="0" borderId="1" xfId="5" applyNumberFormat="1" applyFont="1" applyBorder="1"/>
    <xf numFmtId="4" fontId="0" fillId="0" borderId="1" xfId="2" applyNumberFormat="1" applyFont="1" applyBorder="1"/>
    <xf numFmtId="0" fontId="119" fillId="7" borderId="1" xfId="0" applyFont="1" applyFill="1" applyBorder="1" applyAlignment="1">
      <alignment horizontal="left"/>
    </xf>
    <xf numFmtId="0" fontId="85" fillId="6" borderId="38" xfId="0" applyFont="1" applyFill="1" applyBorder="1" applyAlignment="1">
      <alignment vertical="center" wrapText="1"/>
    </xf>
    <xf numFmtId="0" fontId="85" fillId="6" borderId="0" xfId="0" applyFont="1" applyFill="1" applyAlignment="1">
      <alignment vertical="center" wrapText="1"/>
    </xf>
    <xf numFmtId="0" fontId="130" fillId="34" borderId="3" xfId="0" applyFont="1" applyFill="1" applyBorder="1" applyAlignment="1">
      <alignment wrapText="1"/>
    </xf>
    <xf numFmtId="0" fontId="85" fillId="7" borderId="1" xfId="0" applyFont="1" applyFill="1" applyBorder="1" applyAlignment="1">
      <alignment vertical="center"/>
    </xf>
    <xf numFmtId="0" fontId="103" fillId="6" borderId="4" xfId="0" applyFont="1" applyFill="1" applyBorder="1" applyAlignment="1">
      <alignment horizontal="center" vertical="center"/>
    </xf>
    <xf numFmtId="0" fontId="103" fillId="6" borderId="2" xfId="0" applyFont="1" applyFill="1" applyBorder="1" applyAlignment="1">
      <alignment horizontal="center" vertical="center"/>
    </xf>
    <xf numFmtId="0" fontId="0" fillId="14" borderId="1" xfId="0" applyFill="1" applyBorder="1" applyAlignment="1">
      <alignment horizontal="left" wrapText="1"/>
    </xf>
    <xf numFmtId="1" fontId="34" fillId="10" borderId="1" xfId="0" applyNumberFormat="1" applyFont="1" applyFill="1" applyBorder="1"/>
    <xf numFmtId="0" fontId="27" fillId="11" borderId="23" xfId="0" applyFont="1" applyFill="1" applyBorder="1" applyAlignment="1">
      <alignment vertical="center" wrapText="1"/>
    </xf>
    <xf numFmtId="0" fontId="85" fillId="7" borderId="6" xfId="0" applyFont="1" applyFill="1" applyBorder="1" applyAlignment="1">
      <alignment vertical="top" wrapText="1"/>
    </xf>
    <xf numFmtId="0" fontId="20" fillId="0" borderId="8" xfId="0" applyFont="1" applyBorder="1"/>
    <xf numFmtId="0" fontId="85" fillId="10" borderId="6" xfId="0" applyFont="1" applyFill="1" applyBorder="1" applyAlignment="1">
      <alignment wrapText="1"/>
    </xf>
    <xf numFmtId="0" fontId="27" fillId="11" borderId="25" xfId="0" applyFont="1" applyFill="1" applyBorder="1" applyAlignment="1">
      <alignment vertical="center" wrapText="1"/>
    </xf>
    <xf numFmtId="0" fontId="27" fillId="11" borderId="26" xfId="0" applyFont="1" applyFill="1" applyBorder="1" applyAlignment="1">
      <alignment vertical="center" wrapText="1"/>
    </xf>
    <xf numFmtId="0" fontId="27" fillId="11" borderId="27" xfId="0" applyFont="1" applyFill="1" applyBorder="1" applyAlignment="1">
      <alignment vertical="center" wrapText="1"/>
    </xf>
    <xf numFmtId="0" fontId="23" fillId="8" borderId="22" xfId="0" applyFont="1" applyFill="1" applyBorder="1" applyAlignment="1">
      <alignment horizontal="left"/>
    </xf>
    <xf numFmtId="0" fontId="20" fillId="10" borderId="33" xfId="0" applyFont="1" applyFill="1" applyBorder="1" applyAlignment="1">
      <alignment horizontal="center"/>
    </xf>
    <xf numFmtId="0" fontId="85" fillId="0" borderId="0" xfId="0" applyFont="1"/>
    <xf numFmtId="0" fontId="27" fillId="0" borderId="3" xfId="0" applyFont="1" applyBorder="1" applyAlignment="1">
      <alignment horizontal="center" vertical="center" wrapText="1"/>
    </xf>
    <xf numFmtId="0" fontId="37" fillId="0" borderId="1" xfId="0" applyFont="1" applyBorder="1" applyAlignment="1">
      <alignment vertical="center" wrapText="1"/>
    </xf>
    <xf numFmtId="0" fontId="22" fillId="18" borderId="41" xfId="1" applyFill="1" applyBorder="1" applyAlignment="1">
      <alignment horizontal="center" vertical="center"/>
    </xf>
    <xf numFmtId="0" fontId="83" fillId="0" borderId="8" xfId="0" applyFont="1" applyBorder="1" applyAlignment="1">
      <alignment horizontal="left" vertical="top"/>
    </xf>
    <xf numFmtId="0" fontId="83" fillId="0" borderId="0" xfId="0" applyFont="1" applyAlignment="1">
      <alignment horizontal="left" vertical="top"/>
    </xf>
    <xf numFmtId="0" fontId="27" fillId="0" borderId="1" xfId="0" applyFont="1" applyBorder="1" applyAlignment="1">
      <alignment horizontal="center" vertical="center" wrapText="1"/>
    </xf>
    <xf numFmtId="0" fontId="85" fillId="33" borderId="6" xfId="0" applyFont="1" applyFill="1" applyBorder="1" applyAlignment="1">
      <alignment vertical="center"/>
    </xf>
    <xf numFmtId="0" fontId="27" fillId="0" borderId="7" xfId="0" applyFont="1" applyBorder="1" applyAlignment="1">
      <alignment horizontal="center" vertical="center" wrapText="1"/>
    </xf>
    <xf numFmtId="0" fontId="19" fillId="14" borderId="0" xfId="0" applyFont="1" applyFill="1" applyAlignment="1">
      <alignment horizontal="center" vertical="center"/>
    </xf>
    <xf numFmtId="0" fontId="85" fillId="33" borderId="1" xfId="0" applyFont="1" applyFill="1" applyBorder="1"/>
    <xf numFmtId="0" fontId="85" fillId="7" borderId="9" xfId="0" applyFont="1" applyFill="1" applyBorder="1"/>
    <xf numFmtId="0" fontId="29" fillId="14" borderId="1" xfId="0" applyFont="1" applyFill="1" applyBorder="1" applyAlignment="1">
      <alignment horizontal="center" vertical="center"/>
    </xf>
    <xf numFmtId="0" fontId="85" fillId="7" borderId="4" xfId="0" applyFont="1" applyFill="1" applyBorder="1" applyAlignment="1">
      <alignment wrapText="1"/>
    </xf>
    <xf numFmtId="0" fontId="85" fillId="8" borderId="4" xfId="0" applyFont="1" applyFill="1" applyBorder="1" applyAlignment="1">
      <alignment wrapText="1"/>
    </xf>
    <xf numFmtId="0" fontId="85" fillId="8" borderId="1" xfId="0" applyFont="1" applyFill="1" applyBorder="1" applyAlignment="1">
      <alignment wrapText="1"/>
    </xf>
    <xf numFmtId="0" fontId="103" fillId="14" borderId="0" xfId="0" applyFont="1" applyFill="1" applyAlignment="1">
      <alignment horizontal="center" vertical="center"/>
    </xf>
    <xf numFmtId="0" fontId="0" fillId="0" borderId="3" xfId="0" applyBorder="1" applyAlignment="1">
      <alignment horizontal="left" vertical="center"/>
    </xf>
    <xf numFmtId="0" fontId="22" fillId="0" borderId="33" xfId="1" applyBorder="1"/>
    <xf numFmtId="0" fontId="91" fillId="2" borderId="0" xfId="0" applyFont="1" applyFill="1"/>
    <xf numFmtId="0" fontId="21" fillId="2" borderId="0" xfId="0" applyFont="1" applyFill="1"/>
    <xf numFmtId="0" fontId="34" fillId="2" borderId="3" xfId="0" applyFont="1" applyFill="1" applyBorder="1"/>
    <xf numFmtId="0" fontId="34" fillId="2" borderId="33" xfId="0" applyFont="1" applyFill="1" applyBorder="1"/>
    <xf numFmtId="0" fontId="22" fillId="2" borderId="33" xfId="1" applyFill="1" applyBorder="1" applyAlignment="1">
      <alignment vertical="center"/>
    </xf>
    <xf numFmtId="0" fontId="116" fillId="2" borderId="1" xfId="0" applyFont="1" applyFill="1" applyBorder="1" applyAlignment="1">
      <alignment vertical="top"/>
    </xf>
    <xf numFmtId="0" fontId="22" fillId="2" borderId="6" xfId="1" applyFill="1" applyBorder="1" applyAlignment="1">
      <alignment vertical="center"/>
    </xf>
    <xf numFmtId="0" fontId="37" fillId="0" borderId="2" xfId="1" applyFont="1" applyBorder="1" applyAlignment="1">
      <alignment vertical="top"/>
    </xf>
    <xf numFmtId="0" fontId="89" fillId="0" borderId="41" xfId="0" applyFont="1" applyBorder="1"/>
    <xf numFmtId="0" fontId="85" fillId="7" borderId="8" xfId="0" applyFont="1" applyFill="1" applyBorder="1" applyAlignment="1">
      <alignment vertical="center" wrapText="1"/>
    </xf>
    <xf numFmtId="0" fontId="85" fillId="0" borderId="41" xfId="0" applyFont="1" applyBorder="1" applyAlignment="1">
      <alignment horizontal="left" vertical="center"/>
    </xf>
    <xf numFmtId="0" fontId="85" fillId="7" borderId="6" xfId="0" applyFont="1" applyFill="1" applyBorder="1" applyAlignment="1">
      <alignment wrapText="1"/>
    </xf>
    <xf numFmtId="0" fontId="27" fillId="0" borderId="18" xfId="0" applyFont="1" applyBorder="1" applyAlignment="1">
      <alignment vertical="center" wrapText="1"/>
    </xf>
    <xf numFmtId="0" fontId="129" fillId="0" borderId="0" xfId="0" applyFont="1" applyAlignment="1">
      <alignment horizontal="left" vertical="top" wrapText="1"/>
    </xf>
    <xf numFmtId="0" fontId="5" fillId="0" borderId="0" xfId="0" applyFont="1" applyAlignment="1">
      <alignment horizontal="left" vertical="top"/>
    </xf>
    <xf numFmtId="0" fontId="82" fillId="8" borderId="6" xfId="0" applyFont="1" applyFill="1" applyBorder="1" applyAlignment="1">
      <alignment horizontal="center" vertical="center" wrapText="1"/>
    </xf>
    <xf numFmtId="0" fontId="34" fillId="14" borderId="1" xfId="0" applyFont="1" applyFill="1" applyBorder="1" applyAlignment="1">
      <alignment horizontal="center" vertical="center"/>
    </xf>
    <xf numFmtId="0" fontId="129" fillId="0" borderId="8" xfId="0" applyFont="1" applyBorder="1" applyAlignment="1">
      <alignment horizontal="left" vertical="top" wrapText="1"/>
    </xf>
    <xf numFmtId="0" fontId="85" fillId="0" borderId="0" xfId="0" applyFont="1" applyAlignment="1">
      <alignment horizontal="left" vertical="center" wrapText="1"/>
    </xf>
    <xf numFmtId="1" fontId="32" fillId="29" borderId="105" xfId="0" applyNumberFormat="1" applyFont="1" applyFill="1" applyBorder="1" applyAlignment="1">
      <alignment horizontal="center"/>
    </xf>
    <xf numFmtId="0" fontId="32" fillId="29" borderId="50" xfId="0" applyFont="1" applyFill="1" applyBorder="1" applyAlignment="1">
      <alignment vertical="center"/>
    </xf>
    <xf numFmtId="0" fontId="32" fillId="29" borderId="50" xfId="0" applyFont="1" applyFill="1" applyBorder="1" applyAlignment="1">
      <alignment vertical="top"/>
    </xf>
    <xf numFmtId="0" fontId="56" fillId="29" borderId="50" xfId="0" applyFont="1" applyFill="1" applyBorder="1" applyAlignment="1">
      <alignment vertical="top"/>
    </xf>
    <xf numFmtId="0" fontId="56" fillId="29" borderId="50" xfId="1" applyFont="1" applyFill="1" applyBorder="1" applyAlignment="1">
      <alignment vertical="top"/>
    </xf>
    <xf numFmtId="1" fontId="34" fillId="18" borderId="105" xfId="0" applyNumberFormat="1" applyFont="1" applyFill="1" applyBorder="1" applyAlignment="1">
      <alignment horizontal="center"/>
    </xf>
    <xf numFmtId="0" fontId="0" fillId="7" borderId="50" xfId="0" applyFill="1" applyBorder="1"/>
    <xf numFmtId="0" fontId="22" fillId="18" borderId="50" xfId="1" applyFill="1" applyBorder="1"/>
    <xf numFmtId="49" fontId="37" fillId="18" borderId="50" xfId="1" applyNumberFormat="1" applyFont="1" applyFill="1" applyBorder="1"/>
    <xf numFmtId="1" fontId="34" fillId="0" borderId="105" xfId="0" applyNumberFormat="1" applyFont="1" applyBorder="1" applyAlignment="1">
      <alignment horizontal="center"/>
    </xf>
    <xf numFmtId="0" fontId="0" fillId="0" borderId="50" xfId="0" applyBorder="1"/>
    <xf numFmtId="0" fontId="22" fillId="0" borderId="50" xfId="1" applyBorder="1"/>
    <xf numFmtId="49" fontId="37" fillId="0" borderId="50" xfId="1" applyNumberFormat="1" applyFont="1" applyBorder="1"/>
    <xf numFmtId="0" fontId="0" fillId="18" borderId="50" xfId="0" applyFill="1" applyBorder="1"/>
    <xf numFmtId="0" fontId="22" fillId="18" borderId="50" xfId="1" applyFill="1" applyBorder="1" applyAlignment="1">
      <alignment horizontal="left" vertical="center"/>
    </xf>
    <xf numFmtId="49" fontId="37" fillId="18" borderId="50" xfId="0" applyNumberFormat="1" applyFont="1" applyFill="1" applyBorder="1"/>
    <xf numFmtId="49" fontId="37" fillId="0" borderId="50" xfId="0" applyNumberFormat="1" applyFont="1" applyBorder="1"/>
    <xf numFmtId="0" fontId="34" fillId="7" borderId="50" xfId="0" applyFont="1" applyFill="1" applyBorder="1"/>
    <xf numFmtId="0" fontId="34" fillId="2" borderId="50" xfId="0" applyFont="1" applyFill="1" applyBorder="1"/>
    <xf numFmtId="49" fontId="37" fillId="0" borderId="50" xfId="1" applyNumberFormat="1" applyFont="1" applyBorder="1" applyAlignment="1">
      <alignment vertical="top"/>
    </xf>
    <xf numFmtId="0" fontId="0" fillId="18" borderId="50" xfId="0" applyFill="1" applyBorder="1" applyAlignment="1">
      <alignment wrapText="1"/>
    </xf>
    <xf numFmtId="0" fontId="0" fillId="0" borderId="50" xfId="0" applyBorder="1" applyAlignment="1">
      <alignment wrapText="1"/>
    </xf>
    <xf numFmtId="0" fontId="7" fillId="0" borderId="0" xfId="0" applyFont="1" applyAlignment="1">
      <alignment horizontal="center"/>
    </xf>
    <xf numFmtId="0" fontId="0" fillId="35" borderId="0" xfId="0" applyFill="1" applyAlignment="1">
      <alignment horizontal="center"/>
    </xf>
    <xf numFmtId="0" fontId="34" fillId="36" borderId="3" xfId="0" applyFont="1" applyFill="1" applyBorder="1"/>
    <xf numFmtId="0" fontId="133" fillId="0" borderId="0" xfId="0" applyFont="1" applyAlignment="1">
      <alignment horizontal="center" vertical="center" wrapText="1"/>
    </xf>
    <xf numFmtId="0" fontId="1" fillId="0" borderId="0" xfId="0" applyFont="1" applyAlignment="1">
      <alignment horizontal="left" vertical="top"/>
    </xf>
    <xf numFmtId="0" fontId="22" fillId="0" borderId="50" xfId="1" applyFill="1" applyBorder="1"/>
    <xf numFmtId="49" fontId="37" fillId="0" borderId="50" xfId="1" applyNumberFormat="1" applyFont="1" applyFill="1" applyBorder="1" applyAlignment="1">
      <alignment vertical="top"/>
    </xf>
    <xf numFmtId="43" fontId="27" fillId="7" borderId="1" xfId="5" applyFont="1" applyFill="1" applyBorder="1"/>
    <xf numFmtId="0" fontId="23" fillId="14" borderId="1" xfId="0" applyFont="1" applyFill="1" applyBorder="1"/>
    <xf numFmtId="0" fontId="23" fillId="14" borderId="1" xfId="0" applyFont="1" applyFill="1" applyBorder="1" applyAlignment="1">
      <alignment horizontal="right"/>
    </xf>
    <xf numFmtId="0" fontId="85" fillId="0" borderId="95" xfId="0" applyFont="1" applyBorder="1" applyAlignment="1">
      <alignment vertical="center" wrapText="1"/>
    </xf>
    <xf numFmtId="0" fontId="85" fillId="0" borderId="5" xfId="0" applyFont="1" applyBorder="1" applyAlignment="1">
      <alignment vertical="center" wrapText="1"/>
    </xf>
    <xf numFmtId="0" fontId="129" fillId="0" borderId="0" xfId="0" applyFont="1" applyAlignment="1">
      <alignment vertical="top" wrapText="1"/>
    </xf>
    <xf numFmtId="0" fontId="85" fillId="0" borderId="0" xfId="0" applyFont="1" applyAlignment="1">
      <alignment vertical="top" wrapText="1"/>
    </xf>
    <xf numFmtId="4" fontId="0" fillId="0" borderId="1" xfId="2" applyNumberFormat="1" applyFont="1" applyBorder="1" applyAlignment="1">
      <alignment horizontal="left"/>
    </xf>
    <xf numFmtId="0" fontId="103" fillId="0" borderId="0" xfId="0" applyFont="1" applyAlignment="1">
      <alignment horizontal="center" vertical="center"/>
    </xf>
    <xf numFmtId="9" fontId="0" fillId="0" borderId="0" xfId="2" applyFont="1" applyFill="1" applyBorder="1" applyAlignment="1">
      <alignment horizontal="left"/>
    </xf>
    <xf numFmtId="9" fontId="1" fillId="0" borderId="0" xfId="2" applyFont="1" applyFill="1" applyBorder="1" applyAlignment="1">
      <alignment horizontal="left"/>
    </xf>
    <xf numFmtId="0" fontId="0" fillId="14" borderId="6" xfId="0" applyFill="1" applyBorder="1" applyAlignment="1">
      <alignment horizontal="left"/>
    </xf>
    <xf numFmtId="0" fontId="48" fillId="0" borderId="0" xfId="0" applyFont="1"/>
    <xf numFmtId="0" fontId="27" fillId="0" borderId="23" xfId="0" applyFont="1" applyBorder="1" applyAlignment="1">
      <alignment horizontal="center" vertical="center"/>
    </xf>
    <xf numFmtId="0" fontId="27" fillId="0" borderId="5" xfId="0" applyFont="1" applyBorder="1" applyAlignment="1">
      <alignment vertical="center"/>
    </xf>
    <xf numFmtId="0" fontId="70" fillId="0" borderId="8" xfId="1" applyFont="1" applyBorder="1" applyAlignment="1">
      <alignment vertical="center"/>
    </xf>
    <xf numFmtId="0" fontId="72" fillId="0" borderId="0" xfId="0" applyFont="1" applyAlignment="1">
      <alignment vertical="top"/>
    </xf>
    <xf numFmtId="0" fontId="21" fillId="8" borderId="8" xfId="0" applyFont="1" applyFill="1" applyBorder="1"/>
    <xf numFmtId="0" fontId="141" fillId="0" borderId="0" xfId="0" applyFont="1"/>
    <xf numFmtId="0" fontId="84" fillId="7" borderId="33" xfId="0" applyFont="1" applyFill="1" applyBorder="1"/>
    <xf numFmtId="0" fontId="56" fillId="29" borderId="49" xfId="0" applyFont="1" applyFill="1" applyBorder="1"/>
    <xf numFmtId="0" fontId="56" fillId="29" borderId="50" xfId="0" applyFont="1" applyFill="1" applyBorder="1"/>
    <xf numFmtId="0" fontId="26" fillId="8" borderId="1" xfId="0" applyFont="1" applyFill="1" applyBorder="1"/>
    <xf numFmtId="0" fontId="38" fillId="14" borderId="0" xfId="0" applyFont="1" applyFill="1" applyAlignment="1">
      <alignment horizontal="center" vertical="center"/>
    </xf>
    <xf numFmtId="0" fontId="19" fillId="0" borderId="38" xfId="0" applyFont="1" applyBorder="1" applyAlignment="1">
      <alignment vertical="center"/>
    </xf>
    <xf numFmtId="0" fontId="19" fillId="8" borderId="3" xfId="0" applyFont="1" applyFill="1" applyBorder="1" applyAlignment="1">
      <alignment horizontal="center" vertical="center"/>
    </xf>
    <xf numFmtId="0" fontId="38" fillId="14" borderId="5" xfId="0" applyFont="1" applyFill="1" applyBorder="1" applyAlignment="1">
      <alignment horizontal="center" vertical="center"/>
    </xf>
    <xf numFmtId="0" fontId="82" fillId="8" borderId="13" xfId="0" applyFont="1" applyFill="1" applyBorder="1" applyAlignment="1">
      <alignment horizontal="center" vertical="center" wrapText="1"/>
    </xf>
    <xf numFmtId="0" fontId="19" fillId="14" borderId="0" xfId="0" applyFont="1" applyFill="1"/>
    <xf numFmtId="0" fontId="19" fillId="14" borderId="0" xfId="0" applyFont="1" applyFill="1" applyAlignment="1">
      <alignment vertical="center"/>
    </xf>
    <xf numFmtId="0" fontId="5" fillId="0" borderId="1" xfId="0" applyFont="1" applyBorder="1" applyAlignment="1">
      <alignment horizontal="left" vertical="center"/>
    </xf>
    <xf numFmtId="0" fontId="5" fillId="2" borderId="1" xfId="0" applyFont="1" applyFill="1" applyBorder="1" applyAlignment="1">
      <alignment horizontal="left" vertical="center"/>
    </xf>
    <xf numFmtId="0" fontId="12" fillId="0" borderId="0" xfId="0" applyFont="1" applyAlignment="1">
      <alignment horizontal="left" vertical="top"/>
    </xf>
    <xf numFmtId="0" fontId="82" fillId="8" borderId="9" xfId="0" applyFont="1" applyFill="1" applyBorder="1" applyAlignment="1">
      <alignment vertical="center" wrapText="1"/>
    </xf>
    <xf numFmtId="0" fontId="145" fillId="7" borderId="6" xfId="0" applyFont="1" applyFill="1" applyBorder="1" applyAlignment="1">
      <alignment horizontal="center" vertical="center" wrapText="1"/>
    </xf>
    <xf numFmtId="0" fontId="19" fillId="8" borderId="6" xfId="0" applyFont="1" applyFill="1" applyBorder="1" applyAlignment="1">
      <alignment horizontal="right"/>
    </xf>
    <xf numFmtId="0" fontId="49" fillId="14" borderId="1" xfId="0" applyFont="1" applyFill="1" applyBorder="1" applyAlignment="1">
      <alignment horizontal="center"/>
    </xf>
    <xf numFmtId="0" fontId="4" fillId="0" borderId="0" xfId="0" applyFont="1" applyAlignment="1">
      <alignment horizontal="center" vertical="center"/>
    </xf>
    <xf numFmtId="0" fontId="103" fillId="0" borderId="1" xfId="0" applyFont="1" applyBorder="1"/>
    <xf numFmtId="0" fontId="34" fillId="0" borderId="0" xfId="0" applyFont="1" applyAlignment="1">
      <alignment horizontal="left" vertical="top"/>
    </xf>
    <xf numFmtId="0" fontId="72" fillId="0" borderId="0" xfId="0" applyFont="1" applyAlignment="1">
      <alignment horizontal="left" vertical="top"/>
    </xf>
    <xf numFmtId="0" fontId="137" fillId="7" borderId="6" xfId="0" applyFont="1" applyFill="1" applyBorder="1" applyAlignment="1">
      <alignment vertical="center" wrapText="1"/>
    </xf>
    <xf numFmtId="0" fontId="137" fillId="7" borderId="13" xfId="0" applyFont="1" applyFill="1" applyBorder="1" applyAlignment="1">
      <alignment vertical="center" wrapText="1"/>
    </xf>
    <xf numFmtId="0" fontId="137" fillId="7" borderId="7" xfId="0" applyFont="1" applyFill="1" applyBorder="1" applyAlignment="1">
      <alignment vertical="center" wrapText="1"/>
    </xf>
    <xf numFmtId="0" fontId="129" fillId="0" borderId="1" xfId="0" applyFont="1" applyBorder="1" applyAlignment="1">
      <alignment wrapText="1"/>
    </xf>
    <xf numFmtId="0" fontId="38" fillId="14" borderId="1" xfId="0" applyFont="1" applyFill="1" applyBorder="1" applyAlignment="1">
      <alignment horizontal="center" vertical="center"/>
    </xf>
    <xf numFmtId="0" fontId="18" fillId="14" borderId="1" xfId="0" applyFont="1" applyFill="1" applyBorder="1" applyAlignment="1">
      <alignment horizontal="center" vertical="center"/>
    </xf>
    <xf numFmtId="0" fontId="84" fillId="0" borderId="8" xfId="0" applyFont="1" applyBorder="1" applyAlignment="1">
      <alignment vertical="top" wrapText="1"/>
    </xf>
    <xf numFmtId="0" fontId="112" fillId="7" borderId="5" xfId="0" applyFont="1" applyFill="1" applyBorder="1" applyAlignment="1">
      <alignment horizontal="left" vertical="center" wrapText="1"/>
    </xf>
    <xf numFmtId="0" fontId="5" fillId="0" borderId="0" xfId="0" applyFont="1" applyAlignment="1">
      <alignment vertical="center"/>
    </xf>
    <xf numFmtId="0" fontId="84" fillId="0" borderId="8" xfId="0" applyFont="1" applyBorder="1" applyAlignment="1">
      <alignment horizontal="left" vertical="top"/>
    </xf>
    <xf numFmtId="0" fontId="84" fillId="0" borderId="0" xfId="0" applyFont="1" applyAlignment="1">
      <alignment horizontal="left" vertical="top"/>
    </xf>
    <xf numFmtId="0" fontId="5" fillId="0" borderId="0" xfId="0" applyFont="1" applyAlignment="1">
      <alignment horizontal="left" vertical="top" wrapText="1"/>
    </xf>
    <xf numFmtId="0" fontId="4" fillId="0" borderId="0" xfId="0" applyFont="1" applyAlignment="1">
      <alignment horizontal="left" vertical="center"/>
    </xf>
    <xf numFmtId="0" fontId="0" fillId="0" borderId="33" xfId="0" applyBorder="1"/>
    <xf numFmtId="0" fontId="5" fillId="0" borderId="0" xfId="0" applyFont="1" applyAlignment="1">
      <alignment vertical="top"/>
    </xf>
    <xf numFmtId="0" fontId="22" fillId="0" borderId="0" xfId="1" applyAlignment="1">
      <alignment vertical="top"/>
    </xf>
    <xf numFmtId="0" fontId="3" fillId="10" borderId="3" xfId="0" applyFont="1" applyFill="1" applyBorder="1"/>
    <xf numFmtId="0" fontId="38" fillId="14" borderId="99" xfId="0" applyFont="1" applyFill="1" applyBorder="1" applyAlignment="1">
      <alignment horizontal="center" vertical="center"/>
    </xf>
    <xf numFmtId="0" fontId="38" fillId="11" borderId="99" xfId="0" applyFont="1" applyFill="1" applyBorder="1" applyAlignment="1">
      <alignment horizontal="center" vertical="center"/>
    </xf>
    <xf numFmtId="0" fontId="121" fillId="0" borderId="0" xfId="0" applyFont="1" applyAlignment="1">
      <alignment horizontal="left"/>
    </xf>
    <xf numFmtId="0" fontId="0" fillId="0" borderId="1" xfId="0" applyBorder="1" applyAlignment="1">
      <alignment horizontal="right"/>
    </xf>
    <xf numFmtId="17" fontId="0" fillId="0" borderId="1" xfId="0" applyNumberFormat="1" applyBorder="1" applyAlignment="1">
      <alignment horizontal="right"/>
    </xf>
    <xf numFmtId="43" fontId="0" fillId="0" borderId="1" xfId="5" applyFont="1" applyBorder="1" applyAlignment="1">
      <alignment horizontal="right"/>
    </xf>
    <xf numFmtId="0" fontId="32" fillId="8" borderId="0" xfId="0" applyFont="1" applyFill="1" applyAlignment="1">
      <alignment vertical="center"/>
    </xf>
    <xf numFmtId="0" fontId="129" fillId="0" borderId="0" xfId="0" applyFont="1" applyAlignment="1">
      <alignment wrapText="1"/>
    </xf>
    <xf numFmtId="0" fontId="133" fillId="7" borderId="1" xfId="0" applyFont="1" applyFill="1" applyBorder="1" applyAlignment="1">
      <alignment vertical="center" wrapText="1"/>
    </xf>
    <xf numFmtId="0" fontId="27" fillId="0" borderId="38" xfId="0" applyFont="1" applyBorder="1"/>
    <xf numFmtId="0" fontId="27" fillId="0" borderId="0" xfId="0" applyFont="1" applyAlignment="1">
      <alignment vertical="top"/>
    </xf>
    <xf numFmtId="0" fontId="125" fillId="0" borderId="0" xfId="0" applyFont="1" applyAlignment="1">
      <alignment vertical="top"/>
    </xf>
    <xf numFmtId="0" fontId="125" fillId="0" borderId="0" xfId="0" applyFont="1"/>
    <xf numFmtId="0" fontId="145" fillId="7" borderId="4" xfId="0" applyFont="1" applyFill="1" applyBorder="1" applyAlignment="1">
      <alignment horizontal="center" vertical="center" wrapText="1"/>
    </xf>
    <xf numFmtId="0" fontId="38" fillId="14" borderId="8" xfId="0" applyFont="1" applyFill="1" applyBorder="1" applyAlignment="1">
      <alignment horizontal="center" vertical="center"/>
    </xf>
    <xf numFmtId="0" fontId="38" fillId="0" borderId="0" xfId="0" applyFont="1" applyAlignment="1">
      <alignment horizontal="center" vertical="center"/>
    </xf>
    <xf numFmtId="0" fontId="129" fillId="0" borderId="8" xfId="0" applyFont="1" applyBorder="1" applyAlignment="1">
      <alignment vertical="top" wrapText="1"/>
    </xf>
    <xf numFmtId="0" fontId="49" fillId="14" borderId="9" xfId="0" applyFont="1" applyFill="1" applyBorder="1" applyAlignment="1">
      <alignment horizontal="center"/>
    </xf>
    <xf numFmtId="0" fontId="145" fillId="0" borderId="0" xfId="0" applyFont="1" applyAlignment="1">
      <alignment vertical="center" wrapText="1"/>
    </xf>
    <xf numFmtId="0" fontId="103" fillId="14" borderId="9" xfId="0" applyFont="1" applyFill="1" applyBorder="1"/>
    <xf numFmtId="0" fontId="129" fillId="0" borderId="1" xfId="0" applyFont="1" applyBorder="1" applyAlignment="1">
      <alignment horizontal="left" vertical="top" wrapText="1"/>
    </xf>
    <xf numFmtId="0" fontId="3" fillId="0" borderId="0" xfId="0" applyFont="1" applyAlignment="1">
      <alignment wrapText="1"/>
    </xf>
    <xf numFmtId="0" fontId="3" fillId="0" borderId="0" xfId="0" applyFont="1" applyAlignment="1">
      <alignment horizontal="left" wrapText="1"/>
    </xf>
    <xf numFmtId="0" fontId="143" fillId="0" borderId="0" xfId="1" applyFont="1" applyFill="1"/>
    <xf numFmtId="0" fontId="19" fillId="8" borderId="33" xfId="0" applyFont="1" applyFill="1" applyBorder="1" applyAlignment="1">
      <alignment vertical="center"/>
    </xf>
    <xf numFmtId="49" fontId="37" fillId="0" borderId="50" xfId="1" applyNumberFormat="1" applyFont="1" applyFill="1" applyBorder="1"/>
    <xf numFmtId="0" fontId="22" fillId="0" borderId="0" xfId="1" applyAlignment="1">
      <alignment vertical="top" wrapText="1"/>
    </xf>
    <xf numFmtId="0" fontId="4" fillId="4" borderId="1" xfId="0" applyFont="1" applyFill="1" applyBorder="1" applyAlignment="1">
      <alignment horizontal="left" vertical="center"/>
    </xf>
    <xf numFmtId="0" fontId="4" fillId="4" borderId="6" xfId="0" applyFont="1" applyFill="1" applyBorder="1" applyAlignment="1">
      <alignment horizontal="left" vertical="center"/>
    </xf>
    <xf numFmtId="0" fontId="0" fillId="0" borderId="2" xfId="0" applyBorder="1"/>
    <xf numFmtId="0" fontId="4" fillId="4" borderId="33" xfId="0" applyFont="1" applyFill="1" applyBorder="1" applyAlignment="1">
      <alignment horizontal="left" vertical="center"/>
    </xf>
    <xf numFmtId="0" fontId="119" fillId="0" borderId="0" xfId="0" applyFont="1" applyAlignment="1">
      <alignment vertical="top"/>
    </xf>
    <xf numFmtId="0" fontId="119" fillId="0" borderId="8" xfId="0" applyFont="1" applyBorder="1" applyAlignment="1">
      <alignment vertical="top" wrapText="1"/>
    </xf>
    <xf numFmtId="0" fontId="116" fillId="7" borderId="106" xfId="0" applyFont="1" applyFill="1" applyBorder="1" applyAlignment="1">
      <alignment horizontal="center" wrapText="1"/>
    </xf>
    <xf numFmtId="0" fontId="4" fillId="4" borderId="8" xfId="0" applyFont="1" applyFill="1" applyBorder="1" applyAlignment="1">
      <alignment horizontal="left" vertical="center"/>
    </xf>
    <xf numFmtId="0" fontId="129" fillId="7" borderId="99" xfId="0" applyFont="1" applyFill="1" applyBorder="1" applyAlignment="1">
      <alignment horizontal="left" vertical="center" wrapText="1"/>
    </xf>
    <xf numFmtId="0" fontId="4" fillId="4" borderId="2" xfId="0" applyFont="1" applyFill="1" applyBorder="1" applyAlignment="1">
      <alignment horizontal="left" vertical="center"/>
    </xf>
    <xf numFmtId="0" fontId="0" fillId="7" borderId="27" xfId="0" applyFill="1" applyBorder="1"/>
    <xf numFmtId="0" fontId="27" fillId="10" borderId="99" xfId="0" applyFont="1" applyFill="1" applyBorder="1" applyAlignment="1">
      <alignment horizontal="center"/>
    </xf>
    <xf numFmtId="0" fontId="27" fillId="0" borderId="38" xfId="0" applyFont="1" applyBorder="1" applyAlignment="1">
      <alignment wrapText="1"/>
    </xf>
    <xf numFmtId="0" fontId="27" fillId="0" borderId="0" xfId="0" applyFont="1" applyAlignment="1">
      <alignment wrapText="1"/>
    </xf>
    <xf numFmtId="0" fontId="21" fillId="7" borderId="99" xfId="0" applyFont="1" applyFill="1" applyBorder="1"/>
    <xf numFmtId="0" fontId="5" fillId="2" borderId="0" xfId="0" applyFont="1" applyFill="1" applyAlignment="1">
      <alignment horizontal="left" vertical="center"/>
    </xf>
    <xf numFmtId="0" fontId="148" fillId="0" borderId="0" xfId="0" applyFont="1"/>
    <xf numFmtId="0" fontId="31" fillId="14" borderId="33" xfId="0" applyFont="1" applyFill="1" applyBorder="1" applyAlignment="1">
      <alignment horizontal="center" vertical="center" wrapText="1"/>
    </xf>
    <xf numFmtId="0" fontId="31" fillId="14" borderId="38" xfId="0" applyFont="1" applyFill="1" applyBorder="1" applyAlignment="1">
      <alignment horizontal="center" vertical="center" wrapText="1"/>
    </xf>
    <xf numFmtId="0" fontId="34" fillId="0" borderId="5" xfId="0" applyFont="1" applyBorder="1" applyAlignment="1">
      <alignment vertical="center" wrapText="1"/>
    </xf>
    <xf numFmtId="0" fontId="34" fillId="0" borderId="38" xfId="0" applyFont="1" applyBorder="1" applyAlignment="1">
      <alignment horizontal="right"/>
    </xf>
    <xf numFmtId="0" fontId="142" fillId="0" borderId="0" xfId="0" applyFont="1" applyAlignment="1">
      <alignment horizontal="center" vertical="center"/>
    </xf>
    <xf numFmtId="0" fontId="37" fillId="0" borderId="0" xfId="0" applyFont="1" applyAlignment="1">
      <alignment horizontal="center" vertical="center"/>
    </xf>
    <xf numFmtId="0" fontId="56" fillId="0" borderId="51" xfId="0" applyFont="1" applyBorder="1" applyAlignment="1">
      <alignment horizontal="center" vertical="center"/>
    </xf>
    <xf numFmtId="0" fontId="18" fillId="0" borderId="0" xfId="0" applyFont="1" applyAlignment="1">
      <alignment vertical="center"/>
    </xf>
    <xf numFmtId="0" fontId="148" fillId="0" borderId="0" xfId="0" applyFont="1" applyAlignment="1">
      <alignment vertical="top"/>
    </xf>
    <xf numFmtId="0" fontId="19" fillId="7" borderId="3" xfId="0" applyFont="1" applyFill="1" applyBorder="1" applyAlignment="1">
      <alignment vertical="center"/>
    </xf>
    <xf numFmtId="0" fontId="84" fillId="7" borderId="6" xfId="0" applyFont="1" applyFill="1" applyBorder="1"/>
    <xf numFmtId="0" fontId="22" fillId="0" borderId="0" xfId="1" applyAlignment="1">
      <alignment wrapText="1"/>
    </xf>
    <xf numFmtId="0" fontId="9" fillId="0" borderId="0" xfId="0" applyFont="1" applyAlignment="1">
      <alignment horizontal="center" vertical="center"/>
    </xf>
    <xf numFmtId="0" fontId="9" fillId="0" borderId="0" xfId="0" applyFont="1" applyAlignment="1">
      <alignment horizontal="left" vertical="center"/>
    </xf>
    <xf numFmtId="0" fontId="149" fillId="0" borderId="0" xfId="0" applyFont="1"/>
    <xf numFmtId="0" fontId="41" fillId="0" borderId="0" xfId="0" applyFont="1"/>
    <xf numFmtId="14" fontId="21" fillId="0" borderId="41" xfId="0" applyNumberFormat="1" applyFont="1" applyBorder="1" applyAlignment="1">
      <alignment vertical="center"/>
    </xf>
    <xf numFmtId="0" fontId="19" fillId="8" borderId="13" xfId="0" applyFont="1" applyFill="1" applyBorder="1" applyAlignment="1">
      <alignment horizontal="right"/>
    </xf>
    <xf numFmtId="0" fontId="32" fillId="0" borderId="50" xfId="0" applyFont="1" applyBorder="1" applyAlignment="1">
      <alignment vertical="center"/>
    </xf>
    <xf numFmtId="1" fontId="22" fillId="0" borderId="105" xfId="1" applyNumberFormat="1" applyFill="1" applyBorder="1" applyAlignment="1">
      <alignment horizontal="center"/>
    </xf>
    <xf numFmtId="0" fontId="150" fillId="0" borderId="0" xfId="0" applyFont="1"/>
    <xf numFmtId="1" fontId="150" fillId="0" borderId="0" xfId="0" applyNumberFormat="1" applyFont="1"/>
    <xf numFmtId="0" fontId="152" fillId="0" borderId="22" xfId="0" applyFont="1" applyBorder="1"/>
    <xf numFmtId="0" fontId="153" fillId="0" borderId="0" xfId="1" applyFont="1"/>
    <xf numFmtId="0" fontId="152" fillId="0" borderId="3" xfId="0" applyFont="1" applyBorder="1"/>
    <xf numFmtId="0" fontId="152" fillId="0" borderId="0" xfId="0" applyFont="1"/>
    <xf numFmtId="0" fontId="154" fillId="0" borderId="0" xfId="0" applyFont="1" applyAlignment="1">
      <alignment vertical="center" wrapText="1"/>
    </xf>
    <xf numFmtId="1" fontId="152" fillId="0" borderId="22" xfId="0" applyNumberFormat="1" applyFont="1" applyBorder="1"/>
    <xf numFmtId="0" fontId="27" fillId="0" borderId="4" xfId="0" applyFont="1" applyBorder="1"/>
    <xf numFmtId="0" fontId="19" fillId="8" borderId="9" xfId="0" applyFont="1" applyFill="1" applyBorder="1" applyAlignment="1">
      <alignment horizontal="center"/>
    </xf>
    <xf numFmtId="171" fontId="0" fillId="0" borderId="3" xfId="0" applyNumberFormat="1" applyBorder="1"/>
    <xf numFmtId="0" fontId="27" fillId="7" borderId="4" xfId="0" applyFont="1" applyFill="1" applyBorder="1" applyAlignment="1">
      <alignment wrapText="1"/>
    </xf>
    <xf numFmtId="0" fontId="0" fillId="0" borderId="22" xfId="0" applyBorder="1"/>
    <xf numFmtId="0" fontId="7" fillId="14" borderId="24" xfId="0" applyFont="1" applyFill="1" applyBorder="1" applyAlignment="1">
      <alignment vertical="center"/>
    </xf>
    <xf numFmtId="0" fontId="7" fillId="14" borderId="9" xfId="0" applyFont="1" applyFill="1" applyBorder="1" applyAlignment="1">
      <alignment vertical="center"/>
    </xf>
    <xf numFmtId="0" fontId="7" fillId="14" borderId="4" xfId="0" applyFont="1" applyFill="1" applyBorder="1" applyAlignment="1">
      <alignment vertical="center"/>
    </xf>
    <xf numFmtId="0" fontId="157" fillId="0" borderId="0" xfId="0" applyFont="1"/>
    <xf numFmtId="0" fontId="158" fillId="0" borderId="0" xfId="0" applyFont="1"/>
    <xf numFmtId="0" fontId="160" fillId="0" borderId="0" xfId="0" applyFont="1"/>
    <xf numFmtId="0" fontId="34" fillId="14" borderId="1" xfId="0" applyFont="1" applyFill="1" applyBorder="1" applyAlignment="1">
      <alignment horizontal="center"/>
    </xf>
    <xf numFmtId="0" fontId="34" fillId="11" borderId="26" xfId="0" applyFont="1" applyFill="1" applyBorder="1" applyAlignment="1">
      <alignment horizontal="center" vertical="center" wrapText="1"/>
    </xf>
    <xf numFmtId="0" fontId="34" fillId="11" borderId="27" xfId="0" applyFont="1" applyFill="1" applyBorder="1" applyAlignment="1">
      <alignment horizontal="center" vertical="center" wrapText="1"/>
    </xf>
    <xf numFmtId="0" fontId="34" fillId="11" borderId="14" xfId="0" applyFont="1" applyFill="1" applyBorder="1" applyAlignment="1">
      <alignment horizontal="center" vertical="center" wrapText="1"/>
    </xf>
    <xf numFmtId="0" fontId="34" fillId="11" borderId="17" xfId="0" applyFont="1" applyFill="1" applyBorder="1" applyAlignment="1">
      <alignment horizontal="center" vertical="center" wrapText="1"/>
    </xf>
    <xf numFmtId="0" fontId="37" fillId="0" borderId="0" xfId="0" applyFont="1" applyAlignment="1">
      <alignment vertical="center"/>
    </xf>
    <xf numFmtId="0" fontId="34" fillId="8" borderId="102" xfId="0" applyFont="1" applyFill="1" applyBorder="1" applyAlignment="1">
      <alignment horizontal="left" indent="4"/>
    </xf>
    <xf numFmtId="0" fontId="34" fillId="8" borderId="58" xfId="0" applyFont="1" applyFill="1" applyBorder="1" applyAlignment="1">
      <alignment horizontal="left" indent="4"/>
    </xf>
    <xf numFmtId="0" fontId="34" fillId="8" borderId="104" xfId="0" applyFont="1" applyFill="1" applyBorder="1" applyAlignment="1">
      <alignment horizontal="left" indent="4"/>
    </xf>
    <xf numFmtId="0" fontId="34" fillId="8" borderId="1" xfId="0" applyFont="1" applyFill="1" applyBorder="1" applyAlignment="1">
      <alignment horizontal="center"/>
    </xf>
    <xf numFmtId="0" fontId="19" fillId="21" borderId="102" xfId="0" applyFont="1" applyFill="1" applyBorder="1"/>
    <xf numFmtId="0" fontId="32" fillId="42" borderId="0" xfId="0" applyFont="1" applyFill="1" applyAlignment="1">
      <alignment vertical="center"/>
    </xf>
    <xf numFmtId="171" fontId="34" fillId="0" borderId="0" xfId="0" applyNumberFormat="1" applyFont="1"/>
    <xf numFmtId="0" fontId="34" fillId="8" borderId="7" xfId="0" applyFont="1" applyFill="1" applyBorder="1" applyAlignment="1">
      <alignment horizontal="left" indent="4"/>
    </xf>
    <xf numFmtId="0" fontId="18" fillId="0" borderId="0" xfId="0" applyFont="1" applyAlignment="1">
      <alignment horizontal="center" vertical="center"/>
    </xf>
    <xf numFmtId="0" fontId="34" fillId="7" borderId="8" xfId="0" applyFont="1" applyFill="1" applyBorder="1"/>
    <xf numFmtId="0" fontId="34" fillId="8" borderId="24" xfId="0" applyFont="1" applyFill="1" applyBorder="1" applyAlignment="1">
      <alignment horizontal="left" indent="4"/>
    </xf>
    <xf numFmtId="0" fontId="48" fillId="10" borderId="1" xfId="0" applyFont="1" applyFill="1" applyBorder="1"/>
    <xf numFmtId="0" fontId="34" fillId="7" borderId="58" xfId="0" applyFont="1" applyFill="1" applyBorder="1" applyAlignment="1">
      <alignment wrapText="1"/>
    </xf>
    <xf numFmtId="0" fontId="164" fillId="0" borderId="0" xfId="0" applyFont="1"/>
    <xf numFmtId="0" fontId="27" fillId="0" borderId="0" xfId="0" applyFont="1" applyAlignment="1">
      <alignment horizontal="left" vertical="center"/>
    </xf>
    <xf numFmtId="0" fontId="20" fillId="10" borderId="6" xfId="0" applyFont="1" applyFill="1" applyBorder="1" applyAlignment="1">
      <alignment horizontal="center"/>
    </xf>
    <xf numFmtId="0" fontId="0" fillId="0" borderId="1" xfId="0" applyBorder="1" applyAlignment="1">
      <alignment horizontal="center" vertical="center" wrapText="1"/>
    </xf>
    <xf numFmtId="0" fontId="9" fillId="2" borderId="0" xfId="0" applyFont="1" applyFill="1" applyAlignment="1">
      <alignment horizontal="center" vertical="center"/>
    </xf>
    <xf numFmtId="0" fontId="88" fillId="0" borderId="0" xfId="0" applyFont="1" applyAlignment="1">
      <alignment horizontal="left" wrapText="1"/>
    </xf>
    <xf numFmtId="0" fontId="0" fillId="0" borderId="6" xfId="0" applyBorder="1" applyAlignment="1">
      <alignment horizontal="center"/>
    </xf>
    <xf numFmtId="0" fontId="0" fillId="0" borderId="7" xfId="0" applyBorder="1" applyAlignment="1">
      <alignment horizontal="center"/>
    </xf>
    <xf numFmtId="0" fontId="85" fillId="11" borderId="25" xfId="0" applyFont="1" applyFill="1" applyBorder="1" applyAlignment="1">
      <alignment horizontal="center" vertical="center" wrapText="1"/>
    </xf>
    <xf numFmtId="0" fontId="85" fillId="11" borderId="26" xfId="0" applyFont="1" applyFill="1" applyBorder="1" applyAlignment="1">
      <alignment horizontal="center" vertical="center" wrapText="1"/>
    </xf>
    <xf numFmtId="0" fontId="85" fillId="11" borderId="27" xfId="0" applyFont="1" applyFill="1" applyBorder="1" applyAlignment="1">
      <alignment horizontal="center" vertical="center" wrapText="1"/>
    </xf>
    <xf numFmtId="0" fontId="27" fillId="0" borderId="0" xfId="0" applyFont="1" applyAlignment="1">
      <alignment horizontal="left" vertical="top"/>
    </xf>
    <xf numFmtId="0" fontId="0" fillId="0" borderId="0" xfId="0" applyAlignment="1">
      <alignment horizontal="left" vertical="top" wrapText="1"/>
    </xf>
    <xf numFmtId="0" fontId="0" fillId="0" borderId="0" xfId="0" applyAlignment="1">
      <alignment horizontal="left"/>
    </xf>
    <xf numFmtId="0" fontId="21" fillId="14" borderId="1" xfId="0" applyFont="1" applyFill="1" applyBorder="1" applyAlignment="1">
      <alignment horizontal="center" vertical="center"/>
    </xf>
    <xf numFmtId="0" fontId="19" fillId="0" borderId="8" xfId="0" applyFont="1" applyBorder="1" applyAlignment="1">
      <alignment horizontal="left"/>
    </xf>
    <xf numFmtId="0" fontId="19" fillId="0" borderId="0" xfId="0" applyFont="1" applyAlignment="1">
      <alignment horizontal="left"/>
    </xf>
    <xf numFmtId="0" fontId="5" fillId="14" borderId="6" xfId="0" applyFont="1" applyFill="1" applyBorder="1" applyAlignment="1">
      <alignment horizontal="center"/>
    </xf>
    <xf numFmtId="0" fontId="5" fillId="14" borderId="13" xfId="0" applyFont="1" applyFill="1" applyBorder="1" applyAlignment="1">
      <alignment horizontal="center"/>
    </xf>
    <xf numFmtId="0" fontId="27" fillId="11" borderId="3" xfId="0" applyFont="1" applyFill="1" applyBorder="1" applyAlignment="1">
      <alignment horizontal="center" vertical="center" wrapText="1"/>
    </xf>
    <xf numFmtId="0" fontId="27" fillId="11" borderId="5" xfId="0" applyFont="1" applyFill="1" applyBorder="1" applyAlignment="1">
      <alignment horizontal="center" vertical="center" wrapText="1"/>
    </xf>
    <xf numFmtId="0" fontId="27" fillId="11" borderId="9" xfId="0" applyFont="1" applyFill="1" applyBorder="1" applyAlignment="1">
      <alignment horizontal="center" vertical="center" wrapText="1"/>
    </xf>
    <xf numFmtId="0" fontId="27" fillId="11" borderId="25" xfId="0" applyFont="1" applyFill="1" applyBorder="1" applyAlignment="1">
      <alignment horizontal="center" vertical="center" wrapText="1"/>
    </xf>
    <xf numFmtId="0" fontId="27" fillId="11" borderId="26" xfId="0" applyFont="1" applyFill="1" applyBorder="1" applyAlignment="1">
      <alignment horizontal="center" vertical="center" wrapText="1"/>
    </xf>
    <xf numFmtId="0" fontId="27" fillId="0" borderId="0" xfId="0" applyFont="1" applyAlignment="1">
      <alignment horizontal="left" vertical="top" wrapText="1"/>
    </xf>
    <xf numFmtId="0" fontId="103" fillId="16" borderId="1" xfId="0" applyFont="1" applyFill="1" applyBorder="1" applyAlignment="1">
      <alignment horizontal="center"/>
    </xf>
    <xf numFmtId="0" fontId="27" fillId="7" borderId="1" xfId="0" applyFont="1" applyFill="1" applyBorder="1" applyAlignment="1">
      <alignment horizontal="left"/>
    </xf>
    <xf numFmtId="0" fontId="82" fillId="11" borderId="25" xfId="0" applyFont="1" applyFill="1" applyBorder="1" applyAlignment="1">
      <alignment horizontal="center" vertical="center" wrapText="1"/>
    </xf>
    <xf numFmtId="0" fontId="82" fillId="11" borderId="26" xfId="0" applyFont="1" applyFill="1" applyBorder="1" applyAlignment="1">
      <alignment horizontal="center" vertical="center" wrapText="1"/>
    </xf>
    <xf numFmtId="0" fontId="82" fillId="11" borderId="27" xfId="0" applyFont="1" applyFill="1" applyBorder="1" applyAlignment="1">
      <alignment horizontal="center" vertical="center" wrapText="1"/>
    </xf>
    <xf numFmtId="0" fontId="0" fillId="11" borderId="25" xfId="0" applyFill="1" applyBorder="1" applyAlignment="1">
      <alignment horizontal="center" vertical="center" wrapText="1"/>
    </xf>
    <xf numFmtId="0" fontId="0" fillId="11" borderId="26" xfId="0" applyFill="1" applyBorder="1" applyAlignment="1">
      <alignment horizontal="center" vertical="center" wrapText="1"/>
    </xf>
    <xf numFmtId="0" fontId="0" fillId="11" borderId="27" xfId="0" applyFill="1" applyBorder="1" applyAlignment="1">
      <alignment horizontal="center" vertical="center" wrapText="1"/>
    </xf>
    <xf numFmtId="0" fontId="82" fillId="11" borderId="14" xfId="0" applyFont="1" applyFill="1" applyBorder="1" applyAlignment="1">
      <alignment horizontal="center" vertical="center" wrapText="1"/>
    </xf>
    <xf numFmtId="0" fontId="82" fillId="11" borderId="17" xfId="0" applyFont="1" applyFill="1" applyBorder="1" applyAlignment="1">
      <alignment horizontal="center" vertical="center" wrapText="1"/>
    </xf>
    <xf numFmtId="0" fontId="82" fillId="11" borderId="19" xfId="0" applyFont="1" applyFill="1" applyBorder="1" applyAlignment="1">
      <alignment horizontal="center" vertical="center" wrapText="1"/>
    </xf>
    <xf numFmtId="0" fontId="0" fillId="0" borderId="1" xfId="0" applyBorder="1" applyAlignment="1">
      <alignment horizontal="left"/>
    </xf>
    <xf numFmtId="0" fontId="85" fillId="0" borderId="8" xfId="0" applyFont="1" applyBorder="1" applyAlignment="1">
      <alignment horizontal="left" vertical="top"/>
    </xf>
    <xf numFmtId="0" fontId="85" fillId="0" borderId="0" xfId="0" applyFont="1" applyAlignment="1">
      <alignment horizontal="left" vertical="top"/>
    </xf>
    <xf numFmtId="0" fontId="103" fillId="16" borderId="4" xfId="0" applyFont="1" applyFill="1" applyBorder="1" applyAlignment="1">
      <alignment horizontal="center"/>
    </xf>
    <xf numFmtId="0" fontId="103" fillId="16" borderId="2" xfId="0" applyFont="1" applyFill="1" applyBorder="1" applyAlignment="1">
      <alignment horizontal="center"/>
    </xf>
    <xf numFmtId="0" fontId="103" fillId="16" borderId="4" xfId="0" applyFont="1" applyFill="1" applyBorder="1" applyAlignment="1">
      <alignment horizontal="center" vertical="center"/>
    </xf>
    <xf numFmtId="0" fontId="103" fillId="16" borderId="2" xfId="0" applyFont="1" applyFill="1" applyBorder="1" applyAlignment="1">
      <alignment horizontal="center" vertical="center"/>
    </xf>
    <xf numFmtId="0" fontId="0" fillId="0" borderId="0" xfId="0" applyAlignment="1">
      <alignment horizontal="left" vertical="top"/>
    </xf>
    <xf numFmtId="0" fontId="0" fillId="0" borderId="0" xfId="0" applyAlignment="1">
      <alignment horizontal="left" vertical="center"/>
    </xf>
    <xf numFmtId="0" fontId="29" fillId="14" borderId="6" xfId="0" applyFont="1" applyFill="1" applyBorder="1" applyAlignment="1">
      <alignment horizontal="center"/>
    </xf>
    <xf numFmtId="0" fontId="29" fillId="14" borderId="13" xfId="0" applyFont="1" applyFill="1" applyBorder="1" applyAlignment="1">
      <alignment horizontal="center"/>
    </xf>
    <xf numFmtId="0" fontId="29" fillId="14" borderId="24" xfId="0" applyFont="1" applyFill="1" applyBorder="1" applyAlignment="1">
      <alignment horizontal="center"/>
    </xf>
    <xf numFmtId="0" fontId="0" fillId="7" borderId="6" xfId="0" applyFill="1" applyBorder="1" applyAlignment="1">
      <alignment horizontal="center"/>
    </xf>
    <xf numFmtId="0" fontId="0" fillId="7" borderId="7" xfId="0" applyFill="1" applyBorder="1" applyAlignment="1">
      <alignment horizontal="center"/>
    </xf>
    <xf numFmtId="0" fontId="27" fillId="11" borderId="27" xfId="0" applyFont="1" applyFill="1" applyBorder="1" applyAlignment="1">
      <alignment horizontal="center" vertical="center" wrapText="1"/>
    </xf>
    <xf numFmtId="0" fontId="0" fillId="7" borderId="13" xfId="0" applyFill="1" applyBorder="1" applyAlignment="1">
      <alignment horizontal="center"/>
    </xf>
    <xf numFmtId="0" fontId="21" fillId="0" borderId="96" xfId="0" applyFont="1" applyBorder="1" applyAlignment="1">
      <alignment horizontal="center" wrapText="1"/>
    </xf>
    <xf numFmtId="0" fontId="21" fillId="0" borderId="94" xfId="0" applyFont="1" applyBorder="1" applyAlignment="1">
      <alignment horizontal="center" wrapText="1"/>
    </xf>
    <xf numFmtId="0" fontId="84" fillId="0" borderId="8" xfId="0" applyFont="1" applyBorder="1" applyAlignment="1">
      <alignment horizontal="left" vertical="top" wrapText="1"/>
    </xf>
    <xf numFmtId="0" fontId="84" fillId="0" borderId="0" xfId="0" applyFont="1" applyAlignment="1">
      <alignment horizontal="left" vertical="top" wrapText="1"/>
    </xf>
    <xf numFmtId="0" fontId="85" fillId="0" borderId="8" xfId="0" applyFont="1" applyBorder="1" applyAlignment="1">
      <alignment horizontal="left" wrapText="1"/>
    </xf>
    <xf numFmtId="0" fontId="85" fillId="0" borderId="0" xfId="0" applyFont="1" applyAlignment="1">
      <alignment horizontal="left" wrapText="1"/>
    </xf>
    <xf numFmtId="0" fontId="83" fillId="0" borderId="8" xfId="0" applyFont="1" applyBorder="1" applyAlignment="1">
      <alignment horizontal="left" vertical="top"/>
    </xf>
    <xf numFmtId="0" fontId="83" fillId="0" borderId="0" xfId="0" applyFont="1" applyAlignment="1">
      <alignment horizontal="left" vertical="top"/>
    </xf>
    <xf numFmtId="0" fontId="5" fillId="0" borderId="0" xfId="0" applyFont="1" applyAlignment="1">
      <alignment horizontal="left" vertical="top"/>
    </xf>
    <xf numFmtId="0" fontId="84" fillId="0" borderId="8" xfId="0" applyFont="1" applyBorder="1" applyAlignment="1">
      <alignment horizontal="left" vertical="top"/>
    </xf>
    <xf numFmtId="0" fontId="84" fillId="0" borderId="0" xfId="0" applyFont="1" applyAlignment="1">
      <alignment horizontal="left" vertical="top"/>
    </xf>
    <xf numFmtId="0" fontId="0" fillId="0" borderId="23" xfId="0" applyBorder="1" applyAlignment="1">
      <alignment horizontal="center" wrapText="1"/>
    </xf>
    <xf numFmtId="0" fontId="21" fillId="0" borderId="0" xfId="0" applyFont="1" applyAlignment="1">
      <alignment horizontal="left" vertical="center"/>
    </xf>
    <xf numFmtId="0" fontId="23" fillId="8" borderId="6" xfId="0" applyFont="1" applyFill="1" applyBorder="1" applyAlignment="1">
      <alignment horizontal="left"/>
    </xf>
    <xf numFmtId="0" fontId="23" fillId="8" borderId="7" xfId="0" applyFont="1" applyFill="1" applyBorder="1" applyAlignment="1">
      <alignment horizontal="left"/>
    </xf>
    <xf numFmtId="0" fontId="23" fillId="8" borderId="8" xfId="0" applyFont="1" applyFill="1" applyBorder="1" applyAlignment="1">
      <alignment horizontal="left"/>
    </xf>
    <xf numFmtId="0" fontId="23" fillId="8" borderId="0" xfId="0" applyFont="1" applyFill="1" applyAlignment="1">
      <alignment horizontal="left"/>
    </xf>
    <xf numFmtId="0" fontId="21" fillId="0" borderId="41" xfId="0" applyFont="1" applyBorder="1" applyAlignment="1">
      <alignment horizontal="left" vertical="center"/>
    </xf>
    <xf numFmtId="0" fontId="23" fillId="8" borderId="6" xfId="0" applyFont="1" applyFill="1" applyBorder="1" applyAlignment="1">
      <alignment horizontal="center"/>
    </xf>
    <xf numFmtId="0" fontId="23" fillId="8" borderId="7" xfId="0" applyFont="1" applyFill="1" applyBorder="1" applyAlignment="1">
      <alignment horizontal="center"/>
    </xf>
    <xf numFmtId="0" fontId="21" fillId="14" borderId="1" xfId="0" applyFont="1" applyFill="1" applyBorder="1" applyAlignment="1">
      <alignment horizontal="left" vertical="center"/>
    </xf>
    <xf numFmtId="0" fontId="23" fillId="8" borderId="8" xfId="0" applyFont="1" applyFill="1" applyBorder="1" applyAlignment="1">
      <alignment horizontal="center"/>
    </xf>
    <xf numFmtId="0" fontId="23" fillId="8" borderId="0" xfId="0" applyFont="1" applyFill="1" applyAlignment="1">
      <alignment horizontal="center"/>
    </xf>
    <xf numFmtId="0" fontId="21" fillId="0" borderId="8" xfId="0" applyFont="1" applyBorder="1" applyAlignment="1">
      <alignment horizontal="center"/>
    </xf>
    <xf numFmtId="0" fontId="21" fillId="0" borderId="0" xfId="0" applyFont="1" applyAlignment="1">
      <alignment horizontal="center"/>
    </xf>
    <xf numFmtId="0" fontId="20" fillId="0" borderId="8" xfId="0" applyFont="1" applyBorder="1" applyAlignment="1">
      <alignment horizontal="center"/>
    </xf>
    <xf numFmtId="0" fontId="20" fillId="0" borderId="0" xfId="0" applyFont="1" applyAlignment="1">
      <alignment horizontal="center"/>
    </xf>
    <xf numFmtId="0" fontId="0" fillId="0" borderId="33" xfId="0" applyBorder="1" applyAlignment="1">
      <alignment horizontal="left" vertical="top"/>
    </xf>
    <xf numFmtId="0" fontId="0" fillId="0" borderId="38" xfId="0" applyBorder="1" applyAlignment="1">
      <alignment horizontal="left" vertical="top"/>
    </xf>
    <xf numFmtId="0" fontId="83" fillId="0" borderId="8" xfId="0" applyFont="1" applyBorder="1" applyAlignment="1">
      <alignment horizontal="left" vertical="top" wrapText="1"/>
    </xf>
    <xf numFmtId="0" fontId="83" fillId="0" borderId="0" xfId="0" applyFont="1" applyAlignment="1">
      <alignment horizontal="left" vertical="top" wrapText="1"/>
    </xf>
    <xf numFmtId="0" fontId="104" fillId="0" borderId="1" xfId="0" applyFont="1" applyBorder="1" applyAlignment="1">
      <alignment horizontal="left" vertical="top"/>
    </xf>
    <xf numFmtId="0" fontId="27" fillId="14" borderId="1" xfId="0" applyFont="1" applyFill="1" applyBorder="1" applyAlignment="1">
      <alignment horizontal="center"/>
    </xf>
    <xf numFmtId="0" fontId="21" fillId="14" borderId="13" xfId="0" applyFont="1" applyFill="1" applyBorder="1" applyAlignment="1">
      <alignment horizontal="left" vertical="center"/>
    </xf>
    <xf numFmtId="0" fontId="21" fillId="14" borderId="7" xfId="0" applyFont="1" applyFill="1" applyBorder="1" applyAlignment="1">
      <alignment horizontal="left" vertical="center"/>
    </xf>
    <xf numFmtId="0" fontId="27" fillId="11" borderId="15" xfId="0" applyFont="1" applyFill="1" applyBorder="1" applyAlignment="1">
      <alignment horizontal="center" vertical="center" wrapText="1"/>
    </xf>
    <xf numFmtId="0" fontId="27" fillId="11" borderId="0" xfId="0" applyFont="1" applyFill="1" applyAlignment="1">
      <alignment horizontal="center" vertical="center" wrapText="1"/>
    </xf>
    <xf numFmtId="0" fontId="27" fillId="11" borderId="16" xfId="0" applyFont="1" applyFill="1" applyBorder="1" applyAlignment="1">
      <alignment horizontal="center" vertical="center" wrapText="1"/>
    </xf>
    <xf numFmtId="0" fontId="27" fillId="11" borderId="18" xfId="0" applyFont="1" applyFill="1" applyBorder="1" applyAlignment="1">
      <alignment horizontal="center" vertical="center" wrapText="1"/>
    </xf>
    <xf numFmtId="0" fontId="27" fillId="11" borderId="63" xfId="0" applyFont="1" applyFill="1" applyBorder="1" applyAlignment="1">
      <alignment horizontal="center" vertical="center" wrapText="1"/>
    </xf>
    <xf numFmtId="0" fontId="82" fillId="7" borderId="6" xfId="0" applyFont="1" applyFill="1" applyBorder="1" applyAlignment="1">
      <alignment horizontal="center"/>
    </xf>
    <xf numFmtId="0" fontId="82" fillId="7" borderId="7" xfId="0" applyFont="1" applyFill="1" applyBorder="1" applyAlignment="1">
      <alignment horizontal="center"/>
    </xf>
    <xf numFmtId="0" fontId="39" fillId="14" borderId="33" xfId="0" applyFont="1" applyFill="1" applyBorder="1" applyAlignment="1">
      <alignment horizontal="center" vertical="center"/>
    </xf>
    <xf numFmtId="0" fontId="39" fillId="14" borderId="38" xfId="0" applyFont="1" applyFill="1" applyBorder="1" applyAlignment="1">
      <alignment horizontal="center" vertical="center"/>
    </xf>
    <xf numFmtId="0" fontId="27" fillId="0" borderId="0" xfId="0" applyFont="1" applyAlignment="1">
      <alignment horizontal="left" vertical="center" wrapText="1"/>
    </xf>
    <xf numFmtId="0" fontId="20" fillId="10" borderId="8" xfId="0" applyFont="1" applyFill="1" applyBorder="1" applyAlignment="1">
      <alignment horizontal="center"/>
    </xf>
    <xf numFmtId="0" fontId="20" fillId="10" borderId="0" xfId="0" applyFont="1" applyFill="1" applyAlignment="1">
      <alignment horizontal="center"/>
    </xf>
    <xf numFmtId="0" fontId="20" fillId="10" borderId="6" xfId="0" applyFont="1" applyFill="1" applyBorder="1" applyAlignment="1">
      <alignment horizontal="center"/>
    </xf>
    <xf numFmtId="0" fontId="20" fillId="10" borderId="7" xfId="0" applyFont="1" applyFill="1" applyBorder="1" applyAlignment="1">
      <alignment horizontal="center"/>
    </xf>
    <xf numFmtId="0" fontId="39" fillId="14" borderId="14" xfId="0" applyFont="1" applyFill="1" applyBorder="1" applyAlignment="1">
      <alignment horizontal="center" vertical="center"/>
    </xf>
    <xf numFmtId="0" fontId="39" fillId="14" borderId="15" xfId="0" applyFont="1" applyFill="1" applyBorder="1" applyAlignment="1">
      <alignment horizontal="center" vertical="center"/>
    </xf>
    <xf numFmtId="0" fontId="0" fillId="0" borderId="1" xfId="0" applyBorder="1" applyAlignment="1">
      <alignment horizontal="left" vertical="top" wrapText="1"/>
    </xf>
    <xf numFmtId="0" fontId="27" fillId="7" borderId="9" xfId="0" applyFont="1" applyFill="1" applyBorder="1" applyAlignment="1">
      <alignment horizontal="left"/>
    </xf>
    <xf numFmtId="0" fontId="85" fillId="0" borderId="0" xfId="0" applyFont="1" applyAlignment="1">
      <alignment horizontal="left" vertical="top" wrapText="1"/>
    </xf>
    <xf numFmtId="0" fontId="27" fillId="11" borderId="21" xfId="0" applyFont="1" applyFill="1" applyBorder="1" applyAlignment="1">
      <alignment horizontal="center" vertical="center" wrapText="1"/>
    </xf>
    <xf numFmtId="0" fontId="29" fillId="14" borderId="1" xfId="0" applyFont="1" applyFill="1" applyBorder="1" applyAlignment="1">
      <alignment horizontal="center"/>
    </xf>
    <xf numFmtId="0" fontId="27" fillId="11" borderId="95" xfId="0" applyFont="1" applyFill="1" applyBorder="1" applyAlignment="1">
      <alignment horizontal="center" vertical="center" wrapText="1"/>
    </xf>
    <xf numFmtId="0" fontId="27" fillId="0" borderId="8" xfId="0" applyFont="1" applyBorder="1" applyAlignment="1">
      <alignment horizontal="left" vertical="center" wrapText="1"/>
    </xf>
    <xf numFmtId="0" fontId="39" fillId="14" borderId="6" xfId="0" applyFont="1" applyFill="1" applyBorder="1" applyAlignment="1">
      <alignment horizontal="center"/>
    </xf>
    <xf numFmtId="0" fontId="39" fillId="14" borderId="58" xfId="0" applyFont="1" applyFill="1" applyBorder="1" applyAlignment="1">
      <alignment horizontal="center"/>
    </xf>
    <xf numFmtId="0" fontId="103" fillId="16" borderId="8" xfId="0" applyFont="1" applyFill="1" applyBorder="1" applyAlignment="1">
      <alignment horizontal="center" vertical="center"/>
    </xf>
    <xf numFmtId="0" fontId="103" fillId="16" borderId="0" xfId="0" applyFont="1" applyFill="1" applyAlignment="1">
      <alignment horizontal="center" vertical="center"/>
    </xf>
    <xf numFmtId="0" fontId="39" fillId="14" borderId="1" xfId="0" applyFont="1" applyFill="1" applyBorder="1" applyAlignment="1">
      <alignment horizontal="center"/>
    </xf>
    <xf numFmtId="0" fontId="103" fillId="6" borderId="8" xfId="0" applyFont="1" applyFill="1" applyBorder="1" applyAlignment="1">
      <alignment horizontal="center" vertical="center"/>
    </xf>
    <xf numFmtId="0" fontId="103" fillId="6" borderId="0" xfId="0" applyFont="1" applyFill="1" applyAlignment="1">
      <alignment horizontal="center" vertical="center"/>
    </xf>
    <xf numFmtId="0" fontId="57" fillId="6" borderId="1" xfId="0" applyFont="1" applyFill="1" applyBorder="1" applyAlignment="1">
      <alignment horizontal="center"/>
    </xf>
    <xf numFmtId="0" fontId="57" fillId="6" borderId="8" xfId="0" applyFont="1" applyFill="1" applyBorder="1" applyAlignment="1">
      <alignment horizontal="center"/>
    </xf>
    <xf numFmtId="0" fontId="57" fillId="6" borderId="0" xfId="0" applyFont="1" applyFill="1" applyAlignment="1">
      <alignment horizontal="center"/>
    </xf>
    <xf numFmtId="0" fontId="0" fillId="14" borderId="8" xfId="0" applyFill="1" applyBorder="1" applyAlignment="1">
      <alignment horizontal="center" vertical="center"/>
    </xf>
    <xf numFmtId="0" fontId="0" fillId="14" borderId="0" xfId="0" applyFill="1" applyAlignment="1">
      <alignment horizontal="center" vertical="center"/>
    </xf>
    <xf numFmtId="0" fontId="103" fillId="6" borderId="8" xfId="0" applyFont="1" applyFill="1" applyBorder="1" applyAlignment="1">
      <alignment horizontal="center"/>
    </xf>
    <xf numFmtId="0" fontId="103" fillId="6" borderId="0" xfId="0" applyFont="1" applyFill="1" applyAlignment="1">
      <alignment horizontal="center"/>
    </xf>
    <xf numFmtId="0" fontId="103" fillId="16" borderId="6" xfId="0" applyFont="1" applyFill="1" applyBorder="1" applyAlignment="1">
      <alignment horizontal="center"/>
    </xf>
    <xf numFmtId="0" fontId="103" fillId="16" borderId="7" xfId="0" applyFont="1" applyFill="1" applyBorder="1" applyAlignment="1">
      <alignment horizontal="center"/>
    </xf>
    <xf numFmtId="0" fontId="32" fillId="14" borderId="6" xfId="0" applyFont="1" applyFill="1" applyBorder="1" applyAlignment="1">
      <alignment horizontal="center"/>
    </xf>
    <xf numFmtId="0" fontId="32" fillId="14" borderId="13" xfId="0" applyFont="1" applyFill="1" applyBorder="1" applyAlignment="1">
      <alignment horizontal="center"/>
    </xf>
    <xf numFmtId="0" fontId="32" fillId="14" borderId="7" xfId="0" applyFont="1" applyFill="1" applyBorder="1" applyAlignment="1">
      <alignment horizontal="center"/>
    </xf>
    <xf numFmtId="0" fontId="37" fillId="0" borderId="0" xfId="0" applyFont="1" applyAlignment="1">
      <alignment horizontal="left"/>
    </xf>
    <xf numFmtId="0" fontId="27" fillId="7" borderId="6" xfId="0" applyFont="1" applyFill="1" applyBorder="1" applyAlignment="1">
      <alignment horizontal="left"/>
    </xf>
    <xf numFmtId="0" fontId="27" fillId="7" borderId="13" xfId="0" applyFont="1" applyFill="1" applyBorder="1" applyAlignment="1">
      <alignment horizontal="left"/>
    </xf>
    <xf numFmtId="0" fontId="27" fillId="11" borderId="8" xfId="0" applyFont="1" applyFill="1" applyBorder="1" applyAlignment="1">
      <alignment horizontal="center" vertical="center" wrapText="1"/>
    </xf>
    <xf numFmtId="0" fontId="39" fillId="14" borderId="10" xfId="0" applyFont="1" applyFill="1" applyBorder="1" applyAlignment="1">
      <alignment horizontal="center" vertical="center"/>
    </xf>
    <xf numFmtId="0" fontId="39" fillId="14" borderId="11" xfId="0" applyFont="1" applyFill="1" applyBorder="1" applyAlignment="1">
      <alignment horizontal="center" vertical="center"/>
    </xf>
    <xf numFmtId="0" fontId="39" fillId="14" borderId="12" xfId="0" applyFont="1" applyFill="1" applyBorder="1" applyAlignment="1">
      <alignment horizontal="center" vertical="center"/>
    </xf>
    <xf numFmtId="0" fontId="27" fillId="11" borderId="25" xfId="0" applyFont="1" applyFill="1" applyBorder="1" applyAlignment="1">
      <alignment horizontal="center" vertical="top" wrapText="1"/>
    </xf>
    <xf numFmtId="0" fontId="27" fillId="11" borderId="26" xfId="0" applyFont="1" applyFill="1" applyBorder="1" applyAlignment="1">
      <alignment horizontal="center" vertical="top" wrapText="1"/>
    </xf>
    <xf numFmtId="0" fontId="27" fillId="11" borderId="27" xfId="0" applyFont="1" applyFill="1" applyBorder="1" applyAlignment="1">
      <alignment horizontal="center" vertical="top" wrapText="1"/>
    </xf>
    <xf numFmtId="0" fontId="27" fillId="11" borderId="93" xfId="0" applyFont="1" applyFill="1" applyBorder="1" applyAlignment="1">
      <alignment horizontal="center" vertical="center" wrapText="1"/>
    </xf>
    <xf numFmtId="0" fontId="27" fillId="11" borderId="53" xfId="0" applyFont="1" applyFill="1" applyBorder="1" applyAlignment="1">
      <alignment horizontal="center" vertical="center"/>
    </xf>
    <xf numFmtId="0" fontId="27" fillId="11" borderId="8" xfId="0" applyFont="1" applyFill="1" applyBorder="1" applyAlignment="1">
      <alignment horizontal="center" vertical="center"/>
    </xf>
    <xf numFmtId="0" fontId="27" fillId="11" borderId="4" xfId="0" applyFont="1" applyFill="1" applyBorder="1" applyAlignment="1">
      <alignment horizontal="center" vertical="center"/>
    </xf>
    <xf numFmtId="0" fontId="39" fillId="14" borderId="13" xfId="0" applyFont="1" applyFill="1" applyBorder="1" applyAlignment="1">
      <alignment horizontal="center"/>
    </xf>
    <xf numFmtId="0" fontId="23" fillId="8" borderId="23" xfId="0" applyFont="1" applyFill="1" applyBorder="1" applyAlignment="1">
      <alignment horizontal="center"/>
    </xf>
    <xf numFmtId="0" fontId="20" fillId="10" borderId="23" xfId="0" applyFont="1" applyFill="1" applyBorder="1" applyAlignment="1">
      <alignment horizontal="center"/>
    </xf>
    <xf numFmtId="0" fontId="39" fillId="14" borderId="16" xfId="0" applyFont="1" applyFill="1" applyBorder="1" applyAlignment="1">
      <alignment horizontal="center" vertical="center"/>
    </xf>
    <xf numFmtId="0" fontId="21" fillId="14" borderId="13" xfId="0" applyFont="1" applyFill="1" applyBorder="1" applyAlignment="1">
      <alignment horizontal="center" vertical="center"/>
    </xf>
    <xf numFmtId="0" fontId="0" fillId="14" borderId="0" xfId="0" applyFill="1" applyAlignment="1">
      <alignment horizontal="center"/>
    </xf>
    <xf numFmtId="0" fontId="5" fillId="11" borderId="0" xfId="0" applyFont="1" applyFill="1" applyAlignment="1">
      <alignment horizontal="center"/>
    </xf>
    <xf numFmtId="0" fontId="27" fillId="11" borderId="8" xfId="0" applyFont="1" applyFill="1" applyBorder="1" applyAlignment="1">
      <alignment horizontal="center" wrapText="1"/>
    </xf>
    <xf numFmtId="0" fontId="27" fillId="11" borderId="4" xfId="0" applyFont="1" applyFill="1" applyBorder="1" applyAlignment="1">
      <alignment horizontal="center" wrapText="1"/>
    </xf>
    <xf numFmtId="0" fontId="27" fillId="0" borderId="8" xfId="0" applyFont="1" applyBorder="1" applyAlignment="1">
      <alignment horizontal="left" vertical="top" wrapText="1"/>
    </xf>
    <xf numFmtId="0" fontId="29" fillId="11" borderId="1" xfId="0" applyFont="1" applyFill="1" applyBorder="1" applyAlignment="1">
      <alignment horizontal="center"/>
    </xf>
    <xf numFmtId="0" fontId="0" fillId="0" borderId="8" xfId="0" applyBorder="1" applyAlignment="1">
      <alignment horizontal="left"/>
    </xf>
    <xf numFmtId="0" fontId="129" fillId="0" borderId="0" xfId="0" applyFont="1" applyAlignment="1">
      <alignment horizontal="left" vertical="top" wrapText="1"/>
    </xf>
    <xf numFmtId="0" fontId="1" fillId="0" borderId="0" xfId="0" applyFont="1" applyAlignment="1">
      <alignment horizontal="left" vertical="top" wrapText="1"/>
    </xf>
    <xf numFmtId="0" fontId="0" fillId="3" borderId="0" xfId="0" applyFill="1" applyAlignment="1">
      <alignment horizontal="center"/>
    </xf>
    <xf numFmtId="0" fontId="0" fillId="0" borderId="19" xfId="0" applyBorder="1" applyAlignment="1">
      <alignment horizontal="center"/>
    </xf>
    <xf numFmtId="0" fontId="0" fillId="0" borderId="21" xfId="0" applyBorder="1" applyAlignment="1">
      <alignment horizontal="center"/>
    </xf>
    <xf numFmtId="0" fontId="23" fillId="8" borderId="13" xfId="0" applyFont="1" applyFill="1" applyBorder="1" applyAlignment="1">
      <alignment horizontal="left"/>
    </xf>
    <xf numFmtId="0" fontId="140" fillId="11" borderId="17" xfId="0" applyFont="1" applyFill="1" applyBorder="1" applyAlignment="1">
      <alignment horizontal="center" vertical="center" wrapText="1"/>
    </xf>
    <xf numFmtId="0" fontId="140" fillId="11" borderId="18" xfId="0" applyFont="1" applyFill="1" applyBorder="1" applyAlignment="1">
      <alignment horizontal="center" vertical="center" wrapText="1"/>
    </xf>
    <xf numFmtId="0" fontId="140" fillId="11" borderId="19" xfId="0" applyFont="1" applyFill="1" applyBorder="1" applyAlignment="1">
      <alignment horizontal="center" vertical="center" wrapText="1"/>
    </xf>
    <xf numFmtId="0" fontId="140" fillId="11" borderId="21" xfId="0" applyFont="1" applyFill="1" applyBorder="1" applyAlignment="1">
      <alignment horizontal="center" vertical="center" wrapText="1"/>
    </xf>
    <xf numFmtId="0" fontId="21" fillId="8" borderId="1" xfId="0" applyFont="1" applyFill="1" applyBorder="1" applyAlignment="1">
      <alignment horizontal="center" vertical="center"/>
    </xf>
    <xf numFmtId="0" fontId="23" fillId="8" borderId="1" xfId="0" applyFont="1" applyFill="1" applyBorder="1" applyAlignment="1">
      <alignment horizontal="center"/>
    </xf>
    <xf numFmtId="0" fontId="39" fillId="14" borderId="4" xfId="0" applyFont="1" applyFill="1" applyBorder="1" applyAlignment="1">
      <alignment horizontal="center"/>
    </xf>
    <xf numFmtId="0" fontId="39" fillId="14" borderId="2" xfId="0" applyFont="1" applyFill="1" applyBorder="1" applyAlignment="1">
      <alignment horizontal="center"/>
    </xf>
    <xf numFmtId="0" fontId="84" fillId="0" borderId="6" xfId="0" applyFont="1" applyBorder="1" applyAlignment="1">
      <alignment horizontal="left" vertical="top" wrapText="1"/>
    </xf>
    <xf numFmtId="0" fontId="84" fillId="0" borderId="13" xfId="0" applyFont="1" applyBorder="1" applyAlignment="1">
      <alignment horizontal="left" vertical="top" wrapText="1"/>
    </xf>
    <xf numFmtId="0" fontId="84" fillId="0" borderId="7" xfId="0" applyFont="1" applyBorder="1" applyAlignment="1">
      <alignment horizontal="left" vertical="top" wrapText="1"/>
    </xf>
    <xf numFmtId="0" fontId="85" fillId="8" borderId="25" xfId="0" applyFont="1" applyFill="1" applyBorder="1" applyAlignment="1">
      <alignment horizontal="center" vertical="center" wrapText="1"/>
    </xf>
    <xf numFmtId="0" fontId="85" fillId="8" borderId="26" xfId="0" applyFont="1" applyFill="1" applyBorder="1" applyAlignment="1">
      <alignment horizontal="center" vertical="center" wrapText="1"/>
    </xf>
    <xf numFmtId="0" fontId="85" fillId="8" borderId="27" xfId="0" applyFont="1" applyFill="1" applyBorder="1" applyAlignment="1">
      <alignment horizontal="center" vertical="center" wrapText="1"/>
    </xf>
    <xf numFmtId="0" fontId="84" fillId="0" borderId="0" xfId="0" applyFont="1" applyAlignment="1">
      <alignment vertical="top" wrapText="1"/>
    </xf>
    <xf numFmtId="0" fontId="24" fillId="10" borderId="8" xfId="0" applyFont="1" applyFill="1" applyBorder="1" applyAlignment="1">
      <alignment horizontal="center" vertical="center"/>
    </xf>
    <xf numFmtId="0" fontId="24" fillId="10" borderId="0" xfId="0" applyFont="1" applyFill="1" applyAlignment="1">
      <alignment horizontal="center" vertical="center"/>
    </xf>
    <xf numFmtId="0" fontId="84" fillId="0" borderId="8" xfId="0" applyFont="1" applyBorder="1" applyAlignment="1">
      <alignment horizontal="left" wrapText="1"/>
    </xf>
    <xf numFmtId="0" fontId="84" fillId="0" borderId="0" xfId="0" applyFont="1" applyAlignment="1">
      <alignment horizontal="left" wrapText="1"/>
    </xf>
    <xf numFmtId="0" fontId="84" fillId="0" borderId="0" xfId="0" applyFont="1" applyAlignment="1">
      <alignment wrapText="1"/>
    </xf>
    <xf numFmtId="0" fontId="84" fillId="0" borderId="8" xfId="0" applyFont="1" applyBorder="1" applyAlignment="1">
      <alignment horizontal="left"/>
    </xf>
    <xf numFmtId="0" fontId="84" fillId="0" borderId="0" xfId="0" applyFont="1" applyAlignment="1">
      <alignment horizontal="left"/>
    </xf>
    <xf numFmtId="0" fontId="27" fillId="0" borderId="0" xfId="0" applyFont="1" applyAlignment="1">
      <alignment horizontal="left" vertical="center"/>
    </xf>
    <xf numFmtId="0" fontId="84" fillId="0" borderId="0" xfId="0" applyFont="1"/>
    <xf numFmtId="0" fontId="27" fillId="14" borderId="4" xfId="0" applyFont="1" applyFill="1" applyBorder="1" applyAlignment="1">
      <alignment horizontal="center"/>
    </xf>
    <xf numFmtId="0" fontId="27" fillId="14" borderId="2" xfId="0" applyFont="1" applyFill="1" applyBorder="1" applyAlignment="1">
      <alignment horizontal="center"/>
    </xf>
    <xf numFmtId="0" fontId="27" fillId="14" borderId="24" xfId="0" applyFont="1" applyFill="1" applyBorder="1" applyAlignment="1">
      <alignment horizontal="center"/>
    </xf>
    <xf numFmtId="0" fontId="21" fillId="14" borderId="38" xfId="0" applyFont="1" applyFill="1" applyBorder="1" applyAlignment="1">
      <alignment horizontal="center" vertical="center"/>
    </xf>
    <xf numFmtId="0" fontId="21" fillId="14" borderId="22" xfId="0" applyFont="1" applyFill="1" applyBorder="1" applyAlignment="1">
      <alignment horizontal="center" vertical="center"/>
    </xf>
    <xf numFmtId="0" fontId="84" fillId="0" borderId="1" xfId="0" applyFont="1" applyBorder="1" applyAlignment="1">
      <alignment horizontal="left" wrapText="1"/>
    </xf>
    <xf numFmtId="0" fontId="84" fillId="0" borderId="4" xfId="0" applyFont="1" applyBorder="1" applyAlignment="1">
      <alignment horizontal="left" wrapText="1"/>
    </xf>
    <xf numFmtId="0" fontId="84" fillId="0" borderId="2" xfId="0" applyFont="1" applyBorder="1" applyAlignment="1">
      <alignment horizontal="left" wrapText="1"/>
    </xf>
    <xf numFmtId="0" fontId="84" fillId="0" borderId="33" xfId="0" applyFont="1" applyBorder="1" applyAlignment="1">
      <alignment horizontal="left" wrapText="1"/>
    </xf>
    <xf numFmtId="0" fontId="84" fillId="0" borderId="38" xfId="0" applyFont="1" applyBorder="1" applyAlignment="1">
      <alignment horizontal="left" wrapText="1"/>
    </xf>
    <xf numFmtId="0" fontId="85" fillId="0" borderId="8" xfId="0" applyFont="1" applyBorder="1" applyAlignment="1">
      <alignment horizontal="left" vertical="top" wrapText="1"/>
    </xf>
    <xf numFmtId="0" fontId="20" fillId="10" borderId="1" xfId="0" applyFont="1" applyFill="1" applyBorder="1" applyAlignment="1">
      <alignment horizontal="center"/>
    </xf>
    <xf numFmtId="0" fontId="103" fillId="16" borderId="8" xfId="0" applyFont="1" applyFill="1" applyBorder="1" applyAlignment="1">
      <alignment horizontal="center"/>
    </xf>
    <xf numFmtId="0" fontId="103" fillId="16" borderId="0" xfId="0" applyFont="1" applyFill="1" applyAlignment="1">
      <alignment horizontal="center"/>
    </xf>
    <xf numFmtId="0" fontId="39" fillId="14" borderId="4" xfId="0" applyFont="1" applyFill="1" applyBorder="1" applyAlignment="1">
      <alignment horizontal="center" vertical="center"/>
    </xf>
    <xf numFmtId="0" fontId="39" fillId="14" borderId="2" xfId="0" applyFont="1" applyFill="1" applyBorder="1" applyAlignment="1">
      <alignment horizontal="center" vertical="center"/>
    </xf>
    <xf numFmtId="0" fontId="103" fillId="14" borderId="6" xfId="0" applyFont="1" applyFill="1" applyBorder="1" applyAlignment="1">
      <alignment horizontal="center" vertical="center"/>
    </xf>
    <xf numFmtId="0" fontId="103" fillId="14" borderId="13" xfId="0" applyFont="1" applyFill="1" applyBorder="1" applyAlignment="1">
      <alignment horizontal="center" vertical="center"/>
    </xf>
    <xf numFmtId="0" fontId="27" fillId="11" borderId="16"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0" fillId="11" borderId="5" xfId="0" applyFill="1" applyBorder="1" applyAlignment="1">
      <alignment horizontal="center" vertical="center" wrapText="1"/>
    </xf>
    <xf numFmtId="0" fontId="0" fillId="11" borderId="9" xfId="0" applyFill="1" applyBorder="1" applyAlignment="1">
      <alignment horizontal="center" vertical="center" wrapText="1"/>
    </xf>
    <xf numFmtId="0" fontId="7" fillId="0" borderId="0" xfId="0" applyFont="1" applyAlignment="1">
      <alignment horizontal="left" vertical="top" wrapText="1"/>
    </xf>
    <xf numFmtId="0" fontId="132" fillId="0" borderId="0" xfId="0" applyFont="1" applyAlignment="1">
      <alignment horizontal="left" vertical="top" wrapText="1"/>
    </xf>
    <xf numFmtId="0" fontId="103" fillId="6" borderId="4" xfId="0" applyFont="1" applyFill="1" applyBorder="1" applyAlignment="1">
      <alignment horizontal="center"/>
    </xf>
    <xf numFmtId="0" fontId="103" fillId="6" borderId="2" xfId="0" applyFont="1" applyFill="1" applyBorder="1" applyAlignment="1">
      <alignment horizontal="center"/>
    </xf>
    <xf numFmtId="0" fontId="85" fillId="7" borderId="6" xfId="0" applyFont="1" applyFill="1" applyBorder="1" applyAlignment="1">
      <alignment horizontal="center" wrapText="1"/>
    </xf>
    <xf numFmtId="0" fontId="85" fillId="7" borderId="7" xfId="0" applyFont="1" applyFill="1" applyBorder="1" applyAlignment="1">
      <alignment horizontal="center" wrapText="1"/>
    </xf>
    <xf numFmtId="0" fontId="0" fillId="0" borderId="6" xfId="0" applyBorder="1" applyAlignment="1">
      <alignment horizontal="left" vertical="top"/>
    </xf>
    <xf numFmtId="0" fontId="0" fillId="0" borderId="13" xfId="0" applyBorder="1" applyAlignment="1">
      <alignment horizontal="left" vertical="top"/>
    </xf>
    <xf numFmtId="0" fontId="0" fillId="0" borderId="7" xfId="0" applyBorder="1" applyAlignment="1">
      <alignment horizontal="left" vertical="top"/>
    </xf>
    <xf numFmtId="0" fontId="27" fillId="11" borderId="23" xfId="0" applyFont="1" applyFill="1" applyBorder="1" applyAlignment="1">
      <alignment horizontal="center" vertical="center" wrapText="1"/>
    </xf>
    <xf numFmtId="0" fontId="0" fillId="0" borderId="1" xfId="0" applyBorder="1" applyAlignment="1">
      <alignment horizontal="left" vertical="top"/>
    </xf>
    <xf numFmtId="0" fontId="103" fillId="16" borderId="13" xfId="0" applyFont="1" applyFill="1" applyBorder="1" applyAlignment="1">
      <alignment horizontal="center"/>
    </xf>
    <xf numFmtId="0" fontId="39" fillId="14" borderId="1" xfId="0" applyFont="1" applyFill="1" applyBorder="1" applyAlignment="1">
      <alignment horizontal="center" vertical="center"/>
    </xf>
    <xf numFmtId="0" fontId="103" fillId="14" borderId="2" xfId="0" applyFont="1" applyFill="1" applyBorder="1" applyAlignment="1">
      <alignment horizontal="center" vertical="center"/>
    </xf>
    <xf numFmtId="0" fontId="84" fillId="0" borderId="1" xfId="0" applyFont="1" applyBorder="1" applyAlignment="1">
      <alignment horizontal="left" vertical="top" wrapText="1"/>
    </xf>
    <xf numFmtId="0" fontId="26" fillId="0" borderId="1" xfId="0" applyFont="1" applyBorder="1" applyAlignment="1">
      <alignment horizontal="left" vertical="top" wrapText="1"/>
    </xf>
    <xf numFmtId="0" fontId="103" fillId="14" borderId="58" xfId="0" applyFont="1" applyFill="1" applyBorder="1" applyAlignment="1">
      <alignment horizontal="center" vertical="center"/>
    </xf>
    <xf numFmtId="0" fontId="72" fillId="0" borderId="6" xfId="0" applyFont="1" applyBorder="1" applyAlignment="1">
      <alignment horizontal="left" vertical="top" wrapText="1"/>
    </xf>
    <xf numFmtId="0" fontId="72" fillId="0" borderId="13" xfId="0" applyFont="1" applyBorder="1" applyAlignment="1">
      <alignment horizontal="left" vertical="top" wrapText="1"/>
    </xf>
    <xf numFmtId="0" fontId="72" fillId="0" borderId="7" xfId="0" applyFont="1" applyBorder="1" applyAlignment="1">
      <alignment horizontal="left" vertical="top" wrapText="1"/>
    </xf>
    <xf numFmtId="0" fontId="0" fillId="0" borderId="0" xfId="0" applyAlignment="1">
      <alignment horizontal="left" wrapText="1"/>
    </xf>
    <xf numFmtId="0" fontId="84" fillId="0" borderId="33" xfId="0" applyFont="1" applyBorder="1" applyAlignment="1">
      <alignment horizontal="center" vertical="top" wrapText="1"/>
    </xf>
    <xf numFmtId="0" fontId="84" fillId="0" borderId="38" xfId="0" applyFont="1" applyBorder="1" applyAlignment="1">
      <alignment horizontal="center" vertical="top" wrapText="1"/>
    </xf>
    <xf numFmtId="0" fontId="84" fillId="0" borderId="22" xfId="0" applyFont="1" applyBorder="1" applyAlignment="1">
      <alignment horizontal="center" vertical="top" wrapText="1"/>
    </xf>
    <xf numFmtId="0" fontId="84" fillId="0" borderId="8" xfId="0" applyFont="1" applyBorder="1" applyAlignment="1">
      <alignment horizontal="center" vertical="top" wrapText="1"/>
    </xf>
    <xf numFmtId="0" fontId="84" fillId="0" borderId="0" xfId="0" applyFont="1" applyAlignment="1">
      <alignment horizontal="center" vertical="top" wrapText="1"/>
    </xf>
    <xf numFmtId="0" fontId="84" fillId="0" borderId="23" xfId="0" applyFont="1" applyBorder="1" applyAlignment="1">
      <alignment horizontal="center" vertical="top" wrapText="1"/>
    </xf>
    <xf numFmtId="0" fontId="84" fillId="0" borderId="4" xfId="0" applyFont="1" applyBorder="1" applyAlignment="1">
      <alignment horizontal="center" vertical="top" wrapText="1"/>
    </xf>
    <xf numFmtId="0" fontId="84" fillId="0" borderId="2" xfId="0" applyFont="1" applyBorder="1" applyAlignment="1">
      <alignment horizontal="center" vertical="top" wrapText="1"/>
    </xf>
    <xf numFmtId="0" fontId="84" fillId="0" borderId="24" xfId="0" applyFont="1" applyBorder="1" applyAlignment="1">
      <alignment horizontal="center" vertical="top" wrapText="1"/>
    </xf>
    <xf numFmtId="0" fontId="21" fillId="14" borderId="33" xfId="0" applyFont="1" applyFill="1" applyBorder="1" applyAlignment="1">
      <alignment horizontal="center" vertical="center"/>
    </xf>
    <xf numFmtId="0" fontId="27" fillId="11" borderId="100" xfId="0" applyFont="1" applyFill="1" applyBorder="1" applyAlignment="1">
      <alignment horizontal="center" vertical="center" wrapText="1"/>
    </xf>
    <xf numFmtId="0" fontId="27" fillId="11" borderId="94" xfId="0" applyFont="1" applyFill="1" applyBorder="1" applyAlignment="1">
      <alignment horizontal="center" vertical="center" wrapText="1"/>
    </xf>
    <xf numFmtId="0" fontId="27" fillId="11" borderId="101" xfId="0" applyFont="1" applyFill="1" applyBorder="1" applyAlignment="1">
      <alignment horizontal="center" vertical="center" wrapText="1"/>
    </xf>
    <xf numFmtId="0" fontId="129" fillId="0" borderId="8" xfId="0" applyFont="1" applyBorder="1" applyAlignment="1">
      <alignment horizontal="left" wrapText="1"/>
    </xf>
    <xf numFmtId="0" fontId="129" fillId="0" borderId="0" xfId="0" applyFont="1" applyAlignment="1">
      <alignment horizontal="left" wrapText="1"/>
    </xf>
    <xf numFmtId="0" fontId="27" fillId="0" borderId="0" xfId="0" applyFont="1" applyAlignment="1">
      <alignment horizontal="left"/>
    </xf>
    <xf numFmtId="0" fontId="37" fillId="0" borderId="0" xfId="0" applyFont="1" applyAlignment="1">
      <alignment horizontal="left" vertical="top"/>
    </xf>
    <xf numFmtId="0" fontId="21" fillId="14" borderId="7" xfId="0" applyFont="1" applyFill="1" applyBorder="1" applyAlignment="1">
      <alignment horizontal="center" vertical="center"/>
    </xf>
    <xf numFmtId="0" fontId="29" fillId="39" borderId="50" xfId="0" applyFont="1" applyFill="1" applyBorder="1" applyAlignment="1">
      <alignment horizontal="center" vertical="center"/>
    </xf>
    <xf numFmtId="0" fontId="0" fillId="0" borderId="8" xfId="0" applyBorder="1" applyAlignment="1">
      <alignment horizontal="center"/>
    </xf>
    <xf numFmtId="0" fontId="0" fillId="0" borderId="0" xfId="0" applyAlignment="1">
      <alignment horizontal="center"/>
    </xf>
    <xf numFmtId="0" fontId="155" fillId="40" borderId="0" xfId="0" applyFont="1" applyFill="1" applyAlignment="1">
      <alignment horizontal="left" vertical="center"/>
    </xf>
    <xf numFmtId="0" fontId="19" fillId="8" borderId="8" xfId="0" applyFont="1" applyFill="1" applyBorder="1" applyAlignment="1">
      <alignment horizontal="center"/>
    </xf>
    <xf numFmtId="0" fontId="19" fillId="8" borderId="0" xfId="0" applyFont="1" applyFill="1" applyAlignment="1">
      <alignment horizontal="center"/>
    </xf>
    <xf numFmtId="0" fontId="29" fillId="14" borderId="8" xfId="0" applyFont="1" applyFill="1" applyBorder="1" applyAlignment="1">
      <alignment horizontal="center"/>
    </xf>
    <xf numFmtId="0" fontId="29" fillId="14" borderId="23" xfId="0" applyFont="1" applyFill="1" applyBorder="1" applyAlignment="1">
      <alignment horizontal="center"/>
    </xf>
    <xf numFmtId="0" fontId="37" fillId="0" borderId="8" xfId="0" applyFont="1" applyBorder="1" applyAlignment="1">
      <alignment horizontal="left" wrapText="1"/>
    </xf>
    <xf numFmtId="0" fontId="37" fillId="0" borderId="0" xfId="0" applyFont="1" applyAlignment="1">
      <alignment horizontal="left" wrapText="1"/>
    </xf>
    <xf numFmtId="0" fontId="19" fillId="0" borderId="8" xfId="0" applyFont="1" applyBorder="1" applyAlignment="1">
      <alignment horizontal="left" vertical="top" wrapText="1"/>
    </xf>
    <xf numFmtId="0" fontId="19" fillId="0" borderId="0" xfId="0" applyFont="1" applyAlignment="1">
      <alignment horizontal="left" vertical="top" wrapText="1"/>
    </xf>
    <xf numFmtId="0" fontId="19" fillId="0" borderId="8" xfId="0" applyFont="1" applyBorder="1" applyAlignment="1">
      <alignment horizontal="left" wrapText="1"/>
    </xf>
    <xf numFmtId="0" fontId="19" fillId="0" borderId="0" xfId="0" applyFont="1" applyAlignment="1">
      <alignment horizontal="left" wrapText="1"/>
    </xf>
    <xf numFmtId="0" fontId="27" fillId="7" borderId="4" xfId="0" applyFont="1" applyFill="1" applyBorder="1" applyAlignment="1">
      <alignment horizontal="center"/>
    </xf>
    <xf numFmtId="0" fontId="27" fillId="7" borderId="2" xfId="0" applyFont="1" applyFill="1" applyBorder="1" applyAlignment="1">
      <alignment horizontal="center"/>
    </xf>
    <xf numFmtId="0" fontId="27" fillId="7" borderId="24" xfId="0" applyFont="1" applyFill="1" applyBorder="1" applyAlignment="1">
      <alignment horizontal="center"/>
    </xf>
    <xf numFmtId="0" fontId="27" fillId="7" borderId="8" xfId="0" applyFont="1" applyFill="1" applyBorder="1" applyAlignment="1">
      <alignment horizontal="center"/>
    </xf>
    <xf numFmtId="0" fontId="27" fillId="7" borderId="0" xfId="0" applyFont="1" applyFill="1" applyAlignment="1">
      <alignment horizontal="center"/>
    </xf>
    <xf numFmtId="0" fontId="34" fillId="0" borderId="0" xfId="0" applyFont="1" applyAlignment="1">
      <alignment horizontal="left" vertical="top" wrapText="1"/>
    </xf>
    <xf numFmtId="0" fontId="21" fillId="8" borderId="6" xfId="0" applyFont="1" applyFill="1" applyBorder="1" applyAlignment="1">
      <alignment horizontal="left"/>
    </xf>
    <xf numFmtId="0" fontId="21" fillId="8" borderId="7" xfId="0" applyFont="1" applyFill="1" applyBorder="1" applyAlignment="1">
      <alignment horizontal="left"/>
    </xf>
    <xf numFmtId="0" fontId="82" fillId="7" borderId="25" xfId="0" applyFont="1" applyFill="1" applyBorder="1" applyAlignment="1">
      <alignment horizontal="center" vertical="center" wrapText="1"/>
    </xf>
    <xf numFmtId="0" fontId="82" fillId="7" borderId="26" xfId="0" applyFont="1" applyFill="1" applyBorder="1" applyAlignment="1">
      <alignment horizontal="center" vertical="center" wrapText="1"/>
    </xf>
    <xf numFmtId="0" fontId="82" fillId="7" borderId="27" xfId="0" applyFont="1" applyFill="1" applyBorder="1" applyAlignment="1">
      <alignment horizontal="center" vertical="center" wrapText="1"/>
    </xf>
    <xf numFmtId="0" fontId="19" fillId="8" borderId="25" xfId="0" applyFont="1" applyFill="1" applyBorder="1" applyAlignment="1">
      <alignment horizontal="center" vertical="center"/>
    </xf>
    <xf numFmtId="0" fontId="19" fillId="8" borderId="26" xfId="0" applyFont="1" applyFill="1" applyBorder="1" applyAlignment="1">
      <alignment horizontal="center" vertical="center"/>
    </xf>
    <xf numFmtId="0" fontId="19" fillId="8" borderId="27" xfId="0" applyFont="1" applyFill="1" applyBorder="1" applyAlignment="1">
      <alignment horizontal="center" vertical="center"/>
    </xf>
    <xf numFmtId="0" fontId="34" fillId="0" borderId="25" xfId="0" applyFont="1" applyBorder="1" applyAlignment="1">
      <alignment horizontal="center" vertical="top" wrapText="1"/>
    </xf>
    <xf numFmtId="0" fontId="34" fillId="0" borderId="26" xfId="0" applyFont="1" applyBorder="1" applyAlignment="1">
      <alignment horizontal="center" vertical="top" wrapText="1"/>
    </xf>
    <xf numFmtId="0" fontId="34" fillId="0" borderId="27" xfId="0" applyFont="1" applyBorder="1" applyAlignment="1">
      <alignment horizontal="center" vertical="top" wrapText="1"/>
    </xf>
    <xf numFmtId="0" fontId="82" fillId="11" borderId="16" xfId="0" applyFont="1" applyFill="1" applyBorder="1" applyAlignment="1">
      <alignment horizontal="center" vertical="center" wrapText="1"/>
    </xf>
    <xf numFmtId="0" fontId="82" fillId="11" borderId="21" xfId="0" applyFont="1" applyFill="1" applyBorder="1" applyAlignment="1">
      <alignment horizontal="center" vertical="center" wrapText="1"/>
    </xf>
    <xf numFmtId="0" fontId="34" fillId="7" borderId="6" xfId="0" applyFont="1" applyFill="1" applyBorder="1" applyAlignment="1">
      <alignment horizontal="left" vertical="center" wrapText="1"/>
    </xf>
    <xf numFmtId="0" fontId="34" fillId="7" borderId="13" xfId="0" applyFont="1" applyFill="1" applyBorder="1" applyAlignment="1">
      <alignment horizontal="left" vertical="center" wrapText="1"/>
    </xf>
    <xf numFmtId="0" fontId="34" fillId="7" borderId="7" xfId="0" applyFont="1" applyFill="1" applyBorder="1" applyAlignment="1">
      <alignment horizontal="left" vertical="center" wrapText="1"/>
    </xf>
    <xf numFmtId="0" fontId="34" fillId="7" borderId="1" xfId="0" applyFont="1" applyFill="1" applyBorder="1" applyAlignment="1">
      <alignment horizontal="left" vertical="center" wrapText="1"/>
    </xf>
    <xf numFmtId="0" fontId="34" fillId="7" borderId="6" xfId="0" applyFont="1" applyFill="1" applyBorder="1" applyAlignment="1">
      <alignment horizontal="center" vertical="center" wrapText="1"/>
    </xf>
    <xf numFmtId="0" fontId="34" fillId="7" borderId="13" xfId="0" applyFont="1" applyFill="1" applyBorder="1" applyAlignment="1">
      <alignment horizontal="center" vertical="center" wrapText="1"/>
    </xf>
    <xf numFmtId="0" fontId="21" fillId="8" borderId="33" xfId="0" applyFont="1" applyFill="1" applyBorder="1" applyAlignment="1">
      <alignment horizontal="left"/>
    </xf>
    <xf numFmtId="0" fontId="21" fillId="8" borderId="22" xfId="0" applyFont="1" applyFill="1" applyBorder="1" applyAlignment="1">
      <alignment horizontal="left"/>
    </xf>
    <xf numFmtId="0" fontId="82" fillId="8" borderId="6" xfId="0" applyFont="1" applyFill="1" applyBorder="1" applyAlignment="1">
      <alignment horizontal="center" vertical="center" wrapText="1"/>
    </xf>
    <xf numFmtId="0" fontId="82" fillId="8" borderId="38" xfId="0" applyFont="1" applyFill="1" applyBorder="1" applyAlignment="1">
      <alignment horizontal="center" vertical="center" wrapText="1"/>
    </xf>
    <xf numFmtId="0" fontId="113" fillId="3" borderId="38" xfId="0" applyFont="1" applyFill="1" applyBorder="1" applyAlignment="1">
      <alignment horizontal="center" vertical="center" wrapText="1"/>
    </xf>
    <xf numFmtId="0" fontId="113" fillId="3" borderId="0" xfId="0" applyFont="1" applyFill="1" applyAlignment="1">
      <alignment horizontal="center" vertical="center" wrapText="1"/>
    </xf>
    <xf numFmtId="0" fontId="113" fillId="3" borderId="2" xfId="0" applyFont="1" applyFill="1" applyBorder="1" applyAlignment="1">
      <alignment horizontal="center" vertical="center" wrapText="1"/>
    </xf>
    <xf numFmtId="0" fontId="82" fillId="11" borderId="10" xfId="0" applyFont="1" applyFill="1" applyBorder="1" applyAlignment="1">
      <alignment horizontal="center" vertical="center" wrapText="1"/>
    </xf>
    <xf numFmtId="0" fontId="82" fillId="11" borderId="12" xfId="0" applyFont="1" applyFill="1" applyBorder="1" applyAlignment="1">
      <alignment horizontal="center" vertical="center" wrapText="1"/>
    </xf>
    <xf numFmtId="0" fontId="82" fillId="8" borderId="1" xfId="0" applyFont="1" applyFill="1" applyBorder="1" applyAlignment="1">
      <alignment horizontal="left" vertical="top" wrapText="1"/>
    </xf>
    <xf numFmtId="0" fontId="34" fillId="0" borderId="0" xfId="0" applyFont="1" applyAlignment="1">
      <alignment horizontal="left"/>
    </xf>
    <xf numFmtId="0" fontId="34" fillId="0" borderId="0" xfId="0" applyFont="1" applyAlignment="1">
      <alignment horizontal="left" wrapText="1"/>
    </xf>
    <xf numFmtId="0" fontId="34" fillId="0" borderId="0" xfId="0" applyFont="1" applyAlignment="1">
      <alignment horizontal="left" vertical="top"/>
    </xf>
    <xf numFmtId="0" fontId="88" fillId="0" borderId="0" xfId="0" applyFont="1" applyAlignment="1">
      <alignment horizontal="left" vertical="top" wrapText="1"/>
    </xf>
    <xf numFmtId="0" fontId="19" fillId="14" borderId="6" xfId="0" applyFont="1" applyFill="1" applyBorder="1" applyAlignment="1">
      <alignment horizontal="center"/>
    </xf>
    <xf numFmtId="0" fontId="19" fillId="14" borderId="13" xfId="0" applyFont="1" applyFill="1" applyBorder="1" applyAlignment="1">
      <alignment horizontal="center"/>
    </xf>
    <xf numFmtId="0" fontId="19" fillId="14" borderId="6" xfId="0" applyFont="1" applyFill="1" applyBorder="1" applyAlignment="1">
      <alignment horizontal="center" vertical="center"/>
    </xf>
    <xf numFmtId="0" fontId="19" fillId="14" borderId="13" xfId="0" applyFont="1" applyFill="1" applyBorder="1" applyAlignment="1">
      <alignment horizontal="center" vertical="center"/>
    </xf>
    <xf numFmtId="0" fontId="112" fillId="7" borderId="1" xfId="0" applyFont="1" applyFill="1" applyBorder="1" applyAlignment="1">
      <alignment horizontal="center" vertical="center" wrapText="1"/>
    </xf>
    <xf numFmtId="0" fontId="20" fillId="10" borderId="58" xfId="0" applyFont="1" applyFill="1" applyBorder="1" applyAlignment="1">
      <alignment horizontal="center"/>
    </xf>
    <xf numFmtId="0" fontId="81" fillId="7" borderId="6" xfId="0" applyFont="1" applyFill="1" applyBorder="1" applyAlignment="1">
      <alignment horizontal="center" vertical="center" wrapText="1"/>
    </xf>
    <xf numFmtId="0" fontId="81" fillId="7" borderId="13" xfId="0" applyFont="1" applyFill="1" applyBorder="1" applyAlignment="1">
      <alignment horizontal="center" vertical="center" wrapText="1"/>
    </xf>
    <xf numFmtId="0" fontId="81" fillId="7" borderId="7" xfId="0" applyFont="1" applyFill="1" applyBorder="1" applyAlignment="1">
      <alignment horizontal="center" vertical="center" wrapText="1"/>
    </xf>
    <xf numFmtId="0" fontId="82" fillId="11" borderId="18" xfId="0" applyFont="1" applyFill="1" applyBorder="1" applyAlignment="1">
      <alignment horizontal="center" vertical="center" wrapText="1"/>
    </xf>
    <xf numFmtId="0" fontId="82" fillId="11" borderId="68" xfId="0" applyFont="1" applyFill="1" applyBorder="1" applyAlignment="1">
      <alignment horizontal="center" vertical="center" wrapText="1"/>
    </xf>
    <xf numFmtId="0" fontId="82" fillId="11" borderId="63" xfId="0" applyFont="1" applyFill="1" applyBorder="1" applyAlignment="1">
      <alignment horizontal="center" vertical="center" wrapText="1"/>
    </xf>
    <xf numFmtId="0" fontId="21" fillId="8" borderId="1" xfId="0" applyFont="1" applyFill="1" applyBorder="1" applyAlignment="1">
      <alignment horizontal="left"/>
    </xf>
    <xf numFmtId="0" fontId="34" fillId="0" borderId="0" xfId="0" applyFont="1" applyAlignment="1">
      <alignment horizontal="left" vertical="center" wrapText="1"/>
    </xf>
    <xf numFmtId="0" fontId="39" fillId="14" borderId="7" xfId="0" applyFont="1" applyFill="1" applyBorder="1" applyAlignment="1">
      <alignment horizontal="center"/>
    </xf>
    <xf numFmtId="0" fontId="37" fillId="8" borderId="6" xfId="0" applyFont="1" applyFill="1" applyBorder="1" applyAlignment="1">
      <alignment horizontal="center" vertical="center" wrapText="1"/>
    </xf>
    <xf numFmtId="0" fontId="37" fillId="8" borderId="13" xfId="0" applyFont="1" applyFill="1" applyBorder="1" applyAlignment="1">
      <alignment horizontal="center" vertical="center" wrapText="1"/>
    </xf>
    <xf numFmtId="0" fontId="37" fillId="8" borderId="7" xfId="0" applyFont="1" applyFill="1" applyBorder="1" applyAlignment="1">
      <alignment horizontal="center" vertical="center" wrapText="1"/>
    </xf>
    <xf numFmtId="0" fontId="81" fillId="7" borderId="1" xfId="0" applyFont="1" applyFill="1" applyBorder="1" applyAlignment="1">
      <alignment horizontal="left" vertical="center" wrapText="1"/>
    </xf>
    <xf numFmtId="0" fontId="113" fillId="11" borderId="25" xfId="0" applyFont="1" applyFill="1" applyBorder="1" applyAlignment="1">
      <alignment horizontal="center" vertical="center" wrapText="1"/>
    </xf>
    <xf numFmtId="0" fontId="113" fillId="11" borderId="26" xfId="0" applyFont="1" applyFill="1" applyBorder="1" applyAlignment="1">
      <alignment horizontal="center" vertical="center" wrapText="1"/>
    </xf>
    <xf numFmtId="0" fontId="113" fillId="11" borderId="27" xfId="0" applyFont="1" applyFill="1" applyBorder="1" applyAlignment="1">
      <alignment horizontal="center" vertical="center" wrapText="1"/>
    </xf>
    <xf numFmtId="0" fontId="21" fillId="8" borderId="6" xfId="0" applyFont="1" applyFill="1" applyBorder="1" applyAlignment="1">
      <alignment horizontal="center"/>
    </xf>
    <xf numFmtId="0" fontId="21" fillId="8" borderId="7" xfId="0" applyFont="1" applyFill="1" applyBorder="1" applyAlignment="1">
      <alignment horizontal="center"/>
    </xf>
    <xf numFmtId="0" fontId="39" fillId="14" borderId="1" xfId="0" applyFont="1" applyFill="1" applyBorder="1" applyAlignment="1">
      <alignment horizontal="center" vertical="center" wrapText="1"/>
    </xf>
    <xf numFmtId="0" fontId="82" fillId="11" borderId="0" xfId="0" applyFont="1" applyFill="1" applyAlignment="1">
      <alignment horizontal="center" vertical="center" wrapText="1"/>
    </xf>
    <xf numFmtId="0" fontId="84" fillId="0" borderId="0" xfId="0" applyFont="1" applyAlignment="1">
      <alignment horizontal="left" vertical="center" wrapText="1"/>
    </xf>
    <xf numFmtId="0" fontId="85" fillId="8" borderId="1" xfId="0" applyFont="1" applyFill="1" applyBorder="1" applyAlignment="1">
      <alignment horizontal="center"/>
    </xf>
    <xf numFmtId="0" fontId="85" fillId="8" borderId="6" xfId="0" applyFont="1" applyFill="1" applyBorder="1" applyAlignment="1">
      <alignment horizontal="center"/>
    </xf>
    <xf numFmtId="0" fontId="81" fillId="7" borderId="1" xfId="0" applyFont="1" applyFill="1" applyBorder="1" applyAlignment="1">
      <alignment horizontal="center" vertical="center" wrapText="1"/>
    </xf>
    <xf numFmtId="0" fontId="21" fillId="8" borderId="13" xfId="0" applyFont="1" applyFill="1" applyBorder="1" applyAlignment="1">
      <alignment horizontal="left"/>
    </xf>
    <xf numFmtId="0" fontId="20" fillId="10" borderId="13" xfId="0" applyFont="1" applyFill="1" applyBorder="1" applyAlignment="1">
      <alignment horizontal="center"/>
    </xf>
    <xf numFmtId="0" fontId="78" fillId="7" borderId="1" xfId="0" applyFont="1" applyFill="1" applyBorder="1" applyAlignment="1">
      <alignment horizontal="left" vertical="center" wrapText="1"/>
    </xf>
    <xf numFmtId="0" fontId="84" fillId="0" borderId="3" xfId="0" applyFont="1" applyBorder="1" applyAlignment="1">
      <alignment horizontal="left" vertical="top" wrapText="1"/>
    </xf>
    <xf numFmtId="0" fontId="84" fillId="0" borderId="9" xfId="0" applyFont="1" applyBorder="1" applyAlignment="1">
      <alignment horizontal="left" vertical="top" wrapText="1"/>
    </xf>
    <xf numFmtId="0" fontId="34" fillId="7" borderId="1" xfId="0" applyFont="1" applyFill="1" applyBorder="1" applyAlignment="1">
      <alignment horizontal="center" vertical="center" wrapText="1"/>
    </xf>
    <xf numFmtId="0" fontId="78" fillId="7" borderId="1" xfId="0" applyFont="1" applyFill="1" applyBorder="1" applyAlignment="1">
      <alignment horizontal="center" vertical="center" wrapText="1"/>
    </xf>
    <xf numFmtId="0" fontId="37" fillId="0" borderId="0" xfId="0" applyFont="1" applyAlignment="1">
      <alignment horizontal="left" vertical="top" wrapText="1"/>
    </xf>
    <xf numFmtId="0" fontId="81" fillId="0" borderId="6" xfId="0" applyFont="1" applyBorder="1" applyAlignment="1">
      <alignment horizontal="center" vertical="center" wrapText="1"/>
    </xf>
    <xf numFmtId="0" fontId="81" fillId="0" borderId="7" xfId="0" applyFont="1" applyBorder="1" applyAlignment="1">
      <alignment horizontal="center" vertical="center" wrapText="1"/>
    </xf>
    <xf numFmtId="0" fontId="34" fillId="11" borderId="16" xfId="0" applyFont="1" applyFill="1" applyBorder="1" applyAlignment="1">
      <alignment horizontal="center" vertical="center" wrapText="1"/>
    </xf>
    <xf numFmtId="0" fontId="34" fillId="11" borderId="18" xfId="0" applyFont="1" applyFill="1" applyBorder="1" applyAlignment="1">
      <alignment horizontal="center" vertical="center" wrapText="1"/>
    </xf>
    <xf numFmtId="0" fontId="19" fillId="14" borderId="4" xfId="0" applyFont="1" applyFill="1" applyBorder="1" applyAlignment="1">
      <alignment horizontal="center" vertical="center"/>
    </xf>
    <xf numFmtId="0" fontId="19" fillId="14" borderId="2" xfId="0" applyFont="1" applyFill="1" applyBorder="1" applyAlignment="1">
      <alignment horizontal="center" vertical="center"/>
    </xf>
    <xf numFmtId="0" fontId="34" fillId="7" borderId="6" xfId="0" applyFont="1" applyFill="1" applyBorder="1" applyAlignment="1">
      <alignment horizontal="center"/>
    </xf>
    <xf numFmtId="0" fontId="34" fillId="7" borderId="13" xfId="0" applyFont="1" applyFill="1" applyBorder="1" applyAlignment="1">
      <alignment horizontal="center"/>
    </xf>
    <xf numFmtId="0" fontId="34" fillId="7" borderId="7" xfId="0" applyFont="1" applyFill="1" applyBorder="1" applyAlignment="1">
      <alignment horizontal="center"/>
    </xf>
    <xf numFmtId="0" fontId="34" fillId="11" borderId="25" xfId="0" applyFont="1" applyFill="1" applyBorder="1" applyAlignment="1">
      <alignment horizontal="center" vertical="center" wrapText="1"/>
    </xf>
    <xf numFmtId="0" fontId="34" fillId="11" borderId="26" xfId="0" applyFont="1" applyFill="1" applyBorder="1" applyAlignment="1">
      <alignment horizontal="center" vertical="center" wrapText="1"/>
    </xf>
    <xf numFmtId="0" fontId="19" fillId="0" borderId="17" xfId="0" applyFont="1" applyBorder="1" applyAlignment="1">
      <alignment horizontal="left" vertical="top" wrapText="1"/>
    </xf>
    <xf numFmtId="0" fontId="18" fillId="0" borderId="6" xfId="0" applyFont="1" applyBorder="1" applyAlignment="1">
      <alignment horizontal="center" vertical="center"/>
    </xf>
    <xf numFmtId="0" fontId="18" fillId="0" borderId="7" xfId="0" applyFont="1" applyBorder="1" applyAlignment="1">
      <alignment horizontal="center" vertical="center"/>
    </xf>
    <xf numFmtId="0" fontId="34" fillId="11" borderId="27" xfId="0" applyFont="1" applyFill="1" applyBorder="1" applyAlignment="1">
      <alignment horizontal="center" vertical="center" wrapText="1"/>
    </xf>
    <xf numFmtId="0" fontId="19" fillId="7" borderId="1" xfId="0" applyFont="1" applyFill="1" applyBorder="1" applyAlignment="1">
      <alignment horizontal="left" vertical="top"/>
    </xf>
    <xf numFmtId="0" fontId="19" fillId="7" borderId="9" xfId="0" applyFont="1" applyFill="1" applyBorder="1" applyAlignment="1">
      <alignment horizontal="left" vertical="top"/>
    </xf>
    <xf numFmtId="0" fontId="34" fillId="0" borderId="0" xfId="0" applyFont="1" applyAlignment="1">
      <alignment horizontal="left" vertical="center"/>
    </xf>
    <xf numFmtId="0" fontId="19" fillId="0" borderId="8" xfId="0" applyFont="1" applyBorder="1" applyAlignment="1">
      <alignment horizontal="left" vertical="top"/>
    </xf>
    <xf numFmtId="0" fontId="19" fillId="0" borderId="0" xfId="0" applyFont="1" applyAlignment="1">
      <alignment horizontal="left" vertical="top"/>
    </xf>
    <xf numFmtId="0" fontId="18" fillId="4" borderId="6" xfId="0" applyFont="1" applyFill="1" applyBorder="1" applyAlignment="1">
      <alignment horizontal="center" vertical="center"/>
    </xf>
    <xf numFmtId="0" fontId="18" fillId="4" borderId="7" xfId="0" applyFont="1" applyFill="1" applyBorder="1" applyAlignment="1">
      <alignment horizontal="center" vertical="center"/>
    </xf>
    <xf numFmtId="0" fontId="84" fillId="7" borderId="1" xfId="0" applyFont="1" applyFill="1" applyBorder="1" applyAlignment="1">
      <alignment horizontal="left"/>
    </xf>
    <xf numFmtId="0" fontId="84" fillId="7" borderId="9" xfId="0" applyFont="1" applyFill="1" applyBorder="1" applyAlignment="1">
      <alignment horizontal="left"/>
    </xf>
    <xf numFmtId="0" fontId="39" fillId="21" borderId="6" xfId="0" applyFont="1" applyFill="1" applyBorder="1" applyAlignment="1">
      <alignment horizontal="center" vertical="center"/>
    </xf>
    <xf numFmtId="0" fontId="39" fillId="21" borderId="13" xfId="0" applyFont="1" applyFill="1" applyBorder="1" applyAlignment="1">
      <alignment horizontal="center" vertical="center"/>
    </xf>
    <xf numFmtId="0" fontId="39" fillId="21" borderId="6" xfId="0" applyFont="1" applyFill="1" applyBorder="1" applyAlignment="1">
      <alignment horizontal="center"/>
    </xf>
    <xf numFmtId="0" fontId="39" fillId="21" borderId="7" xfId="0" applyFont="1" applyFill="1" applyBorder="1" applyAlignment="1">
      <alignment horizontal="center"/>
    </xf>
    <xf numFmtId="0" fontId="40" fillId="0" borderId="0" xfId="0" applyFont="1" applyAlignment="1">
      <alignment horizontal="left" wrapText="1"/>
    </xf>
    <xf numFmtId="0" fontId="39" fillId="4" borderId="6" xfId="0" applyFont="1" applyFill="1" applyBorder="1" applyAlignment="1">
      <alignment horizontal="center" vertical="center"/>
    </xf>
    <xf numFmtId="0" fontId="39" fillId="4" borderId="13" xfId="0" applyFont="1" applyFill="1" applyBorder="1" applyAlignment="1">
      <alignment horizontal="center" vertical="center"/>
    </xf>
    <xf numFmtId="0" fontId="34" fillId="14" borderId="1" xfId="0" applyFont="1" applyFill="1" applyBorder="1" applyAlignment="1">
      <alignment horizontal="center"/>
    </xf>
    <xf numFmtId="0" fontId="18" fillId="14" borderId="6" xfId="0" applyFont="1" applyFill="1" applyBorder="1" applyAlignment="1">
      <alignment horizontal="center" vertical="center"/>
    </xf>
    <xf numFmtId="0" fontId="18" fillId="14" borderId="13" xfId="0" applyFont="1" applyFill="1" applyBorder="1" applyAlignment="1">
      <alignment horizontal="center" vertical="center"/>
    </xf>
    <xf numFmtId="0" fontId="24" fillId="29" borderId="0" xfId="0" applyFont="1" applyFill="1" applyAlignment="1">
      <alignment horizontal="left"/>
    </xf>
    <xf numFmtId="0" fontId="84" fillId="8" borderId="1" xfId="0" applyFont="1" applyFill="1" applyBorder="1" applyAlignment="1">
      <alignment horizontal="left" vertical="center"/>
    </xf>
    <xf numFmtId="0" fontId="34" fillId="7" borderId="33" xfId="0" applyFont="1" applyFill="1" applyBorder="1" applyAlignment="1">
      <alignment horizontal="left"/>
    </xf>
    <xf numFmtId="0" fontId="34" fillId="7" borderId="22" xfId="0" applyFont="1" applyFill="1" applyBorder="1" applyAlignment="1">
      <alignment horizontal="left"/>
    </xf>
    <xf numFmtId="0" fontId="34" fillId="7" borderId="1" xfId="0" applyFont="1" applyFill="1" applyBorder="1" applyAlignment="1">
      <alignment horizontal="center"/>
    </xf>
    <xf numFmtId="0" fontId="34" fillId="7" borderId="9" xfId="0" applyFont="1" applyFill="1" applyBorder="1" applyAlignment="1">
      <alignment horizontal="center"/>
    </xf>
    <xf numFmtId="0" fontId="34" fillId="21" borderId="10" xfId="0" applyFont="1" applyFill="1" applyBorder="1" applyAlignment="1">
      <alignment horizontal="center"/>
    </xf>
    <xf numFmtId="0" fontId="34" fillId="21" borderId="12" xfId="0" applyFont="1" applyFill="1" applyBorder="1" applyAlignment="1">
      <alignment horizontal="center"/>
    </xf>
    <xf numFmtId="0" fontId="31" fillId="14" borderId="6" xfId="0" applyFont="1" applyFill="1" applyBorder="1" applyAlignment="1">
      <alignment horizontal="center" vertical="center" wrapText="1"/>
    </xf>
    <xf numFmtId="0" fontId="31" fillId="14" borderId="13" xfId="0" applyFont="1" applyFill="1" applyBorder="1" applyAlignment="1">
      <alignment horizontal="center" vertical="center" wrapText="1"/>
    </xf>
    <xf numFmtId="0" fontId="19" fillId="41" borderId="1" xfId="0" applyFont="1" applyFill="1" applyBorder="1" applyAlignment="1">
      <alignment horizontal="center"/>
    </xf>
    <xf numFmtId="0" fontId="19" fillId="6" borderId="1" xfId="0" applyFont="1" applyFill="1" applyBorder="1" applyAlignment="1">
      <alignment horizontal="center"/>
    </xf>
    <xf numFmtId="0" fontId="19" fillId="6" borderId="1" xfId="0" applyFont="1" applyFill="1" applyBorder="1" applyAlignment="1">
      <alignment horizontal="center" vertical="center"/>
    </xf>
    <xf numFmtId="0" fontId="19" fillId="6" borderId="0" xfId="0" applyFont="1" applyFill="1" applyAlignment="1">
      <alignment horizontal="center" vertical="center"/>
    </xf>
    <xf numFmtId="0" fontId="37" fillId="8" borderId="0" xfId="0" applyFont="1" applyFill="1" applyAlignment="1">
      <alignment horizontal="center"/>
    </xf>
    <xf numFmtId="0" fontId="48" fillId="29" borderId="0" xfId="0" applyFont="1" applyFill="1" applyAlignment="1">
      <alignment horizontal="center"/>
    </xf>
    <xf numFmtId="0" fontId="161" fillId="0" borderId="0" xfId="0" applyFont="1" applyAlignment="1">
      <alignment horizontal="center" vertical="center" wrapText="1"/>
    </xf>
    <xf numFmtId="0" fontId="162" fillId="0" borderId="0" xfId="0" applyFont="1" applyAlignment="1">
      <alignment horizontal="left" vertical="center" wrapText="1"/>
    </xf>
    <xf numFmtId="0" fontId="38" fillId="3" borderId="0" xfId="0" applyFont="1" applyFill="1" applyAlignment="1">
      <alignment horizontal="center" vertical="center"/>
    </xf>
    <xf numFmtId="0" fontId="85" fillId="6" borderId="14" xfId="0" applyFont="1" applyFill="1" applyBorder="1" applyAlignment="1">
      <alignment horizontal="center" vertical="center" wrapText="1"/>
    </xf>
    <xf numFmtId="0" fontId="85" fillId="6" borderId="16" xfId="0" applyFont="1" applyFill="1" applyBorder="1" applyAlignment="1">
      <alignment horizontal="center" vertical="center" wrapText="1"/>
    </xf>
    <xf numFmtId="0" fontId="85" fillId="6" borderId="17" xfId="0" applyFont="1" applyFill="1" applyBorder="1" applyAlignment="1">
      <alignment horizontal="center" vertical="center" wrapText="1"/>
    </xf>
    <xf numFmtId="0" fontId="85" fillId="6" borderId="18" xfId="0" applyFont="1" applyFill="1" applyBorder="1" applyAlignment="1">
      <alignment horizontal="center" vertical="center" wrapText="1"/>
    </xf>
    <xf numFmtId="0" fontId="85" fillId="6" borderId="19" xfId="0" applyFont="1" applyFill="1" applyBorder="1" applyAlignment="1">
      <alignment horizontal="center" vertical="center" wrapText="1"/>
    </xf>
    <xf numFmtId="0" fontId="85" fillId="6" borderId="21" xfId="0" applyFont="1" applyFill="1" applyBorder="1" applyAlignment="1">
      <alignment horizontal="center" vertical="center" wrapText="1"/>
    </xf>
    <xf numFmtId="0" fontId="119" fillId="0" borderId="53" xfId="0" applyFont="1" applyBorder="1" applyAlignment="1">
      <alignment horizontal="center" vertical="top"/>
    </xf>
    <xf numFmtId="0" fontId="119" fillId="0" borderId="16" xfId="0" applyFont="1" applyBorder="1" applyAlignment="1">
      <alignment horizontal="center" vertical="top"/>
    </xf>
    <xf numFmtId="0" fontId="119" fillId="0" borderId="8" xfId="0" applyFont="1" applyBorder="1" applyAlignment="1">
      <alignment horizontal="center" vertical="top"/>
    </xf>
    <xf numFmtId="0" fontId="119" fillId="0" borderId="18" xfId="0" applyFont="1" applyBorder="1" applyAlignment="1">
      <alignment horizontal="center" vertical="top"/>
    </xf>
    <xf numFmtId="0" fontId="29" fillId="21" borderId="6" xfId="0" applyFont="1" applyFill="1" applyBorder="1" applyAlignment="1">
      <alignment horizontal="center"/>
    </xf>
    <xf numFmtId="0" fontId="29" fillId="21" borderId="13" xfId="0" applyFont="1" applyFill="1" applyBorder="1" applyAlignment="1">
      <alignment horizontal="center"/>
    </xf>
    <xf numFmtId="0" fontId="29" fillId="21" borderId="7" xfId="0" applyFont="1" applyFill="1" applyBorder="1" applyAlignment="1">
      <alignment horizontal="center"/>
    </xf>
    <xf numFmtId="0" fontId="19" fillId="8" borderId="6" xfId="0" applyFont="1" applyFill="1" applyBorder="1" applyAlignment="1">
      <alignment horizontal="left"/>
    </xf>
    <xf numFmtId="0" fontId="19" fillId="8" borderId="7" xfId="0" applyFont="1" applyFill="1" applyBorder="1" applyAlignment="1">
      <alignment horizontal="left"/>
    </xf>
    <xf numFmtId="0" fontId="0" fillId="0" borderId="8" xfId="0" applyBorder="1" applyAlignment="1">
      <alignment horizontal="left" vertical="top" wrapText="1"/>
    </xf>
    <xf numFmtId="0" fontId="29" fillId="21" borderId="0" xfId="0" applyFont="1" applyFill="1" applyAlignment="1">
      <alignment horizontal="center"/>
    </xf>
    <xf numFmtId="0" fontId="119" fillId="6" borderId="14" xfId="0" applyFont="1" applyFill="1" applyBorder="1" applyAlignment="1">
      <alignment horizontal="center" vertical="top" wrapText="1"/>
    </xf>
    <xf numFmtId="0" fontId="119" fillId="6" borderId="16" xfId="0" applyFont="1" applyFill="1" applyBorder="1" applyAlignment="1">
      <alignment horizontal="center" vertical="top" wrapText="1"/>
    </xf>
    <xf numFmtId="0" fontId="119" fillId="6" borderId="17" xfId="0" applyFont="1" applyFill="1" applyBorder="1" applyAlignment="1">
      <alignment horizontal="center" vertical="top" wrapText="1"/>
    </xf>
    <xf numFmtId="0" fontId="119" fillId="6" borderId="18" xfId="0" applyFont="1" applyFill="1" applyBorder="1" applyAlignment="1">
      <alignment horizontal="center" vertical="top" wrapText="1"/>
    </xf>
    <xf numFmtId="0" fontId="119" fillId="6" borderId="19" xfId="0" applyFont="1" applyFill="1" applyBorder="1" applyAlignment="1">
      <alignment horizontal="center" vertical="top" wrapText="1"/>
    </xf>
    <xf numFmtId="0" fontId="119" fillId="6" borderId="21" xfId="0" applyFont="1" applyFill="1" applyBorder="1" applyAlignment="1">
      <alignment horizontal="center" vertical="top" wrapText="1"/>
    </xf>
    <xf numFmtId="0" fontId="0" fillId="14" borderId="3" xfId="0" applyFill="1" applyBorder="1" applyAlignment="1">
      <alignment horizontal="center"/>
    </xf>
    <xf numFmtId="0" fontId="119" fillId="7" borderId="14" xfId="0" applyFont="1" applyFill="1" applyBorder="1" applyAlignment="1">
      <alignment horizontal="center" vertical="top" wrapText="1"/>
    </xf>
    <xf numFmtId="0" fontId="119" fillId="7" borderId="16" xfId="0" applyFont="1" applyFill="1" applyBorder="1" applyAlignment="1">
      <alignment horizontal="center" vertical="top" wrapText="1"/>
    </xf>
    <xf numFmtId="0" fontId="119" fillId="7" borderId="17" xfId="0" applyFont="1" applyFill="1" applyBorder="1" applyAlignment="1">
      <alignment horizontal="center" vertical="top" wrapText="1"/>
    </xf>
    <xf numFmtId="0" fontId="119" fillId="7" borderId="18" xfId="0" applyFont="1" applyFill="1" applyBorder="1" applyAlignment="1">
      <alignment horizontal="center" vertical="top" wrapText="1"/>
    </xf>
    <xf numFmtId="0" fontId="119" fillId="7" borderId="19" xfId="0" applyFont="1" applyFill="1" applyBorder="1" applyAlignment="1">
      <alignment horizontal="center" vertical="top" wrapText="1"/>
    </xf>
    <xf numFmtId="0" fontId="119" fillId="7" borderId="21" xfId="0" applyFont="1" applyFill="1" applyBorder="1" applyAlignment="1">
      <alignment horizontal="center" vertical="top" wrapText="1"/>
    </xf>
    <xf numFmtId="0" fontId="29" fillId="21" borderId="10" xfId="0" applyFont="1" applyFill="1" applyBorder="1" applyAlignment="1">
      <alignment horizontal="center" vertical="center"/>
    </xf>
    <xf numFmtId="0" fontId="29" fillId="21" borderId="11" xfId="0" applyFont="1" applyFill="1" applyBorder="1" applyAlignment="1">
      <alignment horizontal="center" vertical="center"/>
    </xf>
    <xf numFmtId="0" fontId="29" fillId="21" borderId="12" xfId="0" applyFont="1" applyFill="1" applyBorder="1" applyAlignment="1">
      <alignment horizontal="center" vertical="center"/>
    </xf>
    <xf numFmtId="0" fontId="119" fillId="6" borderId="17" xfId="0" applyFont="1" applyFill="1" applyBorder="1" applyAlignment="1">
      <alignment horizontal="center" vertical="center" wrapText="1"/>
    </xf>
    <xf numFmtId="0" fontId="119" fillId="6" borderId="18" xfId="0" applyFont="1" applyFill="1" applyBorder="1" applyAlignment="1">
      <alignment horizontal="center" vertical="center" wrapText="1"/>
    </xf>
    <xf numFmtId="0" fontId="119" fillId="6" borderId="19" xfId="0" applyFont="1" applyFill="1" applyBorder="1" applyAlignment="1">
      <alignment horizontal="center" vertical="center" wrapText="1"/>
    </xf>
    <xf numFmtId="0" fontId="119" fillId="6" borderId="21" xfId="0" applyFont="1" applyFill="1" applyBorder="1" applyAlignment="1">
      <alignment horizontal="center" vertical="center" wrapText="1"/>
    </xf>
    <xf numFmtId="0" fontId="29" fillId="14" borderId="0" xfId="0" applyFont="1" applyFill="1" applyAlignment="1">
      <alignment horizontal="center"/>
    </xf>
    <xf numFmtId="0" fontId="119" fillId="3" borderId="14" xfId="0" applyFont="1" applyFill="1" applyBorder="1" applyAlignment="1">
      <alignment horizontal="center" vertical="center" wrapText="1"/>
    </xf>
    <xf numFmtId="0" fontId="119" fillId="3" borderId="16" xfId="0" applyFont="1" applyFill="1" applyBorder="1" applyAlignment="1">
      <alignment horizontal="center" vertical="center" wrapText="1"/>
    </xf>
    <xf numFmtId="0" fontId="119" fillId="3" borderId="17" xfId="0" applyFont="1" applyFill="1" applyBorder="1" applyAlignment="1">
      <alignment horizontal="center" vertical="center" wrapText="1"/>
    </xf>
    <xf numFmtId="0" fontId="119" fillId="3" borderId="18" xfId="0" applyFont="1" applyFill="1" applyBorder="1" applyAlignment="1">
      <alignment horizontal="center" vertical="center" wrapText="1"/>
    </xf>
    <xf numFmtId="0" fontId="119" fillId="3" borderId="19" xfId="0" applyFont="1" applyFill="1" applyBorder="1" applyAlignment="1">
      <alignment horizontal="center" vertical="center" wrapText="1"/>
    </xf>
    <xf numFmtId="0" fontId="119" fillId="3" borderId="21" xfId="0" applyFont="1" applyFill="1" applyBorder="1" applyAlignment="1">
      <alignment horizontal="center" vertical="center" wrapText="1"/>
    </xf>
    <xf numFmtId="0" fontId="29" fillId="21" borderId="1" xfId="0" applyFont="1" applyFill="1" applyBorder="1" applyAlignment="1">
      <alignment horizontal="center"/>
    </xf>
    <xf numFmtId="0" fontId="29" fillId="21" borderId="9" xfId="0" applyFont="1" applyFill="1" applyBorder="1" applyAlignment="1">
      <alignment horizontal="center"/>
    </xf>
    <xf numFmtId="0" fontId="29" fillId="14" borderId="6" xfId="0" applyFont="1" applyFill="1" applyBorder="1" applyAlignment="1">
      <alignment horizontal="center" vertical="center"/>
    </xf>
    <xf numFmtId="0" fontId="29" fillId="14" borderId="13" xfId="0" applyFont="1" applyFill="1" applyBorder="1" applyAlignment="1">
      <alignment horizontal="center" vertical="center"/>
    </xf>
    <xf numFmtId="0" fontId="0" fillId="0" borderId="8" xfId="0" applyBorder="1" applyAlignment="1">
      <alignment horizontal="left" vertical="top"/>
    </xf>
    <xf numFmtId="0" fontId="18" fillId="8" borderId="6" xfId="0" applyFont="1" applyFill="1" applyBorder="1" applyAlignment="1">
      <alignment horizontal="left" vertical="center"/>
    </xf>
    <xf numFmtId="0" fontId="18" fillId="8" borderId="7" xfId="0" applyFont="1" applyFill="1" applyBorder="1" applyAlignment="1">
      <alignment horizontal="left" vertical="center"/>
    </xf>
    <xf numFmtId="0" fontId="0" fillId="14" borderId="6" xfId="0" applyFill="1" applyBorder="1" applyAlignment="1">
      <alignment horizontal="center" vertical="center"/>
    </xf>
    <xf numFmtId="0" fontId="0" fillId="14" borderId="58" xfId="0" applyFill="1" applyBorder="1" applyAlignment="1">
      <alignment horizontal="center" vertical="center"/>
    </xf>
    <xf numFmtId="0" fontId="19" fillId="8" borderId="6" xfId="0" applyFont="1" applyFill="1" applyBorder="1" applyAlignment="1">
      <alignment horizontal="left" vertical="center"/>
    </xf>
    <xf numFmtId="0" fontId="19" fillId="8" borderId="7" xfId="0" applyFont="1" applyFill="1" applyBorder="1" applyAlignment="1">
      <alignment horizontal="left" vertical="center"/>
    </xf>
    <xf numFmtId="0" fontId="72" fillId="0" borderId="8" xfId="0" applyFont="1" applyBorder="1" applyAlignment="1">
      <alignment horizontal="left" vertical="top" wrapText="1"/>
    </xf>
    <xf numFmtId="0" fontId="72" fillId="0" borderId="0" xfId="0" applyFont="1" applyAlignment="1">
      <alignment horizontal="left" vertical="top" wrapText="1"/>
    </xf>
    <xf numFmtId="0" fontId="12" fillId="0" borderId="0" xfId="0" applyFont="1" applyAlignment="1">
      <alignment horizontal="left" vertical="top"/>
    </xf>
    <xf numFmtId="0" fontId="5" fillId="0" borderId="0" xfId="0" applyFont="1" applyAlignment="1">
      <alignment horizontal="left" vertical="top" wrapText="1"/>
    </xf>
    <xf numFmtId="0" fontId="5" fillId="0" borderId="0" xfId="0" applyFont="1" applyAlignment="1">
      <alignment horizontal="left"/>
    </xf>
    <xf numFmtId="0" fontId="1" fillId="0" borderId="0" xfId="0" applyFont="1" applyAlignment="1">
      <alignment horizontal="left" vertical="top"/>
    </xf>
    <xf numFmtId="0" fontId="72" fillId="0" borderId="0" xfId="0" applyFont="1" applyAlignment="1">
      <alignment horizontal="left" vertical="top"/>
    </xf>
    <xf numFmtId="0" fontId="129" fillId="0" borderId="8" xfId="0" applyFont="1" applyBorder="1" applyAlignment="1">
      <alignment horizontal="left" vertical="top" wrapText="1"/>
    </xf>
    <xf numFmtId="0" fontId="112" fillId="7" borderId="1" xfId="0" applyFont="1" applyFill="1" applyBorder="1" applyAlignment="1">
      <alignment horizontal="left" vertical="center" wrapText="1"/>
    </xf>
    <xf numFmtId="0" fontId="112" fillId="7" borderId="6" xfId="0" applyFont="1" applyFill="1" applyBorder="1" applyAlignment="1">
      <alignment horizontal="left" vertical="center" wrapText="1"/>
    </xf>
    <xf numFmtId="0" fontId="129" fillId="0" borderId="8" xfId="0" applyFont="1" applyBorder="1" applyAlignment="1">
      <alignment horizontal="left" vertical="center" wrapText="1"/>
    </xf>
    <xf numFmtId="0" fontId="129" fillId="0" borderId="0" xfId="0" applyFont="1" applyAlignment="1">
      <alignment horizontal="left" vertical="center" wrapText="1"/>
    </xf>
    <xf numFmtId="0" fontId="85" fillId="0" borderId="0" xfId="0" applyFont="1" applyAlignment="1">
      <alignment horizontal="center" vertical="center" wrapText="1"/>
    </xf>
    <xf numFmtId="0" fontId="112" fillId="7" borderId="6" xfId="0" applyFont="1" applyFill="1" applyBorder="1" applyAlignment="1">
      <alignment horizontal="center" vertical="center" wrapText="1"/>
    </xf>
    <xf numFmtId="0" fontId="112" fillId="7" borderId="13" xfId="0" applyFont="1" applyFill="1" applyBorder="1" applyAlignment="1">
      <alignment horizontal="center" vertical="center" wrapText="1"/>
    </xf>
    <xf numFmtId="0" fontId="146" fillId="0" borderId="0" xfId="0" applyFont="1" applyAlignment="1">
      <alignment horizontal="left" vertical="top"/>
    </xf>
    <xf numFmtId="0" fontId="4" fillId="11" borderId="3" xfId="0" applyFont="1" applyFill="1" applyBorder="1" applyAlignment="1">
      <alignment horizontal="center" vertical="center"/>
    </xf>
    <xf numFmtId="0" fontId="4" fillId="11" borderId="9" xfId="0" applyFont="1" applyFill="1" applyBorder="1" applyAlignment="1">
      <alignment horizontal="center" vertical="center"/>
    </xf>
    <xf numFmtId="0" fontId="19" fillId="8" borderId="8" xfId="0" applyFont="1" applyFill="1" applyBorder="1" applyAlignment="1">
      <alignment horizontal="center" vertical="center"/>
    </xf>
    <xf numFmtId="0" fontId="19" fillId="8" borderId="0" xfId="0" applyFont="1" applyFill="1" applyAlignment="1">
      <alignment horizontal="center" vertical="center"/>
    </xf>
    <xf numFmtId="0" fontId="119" fillId="0" borderId="0" xfId="0" applyFont="1" applyAlignment="1">
      <alignment horizontal="center"/>
    </xf>
    <xf numFmtId="0" fontId="133" fillId="7" borderId="1" xfId="0" applyFont="1" applyFill="1" applyBorder="1" applyAlignment="1">
      <alignment horizontal="center" vertical="center" wrapText="1"/>
    </xf>
    <xf numFmtId="0" fontId="4" fillId="11" borderId="25" xfId="0" applyFont="1" applyFill="1" applyBorder="1" applyAlignment="1">
      <alignment horizontal="center" vertical="center"/>
    </xf>
    <xf numFmtId="0" fontId="4" fillId="11" borderId="27" xfId="0" applyFont="1" applyFill="1" applyBorder="1" applyAlignment="1">
      <alignment horizontal="center" vertical="center"/>
    </xf>
    <xf numFmtId="0" fontId="4" fillId="11" borderId="33" xfId="0" applyFont="1" applyFill="1" applyBorder="1" applyAlignment="1">
      <alignment horizontal="center" vertical="center"/>
    </xf>
    <xf numFmtId="0" fontId="4" fillId="11" borderId="4" xfId="0" applyFont="1" applyFill="1" applyBorder="1" applyAlignment="1">
      <alignment horizontal="center" vertical="center"/>
    </xf>
    <xf numFmtId="1" fontId="34" fillId="0" borderId="0" xfId="0" applyNumberFormat="1" applyFont="1" applyAlignment="1">
      <alignment horizontal="left"/>
    </xf>
    <xf numFmtId="0" fontId="1" fillId="0" borderId="0" xfId="0" applyFont="1" applyAlignment="1">
      <alignment horizontal="left"/>
    </xf>
    <xf numFmtId="0" fontId="104" fillId="0" borderId="0" xfId="0" applyFont="1" applyAlignment="1">
      <alignment horizontal="left"/>
    </xf>
    <xf numFmtId="0" fontId="23" fillId="0" borderId="0" xfId="0" applyFont="1" applyAlignment="1">
      <alignment horizontal="center"/>
    </xf>
    <xf numFmtId="0" fontId="4" fillId="11" borderId="14" xfId="0" applyFont="1" applyFill="1" applyBorder="1" applyAlignment="1">
      <alignment horizontal="center" vertical="center"/>
    </xf>
    <xf numFmtId="0" fontId="4" fillId="11" borderId="16" xfId="0" applyFont="1" applyFill="1" applyBorder="1" applyAlignment="1">
      <alignment horizontal="center" vertical="center"/>
    </xf>
    <xf numFmtId="0" fontId="4" fillId="11" borderId="19" xfId="0" applyFont="1" applyFill="1" applyBorder="1" applyAlignment="1">
      <alignment horizontal="center" vertical="center"/>
    </xf>
    <xf numFmtId="0" fontId="4" fillId="11" borderId="21" xfId="0" applyFont="1" applyFill="1" applyBorder="1" applyAlignment="1">
      <alignment horizontal="center" vertical="center"/>
    </xf>
    <xf numFmtId="0" fontId="89" fillId="0" borderId="38" xfId="0" applyFont="1" applyBorder="1" applyAlignment="1">
      <alignment horizontal="left" vertical="top" wrapText="1"/>
    </xf>
    <xf numFmtId="0" fontId="34" fillId="0" borderId="8" xfId="0" applyFont="1" applyBorder="1" applyAlignment="1">
      <alignment horizontal="left" vertical="top" wrapText="1"/>
    </xf>
    <xf numFmtId="0" fontId="29" fillId="14" borderId="17" xfId="0" applyFont="1" applyFill="1" applyBorder="1" applyAlignment="1">
      <alignment horizontal="center" vertical="center"/>
    </xf>
    <xf numFmtId="0" fontId="29" fillId="14" borderId="0" xfId="0" applyFont="1" applyFill="1" applyAlignment="1">
      <alignment horizontal="center" vertical="center"/>
    </xf>
    <xf numFmtId="0" fontId="29" fillId="14" borderId="18" xfId="0" applyFont="1" applyFill="1" applyBorder="1" applyAlignment="1">
      <alignment horizontal="center" vertical="center"/>
    </xf>
    <xf numFmtId="0" fontId="0" fillId="15" borderId="1" xfId="0" applyFill="1" applyBorder="1" applyAlignment="1">
      <alignment horizontal="center" vertical="center" wrapText="1"/>
    </xf>
    <xf numFmtId="0" fontId="137" fillId="7" borderId="6" xfId="0" applyFont="1" applyFill="1" applyBorder="1" applyAlignment="1">
      <alignment horizontal="center" vertical="center" wrapText="1"/>
    </xf>
    <xf numFmtId="0" fontId="137" fillId="7" borderId="13" xfId="0" applyFont="1" applyFill="1" applyBorder="1" applyAlignment="1">
      <alignment horizontal="center" vertical="center" wrapText="1"/>
    </xf>
    <xf numFmtId="0" fontId="137" fillId="7" borderId="7" xfId="0" applyFont="1" applyFill="1" applyBorder="1" applyAlignment="1">
      <alignment horizontal="center" vertical="center" wrapText="1"/>
    </xf>
    <xf numFmtId="0" fontId="138" fillId="7" borderId="6" xfId="0" applyFont="1" applyFill="1" applyBorder="1" applyAlignment="1">
      <alignment horizontal="center" vertical="center" wrapText="1"/>
    </xf>
    <xf numFmtId="0" fontId="138" fillId="7" borderId="13" xfId="0" applyFont="1" applyFill="1" applyBorder="1" applyAlignment="1">
      <alignment horizontal="center" vertical="center" wrapText="1"/>
    </xf>
    <xf numFmtId="0" fontId="114" fillId="8" borderId="1" xfId="0" applyFont="1" applyFill="1" applyBorder="1" applyAlignment="1">
      <alignment horizontal="center" vertical="center" wrapText="1"/>
    </xf>
    <xf numFmtId="0" fontId="4" fillId="11" borderId="1" xfId="0" applyFont="1" applyFill="1" applyBorder="1" applyAlignment="1">
      <alignment horizontal="center" vertical="center"/>
    </xf>
    <xf numFmtId="0" fontId="19" fillId="8" borderId="1" xfId="0" applyFont="1" applyFill="1" applyBorder="1" applyAlignment="1">
      <alignment horizontal="center" vertical="center"/>
    </xf>
    <xf numFmtId="0" fontId="112" fillId="7" borderId="13" xfId="0" applyFont="1" applyFill="1" applyBorder="1" applyAlignment="1">
      <alignment horizontal="left" vertical="center" wrapText="1"/>
    </xf>
    <xf numFmtId="0" fontId="20" fillId="10" borderId="4" xfId="0" applyFont="1" applyFill="1" applyBorder="1" applyAlignment="1">
      <alignment horizontal="center"/>
    </xf>
    <xf numFmtId="0" fontId="20" fillId="10" borderId="2" xfId="0" applyFont="1" applyFill="1" applyBorder="1" applyAlignment="1">
      <alignment horizontal="center"/>
    </xf>
    <xf numFmtId="0" fontId="82" fillId="8" borderId="1" xfId="0" applyFont="1" applyFill="1" applyBorder="1" applyAlignment="1">
      <alignment horizontal="left" vertical="center" wrapText="1"/>
    </xf>
    <xf numFmtId="0" fontId="82" fillId="8" borderId="6" xfId="0" applyFont="1" applyFill="1" applyBorder="1" applyAlignment="1">
      <alignment horizontal="left" vertical="center" wrapText="1"/>
    </xf>
    <xf numFmtId="0" fontId="82" fillId="8" borderId="58" xfId="0" applyFont="1" applyFill="1" applyBorder="1" applyAlignment="1">
      <alignment horizontal="center" vertical="center" wrapText="1"/>
    </xf>
    <xf numFmtId="0" fontId="133" fillId="0" borderId="0" xfId="0" applyFont="1" applyAlignment="1">
      <alignment horizontal="center" vertical="center" wrapText="1"/>
    </xf>
    <xf numFmtId="0" fontId="103" fillId="14" borderId="1" xfId="0" applyFont="1" applyFill="1" applyBorder="1" applyAlignment="1">
      <alignment horizontal="center"/>
    </xf>
    <xf numFmtId="0" fontId="19" fillId="8" borderId="6" xfId="0" applyFont="1" applyFill="1" applyBorder="1" applyAlignment="1">
      <alignment horizontal="center" vertical="center"/>
    </xf>
    <xf numFmtId="0" fontId="19" fillId="8" borderId="7" xfId="0" applyFont="1" applyFill="1" applyBorder="1" applyAlignment="1">
      <alignment horizontal="center" vertical="center"/>
    </xf>
    <xf numFmtId="17" fontId="112" fillId="7" borderId="1" xfId="0" applyNumberFormat="1" applyFont="1" applyFill="1" applyBorder="1" applyAlignment="1">
      <alignment horizontal="left" vertical="center" wrapText="1"/>
    </xf>
    <xf numFmtId="0" fontId="84" fillId="8" borderId="6" xfId="0" applyFont="1" applyFill="1" applyBorder="1" applyAlignment="1">
      <alignment horizontal="center" wrapText="1"/>
    </xf>
    <xf numFmtId="0" fontId="84" fillId="8" borderId="58" xfId="0" applyFont="1" applyFill="1" applyBorder="1" applyAlignment="1">
      <alignment horizontal="center" wrapText="1"/>
    </xf>
    <xf numFmtId="0" fontId="131" fillId="0" borderId="38" xfId="0" applyFont="1" applyBorder="1" applyAlignment="1">
      <alignment horizontal="left" vertical="top" wrapText="1"/>
    </xf>
    <xf numFmtId="0" fontId="19" fillId="8" borderId="13" xfId="0" applyFont="1" applyFill="1" applyBorder="1" applyAlignment="1">
      <alignment horizontal="left" vertical="center"/>
    </xf>
    <xf numFmtId="0" fontId="4" fillId="11" borderId="97" xfId="0" applyFont="1" applyFill="1" applyBorder="1" applyAlignment="1">
      <alignment horizontal="center" vertical="center"/>
    </xf>
    <xf numFmtId="0" fontId="4" fillId="11" borderId="98" xfId="0" applyFont="1" applyFill="1" applyBorder="1" applyAlignment="1">
      <alignment horizontal="center" vertical="center"/>
    </xf>
    <xf numFmtId="0" fontId="85" fillId="0" borderId="25" xfId="0" applyFont="1" applyBorder="1" applyAlignment="1">
      <alignment horizontal="center" vertical="center" wrapText="1"/>
    </xf>
    <xf numFmtId="0" fontId="85" fillId="0" borderId="27" xfId="0" applyFont="1" applyBorder="1" applyAlignment="1">
      <alignment horizontal="center" vertical="center" wrapText="1"/>
    </xf>
    <xf numFmtId="0" fontId="84" fillId="8" borderId="6" xfId="0" applyFont="1" applyFill="1" applyBorder="1" applyAlignment="1">
      <alignment horizontal="center" vertical="center" wrapText="1"/>
    </xf>
    <xf numFmtId="0" fontId="84" fillId="8" borderId="13" xfId="0" applyFont="1" applyFill="1" applyBorder="1" applyAlignment="1">
      <alignment horizontal="center" vertical="center" wrapText="1"/>
    </xf>
    <xf numFmtId="0" fontId="84" fillId="8" borderId="58" xfId="0" applyFont="1" applyFill="1" applyBorder="1" applyAlignment="1">
      <alignment horizontal="center" vertical="center" wrapText="1"/>
    </xf>
    <xf numFmtId="0" fontId="103" fillId="14" borderId="6" xfId="0" applyFont="1" applyFill="1" applyBorder="1" applyAlignment="1">
      <alignment horizontal="center"/>
    </xf>
    <xf numFmtId="0" fontId="103" fillId="14" borderId="13" xfId="0" applyFont="1" applyFill="1" applyBorder="1" applyAlignment="1">
      <alignment horizontal="center"/>
    </xf>
    <xf numFmtId="0" fontId="103" fillId="14" borderId="9" xfId="0" applyFont="1" applyFill="1" applyBorder="1" applyAlignment="1">
      <alignment horizontal="center"/>
    </xf>
    <xf numFmtId="0" fontId="133" fillId="7" borderId="33" xfId="0" applyFont="1" applyFill="1" applyBorder="1" applyAlignment="1">
      <alignment horizontal="center" vertical="center" wrapText="1"/>
    </xf>
    <xf numFmtId="0" fontId="133" fillId="7" borderId="38" xfId="0" applyFont="1" applyFill="1" applyBorder="1" applyAlignment="1">
      <alignment horizontal="center" vertical="center" wrapText="1"/>
    </xf>
    <xf numFmtId="0" fontId="84" fillId="8" borderId="1" xfId="0" applyFont="1" applyFill="1" applyBorder="1" applyAlignment="1">
      <alignment horizontal="left" vertical="center" wrapText="1"/>
    </xf>
    <xf numFmtId="0" fontId="19" fillId="8" borderId="22" xfId="0" applyFont="1" applyFill="1" applyBorder="1" applyAlignment="1">
      <alignment horizontal="center" vertical="center"/>
    </xf>
    <xf numFmtId="0" fontId="19" fillId="8" borderId="4" xfId="0" applyFont="1" applyFill="1" applyBorder="1" applyAlignment="1">
      <alignment horizontal="center" vertical="center"/>
    </xf>
    <xf numFmtId="0" fontId="19" fillId="8" borderId="2" xfId="0" applyFont="1" applyFill="1" applyBorder="1" applyAlignment="1">
      <alignment horizontal="center" vertical="center"/>
    </xf>
    <xf numFmtId="0" fontId="130" fillId="0" borderId="0" xfId="0" applyFont="1" applyAlignment="1">
      <alignment horizontal="left" vertical="top" wrapText="1"/>
    </xf>
    <xf numFmtId="0" fontId="121" fillId="0" borderId="0" xfId="0" applyFont="1" applyAlignment="1">
      <alignment horizontal="left" vertical="top"/>
    </xf>
    <xf numFmtId="0" fontId="112" fillId="7" borderId="3" xfId="0" applyFont="1" applyFill="1" applyBorder="1" applyAlignment="1">
      <alignment horizontal="center" vertical="center" wrapText="1"/>
    </xf>
    <xf numFmtId="0" fontId="5" fillId="0" borderId="0" xfId="0" applyFont="1" applyAlignment="1">
      <alignment horizontal="left" wrapText="1"/>
    </xf>
    <xf numFmtId="0" fontId="144" fillId="0" borderId="0" xfId="0" applyFont="1" applyAlignment="1">
      <alignment horizontal="center" vertical="center" wrapText="1"/>
    </xf>
    <xf numFmtId="0" fontId="72" fillId="0" borderId="8" xfId="0" applyFont="1" applyBorder="1" applyAlignment="1">
      <alignment horizontal="left" wrapText="1"/>
    </xf>
    <xf numFmtId="0" fontId="72" fillId="0" borderId="0" xfId="0" applyFont="1" applyAlignment="1">
      <alignment horizontal="left" wrapText="1"/>
    </xf>
    <xf numFmtId="0" fontId="32" fillId="8" borderId="0" xfId="0" applyFont="1" applyFill="1" applyAlignment="1">
      <alignment horizontal="center" vertical="center"/>
    </xf>
    <xf numFmtId="0" fontId="57" fillId="0" borderId="0" xfId="0" applyFont="1" applyAlignment="1">
      <alignment horizontal="left" vertical="center"/>
    </xf>
    <xf numFmtId="0" fontId="19" fillId="21" borderId="6" xfId="0" applyFont="1" applyFill="1" applyBorder="1" applyAlignment="1">
      <alignment horizontal="left"/>
    </xf>
    <xf numFmtId="0" fontId="19" fillId="21" borderId="7" xfId="0" applyFont="1" applyFill="1" applyBorder="1" applyAlignment="1">
      <alignment horizontal="left"/>
    </xf>
    <xf numFmtId="0" fontId="84" fillId="20" borderId="6" xfId="0" applyFont="1" applyFill="1" applyBorder="1" applyAlignment="1">
      <alignment horizontal="center" vertical="center"/>
    </xf>
    <xf numFmtId="0" fontId="84" fillId="20" borderId="13" xfId="0" applyFont="1" applyFill="1" applyBorder="1" applyAlignment="1">
      <alignment horizontal="center" vertical="center"/>
    </xf>
    <xf numFmtId="0" fontId="84" fillId="20" borderId="7" xfId="0" applyFont="1" applyFill="1" applyBorder="1" applyAlignment="1">
      <alignment horizontal="center" vertical="center"/>
    </xf>
    <xf numFmtId="0" fontId="145" fillId="7" borderId="6" xfId="0" applyFont="1" applyFill="1" applyBorder="1" applyAlignment="1">
      <alignment horizontal="center" vertical="center" wrapText="1"/>
    </xf>
    <xf numFmtId="0" fontId="145" fillId="7" borderId="13" xfId="0" applyFont="1" applyFill="1" applyBorder="1" applyAlignment="1">
      <alignment horizontal="center" vertical="center" wrapText="1"/>
    </xf>
    <xf numFmtId="0" fontId="9" fillId="20" borderId="25" xfId="0" applyFont="1" applyFill="1" applyBorder="1" applyAlignment="1">
      <alignment horizontal="center" vertical="center"/>
    </xf>
    <xf numFmtId="0" fontId="9" fillId="20" borderId="27" xfId="0" applyFont="1" applyFill="1" applyBorder="1" applyAlignment="1">
      <alignment horizontal="center" vertical="center"/>
    </xf>
    <xf numFmtId="0" fontId="129" fillId="0" borderId="17" xfId="0" applyFont="1" applyBorder="1" applyAlignment="1">
      <alignment horizontal="center" vertical="center" wrapText="1"/>
    </xf>
    <xf numFmtId="0" fontId="129" fillId="0" borderId="68" xfId="0" applyFont="1" applyBorder="1" applyAlignment="1">
      <alignment horizontal="center" vertical="center" wrapText="1"/>
    </xf>
    <xf numFmtId="0" fontId="19" fillId="14" borderId="1" xfId="0" applyFont="1" applyFill="1" applyBorder="1" applyAlignment="1">
      <alignment horizontal="left" vertical="center"/>
    </xf>
    <xf numFmtId="0" fontId="19" fillId="8" borderId="13" xfId="0" applyFont="1" applyFill="1" applyBorder="1" applyAlignment="1">
      <alignment horizontal="center" vertical="center"/>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5" fillId="7" borderId="10" xfId="0" applyFont="1" applyFill="1" applyBorder="1" applyAlignment="1">
      <alignment horizontal="left" vertical="center"/>
    </xf>
    <xf numFmtId="0" fontId="5" fillId="7" borderId="12" xfId="0" applyFont="1" applyFill="1" applyBorder="1" applyAlignment="1">
      <alignment horizontal="left" vertical="center"/>
    </xf>
    <xf numFmtId="0" fontId="140" fillId="15" borderId="25" xfId="0" applyFont="1" applyFill="1" applyBorder="1" applyAlignment="1">
      <alignment horizontal="center" vertical="center" wrapText="1"/>
    </xf>
    <xf numFmtId="0" fontId="140" fillId="15" borderId="26" xfId="0" applyFont="1" applyFill="1" applyBorder="1" applyAlignment="1">
      <alignment horizontal="center" vertical="center" wrapText="1"/>
    </xf>
    <xf numFmtId="0" fontId="140" fillId="15" borderId="27" xfId="0" applyFont="1" applyFill="1" applyBorder="1" applyAlignment="1">
      <alignment horizontal="center" vertical="center" wrapText="1"/>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119" fillId="0" borderId="8" xfId="0" applyFont="1" applyBorder="1" applyAlignment="1">
      <alignment horizontal="left" vertical="top"/>
    </xf>
    <xf numFmtId="0" fontId="119" fillId="0" borderId="0" xfId="0" applyFont="1" applyAlignment="1">
      <alignment horizontal="left" vertical="top"/>
    </xf>
    <xf numFmtId="0" fontId="116" fillId="0" borderId="8" xfId="0" applyFont="1" applyBorder="1" applyAlignment="1">
      <alignment horizontal="left" vertical="top" wrapText="1"/>
    </xf>
    <xf numFmtId="0" fontId="116" fillId="0" borderId="0" xfId="0" applyFont="1" applyAlignment="1">
      <alignment horizontal="left" vertical="top" wrapText="1"/>
    </xf>
    <xf numFmtId="0" fontId="0" fillId="0" borderId="33" xfId="0" applyBorder="1" applyAlignment="1">
      <alignment horizontal="center" vertical="center"/>
    </xf>
    <xf numFmtId="0" fontId="0" fillId="0" borderId="38" xfId="0"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8" borderId="8" xfId="0" applyFill="1" applyBorder="1" applyAlignment="1">
      <alignment horizontal="center"/>
    </xf>
    <xf numFmtId="0" fontId="0" fillId="8" borderId="0" xfId="0" applyFill="1" applyAlignment="1">
      <alignment horizontal="center"/>
    </xf>
    <xf numFmtId="0" fontId="0" fillId="7" borderId="19" xfId="0" applyFill="1" applyBorder="1" applyAlignment="1">
      <alignment horizontal="center"/>
    </xf>
    <xf numFmtId="0" fontId="0" fillId="7" borderId="21" xfId="0" applyFill="1" applyBorder="1" applyAlignment="1">
      <alignment horizontal="center"/>
    </xf>
    <xf numFmtId="0" fontId="19" fillId="8" borderId="4" xfId="0" applyFont="1" applyFill="1" applyBorder="1" applyAlignment="1">
      <alignment horizontal="left" vertical="center"/>
    </xf>
    <xf numFmtId="0" fontId="19" fillId="8" borderId="2" xfId="0" applyFont="1" applyFill="1" applyBorder="1" applyAlignment="1">
      <alignment horizontal="left" vertical="center"/>
    </xf>
    <xf numFmtId="0" fontId="19" fillId="8" borderId="24" xfId="0" applyFont="1" applyFill="1" applyBorder="1" applyAlignment="1">
      <alignment horizontal="left" vertical="center"/>
    </xf>
    <xf numFmtId="0" fontId="0" fillId="0" borderId="38" xfId="0" applyBorder="1" applyAlignment="1">
      <alignment horizontal="left"/>
    </xf>
    <xf numFmtId="0" fontId="116" fillId="0" borderId="0" xfId="0" applyFont="1" applyAlignment="1">
      <alignment horizontal="left" vertical="top"/>
    </xf>
    <xf numFmtId="0" fontId="116" fillId="0" borderId="8" xfId="0" applyFont="1" applyBorder="1" applyAlignment="1">
      <alignment horizontal="left" vertical="top"/>
    </xf>
    <xf numFmtId="0" fontId="0" fillId="0" borderId="61" xfId="0" applyBorder="1" applyAlignment="1">
      <alignment horizontal="center" vertical="center" wrapText="1"/>
    </xf>
    <xf numFmtId="0" fontId="0" fillId="0" borderId="107" xfId="0" applyBorder="1" applyAlignment="1">
      <alignment horizontal="center" vertical="center" wrapText="1"/>
    </xf>
    <xf numFmtId="0" fontId="0" fillId="0" borderId="1" xfId="0" applyBorder="1" applyAlignment="1">
      <alignment horizontal="center"/>
    </xf>
    <xf numFmtId="0" fontId="5" fillId="7" borderId="6" xfId="0" applyFont="1" applyFill="1" applyBorder="1" applyAlignment="1">
      <alignment horizontal="center"/>
    </xf>
    <xf numFmtId="0" fontId="5" fillId="7" borderId="7" xfId="0" applyFont="1" applyFill="1" applyBorder="1" applyAlignment="1">
      <alignment horizontal="center"/>
    </xf>
    <xf numFmtId="0" fontId="5" fillId="14" borderId="7" xfId="0" applyFont="1" applyFill="1" applyBorder="1" applyAlignment="1">
      <alignment horizontal="center"/>
    </xf>
    <xf numFmtId="0" fontId="5" fillId="7" borderId="1" xfId="0" applyFont="1" applyFill="1" applyBorder="1" applyAlignment="1">
      <alignment horizontal="center"/>
    </xf>
    <xf numFmtId="0" fontId="44" fillId="7" borderId="6" xfId="0" applyFont="1" applyFill="1" applyBorder="1" applyAlignment="1">
      <alignment horizontal="center" vertical="center" wrapText="1"/>
    </xf>
    <xf numFmtId="0" fontId="44" fillId="7" borderId="13" xfId="0" applyFont="1" applyFill="1" applyBorder="1" applyAlignment="1">
      <alignment horizontal="center" vertical="center" wrapText="1"/>
    </xf>
    <xf numFmtId="0" fontId="29" fillId="14" borderId="38" xfId="0" applyFont="1" applyFill="1" applyBorder="1" applyAlignment="1">
      <alignment horizontal="center"/>
    </xf>
    <xf numFmtId="0" fontId="29" fillId="14" borderId="22" xfId="0" applyFont="1" applyFill="1" applyBorder="1" applyAlignment="1">
      <alignment horizontal="center"/>
    </xf>
    <xf numFmtId="0" fontId="29" fillId="14" borderId="7" xfId="0" applyFont="1" applyFill="1" applyBorder="1" applyAlignment="1">
      <alignment horizontal="center"/>
    </xf>
    <xf numFmtId="0" fontId="34" fillId="14" borderId="3" xfId="0" applyFont="1" applyFill="1" applyBorder="1" applyAlignment="1">
      <alignment horizontal="center" vertical="center"/>
    </xf>
    <xf numFmtId="0" fontId="34" fillId="14" borderId="9" xfId="0" applyFont="1" applyFill="1" applyBorder="1" applyAlignment="1">
      <alignment horizontal="center" vertical="center"/>
    </xf>
    <xf numFmtId="0" fontId="13" fillId="7" borderId="33" xfId="0" applyFont="1" applyFill="1" applyBorder="1" applyAlignment="1">
      <alignment horizontal="center" vertical="center" wrapText="1"/>
    </xf>
    <xf numFmtId="0" fontId="13" fillId="7" borderId="38" xfId="0" applyFont="1" applyFill="1" applyBorder="1" applyAlignment="1">
      <alignment horizontal="center" vertical="center" wrapText="1"/>
    </xf>
    <xf numFmtId="0" fontId="13" fillId="7" borderId="4"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3" fillId="0" borderId="0" xfId="0" applyFont="1" applyAlignment="1">
      <alignment vertical="center" wrapText="1"/>
    </xf>
    <xf numFmtId="0" fontId="19" fillId="8" borderId="3" xfId="0" applyFont="1" applyFill="1" applyBorder="1" applyAlignment="1">
      <alignment horizontal="right"/>
    </xf>
    <xf numFmtId="0" fontId="19" fillId="8" borderId="9" xfId="0" applyFont="1" applyFill="1" applyBorder="1" applyAlignment="1">
      <alignment horizontal="right"/>
    </xf>
    <xf numFmtId="0" fontId="13" fillId="20" borderId="6" xfId="0" applyFont="1" applyFill="1" applyBorder="1" applyAlignment="1">
      <alignment horizontal="center" vertical="center" wrapText="1"/>
    </xf>
    <xf numFmtId="0" fontId="13" fillId="20" borderId="2" xfId="0" applyFont="1" applyFill="1" applyBorder="1" applyAlignment="1">
      <alignment horizontal="center" vertical="center" wrapText="1"/>
    </xf>
    <xf numFmtId="0" fontId="27" fillId="11" borderId="14" xfId="0" applyFont="1" applyFill="1" applyBorder="1" applyAlignment="1">
      <alignment horizontal="center" vertical="center" wrapText="1"/>
    </xf>
    <xf numFmtId="0" fontId="27" fillId="11" borderId="17" xfId="0" applyFont="1" applyFill="1" applyBorder="1" applyAlignment="1">
      <alignment horizontal="center" vertical="center" wrapText="1"/>
    </xf>
    <xf numFmtId="0" fontId="27" fillId="11" borderId="19" xfId="0" applyFont="1" applyFill="1" applyBorder="1" applyAlignment="1">
      <alignment horizontal="center" vertical="center" wrapText="1"/>
    </xf>
    <xf numFmtId="0" fontId="27" fillId="11" borderId="20" xfId="0" applyFont="1" applyFill="1" applyBorder="1" applyAlignment="1">
      <alignment horizontal="center" vertical="center" wrapText="1"/>
    </xf>
    <xf numFmtId="0" fontId="29" fillId="0" borderId="0" xfId="0" applyFont="1" applyAlignment="1">
      <alignment horizontal="center"/>
    </xf>
    <xf numFmtId="0" fontId="0" fillId="7" borderId="1" xfId="0" applyFill="1" applyBorder="1" applyAlignment="1">
      <alignment horizontal="left"/>
    </xf>
    <xf numFmtId="0" fontId="5" fillId="14" borderId="6" xfId="0" applyFont="1" applyFill="1" applyBorder="1" applyAlignment="1">
      <alignment horizontal="left"/>
    </xf>
    <xf numFmtId="0" fontId="5" fillId="14" borderId="7" xfId="0" applyFont="1" applyFill="1" applyBorder="1" applyAlignment="1">
      <alignment horizontal="left"/>
    </xf>
    <xf numFmtId="0" fontId="0" fillId="21" borderId="1" xfId="0" applyFill="1" applyBorder="1" applyAlignment="1">
      <alignment horizontal="center"/>
    </xf>
    <xf numFmtId="0" fontId="0" fillId="7" borderId="1" xfId="0" applyFill="1" applyBorder="1" applyAlignment="1">
      <alignment horizontal="center"/>
    </xf>
    <xf numFmtId="0" fontId="21" fillId="8" borderId="1" xfId="0" applyFont="1" applyFill="1" applyBorder="1" applyAlignment="1">
      <alignment horizontal="center"/>
    </xf>
    <xf numFmtId="0" fontId="21" fillId="8" borderId="8" xfId="0" applyFont="1" applyFill="1" applyBorder="1" applyAlignment="1">
      <alignment horizontal="center"/>
    </xf>
    <xf numFmtId="0" fontId="21" fillId="8" borderId="0" xfId="0" applyFont="1" applyFill="1" applyAlignment="1">
      <alignment horizontal="center"/>
    </xf>
    <xf numFmtId="0" fontId="21" fillId="8" borderId="23" xfId="0" applyFont="1" applyFill="1" applyBorder="1" applyAlignment="1">
      <alignment horizontal="center"/>
    </xf>
    <xf numFmtId="0" fontId="37" fillId="0" borderId="0" xfId="0" applyFont="1" applyAlignment="1">
      <alignment horizontal="left" vertical="center" wrapText="1"/>
    </xf>
    <xf numFmtId="0" fontId="77" fillId="0" borderId="0" xfId="0" applyFont="1" applyAlignment="1">
      <alignment horizontal="left" vertical="center" wrapText="1"/>
    </xf>
    <xf numFmtId="0" fontId="34" fillId="25" borderId="25" xfId="0" applyFont="1" applyFill="1" applyBorder="1" applyAlignment="1">
      <alignment horizontal="center" vertical="center" wrapText="1"/>
    </xf>
    <xf numFmtId="0" fontId="34" fillId="25" borderId="26" xfId="0" applyFont="1" applyFill="1" applyBorder="1" applyAlignment="1">
      <alignment horizontal="center" vertical="center" wrapText="1"/>
    </xf>
    <xf numFmtId="0" fontId="34" fillId="25" borderId="27" xfId="0" applyFont="1" applyFill="1" applyBorder="1" applyAlignment="1">
      <alignment horizontal="center" vertical="center" wrapText="1"/>
    </xf>
    <xf numFmtId="0" fontId="91" fillId="21" borderId="6" xfId="0" applyFont="1" applyFill="1" applyBorder="1" applyAlignment="1">
      <alignment horizontal="center" vertical="center" wrapText="1"/>
    </xf>
    <xf numFmtId="0" fontId="91" fillId="21" borderId="58" xfId="0" applyFont="1" applyFill="1" applyBorder="1" applyAlignment="1">
      <alignment horizontal="center" vertical="center" wrapText="1"/>
    </xf>
    <xf numFmtId="0" fontId="18" fillId="14" borderId="6" xfId="0" applyFont="1" applyFill="1" applyBorder="1" applyAlignment="1">
      <alignment horizontal="center"/>
    </xf>
    <xf numFmtId="0" fontId="18" fillId="14" borderId="13" xfId="0" applyFont="1" applyFill="1" applyBorder="1" applyAlignment="1">
      <alignment horizontal="center"/>
    </xf>
    <xf numFmtId="0" fontId="18" fillId="14" borderId="2" xfId="0" applyFont="1" applyFill="1" applyBorder="1" applyAlignment="1">
      <alignment horizontal="center"/>
    </xf>
    <xf numFmtId="0" fontId="18" fillId="14" borderId="24" xfId="0" applyFont="1" applyFill="1" applyBorder="1" applyAlignment="1">
      <alignment horizontal="center"/>
    </xf>
    <xf numFmtId="0" fontId="71" fillId="0" borderId="0" xfId="0" applyFont="1" applyAlignment="1">
      <alignment horizontal="left" vertical="top" wrapText="1"/>
    </xf>
    <xf numFmtId="0" fontId="34" fillId="7" borderId="1" xfId="0" applyFont="1" applyFill="1" applyBorder="1" applyAlignment="1">
      <alignment horizontal="center" wrapText="1"/>
    </xf>
    <xf numFmtId="0" fontId="18" fillId="14" borderId="1" xfId="0" applyFont="1" applyFill="1" applyBorder="1" applyAlignment="1">
      <alignment horizontal="center"/>
    </xf>
    <xf numFmtId="0" fontId="34" fillId="25" borderId="14" xfId="0" applyFont="1" applyFill="1" applyBorder="1" applyAlignment="1">
      <alignment horizontal="center" vertical="center" wrapText="1"/>
    </xf>
    <xf numFmtId="0" fontId="34" fillId="25" borderId="16" xfId="0" applyFont="1" applyFill="1" applyBorder="1" applyAlignment="1">
      <alignment horizontal="center" vertical="center" wrapText="1"/>
    </xf>
    <xf numFmtId="0" fontId="34" fillId="25" borderId="17" xfId="0" applyFont="1" applyFill="1" applyBorder="1" applyAlignment="1">
      <alignment horizontal="center" vertical="center" wrapText="1"/>
    </xf>
    <xf numFmtId="0" fontId="34" fillId="25" borderId="18" xfId="0" applyFont="1" applyFill="1" applyBorder="1" applyAlignment="1">
      <alignment horizontal="center" vertical="center" wrapText="1"/>
    </xf>
    <xf numFmtId="0" fontId="34" fillId="25" borderId="19" xfId="0" applyFont="1" applyFill="1" applyBorder="1" applyAlignment="1">
      <alignment horizontal="center" vertical="center" wrapText="1"/>
    </xf>
    <xf numFmtId="0" fontId="34" fillId="25" borderId="21" xfId="0" applyFont="1" applyFill="1" applyBorder="1" applyAlignment="1">
      <alignment horizontal="center" vertical="center" wrapText="1"/>
    </xf>
    <xf numFmtId="0" fontId="34" fillId="7" borderId="8" xfId="0" applyFont="1" applyFill="1" applyBorder="1" applyAlignment="1">
      <alignment horizontal="left"/>
    </xf>
    <xf numFmtId="0" fontId="34" fillId="7" borderId="0" xfId="0" applyFont="1" applyFill="1" applyAlignment="1">
      <alignment horizontal="left"/>
    </xf>
    <xf numFmtId="0" fontId="18" fillId="14" borderId="58" xfId="0" applyFont="1" applyFill="1" applyBorder="1" applyAlignment="1">
      <alignment horizontal="center"/>
    </xf>
    <xf numFmtId="0" fontId="91" fillId="14" borderId="6" xfId="0" applyFont="1" applyFill="1" applyBorder="1" applyAlignment="1">
      <alignment horizontal="center" vertical="center" wrapText="1"/>
    </xf>
    <xf numFmtId="0" fontId="91" fillId="14" borderId="58" xfId="0" applyFont="1" applyFill="1" applyBorder="1" applyAlignment="1">
      <alignment horizontal="center" vertical="center" wrapText="1"/>
    </xf>
    <xf numFmtId="0" fontId="31" fillId="14" borderId="58" xfId="0" applyFont="1" applyFill="1" applyBorder="1" applyAlignment="1">
      <alignment horizontal="center" vertical="center" wrapText="1"/>
    </xf>
    <xf numFmtId="0" fontId="34" fillId="14" borderId="25" xfId="0" applyFont="1" applyFill="1" applyBorder="1" applyAlignment="1">
      <alignment horizontal="center" vertical="center" wrapText="1"/>
    </xf>
    <xf numFmtId="0" fontId="34" fillId="14" borderId="17" xfId="0" applyFont="1" applyFill="1" applyBorder="1" applyAlignment="1">
      <alignment horizontal="center" vertical="center" wrapText="1"/>
    </xf>
    <xf numFmtId="0" fontId="34" fillId="14" borderId="19" xfId="0" applyFont="1" applyFill="1" applyBorder="1" applyAlignment="1">
      <alignment horizontal="center" vertical="center" wrapText="1"/>
    </xf>
    <xf numFmtId="0" fontId="34" fillId="14" borderId="14" xfId="0" applyFont="1" applyFill="1" applyBorder="1" applyAlignment="1">
      <alignment horizontal="center" vertical="center" wrapText="1"/>
    </xf>
    <xf numFmtId="0" fontId="75" fillId="13" borderId="91" xfId="0" applyFont="1" applyFill="1" applyBorder="1" applyAlignment="1">
      <alignment horizontal="left" vertical="center" wrapText="1" indent="1"/>
    </xf>
    <xf numFmtId="0" fontId="75" fillId="13" borderId="0" xfId="0" applyFont="1" applyFill="1" applyAlignment="1">
      <alignment horizontal="left" vertical="center" wrapText="1" indent="1"/>
    </xf>
    <xf numFmtId="0" fontId="75" fillId="13" borderId="90" xfId="0" applyFont="1" applyFill="1" applyBorder="1" applyAlignment="1">
      <alignment horizontal="left" vertical="center" wrapText="1" indent="1"/>
    </xf>
    <xf numFmtId="0" fontId="34" fillId="22" borderId="1" xfId="0" applyFont="1" applyFill="1" applyBorder="1" applyAlignment="1">
      <alignment horizontal="right"/>
    </xf>
    <xf numFmtId="0" fontId="98" fillId="0" borderId="1" xfId="0" applyFont="1" applyBorder="1" applyAlignment="1">
      <alignment horizontal="left" vertical="center" wrapText="1"/>
    </xf>
    <xf numFmtId="0" fontId="14" fillId="0" borderId="3" xfId="0" applyFont="1" applyBorder="1" applyAlignment="1">
      <alignment horizontal="left" vertical="center" wrapText="1"/>
    </xf>
    <xf numFmtId="0" fontId="14" fillId="0" borderId="9" xfId="0" applyFont="1" applyBorder="1" applyAlignment="1">
      <alignment horizontal="left" vertical="center" wrapText="1"/>
    </xf>
    <xf numFmtId="0" fontId="37" fillId="11" borderId="1" xfId="0" applyFont="1" applyFill="1" applyBorder="1" applyAlignment="1">
      <alignment horizontal="center" vertical="center" wrapText="1"/>
    </xf>
    <xf numFmtId="0" fontId="0" fillId="0" borderId="6" xfId="0" applyBorder="1" applyAlignment="1">
      <alignment horizontal="left"/>
    </xf>
    <xf numFmtId="0" fontId="0" fillId="0" borderId="7" xfId="0" applyBorder="1" applyAlignment="1">
      <alignment horizontal="left"/>
    </xf>
    <xf numFmtId="0" fontId="75" fillId="13" borderId="1" xfId="0" applyFont="1" applyFill="1" applyBorder="1" applyAlignment="1">
      <alignment vertical="center" wrapText="1"/>
    </xf>
    <xf numFmtId="0" fontId="75" fillId="13" borderId="6" xfId="0" applyFont="1" applyFill="1" applyBorder="1" applyAlignment="1">
      <alignment vertical="center" wrapText="1"/>
    </xf>
    <xf numFmtId="0" fontId="95" fillId="13" borderId="6" xfId="0" applyFont="1" applyFill="1" applyBorder="1" applyAlignment="1">
      <alignment horizontal="left" vertical="center" wrapText="1"/>
    </xf>
    <xf numFmtId="0" fontId="95" fillId="13" borderId="7" xfId="0" applyFont="1" applyFill="1" applyBorder="1" applyAlignment="1">
      <alignment horizontal="left" vertical="center" wrapText="1"/>
    </xf>
    <xf numFmtId="0" fontId="0" fillId="0" borderId="1" xfId="0" applyBorder="1"/>
    <xf numFmtId="0" fontId="0" fillId="0" borderId="6" xfId="0" applyBorder="1"/>
    <xf numFmtId="14" fontId="75" fillId="13" borderId="1" xfId="0" applyNumberFormat="1" applyFont="1" applyFill="1" applyBorder="1" applyAlignment="1">
      <alignment horizontal="center" vertical="center" wrapText="1"/>
    </xf>
    <xf numFmtId="0" fontId="96" fillId="13" borderId="1" xfId="0" applyFont="1" applyFill="1" applyBorder="1" applyAlignment="1">
      <alignment horizontal="center" vertical="center" wrapText="1"/>
    </xf>
    <xf numFmtId="0" fontId="95" fillId="13" borderId="84" xfId="0" applyFont="1" applyFill="1" applyBorder="1" applyAlignment="1">
      <alignment horizontal="right" vertical="center" wrapText="1" indent="1"/>
    </xf>
    <xf numFmtId="0" fontId="95" fillId="13" borderId="85" xfId="0" applyFont="1" applyFill="1" applyBorder="1" applyAlignment="1">
      <alignment horizontal="right" vertical="center" wrapText="1" indent="1"/>
    </xf>
    <xf numFmtId="0" fontId="95" fillId="13" borderId="86" xfId="0" applyFont="1" applyFill="1" applyBorder="1" applyAlignment="1">
      <alignment horizontal="right" vertical="center" wrapText="1" indent="1"/>
    </xf>
    <xf numFmtId="0" fontId="95" fillId="13" borderId="84" xfId="0" applyFont="1" applyFill="1" applyBorder="1" applyAlignment="1">
      <alignment horizontal="center" vertical="center" wrapText="1"/>
    </xf>
    <xf numFmtId="0" fontId="95" fillId="13" borderId="86" xfId="0" applyFont="1" applyFill="1" applyBorder="1" applyAlignment="1">
      <alignment horizontal="center" vertical="center" wrapText="1"/>
    </xf>
    <xf numFmtId="0" fontId="75" fillId="13" borderId="3" xfId="0" applyFont="1" applyFill="1" applyBorder="1" applyAlignment="1">
      <alignment horizontal="left" vertical="center" wrapText="1"/>
    </xf>
    <xf numFmtId="0" fontId="75" fillId="13" borderId="33" xfId="0" applyFont="1" applyFill="1" applyBorder="1" applyAlignment="1">
      <alignment horizontal="left" vertical="center" wrapText="1"/>
    </xf>
    <xf numFmtId="0" fontId="95" fillId="13" borderId="80" xfId="0" applyFont="1" applyFill="1" applyBorder="1" applyAlignment="1">
      <alignment horizontal="left" vertical="center" wrapText="1"/>
    </xf>
    <xf numFmtId="0" fontId="95" fillId="13" borderId="81" xfId="0" applyFont="1" applyFill="1" applyBorder="1" applyAlignment="1">
      <alignment horizontal="left" vertical="center" wrapText="1"/>
    </xf>
    <xf numFmtId="14" fontId="75" fillId="13" borderId="80" xfId="0" applyNumberFormat="1" applyFont="1" applyFill="1" applyBorder="1" applyAlignment="1">
      <alignment horizontal="center" vertical="center" wrapText="1"/>
    </xf>
    <xf numFmtId="14" fontId="75" fillId="13" borderId="81" xfId="0" applyNumberFormat="1" applyFont="1" applyFill="1" applyBorder="1" applyAlignment="1">
      <alignment horizontal="center" vertical="center" wrapText="1"/>
    </xf>
    <xf numFmtId="0" fontId="75" fillId="13" borderId="89" xfId="0" applyFont="1" applyFill="1" applyBorder="1" applyAlignment="1">
      <alignment horizontal="left" vertical="center" wrapText="1"/>
    </xf>
    <xf numFmtId="0" fontId="75" fillId="13" borderId="38" xfId="0" applyFont="1" applyFill="1" applyBorder="1" applyAlignment="1">
      <alignment horizontal="left" vertical="center" wrapText="1"/>
    </xf>
    <xf numFmtId="0" fontId="75" fillId="13" borderId="82" xfId="0" applyFont="1" applyFill="1" applyBorder="1" applyAlignment="1">
      <alignment horizontal="left" vertical="center" wrapText="1"/>
    </xf>
    <xf numFmtId="0" fontId="75" fillId="13" borderId="87" xfId="0" applyFont="1" applyFill="1" applyBorder="1" applyAlignment="1">
      <alignment horizontal="left" vertical="center" wrapText="1"/>
    </xf>
    <xf numFmtId="0" fontId="40" fillId="8" borderId="33" xfId="0" applyFont="1" applyFill="1" applyBorder="1" applyAlignment="1">
      <alignment horizontal="center"/>
    </xf>
    <xf numFmtId="0" fontId="40" fillId="8" borderId="38" xfId="0" applyFont="1" applyFill="1" applyBorder="1" applyAlignment="1">
      <alignment horizontal="center"/>
    </xf>
    <xf numFmtId="0" fontId="40" fillId="8" borderId="1" xfId="0" applyFont="1" applyFill="1" applyBorder="1" applyAlignment="1">
      <alignment horizontal="center"/>
    </xf>
    <xf numFmtId="0" fontId="98" fillId="13" borderId="0" xfId="0" applyFont="1" applyFill="1" applyAlignment="1">
      <alignment vertical="center" wrapText="1"/>
    </xf>
    <xf numFmtId="0" fontId="95" fillId="13" borderId="82" xfId="0" applyFont="1" applyFill="1" applyBorder="1" applyAlignment="1">
      <alignment horizontal="left" vertical="center" wrapText="1" indent="1"/>
    </xf>
    <xf numFmtId="0" fontId="95" fillId="13" borderId="87" xfId="0" applyFont="1" applyFill="1" applyBorder="1" applyAlignment="1">
      <alignment horizontal="left" vertical="center" wrapText="1" indent="1"/>
    </xf>
    <xf numFmtId="0" fontId="95" fillId="13" borderId="92" xfId="0" applyFont="1" applyFill="1" applyBorder="1" applyAlignment="1">
      <alignment horizontal="left" vertical="center" wrapText="1" indent="1"/>
    </xf>
    <xf numFmtId="0" fontId="95" fillId="13" borderId="1" xfId="0" applyFont="1" applyFill="1" applyBorder="1" applyAlignment="1">
      <alignment horizontal="center" vertical="center" wrapText="1"/>
    </xf>
    <xf numFmtId="0" fontId="57" fillId="0" borderId="1" xfId="0" applyFont="1" applyBorder="1" applyAlignment="1">
      <alignment horizontal="center" vertical="center"/>
    </xf>
    <xf numFmtId="0" fontId="95" fillId="13" borderId="6" xfId="0" applyFont="1" applyFill="1" applyBorder="1" applyAlignment="1">
      <alignment horizontal="center" vertical="top" wrapText="1"/>
    </xf>
    <xf numFmtId="0" fontId="95" fillId="13" borderId="13" xfId="0" applyFont="1" applyFill="1" applyBorder="1" applyAlignment="1">
      <alignment horizontal="center" vertical="top" wrapText="1"/>
    </xf>
    <xf numFmtId="0" fontId="95" fillId="13" borderId="7" xfId="0" applyFont="1" applyFill="1" applyBorder="1" applyAlignment="1">
      <alignment horizontal="center" vertical="top" wrapText="1"/>
    </xf>
    <xf numFmtId="0" fontId="75" fillId="13" borderId="6" xfId="0" applyFont="1" applyFill="1" applyBorder="1" applyAlignment="1">
      <alignment horizontal="left" vertical="center" wrapText="1"/>
    </xf>
    <xf numFmtId="0" fontId="75" fillId="13" borderId="77" xfId="0" applyFont="1" applyFill="1" applyBorder="1" applyAlignment="1">
      <alignment horizontal="left" vertical="center" wrapText="1"/>
    </xf>
    <xf numFmtId="0" fontId="95" fillId="13" borderId="78" xfId="0" applyFont="1" applyFill="1" applyBorder="1" applyAlignment="1">
      <alignment horizontal="left" vertical="center" wrapText="1"/>
    </xf>
    <xf numFmtId="0" fontId="95" fillId="13" borderId="79" xfId="0" applyFont="1" applyFill="1" applyBorder="1" applyAlignment="1">
      <alignment horizontal="left" vertical="center" wrapText="1"/>
    </xf>
    <xf numFmtId="0" fontId="75" fillId="13" borderId="78" xfId="0" applyFont="1" applyFill="1" applyBorder="1" applyAlignment="1">
      <alignment horizontal="center" vertical="center" wrapText="1"/>
    </xf>
    <xf numFmtId="0" fontId="75" fillId="13" borderId="79" xfId="0" applyFont="1" applyFill="1" applyBorder="1" applyAlignment="1">
      <alignment horizontal="center" vertical="center" wrapText="1"/>
    </xf>
    <xf numFmtId="0" fontId="95" fillId="13" borderId="85" xfId="0" applyFont="1" applyFill="1" applyBorder="1" applyAlignment="1">
      <alignment horizontal="center" vertical="center" wrapText="1"/>
    </xf>
    <xf numFmtId="0" fontId="95" fillId="13" borderId="84" xfId="0" applyFont="1" applyFill="1" applyBorder="1" applyAlignment="1">
      <alignment horizontal="left" vertical="center" wrapText="1"/>
    </xf>
    <xf numFmtId="0" fontId="95" fillId="13" borderId="85" xfId="0" applyFont="1" applyFill="1" applyBorder="1" applyAlignment="1">
      <alignment horizontal="left" vertical="center" wrapText="1"/>
    </xf>
    <xf numFmtId="0" fontId="95" fillId="13" borderId="86" xfId="0" applyFont="1" applyFill="1" applyBorder="1" applyAlignment="1">
      <alignment horizontal="left" vertical="center" wrapText="1"/>
    </xf>
    <xf numFmtId="0" fontId="75" fillId="13" borderId="80" xfId="0" applyFont="1" applyFill="1" applyBorder="1" applyAlignment="1">
      <alignment vertical="center" wrapText="1"/>
    </xf>
    <xf numFmtId="0" fontId="75" fillId="13" borderId="88" xfId="0" applyFont="1" applyFill="1" applyBorder="1" applyAlignment="1">
      <alignment vertical="center" wrapText="1"/>
    </xf>
    <xf numFmtId="0" fontId="75" fillId="13" borderId="81" xfId="0" applyFont="1" applyFill="1" applyBorder="1" applyAlignment="1">
      <alignment vertical="center" wrapText="1"/>
    </xf>
    <xf numFmtId="0" fontId="75" fillId="13" borderId="80" xfId="0" applyFont="1" applyFill="1" applyBorder="1" applyAlignment="1">
      <alignment horizontal="left" vertical="center" wrapText="1" indent="1"/>
    </xf>
    <xf numFmtId="0" fontId="75" fillId="13" borderId="88" xfId="0" applyFont="1" applyFill="1" applyBorder="1" applyAlignment="1">
      <alignment horizontal="left" vertical="center" wrapText="1" indent="1"/>
    </xf>
    <xf numFmtId="0" fontId="75" fillId="13" borderId="1" xfId="0" applyFont="1" applyFill="1" applyBorder="1" applyAlignment="1">
      <alignment horizontal="center" vertical="center" wrapText="1"/>
    </xf>
    <xf numFmtId="0" fontId="75" fillId="13" borderId="6" xfId="0" applyFont="1" applyFill="1" applyBorder="1" applyAlignment="1">
      <alignment horizontal="center" vertical="center" wrapText="1"/>
    </xf>
    <xf numFmtId="0" fontId="75" fillId="13" borderId="13" xfId="0" applyFont="1" applyFill="1" applyBorder="1" applyAlignment="1">
      <alignment horizontal="center" vertical="center" wrapText="1"/>
    </xf>
    <xf numFmtId="0" fontId="75" fillId="13" borderId="7" xfId="0" applyFont="1" applyFill="1" applyBorder="1" applyAlignment="1">
      <alignment horizontal="center" vertical="center" wrapText="1"/>
    </xf>
    <xf numFmtId="0" fontId="37" fillId="3" borderId="14" xfId="0" applyFont="1" applyFill="1" applyBorder="1" applyAlignment="1">
      <alignment horizontal="center" vertical="top" wrapText="1"/>
    </xf>
    <xf numFmtId="0" fontId="37" fillId="3" borderId="17" xfId="0" applyFont="1" applyFill="1" applyBorder="1" applyAlignment="1">
      <alignment horizontal="center" vertical="top" wrapText="1"/>
    </xf>
    <xf numFmtId="0" fontId="37" fillId="3" borderId="0" xfId="0" applyFont="1" applyFill="1" applyAlignment="1">
      <alignment horizontal="center" vertical="top" wrapText="1"/>
    </xf>
    <xf numFmtId="0" fontId="19" fillId="19" borderId="22" xfId="0" applyFont="1" applyFill="1" applyBorder="1" applyAlignment="1">
      <alignment horizontal="right" vertical="center" wrapText="1"/>
    </xf>
    <xf numFmtId="0" fontId="19" fillId="19" borderId="24" xfId="0" applyFont="1" applyFill="1" applyBorder="1" applyAlignment="1">
      <alignment horizontal="right" vertical="center" wrapText="1"/>
    </xf>
    <xf numFmtId="0" fontId="34" fillId="14" borderId="1" xfId="0" applyFont="1" applyFill="1" applyBorder="1" applyAlignment="1">
      <alignment horizontal="center" vertical="center"/>
    </xf>
    <xf numFmtId="0" fontId="32" fillId="8" borderId="8" xfId="0" applyFont="1" applyFill="1" applyBorder="1" applyAlignment="1">
      <alignment horizontal="left"/>
    </xf>
    <xf numFmtId="0" fontId="32" fillId="8" borderId="0" xfId="0" applyFont="1" applyFill="1" applyAlignment="1">
      <alignment horizontal="left"/>
    </xf>
    <xf numFmtId="0" fontId="27" fillId="20" borderId="1" xfId="0" applyFont="1" applyFill="1" applyBorder="1" applyAlignment="1">
      <alignment horizontal="left"/>
    </xf>
    <xf numFmtId="0" fontId="27" fillId="20" borderId="9" xfId="0" applyFont="1" applyFill="1" applyBorder="1" applyAlignment="1">
      <alignment horizontal="left"/>
    </xf>
    <xf numFmtId="0" fontId="27" fillId="20" borderId="4" xfId="0" applyFont="1" applyFill="1" applyBorder="1" applyAlignment="1">
      <alignment horizontal="left"/>
    </xf>
    <xf numFmtId="0" fontId="31" fillId="11" borderId="1" xfId="0" applyFont="1" applyFill="1" applyBorder="1" applyAlignment="1">
      <alignment horizontal="center" vertical="center" wrapText="1"/>
    </xf>
    <xf numFmtId="0" fontId="31" fillId="11" borderId="6" xfId="0" applyFont="1" applyFill="1" applyBorder="1" applyAlignment="1">
      <alignment horizontal="center" vertical="center" wrapText="1"/>
    </xf>
    <xf numFmtId="0" fontId="32" fillId="8" borderId="4" xfId="0" applyFont="1" applyFill="1" applyBorder="1" applyAlignment="1">
      <alignment horizontal="center"/>
    </xf>
    <xf numFmtId="0" fontId="32" fillId="8" borderId="2" xfId="0" applyFont="1" applyFill="1" applyBorder="1" applyAlignment="1">
      <alignment horizontal="center"/>
    </xf>
    <xf numFmtId="0" fontId="19" fillId="19" borderId="1" xfId="0" applyFont="1" applyFill="1" applyBorder="1" applyAlignment="1">
      <alignment horizontal="right" vertical="top" wrapText="1"/>
    </xf>
    <xf numFmtId="0" fontId="19" fillId="0" borderId="28" xfId="0" applyFont="1" applyBorder="1" applyAlignment="1">
      <alignment horizontal="left" vertical="top" wrapText="1"/>
    </xf>
    <xf numFmtId="0" fontId="19" fillId="19" borderId="37" xfId="0" applyFont="1" applyFill="1" applyBorder="1" applyAlignment="1">
      <alignment horizontal="right" vertical="top" wrapText="1"/>
    </xf>
    <xf numFmtId="0" fontId="19" fillId="19" borderId="0" xfId="0" applyFont="1" applyFill="1" applyAlignment="1">
      <alignment horizontal="right" vertical="top" wrapText="1"/>
    </xf>
    <xf numFmtId="0" fontId="40" fillId="8" borderId="6" xfId="0" applyFont="1" applyFill="1" applyBorder="1" applyAlignment="1">
      <alignment horizontal="center"/>
    </xf>
    <xf numFmtId="0" fontId="40" fillId="8" borderId="13" xfId="0" applyFont="1" applyFill="1" applyBorder="1" applyAlignment="1">
      <alignment horizontal="center"/>
    </xf>
    <xf numFmtId="0" fontId="40" fillId="8" borderId="22" xfId="0" applyFont="1" applyFill="1" applyBorder="1" applyAlignment="1">
      <alignment horizontal="center"/>
    </xf>
    <xf numFmtId="0" fontId="27" fillId="8" borderId="6" xfId="0" applyFont="1" applyFill="1" applyBorder="1" applyAlignment="1">
      <alignment horizontal="left"/>
    </xf>
    <xf numFmtId="0" fontId="27" fillId="8" borderId="13" xfId="0" applyFont="1" applyFill="1" applyBorder="1" applyAlignment="1">
      <alignment horizontal="left"/>
    </xf>
    <xf numFmtId="0" fontId="37" fillId="11" borderId="3" xfId="0" applyFont="1" applyFill="1" applyBorder="1" applyAlignment="1">
      <alignment horizontal="center" vertical="center" wrapText="1"/>
    </xf>
    <xf numFmtId="0" fontId="37" fillId="11" borderId="5" xfId="0" applyFont="1" applyFill="1" applyBorder="1" applyAlignment="1">
      <alignment horizontal="center" vertical="center" wrapText="1"/>
    </xf>
    <xf numFmtId="0" fontId="37" fillId="11" borderId="9" xfId="0" applyFont="1" applyFill="1" applyBorder="1" applyAlignment="1">
      <alignment horizontal="center" vertical="center" wrapText="1"/>
    </xf>
    <xf numFmtId="0" fontId="31" fillId="11" borderId="25" xfId="0" applyFont="1" applyFill="1" applyBorder="1" applyAlignment="1">
      <alignment horizontal="center" vertical="center" wrapText="1"/>
    </xf>
    <xf numFmtId="0" fontId="31" fillId="11" borderId="26" xfId="0" applyFont="1" applyFill="1" applyBorder="1" applyAlignment="1">
      <alignment horizontal="center" vertical="center" wrapText="1"/>
    </xf>
    <xf numFmtId="0" fontId="40" fillId="8" borderId="8" xfId="0" applyFont="1" applyFill="1" applyBorder="1" applyAlignment="1">
      <alignment horizontal="left"/>
    </xf>
    <xf numFmtId="0" fontId="40" fillId="8" borderId="0" xfId="0" applyFont="1" applyFill="1" applyAlignment="1">
      <alignment horizontal="left"/>
    </xf>
    <xf numFmtId="0" fontId="37" fillId="11" borderId="15" xfId="0" applyFont="1" applyFill="1" applyBorder="1" applyAlignment="1">
      <alignment horizontal="center" vertical="center" wrapText="1"/>
    </xf>
    <xf numFmtId="0" fontId="37" fillId="11" borderId="16" xfId="0" applyFont="1" applyFill="1" applyBorder="1" applyAlignment="1">
      <alignment horizontal="center" vertical="center" wrapText="1"/>
    </xf>
    <xf numFmtId="0" fontId="37" fillId="11" borderId="0" xfId="0" applyFont="1" applyFill="1" applyAlignment="1">
      <alignment horizontal="center" vertical="center" wrapText="1"/>
    </xf>
    <xf numFmtId="0" fontId="37" fillId="11" borderId="18" xfId="0" applyFont="1" applyFill="1" applyBorder="1" applyAlignment="1">
      <alignment horizontal="center" vertical="center" wrapText="1"/>
    </xf>
    <xf numFmtId="0" fontId="37" fillId="11" borderId="20" xfId="0" applyFont="1" applyFill="1" applyBorder="1" applyAlignment="1">
      <alignment horizontal="center" vertical="center" wrapText="1"/>
    </xf>
    <xf numFmtId="0" fontId="37" fillId="11" borderId="21" xfId="0" applyFont="1" applyFill="1" applyBorder="1" applyAlignment="1">
      <alignment horizontal="center" vertical="center" wrapText="1"/>
    </xf>
    <xf numFmtId="0" fontId="31" fillId="21" borderId="1" xfId="0" applyFont="1" applyFill="1" applyBorder="1" applyAlignment="1">
      <alignment horizontal="left" vertical="center" wrapText="1"/>
    </xf>
    <xf numFmtId="0" fontId="34" fillId="11" borderId="1" xfId="0" applyFont="1" applyFill="1" applyBorder="1" applyAlignment="1">
      <alignment horizontal="center" vertical="center" wrapText="1"/>
    </xf>
    <xf numFmtId="0" fontId="19" fillId="19" borderId="38" xfId="0" applyFont="1" applyFill="1" applyBorder="1" applyAlignment="1">
      <alignment horizontal="center" vertical="top" wrapText="1"/>
    </xf>
    <xf numFmtId="0" fontId="19" fillId="19" borderId="0" xfId="0" applyFont="1" applyFill="1" applyAlignment="1">
      <alignment horizontal="center" vertical="top" wrapText="1"/>
    </xf>
    <xf numFmtId="0" fontId="93" fillId="13" borderId="0" xfId="0" applyFont="1" applyFill="1" applyAlignment="1">
      <alignment horizontal="center" vertical="center" wrapText="1"/>
    </xf>
    <xf numFmtId="0" fontId="94" fillId="13" borderId="0" xfId="0" applyFont="1" applyFill="1" applyAlignment="1">
      <alignment horizontal="center" vertical="center" wrapText="1"/>
    </xf>
    <xf numFmtId="0" fontId="97" fillId="13" borderId="1" xfId="0" applyFont="1" applyFill="1" applyBorder="1" applyAlignment="1">
      <alignment horizontal="center" vertical="center" wrapText="1"/>
    </xf>
    <xf numFmtId="0" fontId="92" fillId="7" borderId="0" xfId="0" applyFont="1" applyFill="1" applyAlignment="1">
      <alignment horizontal="center" vertical="center"/>
    </xf>
    <xf numFmtId="0" fontId="37" fillId="11" borderId="14" xfId="0" applyFont="1" applyFill="1" applyBorder="1" applyAlignment="1">
      <alignment horizontal="center" vertical="center" wrapText="1"/>
    </xf>
    <xf numFmtId="0" fontId="37" fillId="11" borderId="17" xfId="0" applyFont="1" applyFill="1" applyBorder="1" applyAlignment="1">
      <alignment horizontal="center" vertical="center" wrapText="1"/>
    </xf>
    <xf numFmtId="0" fontId="18" fillId="14" borderId="7" xfId="0" applyFont="1" applyFill="1" applyBorder="1" applyAlignment="1">
      <alignment horizontal="center"/>
    </xf>
    <xf numFmtId="0" fontId="31" fillId="11" borderId="8" xfId="0" applyFont="1" applyFill="1" applyBorder="1" applyAlignment="1">
      <alignment horizontal="center" vertical="center" wrapText="1"/>
    </xf>
    <xf numFmtId="0" fontId="31" fillId="11" borderId="23" xfId="0" applyFont="1" applyFill="1" applyBorder="1" applyAlignment="1">
      <alignment horizontal="center" vertical="center" wrapText="1"/>
    </xf>
    <xf numFmtId="0" fontId="32" fillId="8" borderId="6" xfId="0" applyFont="1" applyFill="1" applyBorder="1" applyAlignment="1">
      <alignment horizontal="center"/>
    </xf>
    <xf numFmtId="0" fontId="32" fillId="8" borderId="13" xfId="0" applyFont="1" applyFill="1" applyBorder="1" applyAlignment="1">
      <alignment horizontal="center"/>
    </xf>
    <xf numFmtId="0" fontId="34" fillId="7" borderId="6" xfId="0" applyFont="1" applyFill="1" applyBorder="1" applyAlignment="1">
      <alignment horizontal="left"/>
    </xf>
    <xf numFmtId="0" fontId="34" fillId="7" borderId="7" xfId="0" applyFont="1" applyFill="1" applyBorder="1" applyAlignment="1">
      <alignment horizontal="left"/>
    </xf>
    <xf numFmtId="0" fontId="31" fillId="11" borderId="9" xfId="0" applyFont="1" applyFill="1" applyBorder="1" applyAlignment="1">
      <alignment horizontal="center" vertical="center" wrapText="1"/>
    </xf>
    <xf numFmtId="0" fontId="34" fillId="7" borderId="3" xfId="0" applyFont="1" applyFill="1" applyBorder="1" applyAlignment="1">
      <alignment horizontal="left"/>
    </xf>
    <xf numFmtId="0" fontId="27" fillId="8" borderId="33" xfId="0" applyFont="1" applyFill="1" applyBorder="1" applyAlignment="1">
      <alignment horizontal="left"/>
    </xf>
    <xf numFmtId="0" fontId="27" fillId="8" borderId="38" xfId="0" applyFont="1" applyFill="1" applyBorder="1" applyAlignment="1">
      <alignment horizontal="left"/>
    </xf>
    <xf numFmtId="0" fontId="31" fillId="0" borderId="0" xfId="0" applyFont="1" applyAlignment="1">
      <alignment horizontal="left" vertical="center" wrapText="1"/>
    </xf>
    <xf numFmtId="0" fontId="19" fillId="8" borderId="1" xfId="0" applyFont="1" applyFill="1" applyBorder="1" applyAlignment="1">
      <alignment vertical="center" wrapText="1"/>
    </xf>
    <xf numFmtId="0" fontId="27" fillId="20" borderId="33" xfId="0" applyFont="1" applyFill="1" applyBorder="1" applyAlignment="1">
      <alignment horizontal="left"/>
    </xf>
    <xf numFmtId="0" fontId="27" fillId="20" borderId="6" xfId="0" applyFont="1" applyFill="1" applyBorder="1" applyAlignment="1">
      <alignment horizontal="center"/>
    </xf>
    <xf numFmtId="0" fontId="27" fillId="20" borderId="13" xfId="0" applyFont="1" applyFill="1" applyBorder="1" applyAlignment="1">
      <alignment horizontal="center"/>
    </xf>
    <xf numFmtId="0" fontId="34" fillId="7" borderId="1" xfId="0" applyFont="1" applyFill="1" applyBorder="1" applyAlignment="1">
      <alignment horizontal="left"/>
    </xf>
    <xf numFmtId="0" fontId="19" fillId="8" borderId="33" xfId="0" applyFont="1" applyFill="1" applyBorder="1" applyAlignment="1">
      <alignment vertical="center" wrapText="1"/>
    </xf>
    <xf numFmtId="0" fontId="19" fillId="8" borderId="8" xfId="0" applyFont="1" applyFill="1" applyBorder="1" applyAlignment="1">
      <alignment vertical="center" wrapText="1"/>
    </xf>
    <xf numFmtId="0" fontId="19" fillId="8" borderId="4" xfId="0" applyFont="1" applyFill="1" applyBorder="1" applyAlignment="1">
      <alignment vertical="center" wrapText="1"/>
    </xf>
    <xf numFmtId="0" fontId="31" fillId="4" borderId="1" xfId="0" applyFont="1" applyFill="1" applyBorder="1" applyAlignment="1">
      <alignment horizontal="left" vertical="center" wrapText="1"/>
    </xf>
    <xf numFmtId="0" fontId="34" fillId="21" borderId="1" xfId="0" applyFont="1" applyFill="1" applyBorder="1" applyAlignment="1">
      <alignment horizontal="center"/>
    </xf>
    <xf numFmtId="0" fontId="19" fillId="21" borderId="1" xfId="0" applyFont="1" applyFill="1" applyBorder="1" applyAlignment="1">
      <alignment horizontal="center"/>
    </xf>
    <xf numFmtId="0" fontId="19" fillId="21" borderId="13" xfId="0" applyFont="1" applyFill="1" applyBorder="1" applyAlignment="1">
      <alignment horizontal="center"/>
    </xf>
    <xf numFmtId="0" fontId="19" fillId="21" borderId="7" xfId="0" applyFont="1" applyFill="1" applyBorder="1" applyAlignment="1">
      <alignment horizontal="center"/>
    </xf>
    <xf numFmtId="0" fontId="27" fillId="20" borderId="1" xfId="0" applyFont="1" applyFill="1" applyBorder="1" applyAlignment="1">
      <alignment horizontal="center"/>
    </xf>
    <xf numFmtId="0" fontId="34" fillId="21" borderId="9" xfId="0" applyFont="1" applyFill="1" applyBorder="1" applyAlignment="1">
      <alignment horizontal="center"/>
    </xf>
    <xf numFmtId="0" fontId="34" fillId="21" borderId="4" xfId="0" applyFont="1" applyFill="1" applyBorder="1" applyAlignment="1">
      <alignment horizontal="center"/>
    </xf>
    <xf numFmtId="0" fontId="34" fillId="14" borderId="0" xfId="0" applyFont="1" applyFill="1" applyAlignment="1">
      <alignment horizontal="center"/>
    </xf>
    <xf numFmtId="0" fontId="18" fillId="32" borderId="6" xfId="0" applyFont="1" applyFill="1" applyBorder="1" applyAlignment="1">
      <alignment horizontal="center"/>
    </xf>
    <xf numFmtId="0" fontId="18" fillId="32" borderId="13" xfId="0" applyFont="1" applyFill="1" applyBorder="1" applyAlignment="1">
      <alignment horizontal="center"/>
    </xf>
    <xf numFmtId="0" fontId="18" fillId="32" borderId="7" xfId="0" applyFont="1" applyFill="1" applyBorder="1" applyAlignment="1">
      <alignment horizontal="center"/>
    </xf>
    <xf numFmtId="0" fontId="34" fillId="3" borderId="1" xfId="0" applyFont="1" applyFill="1" applyBorder="1" applyAlignment="1">
      <alignment horizontal="center" vertical="top" wrapText="1"/>
    </xf>
    <xf numFmtId="0" fontId="34" fillId="3" borderId="3" xfId="0" applyFont="1" applyFill="1" applyBorder="1" applyAlignment="1">
      <alignment horizontal="center" vertical="top" wrapText="1"/>
    </xf>
    <xf numFmtId="0" fontId="25" fillId="0" borderId="0" xfId="0" applyFont="1" applyAlignment="1">
      <alignment horizontal="left" vertical="center" wrapText="1"/>
    </xf>
    <xf numFmtId="0" fontId="0" fillId="0" borderId="1" xfId="0" applyBorder="1" applyAlignment="1">
      <alignment horizontal="center" vertical="center" wrapText="1"/>
    </xf>
    <xf numFmtId="0" fontId="0" fillId="21" borderId="33" xfId="0" applyFill="1" applyBorder="1" applyAlignment="1">
      <alignment horizontal="center" vertical="center" wrapText="1"/>
    </xf>
    <xf numFmtId="0" fontId="0" fillId="21" borderId="8" xfId="0" applyFill="1" applyBorder="1" applyAlignment="1">
      <alignment horizontal="center" vertical="center" wrapText="1"/>
    </xf>
    <xf numFmtId="0" fontId="0" fillId="21" borderId="0" xfId="0" applyFill="1" applyAlignment="1">
      <alignment horizontal="center" vertical="center" wrapText="1"/>
    </xf>
    <xf numFmtId="0" fontId="25" fillId="21" borderId="6" xfId="0" applyFont="1" applyFill="1" applyBorder="1" applyAlignment="1">
      <alignment horizontal="center" vertical="center" wrapText="1"/>
    </xf>
    <xf numFmtId="0" fontId="25" fillId="21" borderId="7" xfId="0" applyFont="1" applyFill="1" applyBorder="1" applyAlignment="1">
      <alignment horizontal="center" vertical="center" wrapText="1"/>
    </xf>
    <xf numFmtId="0" fontId="25" fillId="21" borderId="13" xfId="0" applyFont="1" applyFill="1" applyBorder="1" applyAlignment="1">
      <alignment horizontal="center" vertical="center" wrapText="1"/>
    </xf>
    <xf numFmtId="0" fontId="0" fillId="0" borderId="13" xfId="0" applyBorder="1" applyAlignment="1">
      <alignment horizontal="center" vertical="center" wrapText="1"/>
    </xf>
    <xf numFmtId="0" fontId="23" fillId="8" borderId="13" xfId="0" applyFont="1" applyFill="1" applyBorder="1" applyAlignment="1">
      <alignment horizontal="center"/>
    </xf>
    <xf numFmtId="0" fontId="0" fillId="21" borderId="3" xfId="0" applyFill="1" applyBorder="1" applyAlignment="1">
      <alignment horizontal="center" vertical="center" wrapText="1"/>
    </xf>
    <xf numFmtId="0" fontId="0" fillId="21" borderId="5" xfId="0" applyFill="1" applyBorder="1" applyAlignment="1">
      <alignment horizontal="center" vertical="center" wrapText="1"/>
    </xf>
    <xf numFmtId="0" fontId="46" fillId="21" borderId="6" xfId="0" applyFont="1" applyFill="1" applyBorder="1" applyAlignment="1">
      <alignment horizontal="center" vertical="center" wrapText="1"/>
    </xf>
    <xf numFmtId="0" fontId="46" fillId="21" borderId="7" xfId="0" applyFont="1" applyFill="1" applyBorder="1" applyAlignment="1">
      <alignment horizontal="center" vertical="center" wrapText="1"/>
    </xf>
    <xf numFmtId="0" fontId="17" fillId="0" borderId="0" xfId="0" applyFont="1" applyAlignment="1">
      <alignment horizontal="left" vertical="top" wrapText="1"/>
    </xf>
    <xf numFmtId="0" fontId="1" fillId="0" borderId="15" xfId="0" applyFont="1" applyBorder="1" applyAlignment="1">
      <alignment horizontal="center" vertical="center" wrapText="1"/>
    </xf>
    <xf numFmtId="0" fontId="1" fillId="0" borderId="0" xfId="0" applyFont="1" applyAlignment="1">
      <alignment horizontal="center" vertical="center" wrapText="1"/>
    </xf>
    <xf numFmtId="0" fontId="0" fillId="0" borderId="5" xfId="0" applyBorder="1" applyAlignment="1">
      <alignment horizontal="center" vertical="center" wrapText="1"/>
    </xf>
    <xf numFmtId="0" fontId="0" fillId="0" borderId="9" xfId="0" applyBorder="1" applyAlignment="1">
      <alignment horizontal="center" vertical="center" wrapText="1"/>
    </xf>
    <xf numFmtId="0" fontId="46" fillId="21" borderId="13" xfId="0" applyFont="1" applyFill="1" applyBorder="1" applyAlignment="1">
      <alignment horizontal="center" vertical="center" wrapText="1"/>
    </xf>
    <xf numFmtId="0" fontId="0" fillId="7" borderId="6" xfId="0" applyFill="1" applyBorder="1" applyAlignment="1">
      <alignment horizontal="left"/>
    </xf>
    <xf numFmtId="0" fontId="0" fillId="7" borderId="7" xfId="0" applyFill="1" applyBorder="1" applyAlignment="1">
      <alignment horizontal="left"/>
    </xf>
    <xf numFmtId="0" fontId="0" fillId="7" borderId="26" xfId="0" applyFill="1" applyBorder="1" applyAlignment="1">
      <alignment horizontal="center" vertical="center" wrapText="1"/>
    </xf>
    <xf numFmtId="0" fontId="0" fillId="7" borderId="27" xfId="0" applyFill="1" applyBorder="1" applyAlignment="1">
      <alignment horizontal="center" vertical="center" wrapText="1"/>
    </xf>
    <xf numFmtId="0" fontId="0" fillId="7" borderId="25" xfId="0" applyFill="1" applyBorder="1" applyAlignment="1">
      <alignment horizontal="center" vertical="center" wrapText="1"/>
    </xf>
    <xf numFmtId="0" fontId="41" fillId="4" borderId="13" xfId="0" applyFont="1" applyFill="1" applyBorder="1" applyAlignment="1">
      <alignment horizontal="center"/>
    </xf>
    <xf numFmtId="0" fontId="41" fillId="4" borderId="7" xfId="0" applyFont="1" applyFill="1" applyBorder="1" applyAlignment="1">
      <alignment horizontal="center"/>
    </xf>
    <xf numFmtId="0" fontId="7" fillId="0" borderId="13" xfId="0" applyFont="1" applyBorder="1" applyAlignment="1">
      <alignment horizontal="center"/>
    </xf>
    <xf numFmtId="0" fontId="7" fillId="0" borderId="7" xfId="0" applyFont="1" applyBorder="1" applyAlignment="1">
      <alignment horizontal="center"/>
    </xf>
    <xf numFmtId="0" fontId="27" fillId="7" borderId="33" xfId="0" applyFont="1" applyFill="1" applyBorder="1" applyAlignment="1">
      <alignment horizontal="center"/>
    </xf>
    <xf numFmtId="0" fontId="27" fillId="7" borderId="38" xfId="0" applyFont="1" applyFill="1" applyBorder="1" applyAlignment="1">
      <alignment horizontal="center"/>
    </xf>
    <xf numFmtId="0" fontId="27" fillId="7" borderId="22" xfId="0" applyFont="1" applyFill="1" applyBorder="1" applyAlignment="1">
      <alignment horizontal="center"/>
    </xf>
    <xf numFmtId="0" fontId="26" fillId="0" borderId="8" xfId="0" applyFont="1" applyBorder="1" applyAlignment="1">
      <alignment horizontal="center" wrapText="1"/>
    </xf>
    <xf numFmtId="0" fontId="26" fillId="0" borderId="0" xfId="0" applyFont="1" applyAlignment="1">
      <alignment horizontal="center" wrapText="1"/>
    </xf>
    <xf numFmtId="0" fontId="26" fillId="0" borderId="23" xfId="0" applyFont="1" applyBorder="1" applyAlignment="1">
      <alignment horizontal="center" wrapText="1"/>
    </xf>
    <xf numFmtId="0" fontId="27" fillId="7" borderId="13" xfId="0" applyFont="1" applyFill="1" applyBorder="1" applyAlignment="1">
      <alignment horizontal="center"/>
    </xf>
    <xf numFmtId="0" fontId="27" fillId="7" borderId="7" xfId="0" applyFont="1" applyFill="1" applyBorder="1" applyAlignment="1">
      <alignment horizontal="center"/>
    </xf>
    <xf numFmtId="0" fontId="27" fillId="8" borderId="16" xfId="0" applyFont="1" applyFill="1" applyBorder="1" applyAlignment="1">
      <alignment horizontal="center" vertical="center" wrapText="1"/>
    </xf>
    <xf numFmtId="0" fontId="27" fillId="8" borderId="18" xfId="0" applyFont="1" applyFill="1" applyBorder="1" applyAlignment="1">
      <alignment horizontal="center" vertical="center" wrapText="1"/>
    </xf>
    <xf numFmtId="0" fontId="0" fillId="7" borderId="1" xfId="0" applyFill="1" applyBorder="1" applyAlignment="1">
      <alignment horizontal="center" vertical="center"/>
    </xf>
    <xf numFmtId="0" fontId="0" fillId="7" borderId="3" xfId="0" applyFill="1" applyBorder="1" applyAlignment="1">
      <alignment horizontal="center" vertical="center"/>
    </xf>
    <xf numFmtId="0" fontId="6" fillId="0" borderId="25" xfId="0" applyFont="1" applyBorder="1" applyAlignment="1">
      <alignment horizontal="center" vertical="center" wrapText="1"/>
    </xf>
    <xf numFmtId="0" fontId="6" fillId="0" borderId="27" xfId="0" applyFont="1" applyBorder="1" applyAlignment="1">
      <alignment horizontal="center" vertical="center" wrapText="1"/>
    </xf>
    <xf numFmtId="0" fontId="19" fillId="4" borderId="6" xfId="0" applyFont="1" applyFill="1" applyBorder="1" applyAlignment="1">
      <alignment horizontal="center" vertical="center"/>
    </xf>
    <xf numFmtId="0" fontId="19" fillId="4" borderId="7" xfId="0" applyFont="1" applyFill="1" applyBorder="1" applyAlignment="1">
      <alignment horizontal="center" vertical="center"/>
    </xf>
    <xf numFmtId="0" fontId="19" fillId="4" borderId="13" xfId="0" applyFont="1" applyFill="1" applyBorder="1" applyAlignment="1">
      <alignment horizontal="center" vertical="center"/>
    </xf>
    <xf numFmtId="0" fontId="19" fillId="4" borderId="33" xfId="0" applyFont="1" applyFill="1" applyBorder="1" applyAlignment="1">
      <alignment horizontal="center" vertical="center"/>
    </xf>
    <xf numFmtId="0" fontId="19" fillId="4" borderId="8" xfId="0" applyFont="1" applyFill="1" applyBorder="1" applyAlignment="1">
      <alignment horizontal="center" vertical="center"/>
    </xf>
    <xf numFmtId="0" fontId="19" fillId="4" borderId="4" xfId="0" applyFont="1" applyFill="1" applyBorder="1" applyAlignment="1">
      <alignment horizontal="center" vertical="center"/>
    </xf>
    <xf numFmtId="0" fontId="19" fillId="4" borderId="4" xfId="0" applyFont="1" applyFill="1" applyBorder="1" applyAlignment="1">
      <alignment horizontal="left"/>
    </xf>
    <xf numFmtId="0" fontId="19" fillId="4" borderId="24" xfId="0" applyFont="1" applyFill="1" applyBorder="1" applyAlignment="1">
      <alignment horizontal="left"/>
    </xf>
    <xf numFmtId="0" fontId="7" fillId="7" borderId="6" xfId="0" applyFont="1" applyFill="1" applyBorder="1" applyAlignment="1">
      <alignment horizontal="center"/>
    </xf>
    <xf numFmtId="0" fontId="7" fillId="7" borderId="7" xfId="0" applyFont="1" applyFill="1" applyBorder="1" applyAlignment="1">
      <alignment horizontal="center"/>
    </xf>
    <xf numFmtId="0" fontId="19" fillId="4" borderId="1" xfId="0" applyFont="1" applyFill="1" applyBorder="1" applyAlignment="1">
      <alignment horizontal="center"/>
    </xf>
    <xf numFmtId="0" fontId="7" fillId="7" borderId="13" xfId="0" applyFont="1" applyFill="1" applyBorder="1" applyAlignment="1">
      <alignment horizontal="center"/>
    </xf>
    <xf numFmtId="0" fontId="27" fillId="7" borderId="1" xfId="0" applyFont="1" applyFill="1" applyBorder="1" applyAlignment="1">
      <alignment horizontal="center"/>
    </xf>
    <xf numFmtId="0" fontId="39" fillId="4" borderId="6" xfId="0" applyFont="1" applyFill="1" applyBorder="1" applyAlignment="1">
      <alignment horizontal="center"/>
    </xf>
    <xf numFmtId="0" fontId="39" fillId="4" borderId="13" xfId="0" applyFont="1" applyFill="1" applyBorder="1" applyAlignment="1">
      <alignment horizontal="center"/>
    </xf>
    <xf numFmtId="0" fontId="39" fillId="4" borderId="7" xfId="0" applyFont="1" applyFill="1" applyBorder="1" applyAlignment="1">
      <alignment horizontal="center"/>
    </xf>
    <xf numFmtId="0" fontId="19" fillId="0" borderId="0" xfId="0" applyFont="1" applyAlignment="1">
      <alignment horizontal="left" vertical="center"/>
    </xf>
    <xf numFmtId="0" fontId="0" fillId="8" borderId="1" xfId="0" applyFill="1" applyBorder="1" applyAlignment="1">
      <alignment horizontal="center"/>
    </xf>
    <xf numFmtId="0" fontId="17" fillId="0" borderId="0" xfId="0" applyFont="1" applyAlignment="1">
      <alignment horizontal="center" vertical="top" wrapText="1"/>
    </xf>
    <xf numFmtId="0" fontId="29" fillId="0" borderId="6" xfId="0" applyFont="1" applyBorder="1" applyAlignment="1">
      <alignment horizontal="center"/>
    </xf>
    <xf numFmtId="0" fontId="29" fillId="0" borderId="13" xfId="0" applyFont="1" applyBorder="1" applyAlignment="1">
      <alignment horizontal="center"/>
    </xf>
    <xf numFmtId="0" fontId="29" fillId="0" borderId="7" xfId="0" applyFont="1" applyBorder="1" applyAlignment="1">
      <alignment horizontal="center"/>
    </xf>
    <xf numFmtId="0" fontId="0" fillId="0" borderId="9" xfId="0" applyBorder="1" applyAlignment="1">
      <alignment horizontal="center"/>
    </xf>
    <xf numFmtId="0" fontId="0" fillId="7" borderId="2" xfId="0" applyFill="1" applyBorder="1" applyAlignment="1">
      <alignment horizontal="center" vertical="center"/>
    </xf>
    <xf numFmtId="0" fontId="0" fillId="7" borderId="24" xfId="0" applyFill="1" applyBorder="1" applyAlignment="1">
      <alignment horizontal="center" vertical="center"/>
    </xf>
    <xf numFmtId="0" fontId="27" fillId="7" borderId="6" xfId="0" applyFont="1" applyFill="1" applyBorder="1" applyAlignment="1">
      <alignment horizontal="center"/>
    </xf>
    <xf numFmtId="0" fontId="19" fillId="4" borderId="9" xfId="0" applyFont="1" applyFill="1" applyBorder="1" applyAlignment="1">
      <alignment horizontal="center"/>
    </xf>
    <xf numFmtId="0" fontId="27" fillId="8" borderId="8" xfId="0" applyFont="1" applyFill="1" applyBorder="1" applyAlignment="1">
      <alignment horizontal="center"/>
    </xf>
    <xf numFmtId="0" fontId="27" fillId="8" borderId="0" xfId="0" applyFont="1" applyFill="1" applyAlignment="1">
      <alignment horizontal="center"/>
    </xf>
    <xf numFmtId="0" fontId="27" fillId="8" borderId="14" xfId="0" applyFont="1" applyFill="1" applyBorder="1" applyAlignment="1">
      <alignment horizontal="center" vertical="center" wrapText="1"/>
    </xf>
    <xf numFmtId="0" fontId="27" fillId="8" borderId="17" xfId="0" applyFont="1" applyFill="1" applyBorder="1" applyAlignment="1">
      <alignment horizontal="center" vertical="center" wrapText="1"/>
    </xf>
    <xf numFmtId="0" fontId="27" fillId="8" borderId="19" xfId="0" applyFont="1" applyFill="1" applyBorder="1" applyAlignment="1">
      <alignment horizontal="center" vertical="center" wrapText="1"/>
    </xf>
    <xf numFmtId="0" fontId="27" fillId="8" borderId="21" xfId="0" applyFont="1" applyFill="1" applyBorder="1" applyAlignment="1">
      <alignment horizontal="center" vertical="center" wrapText="1"/>
    </xf>
    <xf numFmtId="0" fontId="0" fillId="22" borderId="2" xfId="0" applyFill="1" applyBorder="1" applyAlignment="1">
      <alignment horizontal="center" vertical="center"/>
    </xf>
    <xf numFmtId="0" fontId="0" fillId="22" borderId="24" xfId="0" applyFill="1" applyBorder="1" applyAlignment="1">
      <alignment horizontal="center" vertical="center"/>
    </xf>
    <xf numFmtId="0" fontId="4" fillId="0" borderId="0" xfId="0" applyFont="1" applyAlignment="1">
      <alignment horizontal="left" vertical="center"/>
    </xf>
    <xf numFmtId="0" fontId="23" fillId="8" borderId="4" xfId="0" applyFont="1" applyFill="1" applyBorder="1" applyAlignment="1">
      <alignment horizontal="center"/>
    </xf>
    <xf numFmtId="0" fontId="23" fillId="8" borderId="2" xfId="0" applyFont="1" applyFill="1" applyBorder="1" applyAlignment="1">
      <alignment horizontal="center"/>
    </xf>
    <xf numFmtId="0" fontId="0" fillId="7" borderId="6" xfId="0" applyFill="1" applyBorder="1" applyAlignment="1">
      <alignment horizontal="center" vertical="center"/>
    </xf>
    <xf numFmtId="0" fontId="0" fillId="7" borderId="7" xfId="0" applyFill="1" applyBorder="1" applyAlignment="1">
      <alignment horizontal="center" vertical="center"/>
    </xf>
    <xf numFmtId="0" fontId="39" fillId="4" borderId="2" xfId="0" applyFont="1" applyFill="1" applyBorder="1" applyAlignment="1">
      <alignment horizontal="center"/>
    </xf>
    <xf numFmtId="0" fontId="27" fillId="0" borderId="6" xfId="0" applyFont="1" applyBorder="1" applyAlignment="1">
      <alignment horizontal="center"/>
    </xf>
    <xf numFmtId="0" fontId="27" fillId="0" borderId="13" xfId="0" applyFont="1" applyBorder="1" applyAlignment="1">
      <alignment horizontal="center"/>
    </xf>
    <xf numFmtId="0" fontId="27" fillId="0" borderId="7" xfId="0" applyFont="1" applyBorder="1" applyAlignment="1">
      <alignment horizontal="center"/>
    </xf>
    <xf numFmtId="0" fontId="27" fillId="8" borderId="25" xfId="0" applyFont="1" applyFill="1" applyBorder="1" applyAlignment="1">
      <alignment horizontal="center" vertical="center" wrapText="1"/>
    </xf>
    <xf numFmtId="0" fontId="27" fillId="8" borderId="26" xfId="0" applyFont="1" applyFill="1" applyBorder="1" applyAlignment="1">
      <alignment horizontal="center" vertical="center" wrapText="1"/>
    </xf>
    <xf numFmtId="0" fontId="27" fillId="8" borderId="27" xfId="0" applyFont="1" applyFill="1" applyBorder="1" applyAlignment="1">
      <alignment horizontal="center" vertical="center" wrapText="1"/>
    </xf>
    <xf numFmtId="0" fontId="66" fillId="13" borderId="1" xfId="0" applyFont="1" applyFill="1" applyBorder="1" applyAlignment="1">
      <alignment vertical="center" wrapText="1"/>
    </xf>
    <xf numFmtId="0" fontId="67" fillId="21" borderId="1" xfId="0" applyFont="1" applyFill="1" applyBorder="1" applyAlignment="1">
      <alignment horizontal="center" vertical="center" wrapText="1"/>
    </xf>
    <xf numFmtId="0" fontId="66" fillId="13" borderId="1" xfId="0" applyFont="1" applyFill="1" applyBorder="1" applyAlignment="1">
      <alignment horizontal="left" vertical="center" wrapText="1"/>
    </xf>
    <xf numFmtId="0" fontId="19" fillId="4" borderId="6" xfId="0" applyFont="1" applyFill="1" applyBorder="1" applyAlignment="1">
      <alignment horizontal="center"/>
    </xf>
    <xf numFmtId="0" fontId="19" fillId="4" borderId="13" xfId="0" applyFont="1" applyFill="1" applyBorder="1" applyAlignment="1">
      <alignment horizontal="center"/>
    </xf>
    <xf numFmtId="0" fontId="19" fillId="4" borderId="7" xfId="0" applyFont="1" applyFill="1" applyBorder="1" applyAlignment="1">
      <alignment horizontal="center"/>
    </xf>
    <xf numFmtId="0" fontId="43" fillId="0" borderId="1" xfId="0" applyFont="1" applyBorder="1" applyAlignment="1">
      <alignment horizontal="center" vertical="center"/>
    </xf>
    <xf numFmtId="0" fontId="26" fillId="4" borderId="33" xfId="0" applyFont="1" applyFill="1" applyBorder="1" applyAlignment="1">
      <alignment horizontal="center" vertical="center"/>
    </xf>
    <xf numFmtId="0" fontId="26" fillId="4" borderId="38" xfId="0" applyFont="1" applyFill="1" applyBorder="1" applyAlignment="1">
      <alignment horizontal="center" vertical="center"/>
    </xf>
    <xf numFmtId="0" fontId="19" fillId="4" borderId="10" xfId="0" applyFont="1" applyFill="1" applyBorder="1" applyAlignment="1">
      <alignment horizontal="center"/>
    </xf>
    <xf numFmtId="0" fontId="19" fillId="4" borderId="11" xfId="0" applyFont="1" applyFill="1" applyBorder="1" applyAlignment="1">
      <alignment horizontal="center"/>
    </xf>
    <xf numFmtId="0" fontId="19" fillId="4" borderId="12" xfId="0" applyFont="1" applyFill="1" applyBorder="1" applyAlignment="1">
      <alignment horizontal="center"/>
    </xf>
    <xf numFmtId="0" fontId="27" fillId="8" borderId="4" xfId="0" applyFont="1" applyFill="1" applyBorder="1" applyAlignment="1">
      <alignment horizontal="center"/>
    </xf>
    <xf numFmtId="0" fontId="27" fillId="8" borderId="2" xfId="0" applyFont="1" applyFill="1" applyBorder="1" applyAlignment="1">
      <alignment horizontal="center"/>
    </xf>
    <xf numFmtId="0" fontId="27" fillId="8" borderId="6" xfId="0" applyFont="1" applyFill="1" applyBorder="1" applyAlignment="1">
      <alignment horizontal="center"/>
    </xf>
    <xf numFmtId="0" fontId="27" fillId="8" borderId="13" xfId="0" applyFont="1" applyFill="1" applyBorder="1" applyAlignment="1">
      <alignment horizontal="center"/>
    </xf>
    <xf numFmtId="0" fontId="19" fillId="4" borderId="24" xfId="0" applyFont="1" applyFill="1" applyBorder="1" applyAlignment="1">
      <alignment horizontal="center"/>
    </xf>
    <xf numFmtId="0" fontId="0" fillId="0" borderId="22" xfId="0" applyBorder="1" applyAlignment="1">
      <alignment horizontal="center" vertical="center"/>
    </xf>
    <xf numFmtId="0" fontId="0" fillId="0" borderId="8" xfId="0" applyBorder="1" applyAlignment="1">
      <alignment horizontal="center" vertical="center"/>
    </xf>
    <xf numFmtId="0" fontId="0" fillId="0" borderId="0" xfId="0" applyAlignment="1">
      <alignment horizontal="center" vertical="center"/>
    </xf>
    <xf numFmtId="0" fontId="0" fillId="0" borderId="23" xfId="0" applyBorder="1" applyAlignment="1">
      <alignment horizontal="center" vertical="center"/>
    </xf>
    <xf numFmtId="0" fontId="64" fillId="13" borderId="1" xfId="0" applyFont="1" applyFill="1" applyBorder="1" applyAlignment="1">
      <alignment horizontal="left" vertical="center" wrapText="1"/>
    </xf>
    <xf numFmtId="0" fontId="60" fillId="0" borderId="0" xfId="0" applyFont="1" applyAlignment="1">
      <alignment horizontal="left"/>
    </xf>
    <xf numFmtId="0" fontId="67" fillId="21" borderId="1" xfId="0" applyFont="1" applyFill="1" applyBorder="1" applyAlignment="1">
      <alignment horizontal="left" vertical="center" wrapText="1"/>
    </xf>
    <xf numFmtId="0" fontId="27" fillId="8" borderId="7" xfId="0" applyFont="1" applyFill="1" applyBorder="1" applyAlignment="1">
      <alignment horizontal="center"/>
    </xf>
    <xf numFmtId="0" fontId="71" fillId="0" borderId="0" xfId="0" applyFont="1" applyAlignment="1">
      <alignment horizontal="left" wrapText="1"/>
    </xf>
    <xf numFmtId="0" fontId="21" fillId="8" borderId="0" xfId="0" applyFont="1" applyFill="1" applyAlignment="1">
      <alignment horizontal="left"/>
    </xf>
    <xf numFmtId="0" fontId="27" fillId="17" borderId="14" xfId="0" applyFont="1" applyFill="1" applyBorder="1" applyAlignment="1">
      <alignment horizontal="center" vertical="center"/>
    </xf>
    <xf numFmtId="0" fontId="27" fillId="17" borderId="17" xfId="0" applyFont="1" applyFill="1" applyBorder="1" applyAlignment="1">
      <alignment horizontal="center" vertical="center"/>
    </xf>
    <xf numFmtId="0" fontId="27" fillId="17" borderId="19" xfId="0" applyFont="1" applyFill="1" applyBorder="1" applyAlignment="1">
      <alignment horizontal="center" vertical="center"/>
    </xf>
    <xf numFmtId="0" fontId="19" fillId="8" borderId="1" xfId="0" applyFont="1" applyFill="1" applyBorder="1" applyAlignment="1">
      <alignment horizontal="center"/>
    </xf>
    <xf numFmtId="0" fontId="19" fillId="8" borderId="6" xfId="0" applyFont="1" applyFill="1" applyBorder="1" applyAlignment="1">
      <alignment horizontal="center"/>
    </xf>
    <xf numFmtId="0" fontId="34" fillId="7" borderId="3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8" xfId="0" applyFont="1" applyFill="1" applyBorder="1" applyAlignment="1">
      <alignment horizontal="center" vertical="center" wrapText="1"/>
    </xf>
    <xf numFmtId="0" fontId="34" fillId="7" borderId="23" xfId="0" applyFont="1" applyFill="1" applyBorder="1" applyAlignment="1">
      <alignment horizontal="center" vertical="center" wrapText="1"/>
    </xf>
    <xf numFmtId="0" fontId="34" fillId="7" borderId="4" xfId="0" applyFont="1" applyFill="1" applyBorder="1" applyAlignment="1">
      <alignment horizontal="center" vertical="center" wrapText="1"/>
    </xf>
    <xf numFmtId="0" fontId="34" fillId="7" borderId="24" xfId="0" applyFont="1" applyFill="1" applyBorder="1" applyAlignment="1">
      <alignment horizontal="center" vertical="center" wrapText="1"/>
    </xf>
    <xf numFmtId="0" fontId="27" fillId="14" borderId="13" xfId="0" applyFont="1" applyFill="1" applyBorder="1" applyAlignment="1">
      <alignment horizontal="center"/>
    </xf>
    <xf numFmtId="0" fontId="27" fillId="14" borderId="7" xfId="0" applyFont="1" applyFill="1" applyBorder="1" applyAlignment="1">
      <alignment horizontal="center"/>
    </xf>
    <xf numFmtId="0" fontId="76" fillId="0" borderId="0" xfId="0" applyFont="1" applyAlignment="1">
      <alignment horizontal="center" vertical="center" wrapText="1"/>
    </xf>
    <xf numFmtId="0" fontId="19" fillId="0" borderId="0" xfId="0" applyFont="1" applyAlignment="1">
      <alignment horizontal="center"/>
    </xf>
    <xf numFmtId="0" fontId="34" fillId="3" borderId="25" xfId="0" applyFont="1" applyFill="1" applyBorder="1" applyAlignment="1">
      <alignment horizontal="center" vertical="center" wrapText="1"/>
    </xf>
    <xf numFmtId="0" fontId="34" fillId="3" borderId="26" xfId="0" applyFont="1" applyFill="1" applyBorder="1" applyAlignment="1">
      <alignment horizontal="center" vertical="center" wrapText="1"/>
    </xf>
    <xf numFmtId="0" fontId="34" fillId="3" borderId="27" xfId="0" applyFont="1" applyFill="1" applyBorder="1" applyAlignment="1">
      <alignment horizontal="center" vertical="center" wrapText="1"/>
    </xf>
    <xf numFmtId="0" fontId="19" fillId="7" borderId="6" xfId="0" applyFont="1" applyFill="1" applyBorder="1" applyAlignment="1">
      <alignment horizontal="center" vertical="center"/>
    </xf>
    <xf numFmtId="0" fontId="19" fillId="7" borderId="7" xfId="0" applyFont="1" applyFill="1" applyBorder="1" applyAlignment="1">
      <alignment horizontal="center" vertical="center"/>
    </xf>
    <xf numFmtId="0" fontId="34" fillId="0" borderId="0" xfId="0" applyFont="1" applyAlignment="1">
      <alignment horizontal="center" wrapText="1"/>
    </xf>
    <xf numFmtId="0" fontId="34" fillId="6" borderId="14" xfId="0" applyFont="1" applyFill="1" applyBorder="1" applyAlignment="1">
      <alignment horizontal="center" vertical="center"/>
    </xf>
    <xf numFmtId="0" fontId="34" fillId="6" borderId="16" xfId="0" applyFont="1" applyFill="1" applyBorder="1" applyAlignment="1">
      <alignment horizontal="center" vertical="center"/>
    </xf>
    <xf numFmtId="0" fontId="34" fillId="6" borderId="17" xfId="0" applyFont="1" applyFill="1" applyBorder="1" applyAlignment="1">
      <alignment horizontal="center" vertical="center"/>
    </xf>
    <xf numFmtId="0" fontId="34" fillId="6" borderId="18" xfId="0" applyFont="1" applyFill="1" applyBorder="1" applyAlignment="1">
      <alignment horizontal="center" vertical="center"/>
    </xf>
    <xf numFmtId="0" fontId="34" fillId="6" borderId="19" xfId="0" applyFont="1" applyFill="1" applyBorder="1" applyAlignment="1">
      <alignment horizontal="center" vertical="center"/>
    </xf>
    <xf numFmtId="0" fontId="34" fillId="6" borderId="21" xfId="0" applyFont="1" applyFill="1" applyBorder="1" applyAlignment="1">
      <alignment horizontal="center" vertical="center"/>
    </xf>
    <xf numFmtId="0" fontId="19" fillId="8" borderId="55" xfId="0" applyFont="1" applyFill="1" applyBorder="1" applyAlignment="1">
      <alignment horizontal="left" vertical="center"/>
    </xf>
    <xf numFmtId="0" fontId="19" fillId="8" borderId="67" xfId="0" applyFont="1" applyFill="1" applyBorder="1" applyAlignment="1">
      <alignment horizontal="left" vertical="center"/>
    </xf>
    <xf numFmtId="0" fontId="19" fillId="8" borderId="17" xfId="0" applyFont="1" applyFill="1" applyBorder="1" applyAlignment="1">
      <alignment horizontal="center" vertical="center"/>
    </xf>
    <xf numFmtId="0" fontId="19" fillId="8" borderId="68" xfId="0" applyFont="1" applyFill="1" applyBorder="1" applyAlignment="1">
      <alignment horizontal="center" vertical="center"/>
    </xf>
    <xf numFmtId="0" fontId="39" fillId="14" borderId="24" xfId="0" applyFont="1" applyFill="1" applyBorder="1" applyAlignment="1">
      <alignment horizontal="center"/>
    </xf>
    <xf numFmtId="0" fontId="39" fillId="14" borderId="33" xfId="0" applyFont="1" applyFill="1" applyBorder="1" applyAlignment="1">
      <alignment horizontal="center"/>
    </xf>
    <xf numFmtId="0" fontId="39" fillId="14" borderId="22" xfId="0" applyFont="1" applyFill="1" applyBorder="1" applyAlignment="1">
      <alignment horizontal="center"/>
    </xf>
    <xf numFmtId="0" fontId="34" fillId="7" borderId="70" xfId="0" applyFont="1" applyFill="1" applyBorder="1" applyAlignment="1">
      <alignment horizontal="center" vertical="center" wrapText="1"/>
    </xf>
    <xf numFmtId="0" fontId="34" fillId="7" borderId="71" xfId="0" applyFont="1" applyFill="1" applyBorder="1" applyAlignment="1">
      <alignment horizontal="center" vertical="center" wrapText="1"/>
    </xf>
    <xf numFmtId="0" fontId="34" fillId="7" borderId="73" xfId="0" applyFont="1" applyFill="1" applyBorder="1" applyAlignment="1">
      <alignment horizontal="center" vertical="center" wrapText="1"/>
    </xf>
    <xf numFmtId="0" fontId="34" fillId="7" borderId="74" xfId="0" applyFont="1" applyFill="1" applyBorder="1" applyAlignment="1">
      <alignment horizontal="center" vertical="center" wrapText="1"/>
    </xf>
    <xf numFmtId="0" fontId="34" fillId="7" borderId="72" xfId="0" applyFont="1" applyFill="1" applyBorder="1" applyAlignment="1">
      <alignment horizontal="center" vertical="center" wrapText="1"/>
    </xf>
    <xf numFmtId="0" fontId="34" fillId="7" borderId="75" xfId="0" applyFont="1" applyFill="1" applyBorder="1" applyAlignment="1">
      <alignment horizontal="center" vertical="center" wrapText="1"/>
    </xf>
    <xf numFmtId="0" fontId="39" fillId="14" borderId="6" xfId="0" applyFont="1" applyFill="1" applyBorder="1" applyAlignment="1">
      <alignment horizontal="center" vertical="center"/>
    </xf>
    <xf numFmtId="0" fontId="39" fillId="14" borderId="7" xfId="0" applyFont="1" applyFill="1" applyBorder="1" applyAlignment="1">
      <alignment horizontal="center" vertical="center"/>
    </xf>
    <xf numFmtId="0" fontId="27" fillId="7" borderId="58" xfId="0" applyFont="1" applyFill="1" applyBorder="1" applyAlignment="1">
      <alignment horizontal="center"/>
    </xf>
    <xf numFmtId="0" fontId="34" fillId="15" borderId="53" xfId="0" applyFont="1" applyFill="1" applyBorder="1" applyAlignment="1">
      <alignment horizontal="center" vertical="center" wrapText="1"/>
    </xf>
    <xf numFmtId="0" fontId="34" fillId="15" borderId="15" xfId="0" applyFont="1" applyFill="1" applyBorder="1" applyAlignment="1">
      <alignment horizontal="center" vertical="center" wrapText="1"/>
    </xf>
    <xf numFmtId="0" fontId="34" fillId="15" borderId="8" xfId="0" applyFont="1" applyFill="1" applyBorder="1" applyAlignment="1">
      <alignment horizontal="center" vertical="center" wrapText="1"/>
    </xf>
    <xf numFmtId="0" fontId="34" fillId="15" borderId="0" xfId="0" applyFont="1" applyFill="1" applyAlignment="1">
      <alignment horizontal="center" vertical="center" wrapText="1"/>
    </xf>
    <xf numFmtId="0" fontId="34" fillId="15" borderId="54" xfId="0" applyFont="1" applyFill="1" applyBorder="1" applyAlignment="1">
      <alignment horizontal="center" vertical="center" wrapText="1"/>
    </xf>
    <xf numFmtId="0" fontId="34" fillId="15" borderId="20" xfId="0" applyFont="1" applyFill="1" applyBorder="1" applyAlignment="1">
      <alignment horizontal="center" vertical="center" wrapText="1"/>
    </xf>
    <xf numFmtId="0" fontId="34" fillId="25" borderId="15" xfId="0" applyFont="1" applyFill="1" applyBorder="1" applyAlignment="1">
      <alignment horizontal="center" vertical="center" wrapText="1"/>
    </xf>
    <xf numFmtId="0" fontId="34" fillId="25" borderId="0" xfId="0" applyFont="1" applyFill="1" applyAlignment="1">
      <alignment horizontal="center" vertical="center" wrapText="1"/>
    </xf>
    <xf numFmtId="0" fontId="34" fillId="25" borderId="20" xfId="0" applyFont="1" applyFill="1" applyBorder="1" applyAlignment="1">
      <alignment horizontal="center" vertical="center" wrapText="1"/>
    </xf>
    <xf numFmtId="0" fontId="34" fillId="11" borderId="60" xfId="0" applyFont="1" applyFill="1" applyBorder="1" applyAlignment="1">
      <alignment horizontal="center" vertical="center" wrapText="1"/>
    </xf>
    <xf numFmtId="0" fontId="34" fillId="11" borderId="61" xfId="0" applyFont="1" applyFill="1" applyBorder="1" applyAlignment="1">
      <alignment horizontal="center" vertical="center" wrapText="1"/>
    </xf>
    <xf numFmtId="0" fontId="34" fillId="11" borderId="62" xfId="0" applyFont="1" applyFill="1" applyBorder="1" applyAlignment="1">
      <alignment horizontal="center" vertical="center" wrapText="1"/>
    </xf>
    <xf numFmtId="0" fontId="27" fillId="7" borderId="6" xfId="0" applyFont="1" applyFill="1" applyBorder="1" applyAlignment="1">
      <alignment horizontal="left" vertical="center"/>
    </xf>
    <xf numFmtId="0" fontId="27" fillId="7" borderId="7" xfId="0" applyFont="1" applyFill="1" applyBorder="1" applyAlignment="1">
      <alignment horizontal="left" vertical="center"/>
    </xf>
    <xf numFmtId="0" fontId="34" fillId="15" borderId="1" xfId="0" applyFont="1" applyFill="1" applyBorder="1" applyAlignment="1">
      <alignment horizontal="center" vertical="center" wrapText="1"/>
    </xf>
    <xf numFmtId="0" fontId="34" fillId="25" borderId="1" xfId="0" applyFont="1" applyFill="1" applyBorder="1" applyAlignment="1">
      <alignment horizontal="center" vertical="center" wrapText="1"/>
    </xf>
    <xf numFmtId="0" fontId="19" fillId="8" borderId="7" xfId="0" applyFont="1" applyFill="1" applyBorder="1" applyAlignment="1">
      <alignment horizontal="center"/>
    </xf>
    <xf numFmtId="0" fontId="18" fillId="14" borderId="33" xfId="0" applyFont="1" applyFill="1" applyBorder="1" applyAlignment="1">
      <alignment horizontal="center"/>
    </xf>
    <xf numFmtId="0" fontId="18" fillId="14" borderId="38" xfId="0" applyFont="1" applyFill="1" applyBorder="1" applyAlignment="1">
      <alignment horizontal="center"/>
    </xf>
    <xf numFmtId="0" fontId="34" fillId="6" borderId="0" xfId="0" applyFont="1" applyFill="1" applyAlignment="1">
      <alignment horizontal="center" vertical="center" wrapText="1"/>
    </xf>
    <xf numFmtId="0" fontId="34" fillId="6" borderId="2" xfId="0" applyFont="1" applyFill="1" applyBorder="1" applyAlignment="1">
      <alignment horizontal="center" vertical="center" wrapText="1"/>
    </xf>
    <xf numFmtId="0" fontId="34" fillId="14" borderId="6" xfId="0" applyFont="1" applyFill="1" applyBorder="1" applyAlignment="1">
      <alignment horizontal="center"/>
    </xf>
    <xf numFmtId="0" fontId="34" fillId="14" borderId="7" xfId="0" applyFont="1" applyFill="1" applyBorder="1" applyAlignment="1">
      <alignment horizontal="center"/>
    </xf>
    <xf numFmtId="0" fontId="19" fillId="8" borderId="69" xfId="0" applyFont="1" applyFill="1" applyBorder="1" applyAlignment="1">
      <alignment vertical="center"/>
    </xf>
    <xf numFmtId="0" fontId="19" fillId="8" borderId="17" xfId="0" applyFont="1" applyFill="1" applyBorder="1" applyAlignment="1">
      <alignment vertical="center"/>
    </xf>
    <xf numFmtId="0" fontId="34" fillId="0" borderId="0" xfId="0" applyFont="1" applyAlignment="1">
      <alignment horizontal="center" vertical="top" wrapText="1"/>
    </xf>
    <xf numFmtId="0" fontId="34" fillId="25" borderId="38" xfId="0" applyFont="1" applyFill="1" applyBorder="1" applyAlignment="1">
      <alignment horizontal="center" vertical="center" wrapText="1"/>
    </xf>
    <xf numFmtId="0" fontId="34" fillId="25" borderId="2" xfId="0" applyFont="1" applyFill="1" applyBorder="1" applyAlignment="1">
      <alignment horizontal="center" vertical="center" wrapText="1"/>
    </xf>
    <xf numFmtId="0" fontId="19" fillId="8" borderId="33" xfId="0" applyFont="1" applyFill="1" applyBorder="1" applyAlignment="1">
      <alignment horizontal="center" vertical="center"/>
    </xf>
    <xf numFmtId="0" fontId="23" fillId="14" borderId="6" xfId="0" applyFont="1" applyFill="1" applyBorder="1" applyAlignment="1">
      <alignment horizontal="center" wrapText="1"/>
    </xf>
    <xf numFmtId="0" fontId="23" fillId="14" borderId="13" xfId="0" applyFont="1" applyFill="1" applyBorder="1" applyAlignment="1">
      <alignment horizontal="center" wrapText="1"/>
    </xf>
    <xf numFmtId="0" fontId="0" fillId="9" borderId="25" xfId="0" applyFill="1" applyBorder="1" applyAlignment="1">
      <alignment horizontal="center" vertical="center" wrapText="1"/>
    </xf>
    <xf numFmtId="0" fontId="0" fillId="9" borderId="26" xfId="0" applyFill="1" applyBorder="1" applyAlignment="1">
      <alignment horizontal="center" vertical="center" wrapText="1"/>
    </xf>
    <xf numFmtId="0" fontId="0" fillId="9" borderId="27" xfId="0" applyFill="1" applyBorder="1" applyAlignment="1">
      <alignment horizontal="center" vertical="center" wrapText="1"/>
    </xf>
    <xf numFmtId="14" fontId="0" fillId="0" borderId="0" xfId="0" applyNumberFormat="1" applyAlignment="1">
      <alignment horizontal="left"/>
    </xf>
    <xf numFmtId="0" fontId="34" fillId="2" borderId="33" xfId="0" applyFont="1" applyFill="1" applyBorder="1" applyAlignment="1">
      <alignment horizontal="center"/>
    </xf>
    <xf numFmtId="0" fontId="34" fillId="2" borderId="38" xfId="0" applyFont="1" applyFill="1" applyBorder="1" applyAlignment="1">
      <alignment horizontal="center"/>
    </xf>
    <xf numFmtId="0" fontId="34" fillId="2" borderId="10" xfId="0" applyFont="1" applyFill="1" applyBorder="1" applyAlignment="1">
      <alignment horizontal="center"/>
    </xf>
    <xf numFmtId="0" fontId="34" fillId="2" borderId="11" xfId="0" applyFont="1" applyFill="1" applyBorder="1" applyAlignment="1">
      <alignment horizontal="center"/>
    </xf>
    <xf numFmtId="0" fontId="34" fillId="2" borderId="12" xfId="0" applyFont="1" applyFill="1" applyBorder="1" applyAlignment="1">
      <alignment horizontal="center"/>
    </xf>
    <xf numFmtId="49" fontId="0" fillId="0" borderId="0" xfId="0" applyNumberFormat="1" applyAlignment="1">
      <alignment horizontal="center"/>
    </xf>
    <xf numFmtId="0" fontId="17" fillId="0" borderId="0" xfId="0" applyFont="1" applyAlignment="1">
      <alignment horizontal="left" wrapText="1"/>
    </xf>
    <xf numFmtId="0" fontId="17" fillId="0" borderId="0" xfId="0" applyFont="1" applyAlignment="1">
      <alignment horizontal="left" vertical="center" wrapText="1"/>
    </xf>
    <xf numFmtId="0" fontId="109" fillId="0" borderId="13" xfId="0" applyFont="1" applyBorder="1" applyAlignment="1">
      <alignment horizontal="left" vertical="top" wrapText="1"/>
    </xf>
    <xf numFmtId="0" fontId="4" fillId="43" borderId="99" xfId="0" applyFont="1" applyFill="1" applyBorder="1" applyAlignment="1">
      <alignment horizontal="center" vertical="center"/>
    </xf>
    <xf numFmtId="0" fontId="114" fillId="7" borderId="33" xfId="0" applyFont="1" applyFill="1" applyBorder="1" applyAlignment="1">
      <alignment wrapText="1"/>
    </xf>
    <xf numFmtId="0" fontId="84" fillId="0" borderId="6" xfId="0" applyFont="1" applyBorder="1" applyAlignment="1">
      <alignment vertical="center" wrapText="1"/>
    </xf>
    <xf numFmtId="0" fontId="167" fillId="0" borderId="1" xfId="0" applyFont="1" applyBorder="1" applyAlignment="1">
      <alignment vertical="center" wrapText="1"/>
    </xf>
    <xf numFmtId="0" fontId="84" fillId="0" borderId="13" xfId="0" applyFont="1" applyBorder="1" applyAlignment="1">
      <alignment vertical="center" wrapText="1"/>
    </xf>
    <xf numFmtId="0" fontId="114" fillId="0" borderId="13" xfId="0" applyFont="1" applyBorder="1" applyAlignment="1">
      <alignment vertical="top" wrapText="1"/>
    </xf>
    <xf numFmtId="0" fontId="114" fillId="0" borderId="13" xfId="0" applyFont="1" applyBorder="1" applyAlignment="1">
      <alignment wrapText="1"/>
    </xf>
    <xf numFmtId="0" fontId="85" fillId="11" borderId="14" xfId="0" applyFont="1" applyFill="1" applyBorder="1" applyAlignment="1">
      <alignment horizontal="center" vertical="center" wrapText="1"/>
    </xf>
    <xf numFmtId="0" fontId="85" fillId="11" borderId="15" xfId="0" applyFont="1" applyFill="1" applyBorder="1" applyAlignment="1">
      <alignment horizontal="center" vertical="center" wrapText="1"/>
    </xf>
    <xf numFmtId="0" fontId="19" fillId="8" borderId="22" xfId="0" applyFont="1" applyFill="1" applyBorder="1" applyAlignment="1">
      <alignment horizontal="right" vertical="center"/>
    </xf>
    <xf numFmtId="0" fontId="85" fillId="11" borderId="17" xfId="0" applyFont="1" applyFill="1" applyBorder="1" applyAlignment="1">
      <alignment horizontal="center" vertical="center" wrapText="1"/>
    </xf>
    <xf numFmtId="0" fontId="85" fillId="11" borderId="0" xfId="0" applyFont="1" applyFill="1" applyAlignment="1">
      <alignment horizontal="center" vertical="center" wrapText="1"/>
    </xf>
    <xf numFmtId="0" fontId="19" fillId="8" borderId="23" xfId="0" applyFont="1" applyFill="1" applyBorder="1" applyAlignment="1">
      <alignment horizontal="right" vertical="center"/>
    </xf>
    <xf numFmtId="0" fontId="85" fillId="11" borderId="19" xfId="0" applyFont="1" applyFill="1" applyBorder="1" applyAlignment="1">
      <alignment horizontal="center" vertical="center" wrapText="1"/>
    </xf>
    <xf numFmtId="0" fontId="85" fillId="11" borderId="20" xfId="0" applyFont="1" applyFill="1" applyBorder="1" applyAlignment="1">
      <alignment horizontal="center" vertical="center" wrapText="1"/>
    </xf>
    <xf numFmtId="0" fontId="19" fillId="8" borderId="24" xfId="0" applyFont="1" applyFill="1" applyBorder="1" applyAlignment="1">
      <alignment horizontal="right" vertical="center"/>
    </xf>
    <xf numFmtId="0" fontId="85" fillId="0" borderId="8" xfId="0" applyFont="1" applyBorder="1" applyAlignment="1">
      <alignment vertical="top" wrapText="1"/>
    </xf>
    <xf numFmtId="0" fontId="114" fillId="7" borderId="4" xfId="0" applyFont="1" applyFill="1" applyBorder="1" applyAlignment="1">
      <alignment horizontal="left" wrapText="1"/>
    </xf>
    <xf numFmtId="0" fontId="114" fillId="7" borderId="2" xfId="0" applyFont="1" applyFill="1" applyBorder="1" applyAlignment="1">
      <alignment horizontal="left" wrapText="1"/>
    </xf>
    <xf numFmtId="0" fontId="19" fillId="8" borderId="24" xfId="0" applyFont="1" applyFill="1" applyBorder="1" applyAlignment="1">
      <alignment horizontal="right" vertical="center"/>
    </xf>
    <xf numFmtId="0" fontId="116" fillId="0" borderId="1" xfId="0" applyFont="1" applyBorder="1" applyAlignment="1">
      <alignment vertical="center" wrapText="1"/>
    </xf>
    <xf numFmtId="0" fontId="22" fillId="0" borderId="0" xfId="1" applyAlignment="1">
      <alignment horizontal="center" vertical="center"/>
    </xf>
    <xf numFmtId="0" fontId="0" fillId="0" borderId="0" xfId="0" applyAlignment="1">
      <alignment horizontal="left" vertical="center" wrapText="1"/>
    </xf>
    <xf numFmtId="0" fontId="166" fillId="40" borderId="0" xfId="0" applyFont="1" applyFill="1" applyAlignment="1">
      <alignment horizontal="left" vertical="top"/>
    </xf>
    <xf numFmtId="0" fontId="0" fillId="25" borderId="0" xfId="0" applyFill="1"/>
    <xf numFmtId="0" fontId="165" fillId="0" borderId="50" xfId="0" applyFont="1" applyBorder="1"/>
    <xf numFmtId="0" fontId="0" fillId="0" borderId="41" xfId="0" applyBorder="1"/>
    <xf numFmtId="0" fontId="34" fillId="44" borderId="50" xfId="0" applyFont="1" applyFill="1" applyBorder="1"/>
    <xf numFmtId="0" fontId="22" fillId="0" borderId="50" xfId="1" applyBorder="1" applyAlignment="1">
      <alignment horizontal="left"/>
    </xf>
    <xf numFmtId="0" fontId="34" fillId="45" borderId="50" xfId="0" applyFont="1" applyFill="1" applyBorder="1"/>
    <xf numFmtId="49" fontId="37" fillId="0" borderId="50" xfId="0" applyNumberFormat="1" applyFont="1" applyBorder="1" applyAlignment="1">
      <alignment wrapText="1"/>
    </xf>
    <xf numFmtId="0" fontId="0" fillId="18" borderId="0" xfId="0" applyFill="1"/>
    <xf numFmtId="49" fontId="37" fillId="18" borderId="0" xfId="0" applyNumberFormat="1" applyFont="1" applyFill="1"/>
    <xf numFmtId="14" fontId="21" fillId="0" borderId="0" xfId="0" applyNumberFormat="1" applyFont="1" applyAlignment="1">
      <alignment vertical="center"/>
    </xf>
    <xf numFmtId="0" fontId="27" fillId="0" borderId="41" xfId="0" applyFont="1" applyBorder="1" applyAlignment="1">
      <alignment vertical="center"/>
    </xf>
    <xf numFmtId="0" fontId="171" fillId="0" borderId="0" xfId="0" applyFont="1"/>
    <xf numFmtId="0" fontId="5" fillId="0" borderId="0" xfId="0" applyFont="1" applyAlignment="1">
      <alignment horizontal="center" vertical="center"/>
    </xf>
    <xf numFmtId="0" fontId="172" fillId="0" borderId="0" xfId="1" applyFont="1" applyBorder="1" applyAlignment="1">
      <alignment wrapText="1"/>
    </xf>
    <xf numFmtId="0" fontId="20" fillId="0" borderId="0" xfId="0" applyFont="1" applyAlignment="1">
      <alignment vertical="center"/>
    </xf>
    <xf numFmtId="0" fontId="34" fillId="0" borderId="56" xfId="0" applyFont="1" applyBorder="1"/>
    <xf numFmtId="0" fontId="88" fillId="0" borderId="41" xfId="0" applyFont="1" applyBorder="1" applyAlignment="1">
      <alignment wrapText="1"/>
    </xf>
    <xf numFmtId="0" fontId="71" fillId="0" borderId="41" xfId="0" applyFont="1" applyBorder="1" applyAlignment="1">
      <alignment wrapText="1"/>
    </xf>
    <xf numFmtId="0" fontId="22" fillId="0" borderId="41" xfId="1" applyFill="1" applyBorder="1" applyAlignment="1">
      <alignment horizontal="right"/>
    </xf>
    <xf numFmtId="0" fontId="22" fillId="0" borderId="41" xfId="1" applyBorder="1" applyAlignment="1">
      <alignment horizontal="right"/>
    </xf>
    <xf numFmtId="0" fontId="0" fillId="0" borderId="99" xfId="0" applyBorder="1"/>
    <xf numFmtId="0" fontId="173" fillId="0" borderId="41" xfId="0" applyFont="1" applyBorder="1" applyAlignment="1">
      <alignment horizontal="left"/>
    </xf>
    <xf numFmtId="0" fontId="21" fillId="0" borderId="0" xfId="0" applyFont="1" applyFill="1" applyBorder="1" applyAlignment="1">
      <alignment vertical="center"/>
    </xf>
    <xf numFmtId="0" fontId="0" fillId="0" borderId="0" xfId="0" applyFill="1" applyBorder="1"/>
    <xf numFmtId="0" fontId="23" fillId="0" borderId="0" xfId="0" applyFont="1" applyFill="1" applyBorder="1"/>
    <xf numFmtId="0" fontId="3" fillId="0" borderId="0" xfId="0" applyFont="1" applyFill="1" applyBorder="1"/>
    <xf numFmtId="0" fontId="20" fillId="0" borderId="0" xfId="0" applyFont="1" applyFill="1" applyBorder="1" applyAlignment="1">
      <alignment horizontal="center"/>
    </xf>
    <xf numFmtId="0" fontId="20" fillId="0" borderId="0" xfId="0" applyFont="1" applyFill="1" applyBorder="1"/>
    <xf numFmtId="0" fontId="84" fillId="0" borderId="0" xfId="0" applyFont="1" applyFill="1" applyBorder="1"/>
    <xf numFmtId="0" fontId="19" fillId="0" borderId="0" xfId="0" applyFont="1" applyFill="1" applyBorder="1"/>
    <xf numFmtId="0" fontId="114" fillId="0" borderId="0" xfId="0" applyFont="1" applyFill="1" applyBorder="1" applyAlignment="1">
      <alignment wrapText="1"/>
    </xf>
    <xf numFmtId="0" fontId="0" fillId="0" borderId="0" xfId="0" applyFill="1" applyBorder="1" applyAlignment="1">
      <alignment horizontal="center" vertical="center" wrapText="1"/>
    </xf>
    <xf numFmtId="0" fontId="114" fillId="0" borderId="0" xfId="0" applyFont="1" applyFill="1" applyBorder="1"/>
    <xf numFmtId="0" fontId="34" fillId="0" borderId="0" xfId="0" applyFont="1" applyFill="1" applyBorder="1"/>
    <xf numFmtId="0" fontId="0" fillId="0" borderId="0" xfId="0" applyFill="1" applyBorder="1" applyAlignment="1">
      <alignment horizontal="left" vertical="center"/>
    </xf>
    <xf numFmtId="0" fontId="0" fillId="0" borderId="0" xfId="0" applyFill="1" applyBorder="1" applyAlignment="1">
      <alignment horizontal="left" vertical="center" wrapText="1"/>
    </xf>
    <xf numFmtId="0" fontId="0" fillId="0" borderId="0" xfId="0" applyFill="1" applyBorder="1" applyAlignment="1">
      <alignment horizontal="left"/>
    </xf>
    <xf numFmtId="0" fontId="0" fillId="0" borderId="0" xfId="0" applyFill="1" applyBorder="1" applyAlignment="1">
      <alignment vertical="top" wrapText="1"/>
    </xf>
    <xf numFmtId="0" fontId="39" fillId="0" borderId="0" xfId="0" applyFont="1" applyFill="1" applyBorder="1" applyAlignment="1">
      <alignment vertical="center"/>
    </xf>
    <xf numFmtId="0" fontId="23" fillId="0" borderId="0" xfId="0" applyFont="1" applyFill="1" applyBorder="1" applyAlignment="1"/>
    <xf numFmtId="0" fontId="27" fillId="0" borderId="0" xfId="0" applyFont="1" applyFill="1" applyBorder="1" applyAlignment="1">
      <alignment vertical="center"/>
    </xf>
    <xf numFmtId="0" fontId="20" fillId="0" borderId="0" xfId="0" applyFont="1" applyFill="1" applyBorder="1" applyAlignment="1"/>
    <xf numFmtId="0" fontId="85" fillId="0" borderId="0" xfId="0" applyFont="1" applyFill="1" applyBorder="1" applyAlignment="1">
      <alignment vertical="top"/>
    </xf>
    <xf numFmtId="0" fontId="27" fillId="0" borderId="0" xfId="0" applyFont="1" applyFill="1" applyBorder="1" applyAlignment="1">
      <alignment vertical="top"/>
    </xf>
    <xf numFmtId="0" fontId="82" fillId="0" borderId="0" xfId="0" applyFont="1" applyFill="1" applyBorder="1" applyAlignment="1">
      <alignment vertical="center" wrapText="1"/>
    </xf>
    <xf numFmtId="0" fontId="0" fillId="0" borderId="0" xfId="0" applyFill="1" applyBorder="1" applyAlignment="1">
      <alignment vertical="center" wrapText="1"/>
    </xf>
    <xf numFmtId="0" fontId="5" fillId="0" borderId="0" xfId="0" applyFont="1" applyFill="1" applyBorder="1"/>
    <xf numFmtId="0" fontId="85" fillId="0" borderId="0" xfId="0" applyFont="1" applyFill="1" applyBorder="1" applyAlignment="1">
      <alignment vertical="top" wrapText="1"/>
    </xf>
    <xf numFmtId="0" fontId="27" fillId="0" borderId="0" xfId="0" applyFont="1" applyFill="1" applyBorder="1" applyAlignment="1">
      <alignment vertical="top" wrapText="1"/>
    </xf>
    <xf numFmtId="0" fontId="5" fillId="0" borderId="0" xfId="0" applyFont="1" applyFill="1" applyBorder="1" applyAlignment="1"/>
    <xf numFmtId="0" fontId="166" fillId="0" borderId="0" xfId="0" applyFont="1"/>
    <xf numFmtId="49" fontId="174" fillId="0" borderId="0" xfId="0" applyNumberFormat="1" applyFont="1" applyAlignment="1">
      <alignment vertical="top"/>
    </xf>
    <xf numFmtId="49" fontId="175" fillId="0" borderId="0" xfId="0" applyNumberFormat="1" applyFont="1" applyAlignment="1">
      <alignment vertical="top"/>
    </xf>
    <xf numFmtId="49" fontId="174" fillId="0" borderId="57" xfId="0" applyNumberFormat="1" applyFont="1" applyBorder="1" applyAlignment="1">
      <alignment vertical="top"/>
    </xf>
    <xf numFmtId="49" fontId="174" fillId="14" borderId="0" xfId="0" applyNumberFormat="1" applyFont="1" applyFill="1" applyAlignment="1">
      <alignment vertical="top"/>
    </xf>
    <xf numFmtId="49" fontId="175" fillId="2" borderId="0" xfId="0" applyNumberFormat="1" applyFont="1" applyFill="1" applyAlignment="1">
      <alignment vertical="top"/>
    </xf>
    <xf numFmtId="0" fontId="176" fillId="46" borderId="110" xfId="0" applyFont="1" applyFill="1" applyBorder="1" applyAlignment="1">
      <alignment horizontal="left" vertical="center" wrapText="1"/>
    </xf>
    <xf numFmtId="0" fontId="177" fillId="46" borderId="110" xfId="0" applyFont="1" applyFill="1" applyBorder="1" applyAlignment="1">
      <alignment horizontal="left" vertical="center" wrapText="1"/>
    </xf>
    <xf numFmtId="0" fontId="178" fillId="46" borderId="110" xfId="0" applyFont="1" applyFill="1" applyBorder="1" applyAlignment="1">
      <alignment horizontal="left" vertical="center" wrapText="1"/>
    </xf>
    <xf numFmtId="1" fontId="34" fillId="0" borderId="0" xfId="0" applyNumberFormat="1" applyFont="1" applyAlignment="1">
      <alignment vertical="top"/>
    </xf>
    <xf numFmtId="14" fontId="34" fillId="0" borderId="0" xfId="0" applyNumberFormat="1" applyFont="1" applyAlignment="1">
      <alignment horizontal="left"/>
    </xf>
    <xf numFmtId="14" fontId="34" fillId="0" borderId="0" xfId="0" applyNumberFormat="1" applyFont="1" applyAlignment="1">
      <alignment vertical="top"/>
    </xf>
    <xf numFmtId="0" fontId="180" fillId="0" borderId="0" xfId="0" applyFont="1" applyAlignment="1">
      <alignment vertical="top"/>
    </xf>
    <xf numFmtId="14" fontId="34" fillId="37" borderId="0" xfId="0" applyNumberFormat="1" applyFont="1" applyFill="1"/>
    <xf numFmtId="14" fontId="34" fillId="0" borderId="0" xfId="0" applyNumberFormat="1" applyFont="1" applyAlignment="1">
      <alignment horizontal="left" vertical="center" wrapText="1"/>
    </xf>
    <xf numFmtId="14" fontId="34" fillId="0" borderId="109" xfId="0" applyNumberFormat="1" applyFont="1" applyBorder="1"/>
    <xf numFmtId="1" fontId="34" fillId="0" borderId="108" xfId="0" applyNumberFormat="1" applyFont="1" applyBorder="1" applyAlignment="1">
      <alignment vertical="top"/>
    </xf>
    <xf numFmtId="0" fontId="182" fillId="0" borderId="0" xfId="0" applyFont="1" applyAlignment="1">
      <alignment vertical="top" wrapText="1"/>
    </xf>
    <xf numFmtId="0" fontId="37" fillId="0" borderId="0" xfId="0" applyFont="1" applyAlignment="1">
      <alignment vertical="top" wrapText="1"/>
    </xf>
    <xf numFmtId="0" fontId="183" fillId="0" borderId="0" xfId="0" applyFont="1" applyAlignment="1">
      <alignment vertical="top"/>
    </xf>
    <xf numFmtId="0" fontId="34" fillId="38" borderId="0" xfId="0" applyFont="1" applyFill="1" applyAlignment="1">
      <alignment vertical="top" wrapText="1"/>
    </xf>
    <xf numFmtId="0" fontId="72" fillId="0" borderId="0" xfId="0" applyFont="1" applyAlignment="1">
      <alignment vertical="top" wrapText="1"/>
    </xf>
    <xf numFmtId="0" fontId="186" fillId="0" borderId="0" xfId="0" applyFont="1" applyAlignment="1">
      <alignment vertical="top" wrapText="1"/>
    </xf>
    <xf numFmtId="0" fontId="179" fillId="0" borderId="0" xfId="0" applyFont="1" applyAlignment="1">
      <alignment vertical="top"/>
    </xf>
    <xf numFmtId="0" fontId="181" fillId="0" borderId="0" xfId="0" applyFont="1" applyAlignment="1">
      <alignment vertical="top" wrapText="1"/>
    </xf>
    <xf numFmtId="0" fontId="34" fillId="0" borderId="110" xfId="0" applyFont="1" applyBorder="1" applyAlignment="1">
      <alignment vertical="top" wrapText="1"/>
    </xf>
    <xf numFmtId="0" fontId="182" fillId="0" borderId="0" xfId="0" applyFont="1" applyAlignment="1">
      <alignment vertical="top"/>
    </xf>
    <xf numFmtId="0" fontId="185" fillId="0" borderId="0" xfId="0" applyFont="1" applyAlignment="1">
      <alignment vertical="top" wrapText="1"/>
    </xf>
    <xf numFmtId="14" fontId="34" fillId="0" borderId="0" xfId="0" applyNumberFormat="1" applyFont="1" applyBorder="1"/>
    <xf numFmtId="1" fontId="34" fillId="0" borderId="0" xfId="0" applyNumberFormat="1" applyFont="1" applyBorder="1" applyAlignment="1">
      <alignment vertical="top"/>
    </xf>
    <xf numFmtId="0" fontId="34" fillId="0" borderId="0" xfId="0" applyFont="1" applyBorder="1" applyAlignment="1">
      <alignment vertical="top" wrapText="1"/>
    </xf>
    <xf numFmtId="0" fontId="34" fillId="0" borderId="108" xfId="0" applyFont="1" applyBorder="1" applyAlignment="1">
      <alignment vertical="top"/>
    </xf>
    <xf numFmtId="0" fontId="72" fillId="0" borderId="108" xfId="0" applyFont="1" applyBorder="1" applyAlignment="1">
      <alignment vertical="top" wrapText="1"/>
    </xf>
    <xf numFmtId="0" fontId="21" fillId="14" borderId="6" xfId="0" applyFont="1" applyFill="1" applyBorder="1" applyAlignment="1">
      <alignment horizontal="center" vertical="center"/>
    </xf>
    <xf numFmtId="0" fontId="34" fillId="8" borderId="1" xfId="0" applyFont="1" applyFill="1" applyBorder="1" applyAlignment="1">
      <alignment horizontal="left" indent="4"/>
    </xf>
    <xf numFmtId="0" fontId="21" fillId="14" borderId="4" xfId="0" applyFont="1" applyFill="1" applyBorder="1" applyAlignment="1">
      <alignment horizontal="center" vertical="center"/>
    </xf>
    <xf numFmtId="0" fontId="21" fillId="14" borderId="2" xfId="0" applyFont="1" applyFill="1" applyBorder="1" applyAlignment="1">
      <alignment horizontal="center" vertical="center"/>
    </xf>
    <xf numFmtId="0" fontId="21" fillId="14" borderId="63" xfId="0" applyFont="1" applyFill="1" applyBorder="1" applyAlignment="1">
      <alignment horizontal="center" vertical="center"/>
    </xf>
    <xf numFmtId="0" fontId="27" fillId="7" borderId="6" xfId="0" applyFont="1" applyFill="1" applyBorder="1" applyAlignment="1"/>
    <xf numFmtId="0" fontId="19" fillId="14" borderId="33" xfId="0" applyFont="1" applyFill="1" applyBorder="1" applyAlignment="1">
      <alignment horizontal="left" vertical="center"/>
    </xf>
    <xf numFmtId="0" fontId="19" fillId="14" borderId="6" xfId="0" applyFont="1" applyFill="1" applyBorder="1" applyAlignment="1">
      <alignment vertical="center"/>
    </xf>
    <xf numFmtId="0" fontId="34" fillId="8" borderId="7" xfId="0" applyFont="1" applyFill="1" applyBorder="1" applyAlignment="1">
      <alignment horizontal="center"/>
    </xf>
    <xf numFmtId="0" fontId="34" fillId="0" borderId="0" xfId="0" applyFont="1" applyAlignment="1"/>
    <xf numFmtId="0" fontId="21" fillId="8" borderId="13" xfId="0" applyFont="1" applyFill="1" applyBorder="1" applyAlignment="1"/>
    <xf numFmtId="0" fontId="21" fillId="8" borderId="13" xfId="0" applyFont="1" applyFill="1" applyBorder="1" applyAlignment="1">
      <alignment horizontal="center"/>
    </xf>
    <xf numFmtId="0" fontId="48" fillId="29" borderId="8" xfId="0" applyFont="1" applyFill="1" applyBorder="1" applyAlignment="1">
      <alignment horizontal="center"/>
    </xf>
    <xf numFmtId="0" fontId="34" fillId="0" borderId="8" xfId="0" applyFont="1" applyBorder="1" applyAlignment="1">
      <alignment horizontal="left" vertical="top"/>
    </xf>
    <xf numFmtId="0" fontId="34" fillId="0" borderId="8" xfId="0" applyFont="1" applyBorder="1" applyAlignment="1">
      <alignment horizontal="left" wrapText="1"/>
    </xf>
    <xf numFmtId="0" fontId="19" fillId="14" borderId="8" xfId="0" applyFont="1" applyFill="1" applyBorder="1"/>
    <xf numFmtId="0" fontId="19" fillId="14" borderId="33" xfId="0" applyFont="1" applyFill="1" applyBorder="1"/>
    <xf numFmtId="0" fontId="27" fillId="14" borderId="1" xfId="0" applyFont="1" applyFill="1" applyBorder="1" applyAlignment="1">
      <alignment vertical="center"/>
    </xf>
    <xf numFmtId="0" fontId="27" fillId="14" borderId="6" xfId="0" applyFont="1" applyFill="1" applyBorder="1" applyAlignment="1">
      <alignment horizontal="center" vertical="center"/>
    </xf>
    <xf numFmtId="0" fontId="27" fillId="14" borderId="13" xfId="0" applyFont="1" applyFill="1" applyBorder="1" applyAlignment="1">
      <alignment horizontal="center" vertical="center"/>
    </xf>
    <xf numFmtId="0" fontId="34" fillId="0" borderId="0" xfId="0" applyFont="1" applyBorder="1" applyAlignment="1">
      <alignment horizontal="left" vertical="top" wrapText="1"/>
    </xf>
    <xf numFmtId="0" fontId="19" fillId="21" borderId="6" xfId="0" applyFont="1" applyFill="1" applyBorder="1" applyAlignment="1">
      <alignment horizontal="left" vertical="center" wrapText="1"/>
    </xf>
    <xf numFmtId="0" fontId="19" fillId="47" borderId="0" xfId="0" applyFont="1" applyFill="1"/>
  </cellXfs>
  <cellStyles count="6">
    <cellStyle name="Calculation" xfId="3" builtinId="22"/>
    <cellStyle name="Comma" xfId="5" builtinId="3"/>
    <cellStyle name="Hyperlink" xfId="1" builtinId="8"/>
    <cellStyle name="Normal" xfId="0" builtinId="0"/>
    <cellStyle name="Normal 2" xfId="4" xr:uid="{3C495B25-CA2D-4FF8-9C43-250594D7B769}"/>
    <cellStyle name="Percent" xfId="2" builtinId="5"/>
  </cellStyles>
  <dxfs count="20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Times New Roman"/>
        <family val="1"/>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family val="1"/>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family val="1"/>
        <scheme val="none"/>
      </font>
      <alignment vertical="top" textRotation="0" indent="0" justifyLastLine="0" shrinkToFit="0" readingOrder="0"/>
    </dxf>
    <dxf>
      <font>
        <b val="0"/>
        <i val="0"/>
        <strike val="0"/>
        <condense val="0"/>
        <extend val="0"/>
        <outline val="0"/>
        <shadow val="0"/>
        <u val="none"/>
        <vertAlign val="baseline"/>
        <sz val="11"/>
        <color rgb="FF0F172A"/>
        <name val="Times New Roman"/>
        <family val="1"/>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family val="1"/>
        <scheme val="none"/>
      </font>
      <numFmt numFmtId="1" formatCode="0"/>
      <alignment horizontal="general" vertical="top" textRotation="0" wrapText="0" indent="0" justifyLastLine="0" shrinkToFit="0" readingOrder="0"/>
    </dxf>
    <dxf>
      <font>
        <b val="0"/>
        <i val="0"/>
        <strike val="0"/>
        <condense val="0"/>
        <extend val="0"/>
        <outline val="0"/>
        <shadow val="0"/>
        <u val="none"/>
        <vertAlign val="baseline"/>
        <sz val="11"/>
        <color theme="1"/>
        <name val="Times New Roman"/>
        <family val="1"/>
        <scheme val="none"/>
      </font>
      <numFmt numFmtId="19" formatCode="d/m/yyyy"/>
      <alignment horizontal="left" textRotation="0" indent="0" justifyLastLine="0" shrinkToFit="0" readingOrder="0"/>
    </dxf>
    <dxf>
      <font>
        <b val="0"/>
        <i val="0"/>
        <strike val="0"/>
        <condense val="0"/>
        <extend val="0"/>
        <outline val="0"/>
        <shadow val="0"/>
        <u val="none"/>
        <vertAlign val="baseline"/>
        <sz val="11"/>
        <color theme="1"/>
        <name val="Times New Roman"/>
        <family val="1"/>
        <scheme val="none"/>
      </font>
      <numFmt numFmtId="19" formatCode="d/m/yyyy"/>
    </dxf>
    <dxf>
      <border outline="0">
        <left style="thin">
          <color indexed="64"/>
        </left>
      </border>
    </dxf>
    <dxf>
      <font>
        <strike val="0"/>
        <outline val="0"/>
        <shadow val="0"/>
        <u val="none"/>
        <vertAlign val="baseline"/>
        <color auto="1"/>
      </font>
    </dxf>
    <dxf>
      <font>
        <b val="0"/>
        <i val="0"/>
        <strike val="0"/>
        <condense val="0"/>
        <extend val="0"/>
        <outline val="0"/>
        <shadow val="0"/>
        <u val="none"/>
        <vertAlign val="baseline"/>
        <sz val="9"/>
        <color auto="1"/>
        <name val="Arial"/>
        <family val="2"/>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theme="0"/>
        <name val="Calibri"/>
        <family val="2"/>
        <scheme val="minor"/>
      </font>
    </dxf>
    <dxf>
      <font>
        <b val="0"/>
        <i val="0"/>
        <strike val="0"/>
        <condense val="0"/>
        <extend val="0"/>
        <outline val="0"/>
        <shadow val="0"/>
        <u val="none"/>
        <vertAlign val="baseline"/>
        <sz val="11"/>
        <color auto="1"/>
        <name val="Times New Roman"/>
        <family val="1"/>
        <scheme val="none"/>
      </font>
      <numFmt numFmtId="30" formatCode="@"/>
      <fill>
        <patternFill patternType="solid">
          <fgColor theme="6" tint="0.79998168889431442"/>
          <bgColor theme="6" tint="0.79998168889431442"/>
        </patternFill>
      </fill>
      <border diagonalUp="0" diagonalDown="0">
        <left/>
        <right/>
        <top style="thin">
          <color theme="6" tint="0.39997558519241921"/>
        </top>
        <bottom/>
        <vertical/>
        <horizontal/>
      </border>
    </dxf>
    <dxf>
      <font>
        <b val="0"/>
        <i val="0"/>
        <strike val="0"/>
        <condense val="0"/>
        <extend val="0"/>
        <outline val="0"/>
        <shadow val="0"/>
        <u val="none"/>
        <vertAlign val="baseline"/>
        <sz val="11"/>
        <color auto="1"/>
        <name val="Times New Roman"/>
        <family val="1"/>
        <scheme val="none"/>
      </font>
      <numFmt numFmtId="30" formatCode="@"/>
      <fill>
        <patternFill patternType="solid">
          <fgColor theme="6" tint="0.79998168889431442"/>
          <bgColor theme="6" tint="0.79998168889431442"/>
        </patternFill>
      </fill>
      <border diagonalUp="0" diagonalDown="0">
        <left/>
        <right/>
        <top style="thin">
          <color theme="6" tint="0.39997558519241921"/>
        </top>
        <bottom/>
        <vertical/>
        <horizontal/>
      </border>
    </dxf>
    <dxf>
      <font>
        <b val="0"/>
        <i val="0"/>
        <strike val="0"/>
        <condense val="0"/>
        <extend val="0"/>
        <outline val="0"/>
        <shadow val="0"/>
        <u val="none"/>
        <vertAlign val="baseline"/>
        <sz val="11"/>
        <color auto="1"/>
        <name val="Times New Roman"/>
        <family val="1"/>
        <scheme val="none"/>
      </font>
      <numFmt numFmtId="30" formatCode="@"/>
      <fill>
        <patternFill patternType="solid">
          <fgColor theme="6" tint="0.79998168889431442"/>
          <bgColor theme="6" tint="0.79998168889431442"/>
        </patternFill>
      </fill>
      <border diagonalUp="0" diagonalDown="0">
        <left/>
        <right/>
        <top style="thin">
          <color theme="6" tint="0.39997558519241921"/>
        </top>
        <bottom/>
        <vertical/>
        <horizontal/>
      </border>
    </dxf>
    <dxf>
      <font>
        <b val="0"/>
        <i val="0"/>
        <strike val="0"/>
        <condense val="0"/>
        <extend val="0"/>
        <outline val="0"/>
        <shadow val="0"/>
        <u val="none"/>
        <vertAlign val="baseline"/>
        <sz val="11"/>
        <color auto="1"/>
        <name val="Times New Roman"/>
        <family val="1"/>
        <scheme val="none"/>
      </font>
      <numFmt numFmtId="30" formatCode="@"/>
      <fill>
        <patternFill patternType="solid">
          <fgColor theme="6" tint="0.79998168889431442"/>
          <bgColor theme="6" tint="0.79998168889431442"/>
        </patternFill>
      </fill>
      <border diagonalUp="0" diagonalDown="0">
        <left/>
        <right/>
        <top style="thin">
          <color theme="6"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6" tint="0.79998168889431442"/>
          <bgColor theme="6" tint="0.79998168889431442"/>
        </patternFill>
      </fill>
      <border diagonalUp="0" diagonalDown="0">
        <left/>
        <right/>
        <top style="thin">
          <color theme="6" tint="0.39997558519241921"/>
        </top>
        <bottom/>
        <vertical/>
        <horizontal/>
      </border>
    </dxf>
    <dxf>
      <font>
        <b val="0"/>
        <i val="0"/>
        <strike val="0"/>
        <condense val="0"/>
        <extend val="0"/>
        <outline val="0"/>
        <shadow val="0"/>
        <u val="none"/>
        <vertAlign val="baseline"/>
        <sz val="11"/>
        <color theme="1"/>
        <name val="Times New Roman"/>
        <family val="1"/>
        <scheme val="none"/>
      </font>
      <fill>
        <patternFill patternType="solid">
          <fgColor theme="6" tint="0.79998168889431442"/>
          <bgColor theme="6" tint="0.79998168889431442"/>
        </patternFill>
      </fill>
      <border diagonalUp="0" diagonalDown="0">
        <left/>
        <right/>
        <top style="thin">
          <color theme="6"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6" tint="0.79998168889431442"/>
          <bgColor theme="6" tint="0.79998168889431442"/>
        </patternFill>
      </fill>
      <border diagonalUp="0" diagonalDown="0">
        <left/>
        <right/>
        <top style="thin">
          <color theme="6" tint="0.39997558519241921"/>
        </top>
        <bottom/>
        <vertical/>
        <horizontal/>
      </border>
    </dxf>
    <dxf>
      <font>
        <b val="0"/>
        <i val="0"/>
        <strike val="0"/>
        <condense val="0"/>
        <extend val="0"/>
        <outline val="0"/>
        <shadow val="0"/>
        <u val="none"/>
        <vertAlign val="baseline"/>
        <sz val="11"/>
        <color theme="1"/>
        <name val="Times New Roman"/>
        <family val="1"/>
        <scheme val="none"/>
      </font>
      <numFmt numFmtId="1" formatCode="0"/>
      <fill>
        <patternFill patternType="solid">
          <fgColor theme="6" tint="0.79998168889431442"/>
          <bgColor theme="6" tint="0.79998168889431442"/>
        </patternFill>
      </fill>
      <alignment horizontal="center" vertical="bottom" textRotation="0" wrapText="0" indent="0" justifyLastLine="0" shrinkToFit="0" readingOrder="0"/>
      <border diagonalUp="0" diagonalDown="0">
        <left style="thin">
          <color indexed="64"/>
        </left>
        <right/>
        <top style="thin">
          <color theme="6" tint="0.39997558519241921"/>
        </top>
        <bottom/>
        <vertical/>
        <horizontal/>
      </border>
    </dxf>
    <dxf>
      <alignment horizontal="center" vertical="bottom" textRotation="0" indent="0" justifyLastLine="0" shrinkToFit="0" readingOrder="0"/>
    </dxf>
    <dxf>
      <border outline="0">
        <right style="thin">
          <color theme="6" tint="0.39997558519241921"/>
        </right>
      </border>
    </dxf>
    <dxf>
      <font>
        <b val="0"/>
        <i val="0"/>
        <strike val="0"/>
        <condense val="0"/>
        <extend val="0"/>
        <outline val="0"/>
        <shadow val="0"/>
        <u val="none"/>
        <vertAlign val="baseline"/>
        <sz val="11"/>
        <color auto="1"/>
        <name val="Times New Roman"/>
        <family val="1"/>
        <scheme val="none"/>
      </font>
      <fill>
        <patternFill patternType="solid">
          <fgColor theme="6" tint="0.79998168889431442"/>
          <bgColor theme="6" tint="0.79998168889431442"/>
        </patternFill>
      </fill>
    </dxf>
    <dxf>
      <font>
        <b/>
        <i val="0"/>
        <strike val="0"/>
        <condense val="0"/>
        <extend val="0"/>
        <outline val="0"/>
        <shadow val="0"/>
        <u val="none"/>
        <vertAlign val="baseline"/>
        <sz val="11"/>
        <color auto="1"/>
        <name val="Times New Roman"/>
        <family val="1"/>
        <scheme val="none"/>
      </font>
      <fill>
        <patternFill patternType="solid">
          <fgColor theme="6"/>
          <bgColor theme="6"/>
        </patternFill>
      </fill>
      <alignment horizontal="general" vertical="top" textRotation="0" wrapText="0" indent="0" justifyLastLine="0" shrinkToFit="0" readingOrder="0"/>
    </dxf>
    <dxf>
      <font>
        <sz val="14"/>
        <color rgb="FFFF0000"/>
        <name val="Times New Roman"/>
        <family val="1"/>
        <scheme val="none"/>
      </font>
      <fill>
        <patternFill patternType="none">
          <fgColor indexed="64"/>
          <bgColor indexed="65"/>
        </patternFill>
      </fill>
      <alignment horizontal="general" vertical="top" textRotation="0" wrapText="0"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2"/>
        <color theme="1"/>
        <name val="Times New Roman"/>
        <family val="1"/>
        <scheme val="none"/>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ont>
        <b val="0"/>
        <i val="0"/>
        <strike val="0"/>
        <condense val="0"/>
        <extend val="0"/>
        <outline val="0"/>
        <shadow val="0"/>
        <u val="none"/>
        <vertAlign val="baseline"/>
        <sz val="16"/>
        <color auto="1"/>
        <name val="Calibri"/>
        <family val="2"/>
        <scheme val="minor"/>
      </font>
      <fill>
        <patternFill patternType="none">
          <fgColor indexed="64"/>
          <bgColor auto="1"/>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i val="0"/>
        <strike val="0"/>
        <condense val="0"/>
        <extend val="0"/>
        <outline val="0"/>
        <shadow val="0"/>
        <u val="none"/>
        <vertAlign val="baseline"/>
        <sz val="12"/>
        <color theme="1"/>
        <name val="Calibri"/>
        <family val="2"/>
        <scheme val="minor"/>
      </font>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fill>
        <patternFill patternType="none">
          <fgColor indexed="64"/>
          <bgColor indexed="65"/>
        </patternFill>
      </fill>
    </dxf>
    <dxf>
      <font>
        <b/>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1"/>
        <color auto="1"/>
        <name val="Times New Roman"/>
        <scheme val="none"/>
      </font>
      <numFmt numFmtId="165" formatCode="dd/mm/yyyy\ h:mm"/>
      <fill>
        <patternFill patternType="none">
          <fgColor theme="6" tint="0.79998168889431442"/>
          <bgColor auto="1"/>
        </patternFill>
      </fill>
      <alignment horizontal="left" vertical="bottom" textRotation="0" wrapText="0" indent="0" justifyLastLine="0" shrinkToFit="0" readingOrder="0"/>
      <border diagonalUp="0" diagonalDown="0">
        <left/>
        <right style="thin">
          <color theme="6" tint="0.39997558519241921"/>
        </right>
        <top style="thin">
          <color theme="6" tint="0.39997558519241921"/>
        </top>
        <bottom style="thin">
          <color theme="6" tint="0.39997558519241921"/>
        </bottom>
      </border>
    </dxf>
    <dxf>
      <font>
        <b val="0"/>
        <i val="0"/>
        <strike val="0"/>
        <condense val="0"/>
        <extend val="0"/>
        <outline val="0"/>
        <shadow val="0"/>
        <u val="none"/>
        <vertAlign val="baseline"/>
        <sz val="11"/>
        <color auto="1"/>
        <name val="Times New Roman"/>
        <scheme val="none"/>
      </font>
      <fill>
        <patternFill patternType="none">
          <fgColor theme="6" tint="0.79998168889431442"/>
          <bgColor auto="1"/>
        </patternFill>
      </fill>
      <alignment horizontal="left" vertical="bottom" textRotation="0" wrapText="0" indent="0" justifyLastLine="0" shrinkToFit="0" readingOrder="0"/>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Times New Roman"/>
        <family val="1"/>
        <scheme val="none"/>
      </font>
      <alignment horizontal="center" vertical="bottom" textRotation="0" wrapText="0" indent="0" justifyLastLine="0" shrinkToFit="0" readingOrder="0"/>
    </dxf>
    <dxf>
      <font>
        <strike val="0"/>
        <outline val="0"/>
        <shadow val="0"/>
        <vertAlign val="baseline"/>
        <sz val="11"/>
        <name val="Times New Roman"/>
        <scheme val="none"/>
      </font>
      <fill>
        <patternFill patternType="none">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Times New Roman"/>
        <scheme val="none"/>
      </font>
      <fill>
        <patternFill patternType="none">
          <fgColor theme="6" tint="0.79998168889431442"/>
          <bgColor auto="1"/>
        </patternFill>
      </fill>
      <alignment horizontal="left" vertical="bottom" textRotation="0" wrapText="0" indent="0" justifyLastLine="0" shrinkToFit="0" readingOrder="0"/>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1"/>
        <color auto="1"/>
        <name val="Times New Roman"/>
        <scheme val="none"/>
      </font>
      <fill>
        <patternFill patternType="none">
          <fgColor theme="6" tint="0.79998168889431442"/>
          <bgColor auto="1"/>
        </patternFill>
      </fill>
      <alignment horizontal="left" vertical="bottom" textRotation="0" wrapText="0" indent="0" justifyLastLine="0" shrinkToFit="0" readingOrder="0"/>
      <border diagonalUp="0" diagonalDown="0" outline="0">
        <left/>
        <right/>
        <top style="thin">
          <color theme="6" tint="0.39997558519241921"/>
        </top>
        <bottom style="thin">
          <color theme="6" tint="0.39997558519241921"/>
        </bottom>
      </border>
    </dxf>
    <dxf>
      <font>
        <strike val="0"/>
        <outline val="0"/>
        <shadow val="0"/>
        <vertAlign val="baseline"/>
        <sz val="11"/>
        <name val="Times New Roman"/>
        <scheme val="none"/>
      </font>
      <fill>
        <patternFill patternType="none">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Times New Roman"/>
        <scheme val="none"/>
      </font>
      <fill>
        <patternFill patternType="none">
          <fgColor theme="6" tint="0.79998168889431442"/>
          <bgColor auto="1"/>
        </patternFill>
      </fill>
      <alignment horizontal="left" vertical="bottom" textRotation="0" wrapText="0" indent="0" justifyLastLine="0" shrinkToFit="0" readingOrder="0"/>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1"/>
        <color auto="1"/>
        <name val="Times New Roman"/>
        <scheme val="none"/>
      </font>
      <fill>
        <patternFill patternType="none">
          <fgColor theme="6" tint="0.79998168889431442"/>
          <bgColor auto="1"/>
        </patternFill>
      </fill>
      <alignment horizontal="left" vertical="bottom" textRotation="0" wrapText="0" indent="0" justifyLastLine="0" shrinkToFit="0" readingOrder="0"/>
      <border diagonalUp="0" diagonalDown="0" outline="0">
        <left/>
        <right/>
        <top style="thin">
          <color theme="6" tint="0.39997558519241921"/>
        </top>
        <bottom style="thin">
          <color theme="6" tint="0.39997558519241921"/>
        </bottom>
      </border>
    </dxf>
    <dxf>
      <font>
        <strike val="0"/>
        <outline val="0"/>
        <shadow val="0"/>
        <vertAlign val="baseline"/>
        <sz val="11"/>
        <name val="Times New Roman"/>
        <scheme val="none"/>
      </font>
      <fill>
        <patternFill patternType="none">
          <bgColor auto="1"/>
        </patternFill>
      </fill>
      <alignment vertical="bottom" textRotation="0" wrapText="0" indent="0" justifyLastLine="0" shrinkToFit="0" readingOrder="0"/>
    </dxf>
    <dxf>
      <font>
        <strike val="0"/>
        <outline val="0"/>
        <shadow val="0"/>
        <vertAlign val="baseline"/>
        <sz val="11"/>
        <name val="Times New Roman"/>
        <scheme val="none"/>
      </font>
      <fill>
        <patternFill patternType="none">
          <bgColor auto="1"/>
        </patternFill>
      </fill>
      <alignment vertical="bottom" textRotation="0" wrapText="0" indent="0" justifyLastLine="0" shrinkToFit="0" readingOrder="0"/>
    </dxf>
    <dxf>
      <font>
        <b val="0"/>
        <i val="0"/>
        <strike val="0"/>
        <condense val="0"/>
        <extend val="0"/>
        <outline val="0"/>
        <shadow val="0"/>
        <u val="none"/>
        <vertAlign val="baseline"/>
        <sz val="11"/>
        <color auto="1"/>
        <name val="Times New Roman"/>
        <family val="1"/>
        <scheme val="none"/>
      </font>
      <numFmt numFmtId="1" formatCode="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Times New Roman"/>
        <scheme val="none"/>
      </font>
      <numFmt numFmtId="164" formatCode="[$-14409]dd/mm/yyyy;@"/>
      <fill>
        <patternFill patternType="none">
          <fgColor theme="6" tint="0.79998168889431442"/>
          <bgColor auto="1"/>
        </patternFill>
      </fill>
      <alignment horizontal="right" vertical="bottom" textRotation="0" wrapText="0" indent="0" justifyLastLine="0" shrinkToFit="0" readingOrder="0"/>
      <border diagonalUp="0" diagonalDown="0" outline="0">
        <left style="thin">
          <color theme="6" tint="0.39997558519241921"/>
        </left>
        <right/>
        <top style="thin">
          <color theme="6" tint="0.39997558519241921"/>
        </top>
        <bottom style="thin">
          <color theme="6" tint="0.39997558519241921"/>
        </bottom>
      </border>
    </dxf>
    <dxf>
      <font>
        <b val="0"/>
        <i val="0"/>
        <strike val="0"/>
        <condense val="0"/>
        <extend val="0"/>
        <outline val="0"/>
        <shadow val="0"/>
        <u val="none"/>
        <vertAlign val="baseline"/>
        <sz val="11"/>
        <color auto="1"/>
        <name val="Times New Roman"/>
        <scheme val="none"/>
      </font>
      <fill>
        <patternFill patternType="none">
          <fgColor theme="6" tint="0.79998168889431442"/>
          <bgColor auto="1"/>
        </patternFill>
      </fill>
      <alignment horizontal="left" vertical="bottom" textRotation="0" wrapText="0" indent="0" justifyLastLine="0" shrinkToFit="0" readingOrder="0"/>
    </dxf>
    <dxf>
      <border outline="0">
        <bottom style="thin">
          <color theme="6"/>
        </bottom>
      </border>
    </dxf>
    <dxf>
      <font>
        <b/>
        <i val="0"/>
        <strike val="0"/>
        <condense val="0"/>
        <extend val="0"/>
        <outline val="0"/>
        <shadow val="0"/>
        <u val="none"/>
        <vertAlign val="baseline"/>
        <sz val="11"/>
        <color theme="1"/>
        <name val="Times New Roman"/>
        <family val="1"/>
        <scheme val="none"/>
      </font>
      <border diagonalUp="0" diagonalDown="0" outline="0">
        <left style="thin">
          <color theme="6"/>
        </left>
        <right style="thin">
          <color theme="6"/>
        </right>
        <top/>
        <bottom/>
      </border>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border outline="0">
        <top style="thin">
          <color indexed="64"/>
        </top>
      </border>
    </dxf>
    <dxf>
      <font>
        <strike val="0"/>
        <outline val="0"/>
        <shadow val="0"/>
        <vertAlign val="baseline"/>
        <sz val="11"/>
        <name val="Times New Roman"/>
        <family val="1"/>
        <scheme val="none"/>
      </font>
    </dxf>
    <dxf>
      <border outline="0">
        <bottom style="thin">
          <color indexed="64"/>
        </bottom>
      </border>
    </dxf>
    <dxf>
      <font>
        <b/>
        <i val="0"/>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vertAlign val="baseline"/>
        <sz val="11"/>
        <name val="Times New Roman"/>
        <family val="1"/>
        <scheme val="none"/>
      </font>
    </dxf>
    <dxf>
      <border outline="0">
        <top style="thin">
          <color indexed="64"/>
        </top>
      </border>
    </dxf>
    <dxf>
      <font>
        <strike val="0"/>
        <outline val="0"/>
        <shadow val="0"/>
        <vertAlign val="baseline"/>
        <sz val="11"/>
        <name val="Times New Roman"/>
        <family val="1"/>
        <scheme val="none"/>
      </font>
    </dxf>
    <dxf>
      <border outline="0">
        <bottom style="thin">
          <color indexed="64"/>
        </bottom>
      </border>
    </dxf>
    <dxf>
      <font>
        <b/>
        <i val="0"/>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color auto="1"/>
        <name val="Calibri"/>
        <family val="2"/>
        <scheme val="minor"/>
      </font>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Times New Roman"/>
        <family val="1"/>
        <scheme val="none"/>
      </font>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scheme val="none"/>
      </font>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numFmt numFmtId="168" formatCode="0.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auto="1"/>
        <name val="Calibri"/>
        <family val="2"/>
        <scheme val="minor"/>
      </font>
      <fill>
        <patternFill patternType="solid">
          <fgColor indexed="64"/>
          <bgColor theme="7"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dxf>
    <dxf>
      <font>
        <b val="0"/>
        <i val="0"/>
        <strike val="0"/>
        <condense val="0"/>
        <extend val="0"/>
        <outline val="0"/>
        <shadow val="0"/>
        <u val="none"/>
        <vertAlign val="baseline"/>
        <sz val="14"/>
        <color theme="1"/>
        <name val="Calibri"/>
        <family val="2"/>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auto="1"/>
        <name val="Times New Roman"/>
        <family val="1"/>
        <scheme val="none"/>
      </font>
      <fill>
        <patternFill patternType="solid">
          <fgColor theme="6"/>
          <bgColor theme="6"/>
        </patternFill>
      </fill>
      <alignment horizontal="general" vertical="top" textRotation="0" wrapText="0" indent="0" justifyLastLine="0" shrinkToFit="0" readingOrder="0"/>
    </dxf>
    <dxf>
      <font>
        <b val="0"/>
        <i val="0"/>
        <strike val="0"/>
        <condense val="0"/>
        <extend val="0"/>
        <outline val="0"/>
        <shadow val="0"/>
        <u val="none"/>
        <vertAlign val="baseline"/>
        <sz val="11"/>
        <color rgb="FF000000"/>
        <name val="Times New Roman"/>
        <family val="1"/>
        <scheme val="none"/>
      </font>
      <fill>
        <patternFill patternType="solid">
          <fgColor indexed="64"/>
          <bgColor theme="6" tint="0.79998168889431442"/>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border>
    </dxf>
    <dxf>
      <font>
        <strike val="0"/>
        <outline val="0"/>
        <shadow val="0"/>
        <vertAlign val="baseline"/>
        <name val="Times New Roman"/>
        <family val="1"/>
        <scheme val="none"/>
      </font>
    </dxf>
    <dxf>
      <border>
        <bottom style="thin">
          <color indexed="64"/>
        </bottom>
      </border>
    </dxf>
    <dxf>
      <font>
        <strike val="0"/>
        <outline val="0"/>
        <shadow val="0"/>
        <vertAlign val="baseline"/>
        <name val="Times New Roman"/>
        <family val="1"/>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00"/>
        <name val="Times New Roman"/>
        <family val="1"/>
        <scheme val="none"/>
      </font>
      <fill>
        <patternFill patternType="solid">
          <fgColor indexed="64"/>
          <bgColor theme="6" tint="0.79998168889431442"/>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border>
    </dxf>
    <dxf>
      <font>
        <strike val="0"/>
        <outline val="0"/>
        <shadow val="0"/>
        <vertAlign val="baseline"/>
        <name val="Times New Roman"/>
        <family val="1"/>
        <scheme val="none"/>
      </font>
    </dxf>
    <dxf>
      <border>
        <bottom style="thin">
          <color indexed="64"/>
        </bottom>
      </border>
    </dxf>
    <dxf>
      <font>
        <strike val="0"/>
        <outline val="0"/>
        <shadow val="0"/>
        <vertAlign val="baseline"/>
        <name val="Times New Roman"/>
        <family val="1"/>
        <scheme val="none"/>
      </font>
      <border diagonalUp="0" diagonalDown="0" outline="0">
        <left style="thin">
          <color indexed="64"/>
        </left>
        <right style="thin">
          <color indexed="64"/>
        </right>
        <top/>
        <bottom/>
      </border>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font>
      <fill>
        <patternFill patternType="none">
          <fgColor indexed="64"/>
          <bgColor indexed="65"/>
        </patternFill>
      </fill>
    </dxf>
    <dxf>
      <font>
        <strike val="0"/>
        <outline val="0"/>
        <shadow val="0"/>
        <u val="none"/>
        <vertAlign val="baseline"/>
        <sz val="11"/>
      </font>
      <numFmt numFmtId="0" formatCode="General"/>
      <fill>
        <patternFill patternType="none">
          <fgColor indexed="64"/>
          <bgColor indexed="65"/>
        </patternFill>
      </fill>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dxf>
    <dxf>
      <border outline="0">
        <bottom style="thin">
          <color indexed="64"/>
        </bottom>
      </border>
    </dxf>
    <dxf>
      <numFmt numFmtId="22" formatCode="mmm\-yy"/>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vertAlign val="baseline"/>
        <sz val="12"/>
        <color auto="1"/>
        <name val="Times New Roman"/>
        <family val="1"/>
        <scheme val="none"/>
      </font>
      <alignment vertical="center" textRotation="0" wrapText="0" indent="0" justifyLastLine="0" shrinkToFit="0" readingOrder="0"/>
    </dxf>
    <dxf>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strike val="0"/>
        <outline val="0"/>
        <shadow val="0"/>
        <vertAlign val="baseline"/>
        <sz val="12"/>
        <color auto="1"/>
        <name val="Times New Roman"/>
        <family val="1"/>
        <scheme val="none"/>
      </font>
      <alignment vertical="center" textRotation="0" wrapText="0" indent="0" justifyLastLine="0" shrinkToFit="0" readingOrder="0"/>
    </dxf>
    <dxf>
      <font>
        <strike val="0"/>
        <outline val="0"/>
        <shadow val="0"/>
        <vertAlign val="baseline"/>
        <sz val="11"/>
        <name val="Times New Roman"/>
        <family val="1"/>
        <scheme val="none"/>
      </font>
      <fill>
        <patternFill patternType="none">
          <fgColor indexed="64"/>
          <bgColor auto="1"/>
        </patternFill>
      </fill>
    </dxf>
    <dxf>
      <font>
        <strike val="0"/>
        <outline val="0"/>
        <shadow val="0"/>
        <vertAlign val="baseline"/>
        <sz val="11"/>
        <name val="Times New Roman"/>
        <family val="1"/>
        <scheme val="none"/>
      </font>
      <fill>
        <patternFill patternType="none">
          <fgColor indexed="64"/>
          <bgColor auto="1"/>
        </patternFill>
      </fill>
    </dxf>
    <dxf>
      <font>
        <b val="0"/>
        <i val="0"/>
        <strike val="0"/>
        <condense val="0"/>
        <extend val="0"/>
        <outline val="0"/>
        <shadow val="0"/>
        <u val="none"/>
        <vertAlign val="baseline"/>
        <sz val="11"/>
        <color theme="1"/>
        <name val="Times New Roman"/>
        <family val="1"/>
        <scheme val="none"/>
      </font>
      <fill>
        <patternFill patternType="none">
          <fgColor indexed="64"/>
          <bgColor auto="1"/>
        </patternFill>
      </fill>
    </dxf>
    <dxf>
      <font>
        <b val="0"/>
        <i val="0"/>
        <strike val="0"/>
        <condense val="0"/>
        <extend val="0"/>
        <outline val="0"/>
        <shadow val="0"/>
        <u val="none"/>
        <vertAlign val="baseline"/>
        <sz val="11"/>
        <color theme="1"/>
        <name val="Times New Roman"/>
        <family val="1"/>
        <scheme val="none"/>
      </font>
      <fill>
        <patternFill patternType="none">
          <fgColor indexed="64"/>
          <bgColor auto="1"/>
        </patternFill>
      </fill>
    </dxf>
    <dxf>
      <font>
        <b val="0"/>
        <i val="0"/>
        <strike val="0"/>
        <condense val="0"/>
        <extend val="0"/>
        <outline val="0"/>
        <shadow val="0"/>
        <u/>
        <vertAlign val="baseline"/>
        <sz val="11"/>
        <color theme="10"/>
        <name val="Times New Roman"/>
        <family val="1"/>
        <scheme val="none"/>
      </font>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Times New Roman"/>
        <family val="1"/>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general" vertical="top" textRotation="0" wrapText="0" indent="0" justifyLastLine="0" shrinkToFit="0" readingOrder="0"/>
    </dxf>
    <dxf>
      <font>
        <b val="0"/>
        <i val="0"/>
        <strike val="0"/>
        <condense val="0"/>
        <extend val="0"/>
        <outline val="0"/>
        <shadow val="0"/>
        <u val="none"/>
        <vertAlign val="baseline"/>
        <sz val="12"/>
        <color theme="1"/>
        <name val="Times New Roman"/>
        <family val="1"/>
        <scheme val="none"/>
      </font>
      <fill>
        <patternFill patternType="none">
          <fgColor indexed="64"/>
          <bgColor auto="1"/>
        </patternFill>
      </fill>
      <alignment horizontal="center" vertical="bottom" textRotation="0" wrapText="0" indent="0" justifyLastLine="0" shrinkToFit="0" readingOrder="0"/>
    </dxf>
    <dxf>
      <border outline="0">
        <left style="thin">
          <color indexed="64"/>
        </left>
        <right style="thin">
          <color indexed="64"/>
        </right>
      </border>
    </dxf>
    <dxf>
      <font>
        <strike val="0"/>
        <outline val="0"/>
        <shadow val="0"/>
        <vertAlign val="baseline"/>
        <sz val="11"/>
        <name val="Times New Roman"/>
        <family val="1"/>
        <scheme val="none"/>
      </font>
      <fill>
        <patternFill patternType="none">
          <fgColor indexed="64"/>
          <bgColor auto="1"/>
        </patternFill>
      </fill>
    </dxf>
    <dxf>
      <fill>
        <patternFill patternType="none">
          <bgColor auto="1"/>
        </patternFill>
      </fill>
    </dxf>
    <dxf>
      <fill>
        <patternFill patternType="none">
          <bgColor auto="1"/>
        </patternFill>
      </fill>
    </dxf>
    <dxf>
      <font>
        <name val="Times New Roman"/>
        <family val="1"/>
        <scheme val="none"/>
      </font>
      <fill>
        <patternFill patternType="none">
          <fgColor indexed="64"/>
          <bgColor indexed="65"/>
        </patternFill>
      </fill>
    </dxf>
    <dxf>
      <font>
        <name val="Times New Roman"/>
        <family val="1"/>
        <scheme val="none"/>
      </font>
      <fill>
        <patternFill patternType="none">
          <fgColor indexed="64"/>
          <bgColor indexed="65"/>
        </patternFill>
      </fill>
    </dxf>
    <dxf>
      <font>
        <name val="Times New Roman"/>
        <family val="1"/>
        <scheme val="none"/>
      </font>
      <fill>
        <patternFill patternType="none">
          <bgColor auto="1"/>
        </patternFill>
      </fill>
    </dxf>
    <dxf>
      <font>
        <b val="0"/>
        <i val="0"/>
        <strike val="0"/>
        <condense val="0"/>
        <extend val="0"/>
        <outline val="0"/>
        <shadow val="0"/>
        <u val="none"/>
        <vertAlign val="baseline"/>
        <sz val="11"/>
        <color theme="1"/>
        <name val="Times New Roman"/>
        <family val="1"/>
        <scheme val="none"/>
      </font>
      <fill>
        <patternFill patternType="none">
          <bgColor auto="1"/>
        </patternFill>
      </fill>
    </dxf>
    <dxf>
      <font>
        <b val="0"/>
        <i val="0"/>
        <strike val="0"/>
        <condense val="0"/>
        <extend val="0"/>
        <outline val="0"/>
        <shadow val="0"/>
        <u/>
        <vertAlign val="baseline"/>
        <sz val="11"/>
        <color theme="1"/>
        <name val="Times New Roman"/>
        <family val="1"/>
        <scheme val="none"/>
      </font>
      <fill>
        <patternFill patternType="none">
          <fgColor indexed="64"/>
          <bgColor auto="1"/>
        </patternFill>
      </fill>
    </dxf>
    <dxf>
      <font>
        <b val="0"/>
        <i val="0"/>
        <strike val="0"/>
        <condense val="0"/>
        <extend val="0"/>
        <outline val="0"/>
        <shadow val="0"/>
        <u/>
        <vertAlign val="baseline"/>
        <sz val="11"/>
        <color theme="1"/>
        <name val="Times New Roman"/>
        <family val="1"/>
        <scheme val="none"/>
      </font>
      <fill>
        <patternFill patternType="none">
          <fgColor theme="9" tint="0.79998168889431442"/>
          <bgColor auto="1"/>
        </patternFill>
      </fill>
    </dxf>
    <dxf>
      <border outline="0">
        <left style="thin">
          <color indexed="64"/>
        </left>
      </border>
    </dxf>
    <dxf>
      <fill>
        <patternFill patternType="none">
          <bgColor auto="1"/>
        </patternFill>
      </fill>
    </dxf>
    <dxf>
      <font>
        <strike val="0"/>
        <outline val="0"/>
        <shadow val="0"/>
        <u val="none"/>
        <vertAlign val="baseline"/>
        <sz val="11"/>
        <color auto="1"/>
        <name val="Times New Roman"/>
        <family val="1"/>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theme="6"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numFmt numFmtId="0" formatCode="General"/>
    </dxf>
  </dxfs>
  <tableStyles count="0" defaultTableStyle="TableStyleMedium2" defaultPivotStyle="PivotStyleLight16"/>
  <colors>
    <mruColors>
      <color rgb="FFFF99CC"/>
      <color rgb="FFFFFFFF"/>
      <color rgb="FF000000"/>
      <color rgb="FFFFFFCC"/>
      <color rgb="FFFFFF99"/>
      <color rgb="FFFFC000"/>
      <color rgb="FFFFFF66"/>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image" Target="../media/image1.gif"/></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830580</xdr:colOff>
          <xdr:row>4</xdr:row>
          <xdr:rowOff>7620</xdr:rowOff>
        </xdr:to>
        <xdr:sp macro="" textlink="">
          <xdr:nvSpPr>
            <xdr:cNvPr id="148624" name="Check Box 144" hidden="1">
              <a:extLst>
                <a:ext uri="{63B3BB69-23CF-44E3-9099-C40C66FF867C}">
                  <a14:compatExt spid="_x0000_s148624"/>
                </a:ext>
                <a:ext uri="{FF2B5EF4-FFF2-40B4-BE49-F238E27FC236}">
                  <a16:creationId xmlns:a16="http://schemas.microsoft.com/office/drawing/2014/main" id="{00000000-0008-0000-0400-000090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0</xdr:rowOff>
        </xdr:from>
        <xdr:to>
          <xdr:col>6</xdr:col>
          <xdr:colOff>830580</xdr:colOff>
          <xdr:row>5</xdr:row>
          <xdr:rowOff>0</xdr:rowOff>
        </xdr:to>
        <xdr:sp macro="" textlink="">
          <xdr:nvSpPr>
            <xdr:cNvPr id="148625" name="Check Box 145" hidden="1">
              <a:extLst>
                <a:ext uri="{63B3BB69-23CF-44E3-9099-C40C66FF867C}">
                  <a14:compatExt spid="_x0000_s148625"/>
                </a:ext>
                <a:ext uri="{FF2B5EF4-FFF2-40B4-BE49-F238E27FC236}">
                  <a16:creationId xmlns:a16="http://schemas.microsoft.com/office/drawing/2014/main" id="{00000000-0008-0000-0400-000091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830580</xdr:colOff>
          <xdr:row>6</xdr:row>
          <xdr:rowOff>0</xdr:rowOff>
        </xdr:to>
        <xdr:sp macro="" textlink="">
          <xdr:nvSpPr>
            <xdr:cNvPr id="148626" name="Check Box 146" hidden="1">
              <a:extLst>
                <a:ext uri="{63B3BB69-23CF-44E3-9099-C40C66FF867C}">
                  <a14:compatExt spid="_x0000_s148626"/>
                </a:ext>
                <a:ext uri="{FF2B5EF4-FFF2-40B4-BE49-F238E27FC236}">
                  <a16:creationId xmlns:a16="http://schemas.microsoft.com/office/drawing/2014/main" id="{00000000-0008-0000-0400-000092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6</xdr:col>
          <xdr:colOff>830580</xdr:colOff>
          <xdr:row>7</xdr:row>
          <xdr:rowOff>0</xdr:rowOff>
        </xdr:to>
        <xdr:sp macro="" textlink="">
          <xdr:nvSpPr>
            <xdr:cNvPr id="148627" name="Check Box 147" hidden="1">
              <a:extLst>
                <a:ext uri="{63B3BB69-23CF-44E3-9099-C40C66FF867C}">
                  <a14:compatExt spid="_x0000_s148627"/>
                </a:ext>
                <a:ext uri="{FF2B5EF4-FFF2-40B4-BE49-F238E27FC236}">
                  <a16:creationId xmlns:a16="http://schemas.microsoft.com/office/drawing/2014/main" id="{00000000-0008-0000-0400-000093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6</xdr:col>
          <xdr:colOff>830580</xdr:colOff>
          <xdr:row>36</xdr:row>
          <xdr:rowOff>0</xdr:rowOff>
        </xdr:to>
        <xdr:sp macro="" textlink="">
          <xdr:nvSpPr>
            <xdr:cNvPr id="148628" name="Check Box 148" hidden="1">
              <a:extLst>
                <a:ext uri="{63B3BB69-23CF-44E3-9099-C40C66FF867C}">
                  <a14:compatExt spid="_x0000_s148628"/>
                </a:ext>
                <a:ext uri="{FF2B5EF4-FFF2-40B4-BE49-F238E27FC236}">
                  <a16:creationId xmlns:a16="http://schemas.microsoft.com/office/drawing/2014/main" id="{00000000-0008-0000-0400-000094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79</xdr:row>
          <xdr:rowOff>0</xdr:rowOff>
        </xdr:from>
        <xdr:to>
          <xdr:col>6</xdr:col>
          <xdr:colOff>830580</xdr:colOff>
          <xdr:row>79</xdr:row>
          <xdr:rowOff>236220</xdr:rowOff>
        </xdr:to>
        <xdr:sp macro="" textlink="">
          <xdr:nvSpPr>
            <xdr:cNvPr id="148629" name="Check Box 149" hidden="1">
              <a:extLst>
                <a:ext uri="{63B3BB69-23CF-44E3-9099-C40C66FF867C}">
                  <a14:compatExt spid="_x0000_s148629"/>
                </a:ext>
                <a:ext uri="{FF2B5EF4-FFF2-40B4-BE49-F238E27FC236}">
                  <a16:creationId xmlns:a16="http://schemas.microsoft.com/office/drawing/2014/main" id="{00000000-0008-0000-0400-000095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6</xdr:col>
          <xdr:colOff>830580</xdr:colOff>
          <xdr:row>14</xdr:row>
          <xdr:rowOff>228600</xdr:rowOff>
        </xdr:to>
        <xdr:sp macro="" textlink="">
          <xdr:nvSpPr>
            <xdr:cNvPr id="148630" name="Check Box 150" hidden="1">
              <a:extLst>
                <a:ext uri="{63B3BB69-23CF-44E3-9099-C40C66FF867C}">
                  <a14:compatExt spid="_x0000_s148630"/>
                </a:ext>
                <a:ext uri="{FF2B5EF4-FFF2-40B4-BE49-F238E27FC236}">
                  <a16:creationId xmlns:a16="http://schemas.microsoft.com/office/drawing/2014/main" id="{00000000-0008-0000-0400-000096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6</xdr:col>
          <xdr:colOff>830580</xdr:colOff>
          <xdr:row>16</xdr:row>
          <xdr:rowOff>0</xdr:rowOff>
        </xdr:to>
        <xdr:sp macro="" textlink="">
          <xdr:nvSpPr>
            <xdr:cNvPr id="148631" name="Check Box 151" hidden="1">
              <a:extLst>
                <a:ext uri="{63B3BB69-23CF-44E3-9099-C40C66FF867C}">
                  <a14:compatExt spid="_x0000_s148631"/>
                </a:ext>
                <a:ext uri="{FF2B5EF4-FFF2-40B4-BE49-F238E27FC236}">
                  <a16:creationId xmlns:a16="http://schemas.microsoft.com/office/drawing/2014/main" id="{00000000-0008-0000-0400-000097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6</xdr:col>
          <xdr:colOff>830580</xdr:colOff>
          <xdr:row>17</xdr:row>
          <xdr:rowOff>0</xdr:rowOff>
        </xdr:to>
        <xdr:sp macro="" textlink="">
          <xdr:nvSpPr>
            <xdr:cNvPr id="148632" name="Check Box 152" hidden="1">
              <a:extLst>
                <a:ext uri="{63B3BB69-23CF-44E3-9099-C40C66FF867C}">
                  <a14:compatExt spid="_x0000_s148632"/>
                </a:ext>
                <a:ext uri="{FF2B5EF4-FFF2-40B4-BE49-F238E27FC236}">
                  <a16:creationId xmlns:a16="http://schemas.microsoft.com/office/drawing/2014/main" id="{00000000-0008-0000-0400-000098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6</xdr:col>
          <xdr:colOff>830580</xdr:colOff>
          <xdr:row>18</xdr:row>
          <xdr:rowOff>0</xdr:rowOff>
        </xdr:to>
        <xdr:sp macro="" textlink="">
          <xdr:nvSpPr>
            <xdr:cNvPr id="148633" name="Check Box 153" hidden="1">
              <a:extLst>
                <a:ext uri="{63B3BB69-23CF-44E3-9099-C40C66FF867C}">
                  <a14:compatExt spid="_x0000_s148633"/>
                </a:ext>
                <a:ext uri="{FF2B5EF4-FFF2-40B4-BE49-F238E27FC236}">
                  <a16:creationId xmlns:a16="http://schemas.microsoft.com/office/drawing/2014/main" id="{00000000-0008-0000-0400-000099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6</xdr:col>
          <xdr:colOff>830580</xdr:colOff>
          <xdr:row>19</xdr:row>
          <xdr:rowOff>0</xdr:rowOff>
        </xdr:to>
        <xdr:sp macro="" textlink="">
          <xdr:nvSpPr>
            <xdr:cNvPr id="148634" name="Check Box 154" hidden="1">
              <a:extLst>
                <a:ext uri="{63B3BB69-23CF-44E3-9099-C40C66FF867C}">
                  <a14:compatExt spid="_x0000_s148634"/>
                </a:ext>
                <a:ext uri="{FF2B5EF4-FFF2-40B4-BE49-F238E27FC236}">
                  <a16:creationId xmlns:a16="http://schemas.microsoft.com/office/drawing/2014/main" id="{00000000-0008-0000-0400-00009A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6</xdr:col>
          <xdr:colOff>830580</xdr:colOff>
          <xdr:row>21</xdr:row>
          <xdr:rowOff>7620</xdr:rowOff>
        </xdr:to>
        <xdr:sp macro="" textlink="">
          <xdr:nvSpPr>
            <xdr:cNvPr id="148635" name="Check Box 155" hidden="1">
              <a:extLst>
                <a:ext uri="{63B3BB69-23CF-44E3-9099-C40C66FF867C}">
                  <a14:compatExt spid="_x0000_s148635"/>
                </a:ext>
                <a:ext uri="{FF2B5EF4-FFF2-40B4-BE49-F238E27FC236}">
                  <a16:creationId xmlns:a16="http://schemas.microsoft.com/office/drawing/2014/main" id="{00000000-0008-0000-0400-00009B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6</xdr:col>
          <xdr:colOff>830580</xdr:colOff>
          <xdr:row>22</xdr:row>
          <xdr:rowOff>0</xdr:rowOff>
        </xdr:to>
        <xdr:sp macro="" textlink="">
          <xdr:nvSpPr>
            <xdr:cNvPr id="148636" name="Check Box 156" hidden="1">
              <a:extLst>
                <a:ext uri="{63B3BB69-23CF-44E3-9099-C40C66FF867C}">
                  <a14:compatExt spid="_x0000_s148636"/>
                </a:ext>
                <a:ext uri="{FF2B5EF4-FFF2-40B4-BE49-F238E27FC236}">
                  <a16:creationId xmlns:a16="http://schemas.microsoft.com/office/drawing/2014/main" id="{00000000-0008-0000-0400-00009C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6</xdr:col>
          <xdr:colOff>830580</xdr:colOff>
          <xdr:row>22</xdr:row>
          <xdr:rowOff>228600</xdr:rowOff>
        </xdr:to>
        <xdr:sp macro="" textlink="">
          <xdr:nvSpPr>
            <xdr:cNvPr id="148637" name="Check Box 157" hidden="1">
              <a:extLst>
                <a:ext uri="{63B3BB69-23CF-44E3-9099-C40C66FF867C}">
                  <a14:compatExt spid="_x0000_s148637"/>
                </a:ext>
                <a:ext uri="{FF2B5EF4-FFF2-40B4-BE49-F238E27FC236}">
                  <a16:creationId xmlns:a16="http://schemas.microsoft.com/office/drawing/2014/main" id="{00000000-0008-0000-0400-00009D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6</xdr:col>
          <xdr:colOff>830580</xdr:colOff>
          <xdr:row>24</xdr:row>
          <xdr:rowOff>144780</xdr:rowOff>
        </xdr:to>
        <xdr:sp macro="" textlink="">
          <xdr:nvSpPr>
            <xdr:cNvPr id="148638" name="Check Box 158" hidden="1">
              <a:extLst>
                <a:ext uri="{63B3BB69-23CF-44E3-9099-C40C66FF867C}">
                  <a14:compatExt spid="_x0000_s148638"/>
                </a:ext>
                <a:ext uri="{FF2B5EF4-FFF2-40B4-BE49-F238E27FC236}">
                  <a16:creationId xmlns:a16="http://schemas.microsoft.com/office/drawing/2014/main" id="{00000000-0008-0000-0400-00009E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6</xdr:col>
          <xdr:colOff>830580</xdr:colOff>
          <xdr:row>25</xdr:row>
          <xdr:rowOff>0</xdr:rowOff>
        </xdr:to>
        <xdr:sp macro="" textlink="">
          <xdr:nvSpPr>
            <xdr:cNvPr id="148639" name="Check Box 159" hidden="1">
              <a:extLst>
                <a:ext uri="{63B3BB69-23CF-44E3-9099-C40C66FF867C}">
                  <a14:compatExt spid="_x0000_s148639"/>
                </a:ext>
                <a:ext uri="{FF2B5EF4-FFF2-40B4-BE49-F238E27FC236}">
                  <a16:creationId xmlns:a16="http://schemas.microsoft.com/office/drawing/2014/main" id="{00000000-0008-0000-0400-00009F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6</xdr:col>
          <xdr:colOff>830580</xdr:colOff>
          <xdr:row>26</xdr:row>
          <xdr:rowOff>0</xdr:rowOff>
        </xdr:to>
        <xdr:sp macro="" textlink="">
          <xdr:nvSpPr>
            <xdr:cNvPr id="148640" name="Check Box 160" hidden="1">
              <a:extLst>
                <a:ext uri="{63B3BB69-23CF-44E3-9099-C40C66FF867C}">
                  <a14:compatExt spid="_x0000_s148640"/>
                </a:ext>
                <a:ext uri="{FF2B5EF4-FFF2-40B4-BE49-F238E27FC236}">
                  <a16:creationId xmlns:a16="http://schemas.microsoft.com/office/drawing/2014/main" id="{00000000-0008-0000-0400-0000A0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165</xdr:row>
          <xdr:rowOff>0</xdr:rowOff>
        </xdr:from>
        <xdr:to>
          <xdr:col>6</xdr:col>
          <xdr:colOff>830580</xdr:colOff>
          <xdr:row>166</xdr:row>
          <xdr:rowOff>76200</xdr:rowOff>
        </xdr:to>
        <xdr:sp macro="" textlink="">
          <xdr:nvSpPr>
            <xdr:cNvPr id="148641" name="Check Box 161" hidden="1">
              <a:extLst>
                <a:ext uri="{63B3BB69-23CF-44E3-9099-C40C66FF867C}">
                  <a14:compatExt spid="_x0000_s148641"/>
                </a:ext>
                <a:ext uri="{FF2B5EF4-FFF2-40B4-BE49-F238E27FC236}">
                  <a16:creationId xmlns:a16="http://schemas.microsoft.com/office/drawing/2014/main" id="{00000000-0008-0000-0400-0000A1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166</xdr:row>
          <xdr:rowOff>0</xdr:rowOff>
        </xdr:from>
        <xdr:to>
          <xdr:col>6</xdr:col>
          <xdr:colOff>830580</xdr:colOff>
          <xdr:row>167</xdr:row>
          <xdr:rowOff>0</xdr:rowOff>
        </xdr:to>
        <xdr:sp macro="" textlink="">
          <xdr:nvSpPr>
            <xdr:cNvPr id="148642" name="Check Box 162" hidden="1">
              <a:extLst>
                <a:ext uri="{63B3BB69-23CF-44E3-9099-C40C66FF867C}">
                  <a14:compatExt spid="_x0000_s148642"/>
                </a:ext>
                <a:ext uri="{FF2B5EF4-FFF2-40B4-BE49-F238E27FC236}">
                  <a16:creationId xmlns:a16="http://schemas.microsoft.com/office/drawing/2014/main" id="{00000000-0008-0000-0400-0000A2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167</xdr:row>
          <xdr:rowOff>0</xdr:rowOff>
        </xdr:from>
        <xdr:to>
          <xdr:col>6</xdr:col>
          <xdr:colOff>830580</xdr:colOff>
          <xdr:row>167</xdr:row>
          <xdr:rowOff>228600</xdr:rowOff>
        </xdr:to>
        <xdr:sp macro="" textlink="">
          <xdr:nvSpPr>
            <xdr:cNvPr id="148643" name="Check Box 163" hidden="1">
              <a:extLst>
                <a:ext uri="{63B3BB69-23CF-44E3-9099-C40C66FF867C}">
                  <a14:compatExt spid="_x0000_s148643"/>
                </a:ext>
                <a:ext uri="{FF2B5EF4-FFF2-40B4-BE49-F238E27FC236}">
                  <a16:creationId xmlns:a16="http://schemas.microsoft.com/office/drawing/2014/main" id="{00000000-0008-0000-0400-0000A3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168</xdr:row>
          <xdr:rowOff>0</xdr:rowOff>
        </xdr:from>
        <xdr:to>
          <xdr:col>6</xdr:col>
          <xdr:colOff>830580</xdr:colOff>
          <xdr:row>168</xdr:row>
          <xdr:rowOff>228600</xdr:rowOff>
        </xdr:to>
        <xdr:sp macro="" textlink="">
          <xdr:nvSpPr>
            <xdr:cNvPr id="148644" name="Check Box 164" hidden="1">
              <a:extLst>
                <a:ext uri="{63B3BB69-23CF-44E3-9099-C40C66FF867C}">
                  <a14:compatExt spid="_x0000_s148644"/>
                </a:ext>
                <a:ext uri="{FF2B5EF4-FFF2-40B4-BE49-F238E27FC236}">
                  <a16:creationId xmlns:a16="http://schemas.microsoft.com/office/drawing/2014/main" id="{00000000-0008-0000-0400-0000A4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82</xdr:row>
          <xdr:rowOff>0</xdr:rowOff>
        </xdr:from>
        <xdr:to>
          <xdr:col>6</xdr:col>
          <xdr:colOff>830580</xdr:colOff>
          <xdr:row>82</xdr:row>
          <xdr:rowOff>228600</xdr:rowOff>
        </xdr:to>
        <xdr:sp macro="" textlink="">
          <xdr:nvSpPr>
            <xdr:cNvPr id="148645" name="Check Box 165" hidden="1">
              <a:extLst>
                <a:ext uri="{63B3BB69-23CF-44E3-9099-C40C66FF867C}">
                  <a14:compatExt spid="_x0000_s148645"/>
                </a:ext>
                <a:ext uri="{FF2B5EF4-FFF2-40B4-BE49-F238E27FC236}">
                  <a16:creationId xmlns:a16="http://schemas.microsoft.com/office/drawing/2014/main" id="{00000000-0008-0000-0400-0000A5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140</xdr:row>
          <xdr:rowOff>0</xdr:rowOff>
        </xdr:from>
        <xdr:to>
          <xdr:col>6</xdr:col>
          <xdr:colOff>830580</xdr:colOff>
          <xdr:row>141</xdr:row>
          <xdr:rowOff>22860</xdr:rowOff>
        </xdr:to>
        <xdr:sp macro="" textlink="">
          <xdr:nvSpPr>
            <xdr:cNvPr id="148646" name="Check Box 166" hidden="1">
              <a:extLst>
                <a:ext uri="{63B3BB69-23CF-44E3-9099-C40C66FF867C}">
                  <a14:compatExt spid="_x0000_s148646"/>
                </a:ext>
                <a:ext uri="{FF2B5EF4-FFF2-40B4-BE49-F238E27FC236}">
                  <a16:creationId xmlns:a16="http://schemas.microsoft.com/office/drawing/2014/main" id="{00000000-0008-0000-0400-0000A6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141</xdr:row>
          <xdr:rowOff>0</xdr:rowOff>
        </xdr:from>
        <xdr:to>
          <xdr:col>6</xdr:col>
          <xdr:colOff>830580</xdr:colOff>
          <xdr:row>142</xdr:row>
          <xdr:rowOff>0</xdr:rowOff>
        </xdr:to>
        <xdr:sp macro="" textlink="">
          <xdr:nvSpPr>
            <xdr:cNvPr id="148647" name="Check Box 167" hidden="1">
              <a:extLst>
                <a:ext uri="{63B3BB69-23CF-44E3-9099-C40C66FF867C}">
                  <a14:compatExt spid="_x0000_s148647"/>
                </a:ext>
                <a:ext uri="{FF2B5EF4-FFF2-40B4-BE49-F238E27FC236}">
                  <a16:creationId xmlns:a16="http://schemas.microsoft.com/office/drawing/2014/main" id="{00000000-0008-0000-0400-0000A7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142</xdr:row>
          <xdr:rowOff>0</xdr:rowOff>
        </xdr:from>
        <xdr:to>
          <xdr:col>6</xdr:col>
          <xdr:colOff>830580</xdr:colOff>
          <xdr:row>143</xdr:row>
          <xdr:rowOff>0</xdr:rowOff>
        </xdr:to>
        <xdr:sp macro="" textlink="">
          <xdr:nvSpPr>
            <xdr:cNvPr id="148648" name="Check Box 168" hidden="1">
              <a:extLst>
                <a:ext uri="{63B3BB69-23CF-44E3-9099-C40C66FF867C}">
                  <a14:compatExt spid="_x0000_s148648"/>
                </a:ext>
                <a:ext uri="{FF2B5EF4-FFF2-40B4-BE49-F238E27FC236}">
                  <a16:creationId xmlns:a16="http://schemas.microsoft.com/office/drawing/2014/main" id="{00000000-0008-0000-0400-0000A8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6</xdr:col>
          <xdr:colOff>830580</xdr:colOff>
          <xdr:row>8</xdr:row>
          <xdr:rowOff>0</xdr:rowOff>
        </xdr:to>
        <xdr:sp macro="" textlink="">
          <xdr:nvSpPr>
            <xdr:cNvPr id="148649" name="Check Box 169" hidden="1">
              <a:extLst>
                <a:ext uri="{63B3BB69-23CF-44E3-9099-C40C66FF867C}">
                  <a14:compatExt spid="_x0000_s148649"/>
                </a:ext>
                <a:ext uri="{FF2B5EF4-FFF2-40B4-BE49-F238E27FC236}">
                  <a16:creationId xmlns:a16="http://schemas.microsoft.com/office/drawing/2014/main" id="{00000000-0008-0000-0400-0000A9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83</xdr:row>
          <xdr:rowOff>0</xdr:rowOff>
        </xdr:from>
        <xdr:to>
          <xdr:col>6</xdr:col>
          <xdr:colOff>830580</xdr:colOff>
          <xdr:row>83</xdr:row>
          <xdr:rowOff>228600</xdr:rowOff>
        </xdr:to>
        <xdr:sp macro="" textlink="">
          <xdr:nvSpPr>
            <xdr:cNvPr id="148650" name="Check Box 170" hidden="1">
              <a:extLst>
                <a:ext uri="{63B3BB69-23CF-44E3-9099-C40C66FF867C}">
                  <a14:compatExt spid="_x0000_s148650"/>
                </a:ext>
                <a:ext uri="{FF2B5EF4-FFF2-40B4-BE49-F238E27FC236}">
                  <a16:creationId xmlns:a16="http://schemas.microsoft.com/office/drawing/2014/main" id="{00000000-0008-0000-0400-0000AA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xdr:row>
          <xdr:rowOff>0</xdr:rowOff>
        </xdr:from>
        <xdr:to>
          <xdr:col>6</xdr:col>
          <xdr:colOff>830580</xdr:colOff>
          <xdr:row>155</xdr:row>
          <xdr:rowOff>76200</xdr:rowOff>
        </xdr:to>
        <xdr:sp macro="" textlink="">
          <xdr:nvSpPr>
            <xdr:cNvPr id="148651" name="Check Box 171" hidden="1">
              <a:extLst>
                <a:ext uri="{63B3BB69-23CF-44E3-9099-C40C66FF867C}">
                  <a14:compatExt spid="_x0000_s148651"/>
                </a:ext>
                <a:ext uri="{FF2B5EF4-FFF2-40B4-BE49-F238E27FC236}">
                  <a16:creationId xmlns:a16="http://schemas.microsoft.com/office/drawing/2014/main" id="{00000000-0008-0000-0400-0000AB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197</xdr:row>
          <xdr:rowOff>0</xdr:rowOff>
        </xdr:from>
        <xdr:to>
          <xdr:col>6</xdr:col>
          <xdr:colOff>830580</xdr:colOff>
          <xdr:row>201</xdr:row>
          <xdr:rowOff>7620</xdr:rowOff>
        </xdr:to>
        <xdr:sp macro="" textlink="">
          <xdr:nvSpPr>
            <xdr:cNvPr id="148652" name="Check Box 172" hidden="1">
              <a:extLst>
                <a:ext uri="{63B3BB69-23CF-44E3-9099-C40C66FF867C}">
                  <a14:compatExt spid="_x0000_s148652"/>
                </a:ext>
                <a:ext uri="{FF2B5EF4-FFF2-40B4-BE49-F238E27FC236}">
                  <a16:creationId xmlns:a16="http://schemas.microsoft.com/office/drawing/2014/main" id="{00000000-0008-0000-0400-0000AC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110</xdr:row>
          <xdr:rowOff>0</xdr:rowOff>
        </xdr:from>
        <xdr:to>
          <xdr:col>6</xdr:col>
          <xdr:colOff>830580</xdr:colOff>
          <xdr:row>112</xdr:row>
          <xdr:rowOff>99060</xdr:rowOff>
        </xdr:to>
        <xdr:sp macro="" textlink="">
          <xdr:nvSpPr>
            <xdr:cNvPr id="148653" name="Check Box 173" hidden="1">
              <a:extLst>
                <a:ext uri="{63B3BB69-23CF-44E3-9099-C40C66FF867C}">
                  <a14:compatExt spid="_x0000_s148653"/>
                </a:ext>
                <a:ext uri="{FF2B5EF4-FFF2-40B4-BE49-F238E27FC236}">
                  <a16:creationId xmlns:a16="http://schemas.microsoft.com/office/drawing/2014/main" id="{00000000-0008-0000-0400-0000AD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111</xdr:row>
          <xdr:rowOff>0</xdr:rowOff>
        </xdr:from>
        <xdr:to>
          <xdr:col>6</xdr:col>
          <xdr:colOff>830580</xdr:colOff>
          <xdr:row>112</xdr:row>
          <xdr:rowOff>0</xdr:rowOff>
        </xdr:to>
        <xdr:sp macro="" textlink="">
          <xdr:nvSpPr>
            <xdr:cNvPr id="148654" name="Check Box 174" hidden="1">
              <a:extLst>
                <a:ext uri="{63B3BB69-23CF-44E3-9099-C40C66FF867C}">
                  <a14:compatExt spid="_x0000_s148654"/>
                </a:ext>
                <a:ext uri="{FF2B5EF4-FFF2-40B4-BE49-F238E27FC236}">
                  <a16:creationId xmlns:a16="http://schemas.microsoft.com/office/drawing/2014/main" id="{00000000-0008-0000-0400-0000AE4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Completed</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29</xdr:col>
      <xdr:colOff>0</xdr:colOff>
      <xdr:row>26</xdr:row>
      <xdr:rowOff>0</xdr:rowOff>
    </xdr:from>
    <xdr:to>
      <xdr:col>29</xdr:col>
      <xdr:colOff>45720</xdr:colOff>
      <xdr:row>26</xdr:row>
      <xdr:rowOff>38100</xdr:rowOff>
    </xdr:to>
    <xdr:pic>
      <xdr:nvPicPr>
        <xdr:cNvPr id="2" name="Picture 1" descr="Drop Down Calendar">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80120" y="3901440"/>
          <a:ext cx="45720"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29</xdr:col>
      <xdr:colOff>1653540</xdr:colOff>
      <xdr:row>12</xdr:row>
      <xdr:rowOff>15241</xdr:rowOff>
    </xdr:from>
    <xdr:to>
      <xdr:col>29</xdr:col>
      <xdr:colOff>1996440</xdr:colOff>
      <xdr:row>12</xdr:row>
      <xdr:rowOff>259081</xdr:rowOff>
    </xdr:to>
    <xdr:sp macro="" textlink="">
      <xdr:nvSpPr>
        <xdr:cNvPr id="3" name="Rectangle 2">
          <a:extLst>
            <a:ext uri="{FF2B5EF4-FFF2-40B4-BE49-F238E27FC236}">
              <a16:creationId xmlns:a16="http://schemas.microsoft.com/office/drawing/2014/main" id="{E1B35F18-9B04-877A-0EC9-365391B096C7}"/>
            </a:ext>
          </a:extLst>
        </xdr:cNvPr>
        <xdr:cNvSpPr/>
      </xdr:nvSpPr>
      <xdr:spPr>
        <a:xfrm>
          <a:off x="49385220" y="3154681"/>
          <a:ext cx="342900" cy="24384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29</xdr:col>
      <xdr:colOff>1653540</xdr:colOff>
      <xdr:row>13</xdr:row>
      <xdr:rowOff>60961</xdr:rowOff>
    </xdr:from>
    <xdr:to>
      <xdr:col>29</xdr:col>
      <xdr:colOff>2011680</xdr:colOff>
      <xdr:row>14</xdr:row>
      <xdr:rowOff>7621</xdr:rowOff>
    </xdr:to>
    <xdr:sp macro="" textlink="">
      <xdr:nvSpPr>
        <xdr:cNvPr id="5" name="Rectangle 4">
          <a:extLst>
            <a:ext uri="{FF2B5EF4-FFF2-40B4-BE49-F238E27FC236}">
              <a16:creationId xmlns:a16="http://schemas.microsoft.com/office/drawing/2014/main" id="{E457E0B1-B5AC-446B-BC30-E10C102E1E31}"/>
            </a:ext>
          </a:extLst>
        </xdr:cNvPr>
        <xdr:cNvSpPr/>
      </xdr:nvSpPr>
      <xdr:spPr>
        <a:xfrm>
          <a:off x="49385220" y="3482341"/>
          <a:ext cx="358140" cy="2286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editAs="oneCell">
    <xdr:from>
      <xdr:col>109</xdr:col>
      <xdr:colOff>0</xdr:colOff>
      <xdr:row>42</xdr:row>
      <xdr:rowOff>0</xdr:rowOff>
    </xdr:from>
    <xdr:to>
      <xdr:col>109</xdr:col>
      <xdr:colOff>47625</xdr:colOff>
      <xdr:row>42</xdr:row>
      <xdr:rowOff>38100</xdr:rowOff>
    </xdr:to>
    <xdr:pic>
      <xdr:nvPicPr>
        <xdr:cNvPr id="2" name="Picture 1" descr="Drop Down Calendar">
          <a:extLst>
            <a:ext uri="{FF2B5EF4-FFF2-40B4-BE49-F238E27FC236}">
              <a16:creationId xmlns:a16="http://schemas.microsoft.com/office/drawing/2014/main" id="{85E12057-BC93-0A9E-3797-517935F233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398750" y="8220075"/>
          <a:ext cx="47625"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64</xdr:col>
      <xdr:colOff>0</xdr:colOff>
      <xdr:row>42</xdr:row>
      <xdr:rowOff>0</xdr:rowOff>
    </xdr:from>
    <xdr:to>
      <xdr:col>64</xdr:col>
      <xdr:colOff>45720</xdr:colOff>
      <xdr:row>42</xdr:row>
      <xdr:rowOff>38100</xdr:rowOff>
    </xdr:to>
    <xdr:pic>
      <xdr:nvPicPr>
        <xdr:cNvPr id="2" name="Picture 1" descr="Drop Down Calendar">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962500" y="6096000"/>
          <a:ext cx="45720"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70</xdr:col>
      <xdr:colOff>0</xdr:colOff>
      <xdr:row>46</xdr:row>
      <xdr:rowOff>0</xdr:rowOff>
    </xdr:from>
    <xdr:to>
      <xdr:col>70</xdr:col>
      <xdr:colOff>45720</xdr:colOff>
      <xdr:row>46</xdr:row>
      <xdr:rowOff>38100</xdr:rowOff>
    </xdr:to>
    <xdr:pic>
      <xdr:nvPicPr>
        <xdr:cNvPr id="3" name="Picture 2" descr="Drop Down Calendar">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47020" y="6096000"/>
          <a:ext cx="45720" cy="3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75</xdr:col>
      <xdr:colOff>0</xdr:colOff>
      <xdr:row>31</xdr:row>
      <xdr:rowOff>0</xdr:rowOff>
    </xdr:from>
    <xdr:ext cx="45720" cy="38100"/>
    <xdr:pic>
      <xdr:nvPicPr>
        <xdr:cNvPr id="4" name="Picture 3" descr="Drop Down Calendar">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633060" y="6979920"/>
          <a:ext cx="45720" cy="381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96</xdr:col>
      <xdr:colOff>0</xdr:colOff>
      <xdr:row>35</xdr:row>
      <xdr:rowOff>0</xdr:rowOff>
    </xdr:from>
    <xdr:ext cx="45720" cy="38100"/>
    <xdr:pic>
      <xdr:nvPicPr>
        <xdr:cNvPr id="6" name="Picture 5" descr="Drop Down Calendar">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271360" y="6972300"/>
          <a:ext cx="45720" cy="381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138</xdr:col>
      <xdr:colOff>0</xdr:colOff>
      <xdr:row>71</xdr:row>
      <xdr:rowOff>0</xdr:rowOff>
    </xdr:from>
    <xdr:to>
      <xdr:col>138</xdr:col>
      <xdr:colOff>304800</xdr:colOff>
      <xdr:row>72</xdr:row>
      <xdr:rowOff>106680</xdr:rowOff>
    </xdr:to>
    <xdr:sp macro="" textlink="">
      <xdr:nvSpPr>
        <xdr:cNvPr id="35958" name="AutoShape 118">
          <a:extLst>
            <a:ext uri="{FF2B5EF4-FFF2-40B4-BE49-F238E27FC236}">
              <a16:creationId xmlns:a16="http://schemas.microsoft.com/office/drawing/2014/main" id="{5D6849A4-64F9-5B91-E5CD-4031FB44C843}"/>
            </a:ext>
          </a:extLst>
        </xdr:cNvPr>
        <xdr:cNvSpPr>
          <a:spLocks noChangeAspect="1" noChangeArrowheads="1"/>
        </xdr:cNvSpPr>
      </xdr:nvSpPr>
      <xdr:spPr bwMode="auto">
        <a:xfrm>
          <a:off x="174109380" y="1576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138</xdr:col>
      <xdr:colOff>0</xdr:colOff>
      <xdr:row>72</xdr:row>
      <xdr:rowOff>0</xdr:rowOff>
    </xdr:from>
    <xdr:to>
      <xdr:col>138</xdr:col>
      <xdr:colOff>304800</xdr:colOff>
      <xdr:row>73</xdr:row>
      <xdr:rowOff>106680</xdr:rowOff>
    </xdr:to>
    <xdr:sp macro="" textlink="">
      <xdr:nvSpPr>
        <xdr:cNvPr id="35960" name="AutoShape 120">
          <a:extLst>
            <a:ext uri="{FF2B5EF4-FFF2-40B4-BE49-F238E27FC236}">
              <a16:creationId xmlns:a16="http://schemas.microsoft.com/office/drawing/2014/main" id="{36A5E05F-6361-06BD-099E-2249DF2C4A5B}"/>
            </a:ext>
          </a:extLst>
        </xdr:cNvPr>
        <xdr:cNvSpPr>
          <a:spLocks noChangeAspect="1" noChangeArrowheads="1"/>
        </xdr:cNvSpPr>
      </xdr:nvSpPr>
      <xdr:spPr bwMode="auto">
        <a:xfrm>
          <a:off x="174109380" y="1616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ethamuthu\Downloads\V22%20L%20Dated%2026thJuly2026.xlsm" TargetMode="External"/><Relationship Id="rId1" Type="http://schemas.openxmlformats.org/officeDocument/2006/relationships/externalLinkPath" Target="V22%20L%20Dated%2026thJuly202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valuation"/>
      <sheetName val="Contents"/>
      <sheetName val="General_Information"/>
      <sheetName val="Menu_Layout"/>
      <sheetName val="UI_Comments"/>
      <sheetName val="Master"/>
      <sheetName val="Stakeholder"/>
      <sheetName val="WPS_BQ_Desp"/>
      <sheetName val="Asset_Mgm"/>
      <sheetName val="Finance_Accounts"/>
      <sheetName val="Table_Sample"/>
      <sheetName val="Doc_Print_Copy"/>
      <sheetName val="Cutomer_UF"/>
      <sheetName val="Cost_Centre"/>
      <sheetName val="Work_Schedule"/>
      <sheetName val="Purchase_Doc"/>
      <sheetName val="Material_Management"/>
      <sheetName val="Human_Resources"/>
      <sheetName val="Site_manangement"/>
      <sheetName val="Project_Cost_Management"/>
      <sheetName val="Contractor_Management"/>
      <sheetName val="Defination"/>
      <sheetName val="Sample_Data"/>
      <sheetName val="Business_Rule"/>
      <sheetName val="General_Userform"/>
      <sheetName val="Report"/>
      <sheetName val="Sub_Menu"/>
      <sheetName val="Task"/>
      <sheetName val="Observation_Inprovement"/>
      <sheetName val="Marketing"/>
      <sheetName val="SChedule_A_B"/>
      <sheetName val="Account_Class_Chart"/>
      <sheetName val="Master_Men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E3E472C-E9BF-410B-A478-0467C53D6EAE}" name="Table3" displayName="Table3" ref="B3:H82" totalsRowShown="0">
  <autoFilter ref="B3:H82" xr:uid="{9E3E472C-E9BF-410B-A478-0467C53D6EAE}"/>
  <sortState xmlns:xlrd2="http://schemas.microsoft.com/office/spreadsheetml/2017/richdata2" ref="B4:H82">
    <sortCondition ref="D3:D82"/>
  </sortState>
  <tableColumns count="7">
    <tableColumn id="1" xr3:uid="{344056F6-EAF4-419D-B6D4-E84A770D8168}" name="UserForm_List"/>
    <tableColumn id="8" xr3:uid="{26324773-8A28-4B1F-899E-27630DC3140C}" name="Sequence"/>
    <tableColumn id="2" xr3:uid="{381C6F14-F5D3-4E52-87D4-92C2B2B5753B}" name="Grouping"/>
    <tableColumn id="4" xr3:uid="{797E9657-4615-4407-9D9C-9A835F6535A7}" name="English"/>
    <tableColumn id="5" xr3:uid="{DC35F34D-3126-43E6-8619-6B856F416A14}" name="Bahasa"/>
    <tableColumn id="6" xr3:uid="{7E53F906-A530-4C86-9210-21A6F6463616}" name="Total_Weight" dataDxfId="205">
      <calculatedColumnFormula>Table3[[#This Row],[English]]+Table3[[#This Row],[Bahasa]]</calculatedColumnFormula>
    </tableColumn>
    <tableColumn id="7" xr3:uid="{7462F932-F237-4222-BD5E-5F61A6B26430}" name="Completed"/>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A78DBFE-C68B-4D85-8DA9-0A019CE4D1E4}" name="Table1930" displayName="Table1930" ref="B3:I401" totalsRowShown="0" headerRowDxfId="22" tableBorderDxfId="21">
  <autoFilter ref="B3:I401" xr:uid="{8A78DBFE-C68B-4D85-8DA9-0A019CE4D1E4}"/>
  <sortState xmlns:xlrd2="http://schemas.microsoft.com/office/spreadsheetml/2017/richdata2" ref="B4:I401">
    <sortCondition ref="B3:B401"/>
  </sortState>
  <tableColumns count="8">
    <tableColumn id="1" xr3:uid="{60F45544-83F9-4E77-BC8A-166EE47E8FD8}" name="Date" dataDxfId="20"/>
    <tableColumn id="7" xr3:uid="{863B43A4-9CCC-467B-94E0-52FA09F44CAE}" name="Items" dataDxfId="18"/>
    <tableColumn id="2" xr3:uid="{97F8B368-4284-4CCC-AC0F-091BD357564E}" name="Table/UI" dataDxfId="17"/>
    <tableColumn id="3" xr3:uid="{2ABA0FFD-7749-4B32-A23C-860442A35F70}" name="Issue" dataDxfId="16"/>
    <tableColumn id="4" xr3:uid="{F5291D9C-3185-49D0-9CF6-2EBE5E25B1C4}" name="MY Comments" dataDxfId="14"/>
    <tableColumn id="5" xr3:uid="{A7917DAA-35BD-4A5D-85CA-01D2DC819FDA}" name="Completed" dataDxfId="15"/>
    <tableColumn id="6" xr3:uid="{E53AC47E-8C04-4387-8C0A-BF35AAEF60FD}" name="Checkbox_Value" dataDxfId="19"/>
    <tableColumn id="8" xr3:uid="{5CAAB791-7610-4C0B-BCFD-666908D9228B}" name="Completion_Date"/>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9FD3056-957F-4EE7-8D5F-AADFC70A717C}" name="Table12" displayName="Table12" ref="DCA5:DCB13" totalsRowShown="0" tableBorderDxfId="204">
  <autoFilter ref="DCA5:DCB13" xr:uid="{59FD3056-957F-4EE7-8D5F-AADFC70A717C}"/>
  <tableColumns count="2">
    <tableColumn id="1" xr3:uid="{76759547-10D0-44F2-BCDB-CF295D80E3C7}" name="Document Description"/>
    <tableColumn id="2" xr3:uid="{2C9B8B21-CB26-43D0-B84A-E2EEFA756C81}" name="Abbrevatio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FF7676C-DB45-4EDD-BF17-8D74D0B887BC}" name="Table26" displayName="Table26" ref="XA14:XE28" totalsRowShown="0" headerRowDxfId="203" headerRowBorderDxfId="202" tableBorderDxfId="201" totalsRowBorderDxfId="200">
  <autoFilter ref="XA14:XE28" xr:uid="{AFF7676C-DB45-4EDD-BF17-8D74D0B887BC}"/>
  <sortState xmlns:xlrd2="http://schemas.microsoft.com/office/spreadsheetml/2017/richdata2" ref="XA15:XE28">
    <sortCondition ref="XA14:XA28"/>
  </sortState>
  <tableColumns count="5">
    <tableColumn id="1" xr3:uid="{AFDF12DC-D3BB-4883-914E-B912EAAB011A}" name="Group" dataDxfId="199"/>
    <tableColumn id="2" xr3:uid="{83F52336-CA58-43DE-940D-21584E6FA585}" name="UOM (EN)" dataDxfId="198"/>
    <tableColumn id="3" xr3:uid="{08101AB8-083F-4B2C-A2A1-CB1B9BA1AFC0}" name="UOM (BM)" dataDxfId="197"/>
    <tableColumn id="4" xr3:uid="{E2D18ADE-39BB-4955-87A9-0F3F04E91D83}" name="Abbreviation" dataDxfId="196"/>
    <tableColumn id="5" xr3:uid="{E98D104A-1786-4C2B-A671-2354DD85870A}" name="Notes" dataDxfId="195"/>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3A31DAB-D93A-449C-AC79-803982BE1251}" name="Table1127" displayName="Table1127" ref="A3:J76" totalsRowShown="0" headerRowDxfId="39" dataDxfId="38" tableBorderDxfId="37" headerRowCellStyle="Hyperlink">
  <autoFilter ref="A3:J76" xr:uid="{43A31DAB-D93A-449C-AC79-803982BE1251}"/>
  <sortState xmlns:xlrd2="http://schemas.microsoft.com/office/spreadsheetml/2017/richdata2" ref="A4:J76">
    <sortCondition ref="C3:C76"/>
  </sortState>
  <tableColumns count="10">
    <tableColumn id="1" xr3:uid="{57CC0015-E481-4A86-A9C5-C29D2337DBFF}" name="Group" dataDxfId="36"/>
    <tableColumn id="2" xr3:uid="{E94DF9A6-663D-4834-89CD-1518205FFD27}" name="Item" dataDxfId="35"/>
    <tableColumn id="3" xr3:uid="{E2CD7B1D-6EE3-4C21-B135-AD6B82A3DD7C}" name="User Form Name" dataDxfId="34"/>
    <tableColumn id="4" xr3:uid="{B79E146A-2B83-496B-915D-BD3CF934DD68}" name="UF_No" dataDxfId="33"/>
    <tableColumn id="5" xr3:uid="{C1FC1BE7-CF71-437D-BF27-B0649BAD860D}" name="Description Of User form" dataDxfId="32"/>
    <tableColumn id="6" xr3:uid="{99FE25DB-880D-43ED-A883-5C624036BD3F}" name="Display"/>
    <tableColumn id="7" xr3:uid="{60DDD1D4-E617-44D4-B8A6-8BE4F8472690}" name="UI Designed" dataDxfId="31"/>
    <tableColumn id="8" xr3:uid="{8B262DCD-888C-4F91-BC83-8B80CAD1A0C2}" name="Data_Entry" dataDxfId="30"/>
    <tableColumn id="9" xr3:uid="{85F54ECA-9D1D-4A92-81D0-F78EEA4AC81F}" name="Functioning" dataDxfId="29"/>
    <tableColumn id="10" xr3:uid="{B9914AAB-A0E2-41C4-8FA5-BF239FB6B33A}" name="Comments" dataDxfId="28"/>
  </tableColumns>
  <tableStyleInfo name="TableStyleMedium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6B9B214-28AE-456C-9580-72FA37152A6B}" name="Table25" displayName="Table25" ref="B3:J25" totalsRowShown="0" headerRowBorderDxfId="194" tableBorderDxfId="193" totalsRowBorderDxfId="192">
  <autoFilter ref="B3:J25" xr:uid="{46B9B214-28AE-456C-9580-72FA37152A6B}"/>
  <tableColumns count="9">
    <tableColumn id="1" xr3:uid="{C178056B-2AE5-44F6-8617-8BA750156811}" name="Item" dataDxfId="191"/>
    <tableColumn id="2" xr3:uid="{7BAB2457-CB90-4D61-AAA3-B4609C7EC174}" name="User Form Name" dataDxfId="190"/>
    <tableColumn id="3" xr3:uid="{DD89F87B-ADCC-4724-84F7-7753EA360EDA}" name="UF_No" dataDxfId="189"/>
    <tableColumn id="4" xr3:uid="{D57CDE0E-2465-4A9E-BCE1-168C76EC3F8C}" name="Description Of User form" dataDxfId="188"/>
    <tableColumn id="5" xr3:uid="{7B4D25C7-1172-41D9-9524-5FDA5764FBF3}" name="Display" dataDxfId="187" dataCellStyle="Hyperlink"/>
    <tableColumn id="6" xr3:uid="{CC7A3E9F-F610-456D-A3AC-7280F8E285CA}" name="UI Designed" dataDxfId="186"/>
    <tableColumn id="7" xr3:uid="{63AA0433-AA34-4A10-B9A2-38F2122F30F1}" name="Data_Entry" dataDxfId="185"/>
    <tableColumn id="8" xr3:uid="{5C6072E2-E232-4DE0-9C60-1E6F240FCF61}" name="Functioning" dataDxfId="184"/>
    <tableColumn id="9" xr3:uid="{66C9BCE0-3F5E-4AF8-ACC8-4F24599CFD6F}" name="Comments" dataDxfId="183"/>
  </tableColumns>
  <tableStyleInfo name="TableStyleMedium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DAD73FE-0636-4AF0-8683-18AF5C3B7D8A}" name="Table5" displayName="Table5" ref="AA33:AH50" totalsRowShown="0" headerRowDxfId="182" dataDxfId="181" tableBorderDxfId="180">
  <autoFilter ref="AA33:AH50" xr:uid="{FDAD73FE-0636-4AF0-8683-18AF5C3B7D8A}"/>
  <sortState xmlns:xlrd2="http://schemas.microsoft.com/office/spreadsheetml/2017/richdata2" ref="AA34:AH50">
    <sortCondition ref="AA33:AA50"/>
  </sortState>
  <tableColumns count="8">
    <tableColumn id="1" xr3:uid="{E22AAF63-5611-4420-BD54-AB001F6DD418}" name="English" dataDxfId="179"/>
    <tableColumn id="2" xr3:uid="{75C4FB25-202D-4B69-ADF9-C11B6CBBEEEA}" name="Bahasa" dataDxfId="178"/>
    <tableColumn id="3" xr3:uid="{D30734AE-1695-4E7B-8821-E8F05959984E}" name="Asset" dataDxfId="177"/>
    <tableColumn id="4" xr3:uid="{E62D61F9-A0AA-4C92-BED7-B37D1EE6926C}" name="Construction" dataDxfId="176"/>
    <tableColumn id="5" xr3:uid="{51EB8846-ECAC-4D8D-831E-169C9BBB28D2}" name="Non Construction" dataDxfId="175"/>
    <tableColumn id="6" xr3:uid="{8B900C32-2312-461F-93D3-CED67E9578F8}" name="Product" dataDxfId="174"/>
    <tableColumn id="7" xr3:uid="{45F3C7C2-FA8F-486D-B813-063C65D9E604}" name="BQ Description" dataDxfId="173"/>
    <tableColumn id="8" xr3:uid="{A987F4B3-D162-4CB1-AA67-6BBBE75E0B97}" name="Notes" dataDxfId="172"/>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D5EE291-512A-41BA-BB8E-5ECBA5307B7E}" name="Table6" displayName="Table6" ref="B3:J12" totalsRowShown="0" dataDxfId="171" tableBorderDxfId="170">
  <autoFilter ref="B3:J12" xr:uid="{9D5EE291-512A-41BA-BB8E-5ECBA5307B7E}"/>
  <tableColumns count="9">
    <tableColumn id="1" xr3:uid="{5929DFC6-A73A-473E-A1DB-B651ECC2163A}" name="Item" dataDxfId="169"/>
    <tableColumn id="7" xr3:uid="{78E55B46-259E-4660-B837-890FF1641EC3}" name="User Form Name" dataDxfId="168"/>
    <tableColumn id="6" xr3:uid="{FC6FC09D-B569-47B5-A9BE-2FB8CF01E573}" name="UF_No" dataDxfId="167"/>
    <tableColumn id="2" xr3:uid="{336C1416-48B1-4C70-BE05-A7563E0911A3}" name="Description Of User form" dataDxfId="166"/>
    <tableColumn id="3" xr3:uid="{252E7E03-8275-43B4-9E4B-73F32F5983DE}" name="Display" dataDxfId="165" dataCellStyle="Hyperlink"/>
    <tableColumn id="4" xr3:uid="{D9C30904-0E3B-40F4-B90E-F1A2FD836E1B}" name="UI Designed" dataDxfId="164"/>
    <tableColumn id="5" xr3:uid="{9BA2A344-8FD7-487D-A624-DF2997395CCF}" name="Data_Entry" dataDxfId="163"/>
    <tableColumn id="8" xr3:uid="{4910C752-0952-49CB-847C-7B351DCDBCBC}" name="Functioning" dataDxfId="162"/>
    <tableColumn id="9" xr3:uid="{917CBF28-7C8D-46A4-B6E3-342DAA04D672}" name="Comments" dataDxfId="161"/>
  </tableColumns>
  <tableStyleInfo name="TableStyleMedium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28BAA24-5FAD-4619-8423-1DDDDDC76225}" name="Table211" displayName="Table211" ref="B3:F24" totalsRowShown="0" headerRowDxfId="160" headerRowBorderDxfId="159" tableBorderDxfId="158" totalsRowBorderDxfId="157">
  <autoFilter ref="B3:F24" xr:uid="{4A7C9AC2-E50F-48B1-969A-422B299042A3}"/>
  <sortState xmlns:xlrd2="http://schemas.microsoft.com/office/spreadsheetml/2017/richdata2" ref="B4:F24">
    <sortCondition ref="D3:D24"/>
  </sortState>
  <tableColumns count="5">
    <tableColumn id="1" xr3:uid="{64D65032-7FC0-4A21-B889-A373BB4B6A73}" name="Item" dataDxfId="156"/>
    <tableColumn id="3" xr3:uid="{067E24FB-084D-4196-A0C6-7EEADDF6954A}" name="User Form Name" dataDxfId="155"/>
    <tableColumn id="4" xr3:uid="{A2B2574A-5650-4856-8CF0-F90122235677}" name="UF_No" dataDxfId="154"/>
    <tableColumn id="5" xr3:uid="{2C9A86BA-A14B-46DA-A743-DB33770672B7}" name="Description Of User form" dataDxfId="153"/>
    <tableColumn id="7" xr3:uid="{E953CCAC-9D57-4FEF-B9B7-7D0E715AA17A}" name="Display" dataDxfId="152" dataCellStyle="Hyperlink"/>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A7C9AC2-E50F-48B1-969A-422B299042A3}" name="Table2" displayName="Table2" ref="B3:F51" totalsRowShown="0" headerRowDxfId="151" headerRowBorderDxfId="150" tableBorderDxfId="149" totalsRowBorderDxfId="148">
  <autoFilter ref="B3:F51" xr:uid="{4A7C9AC2-E50F-48B1-969A-422B299042A3}"/>
  <sortState xmlns:xlrd2="http://schemas.microsoft.com/office/spreadsheetml/2017/richdata2" ref="B4:F51">
    <sortCondition ref="D3:D51"/>
  </sortState>
  <tableColumns count="5">
    <tableColumn id="1" xr3:uid="{6208F6DC-2246-4547-8FBB-748B3DDC7790}" name="Item" dataDxfId="147"/>
    <tableColumn id="3" xr3:uid="{8EFCA2FE-77C0-43DE-B168-9DBD1428FF19}" name="User Form Name" dataDxfId="146"/>
    <tableColumn id="4" xr3:uid="{7FCD1B36-BEA4-48E9-A4C3-C284F7CDC973}" name="UF_No" dataDxfId="145"/>
    <tableColumn id="5" xr3:uid="{DEA4A637-35FF-4E8F-88D5-56FD1DA0EF81}" name="Description Of User form" dataDxfId="144"/>
    <tableColumn id="7" xr3:uid="{4A383869-C5E4-4300-BDEA-D1B1828B4E77}" name="Display" dataDxfId="143" dataCellStyle="Hyperlink"/>
  </tableColumns>
  <tableStyleInfo name="TableStyleMedium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761D8B7-BEEB-46B1-B357-7DBD31A46542}" name="Table8" displayName="Table8" ref="AA3:AL17" totalsRowShown="0" headerRowDxfId="142">
  <autoFilter ref="AA3:AL17" xr:uid="{5761D8B7-BEEB-46B1-B357-7DBD31A46542}"/>
  <tableColumns count="12">
    <tableColumn id="1" xr3:uid="{147D40A5-0227-48C6-8396-C684061AEC5D}" name="Trx_No"/>
    <tableColumn id="15" xr3:uid="{C2072CD0-8998-41D6-B2B4-D22E06463AC7}" name="Doc_Type"/>
    <tableColumn id="11" xr3:uid="{EF7F8AFB-424D-4D3A-BF18-E7601946AA30}" name="Vr Date"/>
    <tableColumn id="12" xr3:uid="{E1A18042-EA54-4FD1-8E4E-38C8F4F0CEBB}" name="Vr Ref"/>
    <tableColumn id="14" xr3:uid="{01652A3E-C052-46F8-9D7A-DE02F6901309}" name="Cheque/Doc No"/>
    <tableColumn id="2" xr3:uid="{75D78DA4-0F0E-48E3-B096-19085592CB0A}" name="Account Description"/>
    <tableColumn id="16" xr3:uid="{76B70012-69F7-43BA-B156-DFB005D122D3}" name="Cost Centre"/>
    <tableColumn id="10" xr3:uid="{40D58E52-F3BA-4007-B7D4-97CBFBAA8521}" name="Reason For Payment"/>
    <tableColumn id="8" xr3:uid="{702FCCCE-0ADA-494C-80CE-0ED1D633584F}" name="Narration"/>
    <tableColumn id="9" xr3:uid="{23A46D9C-AFF4-4DB1-9928-B247B1581AB0}" name="Status"/>
    <tableColumn id="6" xr3:uid="{B5F94EE5-6FD8-4DF3-B8AE-A8956F010623}" name="Debit "/>
    <tableColumn id="7" xr3:uid="{5E81704F-E803-489C-8628-05FE78B06319}" name="Credit"/>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41DC3DA-3EE1-4CDF-93F0-FEC0960E4246}" name="Table819" displayName="Table819" ref="BA3:BG17" totalsRowShown="0" headerRowDxfId="141">
  <autoFilter ref="BA3:BG17" xr:uid="{F41DC3DA-3EE1-4CDF-93F0-FEC0960E4246}"/>
  <tableColumns count="7">
    <tableColumn id="1" xr3:uid="{43577676-8145-4C1F-86CB-43CE63CE7105}" name="Code"/>
    <tableColumn id="15" xr3:uid="{97F63E50-E879-4B4D-9C84-2B8B6D0483CD}" name="Voucher_Type"/>
    <tableColumn id="17" xr3:uid="{3153D0B0-74B1-4E2B-8AB9-D9C28C1F2E90}" name="Account_Classification"/>
    <tableColumn id="18" xr3:uid="{A21B54D9-28B1-4C2F-8B66-CBD587D8465B}" name="Account_Description"/>
    <tableColumn id="11" xr3:uid="{AC278A01-E609-4E8B-8661-5BBFF005C16D}" name="English"/>
    <tableColumn id="12" xr3:uid="{0E160F23-6800-4F8A-9E1F-D9B065AA7513}" name="Bahasa"/>
    <tableColumn id="14" xr3:uid="{033CD9A9-5C2F-4B55-B255-A67E25B32FFE}" name="Status"/>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8FBB499-ED38-4953-B460-1866BCF2F05F}" name="Table24" displayName="Table24" ref="B3:H149" totalsRowShown="0" headerRowDxfId="140" dataDxfId="138" headerRowBorderDxfId="139" tableBorderDxfId="137">
  <autoFilter ref="B3:H149" xr:uid="{28FBB499-ED38-4953-B460-1866BCF2F05F}"/>
  <sortState xmlns:xlrd2="http://schemas.microsoft.com/office/spreadsheetml/2017/richdata2" ref="B4:H149">
    <sortCondition ref="B3:B149"/>
  </sortState>
  <tableColumns count="7">
    <tableColumn id="1" xr3:uid="{379AF80A-EDFB-4E8A-AF20-158C11C5F6F7}" name="Module" dataDxfId="136"/>
    <tableColumn id="2" xr3:uid="{050ED3AE-D3D9-4029-A14F-6B15BA6B3D2D}" name="User Form Name" dataDxfId="135"/>
    <tableColumn id="3" xr3:uid="{37A2687C-311A-462D-B60D-67C3E993C802}" name="May-24" dataDxfId="134"/>
    <tableColumn id="4" xr3:uid="{5B6586B8-DD74-4595-A670-68610918FD4E}" name="Jun-24" dataDxfId="133"/>
    <tableColumn id="5" xr3:uid="{C28D4B6E-C328-4016-802E-6F7D1E346CCE}" name="Jul-24" dataDxfId="132"/>
    <tableColumn id="6" xr3:uid="{CA846A3F-D6A0-481B-9890-B112E7F8E613}" name="Aug-24" dataDxfId="131"/>
    <tableColumn id="7" xr3:uid="{3CFEB1C9-AD10-447B-8440-9F4727900A9C}" name="Sep-24" dataDxfId="130"/>
  </tableColumns>
  <tableStyleInfo name="TableStyleLight1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CED9CE-E29D-4E44-B012-0798588D1FDB}" name="Table1" displayName="Table1" ref="P4:P23" totalsRowShown="0" headerRowDxfId="129" dataDxfId="127" headerRowBorderDxfId="128" tableBorderDxfId="126">
  <autoFilter ref="P4:P23" xr:uid="{8ACED9CE-E29D-4E44-B012-0798588D1FDB}"/>
  <tableColumns count="1">
    <tableColumn id="1" xr3:uid="{7F1EE75F-8F40-4DCD-84EA-354EA1160AAE}" name="Note/Comments" dataDxfId="125"/>
  </tableColumns>
  <tableStyleInfo name="TableStyleLight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E9BEB3C-110C-411D-B0CF-6F6B65E82853}" name="Table110" displayName="Table110" ref="X4:X23" totalsRowShown="0" headerRowDxfId="124" dataDxfId="122" headerRowBorderDxfId="123" tableBorderDxfId="121">
  <autoFilter ref="X4:X23" xr:uid="{FE9BEB3C-110C-411D-B0CF-6F6B65E82853}"/>
  <tableColumns count="1">
    <tableColumn id="1" xr3:uid="{A17131AF-9669-44E6-BDC0-6BF4F4253F78}" name="Note/Comments" dataDxfId="120"/>
  </tableColumns>
  <tableStyleInfo name="TableStyleLight1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8B748BF-EB56-408F-8C62-79E9A697696F}" name="Table22" displayName="Table22" ref="B3:H13" totalsRowShown="0" headerRowDxfId="119" dataDxfId="118">
  <autoFilter ref="B3:H13" xr:uid="{D8B748BF-EB56-408F-8C62-79E9A697696F}"/>
  <sortState xmlns:xlrd2="http://schemas.microsoft.com/office/spreadsheetml/2017/richdata2" ref="B4:H13">
    <sortCondition ref="C3:C13"/>
  </sortState>
  <tableColumns count="7">
    <tableColumn id="1" xr3:uid="{564E9D50-A8A0-4EE7-BB80-88C8FAA36287}" name="Item" dataDxfId="117"/>
    <tableColumn id="2" xr3:uid="{33D55B51-85FC-4BBC-BCFD-400D44932050}" name="Grouping" dataDxfId="116"/>
    <tableColumn id="3" xr3:uid="{609675F1-21FA-452B-92AD-901BDC1C0B4F}" name="User form Description" dataDxfId="115"/>
    <tableColumn id="4" xr3:uid="{01D5FF02-0908-4489-9E4C-A22FB999A045}" name="UF_No" dataDxfId="114"/>
    <tableColumn id="5" xr3:uid="{7667AF1A-0A85-42F6-A590-DC64F8D27159}" name="Purpose" dataDxfId="113"/>
    <tableColumn id="6" xr3:uid="{8E49F982-9280-48F3-A305-748E449F591D}" name="Phase" dataDxfId="112"/>
    <tableColumn id="7" xr3:uid="{AB7354F8-48AB-4DFF-8AE1-DBE7F1D3FEF0}" name="Display" dataDxfId="111" dataCellStyle="Hyperlink"/>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7DC4016-7854-4905-BB82-D910B1E6BE81}" name="Table21" displayName="Table21" ref="B3:H21" totalsRowShown="0" headerRowDxfId="110" headerRowBorderDxfId="109" tableBorderDxfId="108" totalsRowBorderDxfId="107">
  <autoFilter ref="B3:H21" xr:uid="{37DC4016-7854-4905-BB82-D910B1E6BE81}"/>
  <sortState xmlns:xlrd2="http://schemas.microsoft.com/office/spreadsheetml/2017/richdata2" ref="B4:H21">
    <sortCondition ref="B3:B21"/>
  </sortState>
  <tableColumns count="7">
    <tableColumn id="1" xr3:uid="{BE81E5BF-EA04-42E0-BE0F-98D4F1E65BD0}" name="Item " dataDxfId="106"/>
    <tableColumn id="7" xr3:uid="{1B4B41A8-F571-4098-BC29-1953FCA6A421}" name="Grouping" dataDxfId="105"/>
    <tableColumn id="6" xr3:uid="{2906F73F-6756-4910-AFF2-871BDFFEFDC8}" name="User Form Name" dataDxfId="104"/>
    <tableColumn id="8" xr3:uid="{0A7A23D4-EAD8-405B-A5F4-05C0C3B381F5}" name="Description_of_UserForm" dataDxfId="103"/>
    <tableColumn id="3" xr3:uid="{97CF5C7E-A57F-4888-B481-565B4063C6DB}" name="Form No" dataDxfId="102"/>
    <tableColumn id="5" xr3:uid="{2D676A39-9AAF-490D-8210-318F08E63D59}" name="Phase" dataDxfId="101"/>
    <tableColumn id="4" xr3:uid="{C6A07B35-910E-4AEB-8330-360C8A1121E9}" name="Description" dataDxfId="100" dataCellStyle="Hyperlink"/>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01D848F-CF74-4D9B-8251-257676454AE3}" name="Table23" displayName="Table23" ref="J3:J24" totalsRowShown="0" headerRowDxfId="99">
  <autoFilter ref="J3:J24" xr:uid="{D01D848F-CF74-4D9B-8251-257676454AE3}"/>
  <sortState xmlns:xlrd2="http://schemas.microsoft.com/office/spreadsheetml/2017/richdata2" ref="J4:J24">
    <sortCondition ref="J3:J24"/>
  </sortState>
  <tableColumns count="1">
    <tableColumn id="1" xr3:uid="{855A4C85-CAD1-4EFB-9A71-E97996130915}" name="Grouping_List_HRM"/>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212AED0-7CD6-4201-AF1C-4AED2D43194D}" name="Table7" displayName="Table7" ref="B3:J14" totalsRowShown="0" headerRowDxfId="98" dataDxfId="96" headerRowBorderDxfId="97" tableBorderDxfId="95">
  <autoFilter ref="B3:J14" xr:uid="{8212AED0-7CD6-4201-AF1C-4AED2D43194D}"/>
  <sortState xmlns:xlrd2="http://schemas.microsoft.com/office/spreadsheetml/2017/richdata2" ref="B4:J14">
    <sortCondition ref="B3:B14"/>
  </sortState>
  <tableColumns count="9">
    <tableColumn id="1" xr3:uid="{68836A45-1E40-4030-AFE3-00F25DB2DB5F}" name="Item" dataDxfId="94"/>
    <tableColumn id="8" xr3:uid="{B6647756-04AD-492D-A128-8723CDDC64E6}" name="Group" dataDxfId="93"/>
    <tableColumn id="7" xr3:uid="{854A39FF-93BA-4951-8E2B-610A6D13C972}" name="Form Description" dataDxfId="92"/>
    <tableColumn id="2" xr3:uid="{4967541F-1010-4189-A402-D59EA46DB4E1}" name="User form Description" dataDxfId="91"/>
    <tableColumn id="9" xr3:uid="{5886A4A1-1DE6-45B0-8017-655C589F34D6}" name="Column1" dataDxfId="90"/>
    <tableColumn id="3" xr3:uid="{36E658E0-FF6F-4FFC-A43C-BFD2D25E942A}" name="Form No" dataDxfId="89"/>
    <tableColumn id="6" xr3:uid="{8A79756F-33FD-4307-B103-9D82E8EACC00}" name="Phase" dataDxfId="88"/>
    <tableColumn id="4" xr3:uid="{1B0744E0-1584-480F-91AA-54835047966E}" name="Who Will Update " dataDxfId="87"/>
    <tableColumn id="5" xr3:uid="{44DFFA81-6902-467B-A78D-1D0F9C917F35}" name="Description" dataDxfId="86"/>
  </tableColumns>
  <tableStyleInfo name="TableStyleMedium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483403A-E084-4A9A-9CE8-9D6B2B56C593}" name="Table722" displayName="Table722" ref="B3:I14" totalsRowShown="0" headerRowDxfId="85" dataDxfId="83" headerRowBorderDxfId="84" tableBorderDxfId="82">
  <autoFilter ref="B3:I14" xr:uid="{5483403A-E084-4A9A-9CE8-9D6B2B56C593}"/>
  <sortState xmlns:xlrd2="http://schemas.microsoft.com/office/spreadsheetml/2017/richdata2" ref="B4:I14">
    <sortCondition ref="B3:B14"/>
  </sortState>
  <tableColumns count="8">
    <tableColumn id="1" xr3:uid="{EA5A1D37-2A6D-4FED-B2CE-0DEAA189DE5C}" name="Item" dataDxfId="81"/>
    <tableColumn id="7" xr3:uid="{853EC94E-4FC3-4A70-81B2-29432EE3A6D1}" name="Form Description" dataDxfId="80"/>
    <tableColumn id="2" xr3:uid="{117E880D-D4C2-446C-BC05-92C744A4E734}" name="User form Description" dataDxfId="79"/>
    <tableColumn id="8" xr3:uid="{E8065F1B-7BC9-489F-9AB3-F3B43723E58F}" name="UF_Description" dataDxfId="78"/>
    <tableColumn id="3" xr3:uid="{E2A8B06E-7E78-4241-B887-79DECF0E5561}" name="Form No" dataDxfId="77"/>
    <tableColumn id="6" xr3:uid="{251E7704-7288-4DA4-92C5-9B3910C814BB}" name="Phase" dataDxfId="76"/>
    <tableColumn id="4" xr3:uid="{EB215DA0-997A-4BFB-9EA7-7AFF45079E8A}" name="Who Will Update " dataDxfId="75"/>
    <tableColumn id="5" xr3:uid="{30841355-E30A-45C8-A0C2-FB38B1E60A20}" name="Display" dataDxfId="74"/>
  </tableColumns>
  <tableStyleInfo name="TableStyleMedium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A9246E1-2C2C-4A4C-BD23-218F8FD6B7D6}" name="Table4" displayName="Table4" ref="B2:C30" totalsRowShown="0">
  <autoFilter ref="B2:C30" xr:uid="{5A9246E1-2C2C-4A4C-BD23-218F8FD6B7D6}"/>
  <sortState xmlns:xlrd2="http://schemas.microsoft.com/office/spreadsheetml/2017/richdata2" ref="B3:C30">
    <sortCondition ref="B2:B30"/>
  </sortState>
  <tableColumns count="2">
    <tableColumn id="1" xr3:uid="{9CFE5E5E-829B-4E56-A6D1-2F50B9CCE606}" name="Terms"/>
    <tableColumn id="2" xr3:uid="{6EA0966C-6A21-4B8D-916A-E057B68ABA30}" name="Meaning"/>
  </tableColumns>
  <tableStyleInfo name="TableStyleLight2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770A369-8BE8-4946-A983-9AE8EA148D07}" name="Table31681226836" displayName="Table31681226836" ref="AA3:AM199" totalsRowShown="0" headerRowDxfId="73" dataDxfId="71" headerRowBorderDxfId="72">
  <autoFilter ref="AA3:AM199" xr:uid="{7770A369-8BE8-4946-A983-9AE8EA148D07}"/>
  <sortState xmlns:xlrd2="http://schemas.microsoft.com/office/spreadsheetml/2017/richdata2" ref="AA4:AM199">
    <sortCondition descending="1" ref="AA3:AA199"/>
  </sortState>
  <tableColumns count="13">
    <tableColumn id="1" xr3:uid="{3B62B365-AA4F-4FAF-B990-01DA398849DF}" name="Date" dataDxfId="70"/>
    <tableColumn id="13" xr3:uid="{62FF4137-102A-45DC-9AD3-58479E792BBA}" name="Date_Numeric_Value" dataDxfId="69"/>
    <tableColumn id="9" xr3:uid="{786BB385-5156-4AEA-8B33-B073F739D019}" name="Phase_Code" dataDxfId="68"/>
    <tableColumn id="12" xr3:uid="{B22E186A-6D5E-4923-9A18-303272EB5148}" name="Key_Code" dataDxfId="67"/>
    <tableColumn id="2" xr3:uid="{C1F69BD4-3768-448D-9A4C-1AA6E93A63AA}" name="Weather_Morning" dataDxfId="66"/>
    <tableColumn id="3" xr3:uid="{59AE3AD1-F5A9-48C7-85A6-F7F3C4BA2FAF}" name="Ground Condition1" dataDxfId="65"/>
    <tableColumn id="10" xr3:uid="{48D51982-C7BD-40CC-8824-815CABD466FF}" name="Morn_Hrs" dataDxfId="64"/>
    <tableColumn id="4" xr3:uid="{E8B06E92-901C-474B-A812-87B5E1192440}" name="Weather_Afternoon" dataDxfId="63"/>
    <tableColumn id="5" xr3:uid="{85C46C3B-DC58-4966-8EDF-9C93625B5A7D}" name="Ground Condition2" dataDxfId="62"/>
    <tableColumn id="11" xr3:uid="{DB5F02A0-241B-4F4B-A8F0-2C19E796C05A}" name="After_Hrs" dataDxfId="61"/>
    <tableColumn id="14" xr3:uid="{4DC5BFAE-10F1-47C6-9602-0A9274B28D09}" name="Status" dataDxfId="60"/>
    <tableColumn id="6" xr3:uid="{5DFA2D4A-EFDD-4EF9-9A11-490D4AE09906}" name="User" dataDxfId="59"/>
    <tableColumn id="8" xr3:uid="{2B67F45D-EA30-48C3-9BD7-6A6AC69493FC}" name="Date &amp; Time " dataDxfId="58"/>
  </tableColumns>
  <tableStyleInfo name="TableStyleLight1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13A5FCA-1ACA-413C-8D2B-9A87586511B6}" name="Table184029" displayName="Table184029" ref="CA3:CG60" totalsRowShown="0" headerRowDxfId="57" headerRowCellStyle="Normal 2" dataCellStyle="Normal 2">
  <autoFilter ref="CA3:CG60" xr:uid="{413A5FCA-1ACA-413C-8D2B-9A87586511B6}"/>
  <sortState xmlns:xlrd2="http://schemas.microsoft.com/office/spreadsheetml/2017/richdata2" ref="CA4:CG60">
    <sortCondition ref="CA3:CA60"/>
  </sortState>
  <tableColumns count="7">
    <tableColumn id="1" xr3:uid="{456F5915-5162-4E50-ADFA-5DBFAD70B74C}" name="Activity_English" dataCellStyle="Normal 2"/>
    <tableColumn id="7" xr3:uid="{1638B91C-5143-4CAB-9665-119EE9CDC458}" name="Activity_Bahasa" dataCellStyle="Normal 2"/>
    <tableColumn id="3" xr3:uid="{62E03CCE-695C-41AB-8432-1C2C83BB2183}" name="Activity Code" dataDxfId="56" dataCellStyle="Normal 2"/>
    <tableColumn id="2" xr3:uid="{87B41CF1-60D4-4BF7-BB2B-B2777CBD2E3E}" name="Activity Code2" dataDxfId="55" dataCellStyle="Normal 2">
      <calculatedColumnFormula>Table184029[[#This Row],[Activity Code]] &amp;"-" &amp;  "01"</calculatedColumnFormula>
    </tableColumn>
    <tableColumn id="4" xr3:uid="{0E211654-FFF1-4A7F-97DD-32E1A394F9D2}" name="Status" dataCellStyle="Normal 2"/>
    <tableColumn id="5" xr3:uid="{89363B1B-3533-46E2-AC67-3C2FF6E1A8F1}" name="User" dataCellStyle="Normal 2"/>
    <tableColumn id="6" xr3:uid="{1A3D0DE5-9DA9-400D-9E91-A3AA88E500E8}" name="Date_Time" dataDxfId="54" dataCellStyle="Normal 2"/>
  </tableColumns>
  <tableStyleInfo name="TableStyleMedium1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47276BE-9A8C-45A3-BF9D-2B8B0CCF253F}" name="Table12612717" displayName="Table12612717" ref="BA3:BF61" totalsRowShown="0" headerRowDxfId="53" dataDxfId="52">
  <autoFilter ref="BA3:BF61" xr:uid="{647276BE-9A8C-45A3-BF9D-2B8B0CCF253F}"/>
  <sortState xmlns:xlrd2="http://schemas.microsoft.com/office/spreadsheetml/2017/richdata2" ref="BA4:BF61">
    <sortCondition ref="BA3:BA61"/>
  </sortState>
  <tableColumns count="6">
    <tableColumn id="1" xr3:uid="{99852475-DF73-44CA-8D32-BF50A804D605}" name="Worker Code" dataDxfId="51"/>
    <tableColumn id="2" xr3:uid="{172E8481-6735-4C83-9C56-8D06B4AF848F}" name="Worker Name" dataDxfId="50"/>
    <tableColumn id="3" xr3:uid="{717FBC47-5506-4457-8B36-9AC32CCD0FDD}" name="Activity Description" dataDxfId="49"/>
    <tableColumn id="4" xr3:uid="{0F9A46A7-5AA4-4D63-ABAA-96678B9C4B63}" name="Unique_ID" dataDxfId="48">
      <calculatedColumnFormula>Table12612717[[#This Row],[Worker Code]]&amp;"-"&amp;Table12612717[[#This Row],[Activity Description]]</calculatedColumnFormula>
    </tableColumn>
    <tableColumn id="5" xr3:uid="{47FDDC5C-CCD5-4842-9438-E7C98A0C2DE9}" name="User Name" dataDxfId="47" dataCellStyle="Calculation"/>
    <tableColumn id="7" xr3:uid="{DB97D1A6-3608-4978-BCE3-69B87600A352}" name="Date &amp; Time" dataDxfId="46"/>
  </tableColumns>
  <tableStyleInfo name="TableStyleMedium4"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4F559F9-F522-478B-BE76-DC84F2130DFB}" name="Table226" displayName="Table226" ref="A2:B1373" totalsRowShown="0" headerRowDxfId="27">
  <autoFilter ref="A2:B1373" xr:uid="{34D1F322-9B6E-4DE0-97AC-6EABA5AF05ED}"/>
  <sortState xmlns:xlrd2="http://schemas.microsoft.com/office/spreadsheetml/2017/richdata2" ref="A3:B1373">
    <sortCondition ref="A2:A1373"/>
  </sortState>
  <tableColumns count="2">
    <tableColumn id="1" xr3:uid="{4151A15B-A418-48DB-8071-5150E0AAB5EF}" name="Classification" dataDxfId="26"/>
    <tableColumn id="2" xr3:uid="{266BE738-9A7B-4EA4-BDDE-26AFDE0D9093}" name="Chart Of Accounts" dataDxfId="2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2814758-4C86-425E-A727-DEECC3FF9203}" name="Table327" displayName="Table327" ref="F2:F49" totalsRowShown="0" dataDxfId="24">
  <autoFilter ref="F2:F49" xr:uid="{B3F7B4E7-8083-43BA-9ECB-7C8C4A51D18D}"/>
  <sortState xmlns:xlrd2="http://schemas.microsoft.com/office/spreadsheetml/2017/richdata2" ref="F3:F49">
    <sortCondition ref="F2:F49"/>
  </sortState>
  <tableColumns count="1">
    <tableColumn id="1" xr3:uid="{87B58CE3-11BC-4846-82D8-4A4657A6C944}" name="Account_Classification" dataDxfId="23"/>
  </tableColumns>
  <tableStyleInfo name="TableStyleMedium4"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FECDFCF-F845-405A-BB72-EF0F33013619}" name="Table16" displayName="Table16" ref="Q4:T85" totalsRowShown="0" headerRowDxfId="45" dataDxfId="44">
  <autoFilter ref="Q4:T85" xr:uid="{AFECDFCF-F845-405A-BB72-EF0F33013619}"/>
  <sortState xmlns:xlrd2="http://schemas.microsoft.com/office/spreadsheetml/2017/richdata2" ref="Q5:T85">
    <sortCondition ref="R4:R85"/>
  </sortState>
  <tableColumns count="4">
    <tableColumn id="1" xr3:uid="{E6D63A6F-946F-4DBE-BC29-902EFD24D62C}" name="Items" dataDxfId="43"/>
    <tableColumn id="2" xr3:uid="{03F47F51-842A-4850-88AE-597B7D5845EB}" name="Master Menu" dataDxfId="42"/>
    <tableColumn id="3" xr3:uid="{0A3EB587-9975-4ACE-964A-6F56798D0F94}" name="Details" dataDxfId="41"/>
    <tableColumn id="4" xr3:uid="{6239062C-946D-43B3-BF9A-FCFD675DA6D8}" name="Module" dataDxfId="40"/>
  </tableColumns>
  <tableStyleInfo name="TableStyleMedium4"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2.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table" Target="../tables/table2.xml"/><Relationship Id="rId8"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table" Target="../tables/table5.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5.v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3.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10.vml"/><Relationship Id="rId1" Type="http://schemas.openxmlformats.org/officeDocument/2006/relationships/drawing" Target="../drawings/drawing3.xml"/><Relationship Id="rId5" Type="http://schemas.openxmlformats.org/officeDocument/2006/relationships/comments" Target="../comments9.xml"/><Relationship Id="rId4"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6.xml"/><Relationship Id="rId1"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12.vml"/><Relationship Id="rId1" Type="http://schemas.openxmlformats.org/officeDocument/2006/relationships/drawing" Target="../drawings/drawing4.xml"/><Relationship Id="rId5" Type="http://schemas.openxmlformats.org/officeDocument/2006/relationships/comments" Target="../comments11.xml"/><Relationship Id="rId4"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19.xml"/><Relationship Id="rId1" Type="http://schemas.openxmlformats.org/officeDocument/2006/relationships/vmlDrawing" Target="../drawings/vmlDrawing14.v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table" Target="../tables/table22.xml"/></Relationships>
</file>

<file path=xl/worksheets/_rels/sheet27.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vmlDrawing" Target="../drawings/vmlDrawing16.vml"/><Relationship Id="rId4" Type="http://schemas.openxmlformats.org/officeDocument/2006/relationships/comments" Target="../comments15.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table" Target="../tables/table2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A37DD-D150-4AD9-A619-97CE079E6CF9}">
  <sheetPr codeName="Sheet1"/>
  <dimension ref="B2:K111"/>
  <sheetViews>
    <sheetView workbookViewId="0"/>
  </sheetViews>
  <sheetFormatPr defaultRowHeight="14.4"/>
  <cols>
    <col min="2" max="2" width="41.33203125" customWidth="1"/>
    <col min="3" max="3" width="8.88671875" customWidth="1"/>
    <col min="4" max="4" width="17.88671875" bestFit="1" customWidth="1"/>
    <col min="5" max="5" width="19.33203125" customWidth="1"/>
    <col min="6" max="6" width="19.109375" customWidth="1"/>
    <col min="7" max="7" width="18.5546875" customWidth="1"/>
    <col min="8" max="8" width="17.5546875" customWidth="1"/>
  </cols>
  <sheetData>
    <row r="2" spans="2:11">
      <c r="J2" s="2">
        <v>45537</v>
      </c>
    </row>
    <row r="3" spans="2:11" ht="23.4">
      <c r="B3" t="s">
        <v>0</v>
      </c>
      <c r="C3" t="s">
        <v>1</v>
      </c>
      <c r="D3" t="s">
        <v>2</v>
      </c>
      <c r="E3" t="s">
        <v>3</v>
      </c>
      <c r="F3" t="s">
        <v>4</v>
      </c>
      <c r="G3" t="s">
        <v>5</v>
      </c>
      <c r="H3" t="s">
        <v>6</v>
      </c>
      <c r="K3" s="821">
        <f>(G86/H86)/100</f>
        <v>5.0759493670886079E-2</v>
      </c>
    </row>
    <row r="4" spans="2:11">
      <c r="B4" t="s">
        <v>7</v>
      </c>
      <c r="D4" t="s">
        <v>8</v>
      </c>
      <c r="E4">
        <v>3</v>
      </c>
      <c r="F4">
        <v>2</v>
      </c>
      <c r="G4">
        <f>Table3[[#This Row],[English]]+Table3[[#This Row],[Bahasa]]</f>
        <v>5</v>
      </c>
      <c r="H4">
        <v>3</v>
      </c>
    </row>
    <row r="5" spans="2:11">
      <c r="B5" t="s">
        <v>9</v>
      </c>
      <c r="D5" t="s">
        <v>8</v>
      </c>
      <c r="E5">
        <v>3</v>
      </c>
      <c r="F5">
        <v>2</v>
      </c>
      <c r="G5">
        <f>Table3[[#This Row],[English]]+Table3[[#This Row],[Bahasa]]</f>
        <v>5</v>
      </c>
      <c r="H5">
        <v>0</v>
      </c>
      <c r="J5" t="s">
        <v>10</v>
      </c>
    </row>
    <row r="6" spans="2:11">
      <c r="B6" t="s">
        <v>11</v>
      </c>
      <c r="D6" t="s">
        <v>8</v>
      </c>
      <c r="E6">
        <v>3</v>
      </c>
      <c r="F6">
        <v>2</v>
      </c>
      <c r="G6">
        <f>Table3[[#This Row],[English]]+Table3[[#This Row],[Bahasa]]</f>
        <v>5</v>
      </c>
      <c r="H6">
        <v>3</v>
      </c>
    </row>
    <row r="7" spans="2:11">
      <c r="B7" t="s">
        <v>12</v>
      </c>
      <c r="D7" t="s">
        <v>8</v>
      </c>
      <c r="E7">
        <v>3</v>
      </c>
      <c r="F7">
        <v>2</v>
      </c>
      <c r="G7">
        <f>Table3[[#This Row],[English]]+Table3[[#This Row],[Bahasa]]</f>
        <v>5</v>
      </c>
      <c r="H7">
        <v>0</v>
      </c>
      <c r="J7" t="s">
        <v>13</v>
      </c>
    </row>
    <row r="8" spans="2:11">
      <c r="B8" t="s">
        <v>14</v>
      </c>
      <c r="D8" t="s">
        <v>8</v>
      </c>
      <c r="E8">
        <v>6</v>
      </c>
      <c r="F8">
        <v>2</v>
      </c>
      <c r="G8">
        <f>Table3[[#This Row],[English]]+Table3[[#This Row],[Bahasa]]</f>
        <v>8</v>
      </c>
      <c r="H8">
        <v>0</v>
      </c>
    </row>
    <row r="9" spans="2:11">
      <c r="B9" t="s">
        <v>15</v>
      </c>
      <c r="D9" t="s">
        <v>8</v>
      </c>
      <c r="E9">
        <v>3</v>
      </c>
      <c r="F9">
        <v>2</v>
      </c>
      <c r="G9">
        <f>Table3[[#This Row],[English]]+Table3[[#This Row],[Bahasa]]</f>
        <v>5</v>
      </c>
      <c r="H9">
        <v>3</v>
      </c>
    </row>
    <row r="10" spans="2:11">
      <c r="B10" t="s">
        <v>16</v>
      </c>
      <c r="D10" t="s">
        <v>8</v>
      </c>
      <c r="E10">
        <v>3</v>
      </c>
      <c r="F10">
        <v>2</v>
      </c>
      <c r="G10">
        <f>Table3[[#This Row],[English]]+Table3[[#This Row],[Bahasa]]</f>
        <v>5</v>
      </c>
      <c r="H10">
        <v>0</v>
      </c>
      <c r="J10" t="s">
        <v>10</v>
      </c>
    </row>
    <row r="11" spans="2:11">
      <c r="B11" t="s">
        <v>17</v>
      </c>
      <c r="D11" t="s">
        <v>8</v>
      </c>
      <c r="E11">
        <v>3</v>
      </c>
      <c r="F11">
        <v>2</v>
      </c>
      <c r="G11">
        <f>Table3[[#This Row],[English]]+Table3[[#This Row],[Bahasa]]</f>
        <v>5</v>
      </c>
      <c r="H11">
        <v>3</v>
      </c>
    </row>
    <row r="12" spans="2:11">
      <c r="B12" t="s">
        <v>18</v>
      </c>
      <c r="D12" t="s">
        <v>8</v>
      </c>
      <c r="E12">
        <v>3</v>
      </c>
      <c r="F12">
        <v>2</v>
      </c>
      <c r="G12">
        <f>Table3[[#This Row],[English]]+Table3[[#This Row],[Bahasa]]</f>
        <v>5</v>
      </c>
      <c r="H12">
        <v>3</v>
      </c>
      <c r="J12" t="s">
        <v>19</v>
      </c>
    </row>
    <row r="13" spans="2:11">
      <c r="B13" t="s">
        <v>20</v>
      </c>
      <c r="D13" t="s">
        <v>8</v>
      </c>
      <c r="E13">
        <v>5</v>
      </c>
      <c r="F13">
        <v>2</v>
      </c>
      <c r="G13">
        <f>Table3[[#This Row],[English]]+Table3[[#This Row],[Bahasa]]</f>
        <v>7</v>
      </c>
      <c r="H13">
        <v>0</v>
      </c>
      <c r="J13" t="s">
        <v>21</v>
      </c>
    </row>
    <row r="14" spans="2:11">
      <c r="B14" t="s">
        <v>22</v>
      </c>
      <c r="D14" t="s">
        <v>8</v>
      </c>
      <c r="E14">
        <v>3</v>
      </c>
      <c r="F14">
        <v>3</v>
      </c>
      <c r="G14">
        <f>Table3[[#This Row],[English]]+Table3[[#This Row],[Bahasa]]</f>
        <v>6</v>
      </c>
      <c r="H14">
        <v>3</v>
      </c>
    </row>
    <row r="15" spans="2:11">
      <c r="B15" t="s">
        <v>23</v>
      </c>
      <c r="D15" t="s">
        <v>8</v>
      </c>
      <c r="E15">
        <v>3</v>
      </c>
      <c r="F15">
        <v>3</v>
      </c>
      <c r="G15">
        <f>Table3[[#This Row],[English]]+Table3[[#This Row],[Bahasa]]</f>
        <v>6</v>
      </c>
      <c r="H15">
        <v>3</v>
      </c>
    </row>
    <row r="16" spans="2:11">
      <c r="B16" t="s">
        <v>24</v>
      </c>
      <c r="D16" t="s">
        <v>8</v>
      </c>
      <c r="E16">
        <v>3</v>
      </c>
      <c r="F16">
        <v>3</v>
      </c>
      <c r="G16">
        <f>Table3[[#This Row],[English]]+Table3[[#This Row],[Bahasa]]</f>
        <v>6</v>
      </c>
      <c r="H16">
        <v>3</v>
      </c>
    </row>
    <row r="17" spans="2:8">
      <c r="B17" t="s">
        <v>25</v>
      </c>
      <c r="D17" t="s">
        <v>8</v>
      </c>
      <c r="E17">
        <v>3</v>
      </c>
      <c r="F17">
        <v>2</v>
      </c>
      <c r="G17">
        <f>Table3[[#This Row],[English]]+Table3[[#This Row],[Bahasa]]</f>
        <v>5</v>
      </c>
      <c r="H17">
        <v>0</v>
      </c>
    </row>
    <row r="18" spans="2:8">
      <c r="B18" t="s">
        <v>26</v>
      </c>
      <c r="D18" t="s">
        <v>8</v>
      </c>
      <c r="E18">
        <v>3</v>
      </c>
      <c r="F18">
        <v>3</v>
      </c>
      <c r="G18">
        <f>Table3[[#This Row],[English]]+Table3[[#This Row],[Bahasa]]</f>
        <v>6</v>
      </c>
      <c r="H18">
        <v>3</v>
      </c>
    </row>
    <row r="19" spans="2:8">
      <c r="B19" t="s">
        <v>27</v>
      </c>
      <c r="D19" t="s">
        <v>8</v>
      </c>
      <c r="E19">
        <v>3</v>
      </c>
      <c r="F19">
        <v>2</v>
      </c>
      <c r="G19">
        <f>Table3[[#This Row],[English]]+Table3[[#This Row],[Bahasa]]</f>
        <v>5</v>
      </c>
      <c r="H19">
        <v>3</v>
      </c>
    </row>
    <row r="20" spans="2:8">
      <c r="B20" t="s">
        <v>28</v>
      </c>
      <c r="D20" t="s">
        <v>8</v>
      </c>
      <c r="E20">
        <v>3</v>
      </c>
      <c r="F20">
        <v>2</v>
      </c>
      <c r="G20">
        <f>Table3[[#This Row],[English]]+Table3[[#This Row],[Bahasa]]</f>
        <v>5</v>
      </c>
      <c r="H20">
        <v>3</v>
      </c>
    </row>
    <row r="21" spans="2:8">
      <c r="B21" t="s">
        <v>29</v>
      </c>
      <c r="D21" t="s">
        <v>8</v>
      </c>
      <c r="E21">
        <v>3</v>
      </c>
      <c r="F21">
        <v>2</v>
      </c>
      <c r="G21">
        <f>Table3[[#This Row],[English]]+Table3[[#This Row],[Bahasa]]</f>
        <v>5</v>
      </c>
      <c r="H21">
        <v>3</v>
      </c>
    </row>
    <row r="22" spans="2:8">
      <c r="B22" t="s">
        <v>30</v>
      </c>
      <c r="D22" t="s">
        <v>8</v>
      </c>
      <c r="E22">
        <v>3</v>
      </c>
      <c r="F22">
        <v>2</v>
      </c>
      <c r="G22">
        <f>Table3[[#This Row],[English]]+Table3[[#This Row],[Bahasa]]</f>
        <v>5</v>
      </c>
      <c r="H22">
        <v>3</v>
      </c>
    </row>
    <row r="23" spans="2:8">
      <c r="B23" t="s">
        <v>31</v>
      </c>
      <c r="D23" t="s">
        <v>8</v>
      </c>
      <c r="E23">
        <v>3</v>
      </c>
      <c r="F23">
        <v>2</v>
      </c>
      <c r="G23">
        <f>Table3[[#This Row],[English]]+Table3[[#This Row],[Bahasa]]</f>
        <v>5</v>
      </c>
      <c r="H23">
        <v>3</v>
      </c>
    </row>
    <row r="24" spans="2:8">
      <c r="B24" t="s">
        <v>32</v>
      </c>
      <c r="D24" t="s">
        <v>8</v>
      </c>
      <c r="E24">
        <v>3</v>
      </c>
      <c r="F24">
        <v>3</v>
      </c>
      <c r="G24">
        <f>Table3[[#This Row],[English]]+Table3[[#This Row],[Bahasa]]</f>
        <v>6</v>
      </c>
      <c r="H24">
        <v>3</v>
      </c>
    </row>
    <row r="25" spans="2:8">
      <c r="B25" t="s">
        <v>33</v>
      </c>
      <c r="D25" t="s">
        <v>8</v>
      </c>
      <c r="E25">
        <v>3</v>
      </c>
      <c r="F25">
        <v>2</v>
      </c>
      <c r="G25">
        <f>Table3[[#This Row],[English]]+Table3[[#This Row],[Bahasa]]</f>
        <v>5</v>
      </c>
      <c r="H25">
        <v>3</v>
      </c>
    </row>
    <row r="26" spans="2:8">
      <c r="B26" t="s">
        <v>34</v>
      </c>
      <c r="D26" t="s">
        <v>8</v>
      </c>
      <c r="E26">
        <v>3</v>
      </c>
      <c r="F26">
        <v>2</v>
      </c>
      <c r="G26">
        <f>Table3[[#This Row],[English]]+Table3[[#This Row],[Bahasa]]</f>
        <v>5</v>
      </c>
      <c r="H26">
        <v>3</v>
      </c>
    </row>
    <row r="27" spans="2:8">
      <c r="B27" t="s">
        <v>35</v>
      </c>
      <c r="D27" t="s">
        <v>8</v>
      </c>
      <c r="E27">
        <v>3</v>
      </c>
      <c r="F27">
        <v>2</v>
      </c>
      <c r="G27">
        <f>Table3[[#This Row],[English]]+Table3[[#This Row],[Bahasa]]</f>
        <v>5</v>
      </c>
      <c r="H27">
        <v>0</v>
      </c>
    </row>
    <row r="28" spans="2:8">
      <c r="B28" t="s">
        <v>36</v>
      </c>
      <c r="D28" t="s">
        <v>8</v>
      </c>
      <c r="E28">
        <v>3</v>
      </c>
      <c r="F28">
        <v>2</v>
      </c>
      <c r="G28">
        <f>Table3[[#This Row],[English]]+Table3[[#This Row],[Bahasa]]</f>
        <v>5</v>
      </c>
      <c r="H28">
        <v>0</v>
      </c>
    </row>
    <row r="29" spans="2:8">
      <c r="B29" t="s">
        <v>37</v>
      </c>
      <c r="D29" t="s">
        <v>8</v>
      </c>
      <c r="E29">
        <v>3</v>
      </c>
      <c r="F29">
        <v>2</v>
      </c>
      <c r="G29">
        <f>Table3[[#This Row],[English]]+Table3[[#This Row],[Bahasa]]</f>
        <v>5</v>
      </c>
      <c r="H29">
        <v>3</v>
      </c>
    </row>
    <row r="30" spans="2:8">
      <c r="B30" t="s">
        <v>38</v>
      </c>
      <c r="D30" t="s">
        <v>8</v>
      </c>
      <c r="E30">
        <v>3</v>
      </c>
      <c r="F30">
        <v>2</v>
      </c>
      <c r="G30">
        <f>Table3[[#This Row],[English]]+Table3[[#This Row],[Bahasa]]</f>
        <v>5</v>
      </c>
      <c r="H30">
        <v>0</v>
      </c>
    </row>
    <row r="31" spans="2:8">
      <c r="B31" t="s">
        <v>39</v>
      </c>
      <c r="D31" t="s">
        <v>8</v>
      </c>
      <c r="E31">
        <v>3</v>
      </c>
      <c r="F31">
        <v>2</v>
      </c>
      <c r="G31">
        <f>Table3[[#This Row],[English]]+Table3[[#This Row],[Bahasa]]</f>
        <v>5</v>
      </c>
      <c r="H31">
        <v>3</v>
      </c>
    </row>
    <row r="32" spans="2:8">
      <c r="B32" t="s">
        <v>40</v>
      </c>
      <c r="D32" t="s">
        <v>8</v>
      </c>
      <c r="E32">
        <v>3</v>
      </c>
      <c r="F32">
        <v>2</v>
      </c>
      <c r="G32">
        <f>Table3[[#This Row],[English]]+Table3[[#This Row],[Bahasa]]</f>
        <v>5</v>
      </c>
      <c r="H32">
        <v>3</v>
      </c>
    </row>
    <row r="33" spans="2:10">
      <c r="B33" t="s">
        <v>41</v>
      </c>
      <c r="D33" t="s">
        <v>8</v>
      </c>
      <c r="E33">
        <v>3</v>
      </c>
      <c r="F33">
        <v>2</v>
      </c>
      <c r="G33">
        <f>Table3[[#This Row],[English]]+Table3[[#This Row],[Bahasa]]</f>
        <v>5</v>
      </c>
      <c r="H33">
        <v>3</v>
      </c>
    </row>
    <row r="34" spans="2:10">
      <c r="B34" t="s">
        <v>42</v>
      </c>
      <c r="D34" t="s">
        <v>8</v>
      </c>
      <c r="E34">
        <v>3</v>
      </c>
      <c r="F34">
        <v>2</v>
      </c>
      <c r="G34">
        <f>Table3[[#This Row],[English]]+Table3[[#This Row],[Bahasa]]</f>
        <v>5</v>
      </c>
      <c r="H34">
        <v>3</v>
      </c>
    </row>
    <row r="35" spans="2:10">
      <c r="B35" t="s">
        <v>43</v>
      </c>
      <c r="D35" t="s">
        <v>8</v>
      </c>
      <c r="E35">
        <v>3</v>
      </c>
      <c r="F35">
        <v>2</v>
      </c>
      <c r="G35">
        <f>Table3[[#This Row],[English]]+Table3[[#This Row],[Bahasa]]</f>
        <v>5</v>
      </c>
      <c r="H35">
        <v>3</v>
      </c>
    </row>
    <row r="36" spans="2:10">
      <c r="B36" t="s">
        <v>44</v>
      </c>
      <c r="D36" t="s">
        <v>8</v>
      </c>
      <c r="E36">
        <v>4</v>
      </c>
      <c r="F36">
        <v>2</v>
      </c>
      <c r="G36">
        <f>Table3[[#This Row],[English]]+Table3[[#This Row],[Bahasa]]</f>
        <v>6</v>
      </c>
      <c r="H36">
        <v>4</v>
      </c>
    </row>
    <row r="37" spans="2:10">
      <c r="B37" t="s">
        <v>45</v>
      </c>
      <c r="C37">
        <v>1</v>
      </c>
      <c r="D37" t="s">
        <v>46</v>
      </c>
      <c r="E37">
        <v>6</v>
      </c>
      <c r="F37">
        <v>2</v>
      </c>
      <c r="G37">
        <f>Table3[[#This Row],[English]]+Table3[[#This Row],[Bahasa]]</f>
        <v>8</v>
      </c>
      <c r="H37">
        <v>0</v>
      </c>
    </row>
    <row r="38" spans="2:10">
      <c r="B38" t="s">
        <v>47</v>
      </c>
      <c r="C38">
        <v>3</v>
      </c>
      <c r="D38" t="s">
        <v>46</v>
      </c>
      <c r="E38">
        <v>6</v>
      </c>
      <c r="F38">
        <v>2</v>
      </c>
      <c r="G38">
        <f>Table3[[#This Row],[English]]+Table3[[#This Row],[Bahasa]]</f>
        <v>8</v>
      </c>
      <c r="H38">
        <v>0</v>
      </c>
    </row>
    <row r="39" spans="2:10">
      <c r="B39" t="s">
        <v>48</v>
      </c>
      <c r="C39">
        <v>3</v>
      </c>
      <c r="D39" t="s">
        <v>46</v>
      </c>
      <c r="E39">
        <v>6</v>
      </c>
      <c r="F39">
        <v>2</v>
      </c>
      <c r="G39">
        <f>Table3[[#This Row],[English]]+Table3[[#This Row],[Bahasa]]</f>
        <v>8</v>
      </c>
      <c r="H39">
        <v>0</v>
      </c>
    </row>
    <row r="40" spans="2:10">
      <c r="B40" t="s">
        <v>49</v>
      </c>
      <c r="C40">
        <v>4</v>
      </c>
      <c r="D40" t="s">
        <v>46</v>
      </c>
      <c r="E40">
        <v>6</v>
      </c>
      <c r="F40">
        <v>2</v>
      </c>
      <c r="G40">
        <f>Table3[[#This Row],[English]]+Table3[[#This Row],[Bahasa]]</f>
        <v>8</v>
      </c>
    </row>
    <row r="41" spans="2:10">
      <c r="B41" t="s">
        <v>50</v>
      </c>
      <c r="C41">
        <v>5</v>
      </c>
      <c r="D41" t="s">
        <v>46</v>
      </c>
      <c r="E41">
        <v>6</v>
      </c>
      <c r="F41">
        <v>2</v>
      </c>
      <c r="G41">
        <f>Table3[[#This Row],[English]]+Table3[[#This Row],[Bahasa]]</f>
        <v>8</v>
      </c>
    </row>
    <row r="42" spans="2:10">
      <c r="B42" t="s">
        <v>51</v>
      </c>
      <c r="C42">
        <v>6</v>
      </c>
      <c r="D42" t="s">
        <v>46</v>
      </c>
      <c r="E42">
        <v>6</v>
      </c>
      <c r="F42">
        <v>2</v>
      </c>
      <c r="G42">
        <f>Table3[[#This Row],[English]]+Table3[[#This Row],[Bahasa]]</f>
        <v>8</v>
      </c>
    </row>
    <row r="43" spans="2:10">
      <c r="B43" t="s">
        <v>52</v>
      </c>
      <c r="C43">
        <v>7</v>
      </c>
      <c r="D43" t="s">
        <v>46</v>
      </c>
      <c r="E43">
        <v>6</v>
      </c>
      <c r="F43">
        <v>2</v>
      </c>
      <c r="G43">
        <f>Table3[[#This Row],[English]]+Table3[[#This Row],[Bahasa]]</f>
        <v>8</v>
      </c>
    </row>
    <row r="44" spans="2:10">
      <c r="B44" t="s">
        <v>53</v>
      </c>
      <c r="C44">
        <v>2</v>
      </c>
      <c r="D44" t="s">
        <v>46</v>
      </c>
      <c r="E44">
        <v>6</v>
      </c>
      <c r="F44">
        <v>2</v>
      </c>
      <c r="G44">
        <f>Table3[[#This Row],[English]]+Table3[[#This Row],[Bahasa]]</f>
        <v>8</v>
      </c>
    </row>
    <row r="45" spans="2:10">
      <c r="B45" t="s">
        <v>54</v>
      </c>
      <c r="D45" t="s">
        <v>55</v>
      </c>
      <c r="E45">
        <v>6</v>
      </c>
      <c r="F45">
        <v>2</v>
      </c>
      <c r="G45">
        <f>Table3[[#This Row],[English]]+Table3[[#This Row],[Bahasa]]</f>
        <v>8</v>
      </c>
    </row>
    <row r="46" spans="2:10">
      <c r="B46" t="s">
        <v>56</v>
      </c>
      <c r="D46" t="s">
        <v>55</v>
      </c>
      <c r="E46">
        <v>6</v>
      </c>
      <c r="F46">
        <v>2</v>
      </c>
      <c r="G46">
        <f>Table3[[#This Row],[English]]+Table3[[#This Row],[Bahasa]]</f>
        <v>8</v>
      </c>
    </row>
    <row r="47" spans="2:10">
      <c r="B47" t="s">
        <v>57</v>
      </c>
      <c r="D47" t="s">
        <v>55</v>
      </c>
      <c r="E47">
        <v>6</v>
      </c>
      <c r="F47">
        <v>2</v>
      </c>
      <c r="G47">
        <f>Table3[[#This Row],[English]]+Table3[[#This Row],[Bahasa]]</f>
        <v>8</v>
      </c>
      <c r="J47" t="s">
        <v>58</v>
      </c>
    </row>
    <row r="48" spans="2:10">
      <c r="B48" t="s">
        <v>59</v>
      </c>
      <c r="D48" t="s">
        <v>55</v>
      </c>
      <c r="E48">
        <v>4</v>
      </c>
      <c r="F48">
        <v>2</v>
      </c>
      <c r="G48">
        <f>Table3[[#This Row],[English]]+Table3[[#This Row],[Bahasa]]</f>
        <v>6</v>
      </c>
      <c r="H48">
        <v>0</v>
      </c>
      <c r="J48" t="s">
        <v>60</v>
      </c>
    </row>
    <row r="49" spans="2:10">
      <c r="B49" t="s">
        <v>61</v>
      </c>
      <c r="C49">
        <v>1</v>
      </c>
      <c r="D49" t="s">
        <v>62</v>
      </c>
      <c r="E49">
        <v>6</v>
      </c>
      <c r="F49">
        <v>2</v>
      </c>
      <c r="G49">
        <f>Table3[[#This Row],[English]]+Table3[[#This Row],[Bahasa]]</f>
        <v>8</v>
      </c>
    </row>
    <row r="50" spans="2:10">
      <c r="B50" t="s">
        <v>63</v>
      </c>
      <c r="C50">
        <v>2</v>
      </c>
      <c r="D50" t="s">
        <v>62</v>
      </c>
      <c r="E50">
        <v>6</v>
      </c>
      <c r="F50">
        <v>2</v>
      </c>
      <c r="G50">
        <f>Table3[[#This Row],[English]]+Table3[[#This Row],[Bahasa]]</f>
        <v>8</v>
      </c>
    </row>
    <row r="51" spans="2:10">
      <c r="B51" t="s">
        <v>64</v>
      </c>
      <c r="C51">
        <v>3</v>
      </c>
      <c r="D51" t="s">
        <v>62</v>
      </c>
      <c r="E51">
        <v>6</v>
      </c>
      <c r="F51">
        <v>2</v>
      </c>
      <c r="G51">
        <f>Table3[[#This Row],[English]]+Table3[[#This Row],[Bahasa]]</f>
        <v>8</v>
      </c>
    </row>
    <row r="52" spans="2:10">
      <c r="B52" t="s">
        <v>65</v>
      </c>
      <c r="C52">
        <v>4</v>
      </c>
      <c r="D52" t="s">
        <v>62</v>
      </c>
      <c r="E52">
        <v>6</v>
      </c>
      <c r="F52">
        <v>2</v>
      </c>
      <c r="G52">
        <f>Table3[[#This Row],[English]]+Table3[[#This Row],[Bahasa]]</f>
        <v>8</v>
      </c>
    </row>
    <row r="53" spans="2:10">
      <c r="B53" t="s">
        <v>66</v>
      </c>
      <c r="C53">
        <v>5</v>
      </c>
      <c r="D53" t="s">
        <v>62</v>
      </c>
      <c r="E53">
        <v>6</v>
      </c>
      <c r="F53">
        <v>2</v>
      </c>
      <c r="G53">
        <f>Table3[[#This Row],[English]]+Table3[[#This Row],[Bahasa]]</f>
        <v>8</v>
      </c>
    </row>
    <row r="54" spans="2:10">
      <c r="B54" t="s">
        <v>67</v>
      </c>
      <c r="C54">
        <v>6</v>
      </c>
      <c r="D54" t="s">
        <v>62</v>
      </c>
      <c r="E54">
        <v>6</v>
      </c>
      <c r="F54">
        <v>2</v>
      </c>
      <c r="G54">
        <f>Table3[[#This Row],[English]]+Table3[[#This Row],[Bahasa]]</f>
        <v>8</v>
      </c>
    </row>
    <row r="55" spans="2:10">
      <c r="B55" t="s">
        <v>68</v>
      </c>
      <c r="C55">
        <v>7</v>
      </c>
      <c r="D55" t="s">
        <v>62</v>
      </c>
      <c r="E55">
        <v>6</v>
      </c>
      <c r="F55">
        <v>2</v>
      </c>
      <c r="G55">
        <f>Table3[[#This Row],[English]]+Table3[[#This Row],[Bahasa]]</f>
        <v>8</v>
      </c>
    </row>
    <row r="56" spans="2:10">
      <c r="B56" t="s">
        <v>69</v>
      </c>
      <c r="C56">
        <v>8</v>
      </c>
      <c r="D56" t="s">
        <v>62</v>
      </c>
      <c r="E56">
        <v>6</v>
      </c>
      <c r="F56">
        <v>2</v>
      </c>
      <c r="G56">
        <f>Table3[[#This Row],[English]]+Table3[[#This Row],[Bahasa]]</f>
        <v>8</v>
      </c>
    </row>
    <row r="57" spans="2:10">
      <c r="B57" t="s">
        <v>70</v>
      </c>
      <c r="C57">
        <v>9</v>
      </c>
      <c r="D57" t="s">
        <v>62</v>
      </c>
      <c r="E57">
        <v>6</v>
      </c>
      <c r="F57">
        <v>2</v>
      </c>
      <c r="G57">
        <f>Table3[[#This Row],[English]]+Table3[[#This Row],[Bahasa]]</f>
        <v>8</v>
      </c>
    </row>
    <row r="58" spans="2:10">
      <c r="B58" t="s">
        <v>71</v>
      </c>
      <c r="C58">
        <v>10</v>
      </c>
      <c r="D58" t="s">
        <v>62</v>
      </c>
      <c r="G58">
        <f>Table3[[#This Row],[English]]+Table3[[#This Row],[Bahasa]]</f>
        <v>0</v>
      </c>
    </row>
    <row r="59" spans="2:10">
      <c r="B59" t="s">
        <v>72</v>
      </c>
      <c r="C59">
        <v>11</v>
      </c>
      <c r="D59" t="s">
        <v>62</v>
      </c>
      <c r="E59">
        <v>6</v>
      </c>
      <c r="F59">
        <v>2</v>
      </c>
      <c r="G59">
        <f>Table3[[#This Row],[English]]+Table3[[#This Row],[Bahasa]]</f>
        <v>8</v>
      </c>
      <c r="J59" t="s">
        <v>73</v>
      </c>
    </row>
    <row r="60" spans="2:10">
      <c r="B60" t="s">
        <v>74</v>
      </c>
      <c r="C60">
        <v>12</v>
      </c>
      <c r="D60" t="s">
        <v>62</v>
      </c>
      <c r="E60">
        <v>6</v>
      </c>
      <c r="F60">
        <v>2</v>
      </c>
      <c r="G60">
        <f>Table3[[#This Row],[English]]+Table3[[#This Row],[Bahasa]]</f>
        <v>8</v>
      </c>
    </row>
    <row r="61" spans="2:10">
      <c r="B61" t="s">
        <v>75</v>
      </c>
      <c r="C61">
        <v>13</v>
      </c>
      <c r="D61" t="s">
        <v>62</v>
      </c>
      <c r="E61">
        <v>6</v>
      </c>
      <c r="F61">
        <v>2</v>
      </c>
      <c r="G61">
        <f>Table3[[#This Row],[English]]+Table3[[#This Row],[Bahasa]]</f>
        <v>8</v>
      </c>
      <c r="H61">
        <v>0</v>
      </c>
    </row>
    <row r="62" spans="2:10">
      <c r="B62" t="s">
        <v>76</v>
      </c>
      <c r="D62" t="s">
        <v>77</v>
      </c>
      <c r="G62">
        <f>Table3[[#This Row],[English]]+Table3[[#This Row],[Bahasa]]</f>
        <v>0</v>
      </c>
    </row>
    <row r="63" spans="2:10">
      <c r="B63" t="s">
        <v>78</v>
      </c>
      <c r="C63">
        <v>1</v>
      </c>
      <c r="D63" t="s">
        <v>79</v>
      </c>
      <c r="E63">
        <v>6</v>
      </c>
      <c r="F63">
        <v>2</v>
      </c>
      <c r="G63">
        <f>Table3[[#This Row],[English]]+Table3[[#This Row],[Bahasa]]</f>
        <v>8</v>
      </c>
    </row>
    <row r="64" spans="2:10">
      <c r="B64" t="s">
        <v>80</v>
      </c>
      <c r="C64">
        <v>2</v>
      </c>
      <c r="D64" t="s">
        <v>79</v>
      </c>
      <c r="E64">
        <v>6</v>
      </c>
      <c r="F64">
        <v>2</v>
      </c>
      <c r="G64">
        <f>Table3[[#This Row],[English]]+Table3[[#This Row],[Bahasa]]</f>
        <v>8</v>
      </c>
    </row>
    <row r="65" spans="2:8">
      <c r="B65" t="s">
        <v>81</v>
      </c>
      <c r="C65">
        <v>1</v>
      </c>
      <c r="D65" t="s">
        <v>82</v>
      </c>
      <c r="E65">
        <v>3</v>
      </c>
      <c r="F65">
        <v>2</v>
      </c>
      <c r="G65">
        <f>Table3[[#This Row],[English]]+Table3[[#This Row],[Bahasa]]</f>
        <v>5</v>
      </c>
    </row>
    <row r="66" spans="2:8">
      <c r="B66" t="s">
        <v>83</v>
      </c>
      <c r="C66">
        <v>2</v>
      </c>
      <c r="D66" t="s">
        <v>82</v>
      </c>
    </row>
    <row r="67" spans="2:8">
      <c r="B67" t="s">
        <v>84</v>
      </c>
      <c r="C67">
        <v>3</v>
      </c>
      <c r="D67" t="s">
        <v>82</v>
      </c>
      <c r="E67">
        <v>6</v>
      </c>
      <c r="F67">
        <v>2</v>
      </c>
      <c r="G67">
        <f>Table3[[#This Row],[English]]+Table3[[#This Row],[Bahasa]]</f>
        <v>8</v>
      </c>
    </row>
    <row r="68" spans="2:8">
      <c r="B68" t="s">
        <v>85</v>
      </c>
      <c r="D68" t="s">
        <v>86</v>
      </c>
      <c r="E68">
        <v>6</v>
      </c>
      <c r="G68">
        <f>Table3[[#This Row],[English]]+Table3[[#This Row],[Bahasa]]</f>
        <v>6</v>
      </c>
      <c r="H68">
        <v>6</v>
      </c>
    </row>
    <row r="86" spans="2:8">
      <c r="C86" t="s">
        <v>87</v>
      </c>
      <c r="G86">
        <f>SUM(G4:G83)</f>
        <v>401</v>
      </c>
      <c r="H86">
        <f>SUM(H4:H83)</f>
        <v>79</v>
      </c>
    </row>
    <row r="88" spans="2:8">
      <c r="B88" t="s">
        <v>88</v>
      </c>
    </row>
    <row r="89" spans="2:8">
      <c r="B89" t="s">
        <v>89</v>
      </c>
    </row>
    <row r="91" spans="2:8">
      <c r="B91" t="s">
        <v>90</v>
      </c>
    </row>
    <row r="93" spans="2:8">
      <c r="B93" t="s">
        <v>91</v>
      </c>
      <c r="G93" t="s">
        <v>92</v>
      </c>
    </row>
    <row r="95" spans="2:8">
      <c r="B95" t="s">
        <v>93</v>
      </c>
      <c r="G95" t="s">
        <v>94</v>
      </c>
    </row>
    <row r="96" spans="2:8">
      <c r="B96" t="s">
        <v>95</v>
      </c>
      <c r="G96" t="s">
        <v>96</v>
      </c>
    </row>
    <row r="97" spans="2:9">
      <c r="B97" t="s">
        <v>97</v>
      </c>
      <c r="G97" t="s">
        <v>98</v>
      </c>
    </row>
    <row r="98" spans="2:9">
      <c r="G98" s="823" t="s">
        <v>99</v>
      </c>
    </row>
    <row r="99" spans="2:9">
      <c r="B99" t="s">
        <v>100</v>
      </c>
      <c r="G99" t="s">
        <v>101</v>
      </c>
    </row>
    <row r="101" spans="2:9">
      <c r="B101" t="s">
        <v>102</v>
      </c>
    </row>
    <row r="103" spans="2:9">
      <c r="B103" t="s">
        <v>103</v>
      </c>
      <c r="F103" s="822" t="s">
        <v>104</v>
      </c>
    </row>
    <row r="104" spans="2:9">
      <c r="F104" s="822" t="s">
        <v>105</v>
      </c>
    </row>
    <row r="106" spans="2:9">
      <c r="F106" t="s">
        <v>106</v>
      </c>
    </row>
    <row r="107" spans="2:9">
      <c r="F107" t="s">
        <v>107</v>
      </c>
      <c r="G107" t="s">
        <v>108</v>
      </c>
    </row>
    <row r="108" spans="2:9">
      <c r="F108" t="s">
        <v>109</v>
      </c>
      <c r="G108" t="s">
        <v>108</v>
      </c>
      <c r="H108" t="s">
        <v>110</v>
      </c>
      <c r="I108" t="s">
        <v>111</v>
      </c>
    </row>
    <row r="109" spans="2:9">
      <c r="F109" t="s">
        <v>112</v>
      </c>
      <c r="G109" t="s">
        <v>69</v>
      </c>
      <c r="H109" t="s">
        <v>70</v>
      </c>
      <c r="I109" t="s">
        <v>113</v>
      </c>
    </row>
    <row r="110" spans="2:9">
      <c r="F110" t="s">
        <v>114</v>
      </c>
    </row>
    <row r="111" spans="2:9">
      <c r="F111" t="s">
        <v>115</v>
      </c>
    </row>
  </sheetData>
  <pageMargins left="0.7" right="0.7" top="0.75" bottom="0.75" header="0.3" footer="0.3"/>
  <legacy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E9359-D9B7-4ED3-A019-BE057253A1E4}">
  <sheetPr codeName="Sheet18">
    <tabColor rgb="FFFFFF99"/>
  </sheetPr>
  <dimension ref="B2:H41"/>
  <sheetViews>
    <sheetView topLeftCell="A7" workbookViewId="0">
      <selection activeCell="C24" sqref="C24"/>
    </sheetView>
  </sheetViews>
  <sheetFormatPr defaultRowHeight="14.4"/>
  <cols>
    <col min="3" max="3" width="35.5546875" customWidth="1"/>
    <col min="4" max="4" width="32.21875" bestFit="1" customWidth="1"/>
  </cols>
  <sheetData>
    <row r="2" spans="2:8" ht="35.4" customHeight="1">
      <c r="B2" s="1493" t="s">
        <v>3499</v>
      </c>
      <c r="C2" s="1493"/>
      <c r="D2" s="1493"/>
      <c r="E2" s="1493"/>
      <c r="H2" s="229" t="s">
        <v>3588</v>
      </c>
    </row>
    <row r="3" spans="2:8" ht="35.4" customHeight="1">
      <c r="B3" s="1443" t="s">
        <v>599</v>
      </c>
      <c r="C3" s="912" t="s">
        <v>7438</v>
      </c>
      <c r="D3" s="1444" t="s">
        <v>7445</v>
      </c>
      <c r="E3" s="185" t="s">
        <v>7447</v>
      </c>
      <c r="F3" s="185"/>
      <c r="H3" s="229"/>
    </row>
    <row r="4" spans="2:8" ht="18">
      <c r="B4" s="210">
        <v>1</v>
      </c>
      <c r="C4" s="912" t="s">
        <v>3513</v>
      </c>
      <c r="D4" s="1445" t="s">
        <v>7446</v>
      </c>
      <c r="E4" s="185" t="s">
        <v>574</v>
      </c>
    </row>
    <row r="5" spans="2:8" ht="18">
      <c r="B5" s="210">
        <v>2</v>
      </c>
      <c r="C5" s="912" t="s">
        <v>336</v>
      </c>
      <c r="D5" s="1445"/>
      <c r="E5" s="185" t="s">
        <v>574</v>
      </c>
    </row>
    <row r="6" spans="2:8" ht="18">
      <c r="B6" s="210">
        <v>3</v>
      </c>
      <c r="C6" s="912" t="s">
        <v>3510</v>
      </c>
      <c r="D6" s="1446"/>
      <c r="E6" s="185" t="s">
        <v>574</v>
      </c>
    </row>
    <row r="7" spans="2:8" ht="18">
      <c r="B7" s="210">
        <v>4</v>
      </c>
      <c r="C7" s="912" t="s">
        <v>3504</v>
      </c>
      <c r="D7" s="1446"/>
      <c r="E7" s="185" t="s">
        <v>574</v>
      </c>
    </row>
    <row r="8" spans="2:8" ht="18">
      <c r="B8" s="210">
        <v>5</v>
      </c>
      <c r="C8" s="912" t="s">
        <v>3503</v>
      </c>
      <c r="D8" s="1446"/>
      <c r="E8" s="185" t="s">
        <v>574</v>
      </c>
    </row>
    <row r="9" spans="2:8" ht="18">
      <c r="B9" s="210">
        <v>6</v>
      </c>
      <c r="C9" s="912" t="s">
        <v>3511</v>
      </c>
      <c r="D9" s="1446"/>
      <c r="E9" s="185" t="s">
        <v>574</v>
      </c>
    </row>
    <row r="10" spans="2:8" ht="18">
      <c r="B10" s="210">
        <v>7</v>
      </c>
      <c r="C10" s="912" t="s">
        <v>7441</v>
      </c>
      <c r="D10" s="1446"/>
      <c r="E10" s="185" t="s">
        <v>574</v>
      </c>
    </row>
    <row r="11" spans="2:8" ht="18">
      <c r="B11" s="210">
        <v>8</v>
      </c>
      <c r="C11" s="912" t="s">
        <v>3500</v>
      </c>
      <c r="D11" s="1446"/>
      <c r="E11" s="185" t="s">
        <v>574</v>
      </c>
    </row>
    <row r="12" spans="2:8" ht="18">
      <c r="B12" s="210">
        <v>9</v>
      </c>
      <c r="C12" s="912" t="s">
        <v>7439</v>
      </c>
      <c r="D12" s="1446"/>
      <c r="E12" s="185" t="s">
        <v>574</v>
      </c>
    </row>
    <row r="13" spans="2:8" ht="18">
      <c r="B13" s="210">
        <v>10</v>
      </c>
      <c r="C13" s="912" t="s">
        <v>3501</v>
      </c>
      <c r="D13" s="1446"/>
      <c r="E13" s="185" t="s">
        <v>574</v>
      </c>
    </row>
    <row r="14" spans="2:8" ht="18">
      <c r="B14" s="210">
        <v>11</v>
      </c>
      <c r="C14" s="912" t="s">
        <v>3514</v>
      </c>
      <c r="D14" s="1446"/>
      <c r="E14" s="185" t="s">
        <v>574</v>
      </c>
    </row>
    <row r="15" spans="2:8" ht="18">
      <c r="B15" s="210">
        <v>12</v>
      </c>
      <c r="C15" s="912" t="s">
        <v>3507</v>
      </c>
      <c r="D15" s="1446"/>
      <c r="E15" s="185" t="s">
        <v>574</v>
      </c>
    </row>
    <row r="16" spans="2:8" ht="18">
      <c r="B16" s="210">
        <v>13</v>
      </c>
      <c r="C16" s="912" t="s">
        <v>3604</v>
      </c>
      <c r="D16" s="1446"/>
      <c r="E16" s="185" t="s">
        <v>574</v>
      </c>
    </row>
    <row r="17" spans="2:5" ht="18">
      <c r="B17" s="210">
        <v>14</v>
      </c>
      <c r="C17" s="912" t="s">
        <v>7344</v>
      </c>
      <c r="D17" s="1446"/>
      <c r="E17" s="185" t="s">
        <v>574</v>
      </c>
    </row>
    <row r="18" spans="2:5" ht="18">
      <c r="B18" s="210">
        <v>15</v>
      </c>
      <c r="C18" s="912" t="s">
        <v>3515</v>
      </c>
      <c r="D18" s="1446"/>
      <c r="E18" s="185" t="s">
        <v>574</v>
      </c>
    </row>
    <row r="19" spans="2:5" ht="18">
      <c r="B19" s="210">
        <v>16</v>
      </c>
      <c r="C19" s="912" t="s">
        <v>3506</v>
      </c>
      <c r="D19" s="1446"/>
      <c r="E19" s="185" t="s">
        <v>574</v>
      </c>
    </row>
    <row r="20" spans="2:5" ht="18">
      <c r="B20" s="210">
        <v>17</v>
      </c>
      <c r="C20" s="912" t="s">
        <v>7493</v>
      </c>
      <c r="D20" s="1446"/>
      <c r="E20" s="185" t="s">
        <v>574</v>
      </c>
    </row>
    <row r="21" spans="2:5" ht="18">
      <c r="B21" s="210">
        <v>18</v>
      </c>
      <c r="C21" s="912" t="s">
        <v>3516</v>
      </c>
      <c r="D21" s="1446"/>
      <c r="E21" s="185" t="s">
        <v>574</v>
      </c>
    </row>
    <row r="22" spans="2:5" ht="18">
      <c r="B22" s="210">
        <v>19</v>
      </c>
      <c r="C22" s="912" t="s">
        <v>3509</v>
      </c>
      <c r="D22" s="1446"/>
      <c r="E22" s="185" t="s">
        <v>574</v>
      </c>
    </row>
    <row r="23" spans="2:5" ht="18">
      <c r="B23" s="210">
        <v>20</v>
      </c>
      <c r="C23" s="912" t="s">
        <v>3505</v>
      </c>
      <c r="D23" s="1446"/>
      <c r="E23" s="185" t="s">
        <v>574</v>
      </c>
    </row>
    <row r="24" spans="2:5" ht="18">
      <c r="B24" s="210">
        <v>21</v>
      </c>
      <c r="C24" s="912" t="s">
        <v>77</v>
      </c>
      <c r="D24" s="1446"/>
      <c r="E24" s="185" t="s">
        <v>574</v>
      </c>
    </row>
    <row r="25" spans="2:5" ht="18">
      <c r="B25" s="210">
        <v>22</v>
      </c>
      <c r="C25" s="912" t="s">
        <v>3512</v>
      </c>
      <c r="D25" s="1446"/>
      <c r="E25" s="185" t="s">
        <v>574</v>
      </c>
    </row>
    <row r="26" spans="2:5" ht="18">
      <c r="B26" s="210">
        <v>23</v>
      </c>
      <c r="C26" s="912" t="s">
        <v>7442</v>
      </c>
      <c r="D26" s="1446"/>
      <c r="E26" s="185" t="s">
        <v>574</v>
      </c>
    </row>
    <row r="27" spans="2:5" ht="18">
      <c r="B27" s="210">
        <v>24</v>
      </c>
      <c r="C27" s="912" t="s">
        <v>3508</v>
      </c>
      <c r="D27" s="1446"/>
      <c r="E27" s="185" t="s">
        <v>574</v>
      </c>
    </row>
    <row r="28" spans="2:5" ht="18">
      <c r="B28" s="210">
        <v>25</v>
      </c>
      <c r="C28" s="912" t="s">
        <v>5789</v>
      </c>
      <c r="D28" s="1446"/>
      <c r="E28" s="185" t="s">
        <v>574</v>
      </c>
    </row>
    <row r="29" spans="2:5" ht="18">
      <c r="B29" s="210">
        <v>26</v>
      </c>
      <c r="C29" s="912" t="s">
        <v>3606</v>
      </c>
      <c r="D29" s="1446"/>
      <c r="E29" s="185" t="s">
        <v>574</v>
      </c>
    </row>
    <row r="30" spans="2:5" ht="18">
      <c r="B30" s="210">
        <v>27</v>
      </c>
      <c r="C30" s="912" t="s">
        <v>7440</v>
      </c>
      <c r="D30" s="1446" t="s">
        <v>7495</v>
      </c>
      <c r="E30" s="185" t="s">
        <v>574</v>
      </c>
    </row>
    <row r="31" spans="2:5" ht="18">
      <c r="B31" s="210">
        <v>28</v>
      </c>
      <c r="C31" s="912" t="s">
        <v>3537</v>
      </c>
      <c r="D31" s="1446" t="s">
        <v>7448</v>
      </c>
      <c r="E31" s="185" t="s">
        <v>574</v>
      </c>
    </row>
    <row r="32" spans="2:5" ht="18">
      <c r="B32" s="210">
        <v>29</v>
      </c>
      <c r="C32" s="912" t="s">
        <v>7444</v>
      </c>
      <c r="D32" s="1446" t="s">
        <v>7494</v>
      </c>
      <c r="E32" s="185" t="s">
        <v>574</v>
      </c>
    </row>
    <row r="33" spans="2:5" ht="18">
      <c r="B33" s="210">
        <v>30</v>
      </c>
      <c r="C33" s="912" t="s">
        <v>3502</v>
      </c>
      <c r="D33" s="1446"/>
      <c r="E33" s="185" t="s">
        <v>574</v>
      </c>
    </row>
    <row r="34" spans="2:5" ht="18">
      <c r="B34" s="210">
        <v>31</v>
      </c>
      <c r="C34" s="912" t="s">
        <v>7443</v>
      </c>
      <c r="D34" s="1446"/>
      <c r="E34" s="185" t="s">
        <v>574</v>
      </c>
    </row>
    <row r="35" spans="2:5" ht="15.6">
      <c r="B35" s="210">
        <v>32</v>
      </c>
      <c r="C35" s="912"/>
    </row>
    <row r="36" spans="2:5" ht="15.6">
      <c r="B36" s="210">
        <v>33</v>
      </c>
      <c r="C36" s="912"/>
    </row>
    <row r="37" spans="2:5" ht="15.6">
      <c r="B37" s="210">
        <v>34</v>
      </c>
      <c r="C37" s="912"/>
    </row>
    <row r="38" spans="2:5" ht="15.6">
      <c r="B38" s="210">
        <v>35</v>
      </c>
      <c r="C38" s="912"/>
    </row>
    <row r="39" spans="2:5" ht="15.6">
      <c r="B39" s="210">
        <v>36</v>
      </c>
      <c r="C39" s="912"/>
    </row>
    <row r="40" spans="2:5" ht="15.6">
      <c r="B40" s="210">
        <v>37</v>
      </c>
      <c r="C40" s="912"/>
    </row>
    <row r="41" spans="2:5" ht="15.6">
      <c r="B41" s="210">
        <v>38</v>
      </c>
      <c r="C41" s="912"/>
    </row>
  </sheetData>
  <sortState xmlns:xlrd2="http://schemas.microsoft.com/office/spreadsheetml/2017/richdata2" ref="C3:C34">
    <sortCondition ref="C1"/>
  </sortState>
  <mergeCells count="1">
    <mergeCell ref="B2:E2"/>
  </mergeCells>
  <dataValidations count="1">
    <dataValidation type="list" allowBlank="1" showInputMessage="1" showErrorMessage="1" sqref="E4:E34" xr:uid="{075B5F0E-8F7C-49EE-B8FB-9B82756CD316}">
      <formula1>"Yes,No"</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1C092-562F-48A7-ABA0-4535664A72E4}">
  <sheetPr codeName="Sheet19">
    <tabColor rgb="FFFFFFCC"/>
  </sheetPr>
  <dimension ref="B2:D74"/>
  <sheetViews>
    <sheetView workbookViewId="0">
      <selection activeCell="P17" sqref="P17"/>
    </sheetView>
  </sheetViews>
  <sheetFormatPr defaultRowHeight="14.4"/>
  <cols>
    <col min="2" max="2" width="8.88671875" style="210"/>
  </cols>
  <sheetData>
    <row r="2" spans="2:4" ht="18">
      <c r="B2" s="911" t="s">
        <v>3465</v>
      </c>
    </row>
    <row r="3" spans="2:4">
      <c r="B3" s="210">
        <v>1</v>
      </c>
      <c r="C3" t="s">
        <v>3434</v>
      </c>
    </row>
    <row r="4" spans="2:4">
      <c r="B4" s="210">
        <v>2</v>
      </c>
      <c r="C4" t="s">
        <v>3443</v>
      </c>
    </row>
    <row r="5" spans="2:4">
      <c r="B5" s="210">
        <v>3</v>
      </c>
      <c r="C5" t="s">
        <v>3435</v>
      </c>
    </row>
    <row r="6" spans="2:4">
      <c r="B6" s="210">
        <v>4</v>
      </c>
      <c r="C6" t="s">
        <v>1625</v>
      </c>
      <c r="D6" t="s">
        <v>3436</v>
      </c>
    </row>
    <row r="7" spans="2:4">
      <c r="B7" s="210">
        <v>5</v>
      </c>
      <c r="C7" t="s">
        <v>3444</v>
      </c>
    </row>
    <row r="8" spans="2:4">
      <c r="B8" s="210">
        <v>6</v>
      </c>
      <c r="C8" t="s">
        <v>3478</v>
      </c>
    </row>
    <row r="9" spans="2:4">
      <c r="B9" s="210">
        <v>7</v>
      </c>
      <c r="C9" t="s">
        <v>3445</v>
      </c>
    </row>
    <row r="10" spans="2:4">
      <c r="B10" s="210">
        <v>8</v>
      </c>
      <c r="C10" t="s">
        <v>3437</v>
      </c>
    </row>
    <row r="11" spans="2:4">
      <c r="B11" s="210">
        <v>9</v>
      </c>
      <c r="C11" t="s">
        <v>3438</v>
      </c>
    </row>
    <row r="12" spans="2:4">
      <c r="B12" s="210">
        <v>10</v>
      </c>
      <c r="C12" t="s">
        <v>3439</v>
      </c>
    </row>
    <row r="13" spans="2:4">
      <c r="B13" s="210">
        <v>11</v>
      </c>
      <c r="C13" t="s">
        <v>3479</v>
      </c>
    </row>
    <row r="14" spans="2:4">
      <c r="B14" s="210">
        <v>12</v>
      </c>
      <c r="C14" t="s">
        <v>3440</v>
      </c>
    </row>
    <row r="15" spans="2:4">
      <c r="B15" s="210">
        <v>13</v>
      </c>
      <c r="C15" t="s">
        <v>3441</v>
      </c>
    </row>
    <row r="16" spans="2:4">
      <c r="B16" s="210">
        <v>14</v>
      </c>
      <c r="C16" t="s">
        <v>3442</v>
      </c>
    </row>
    <row r="17" spans="2:3">
      <c r="B17" s="210">
        <v>15</v>
      </c>
      <c r="C17" t="s">
        <v>3446</v>
      </c>
    </row>
    <row r="18" spans="2:3">
      <c r="B18" s="210">
        <v>16</v>
      </c>
      <c r="C18" t="s">
        <v>3447</v>
      </c>
    </row>
    <row r="19" spans="2:3">
      <c r="B19" s="210">
        <v>17</v>
      </c>
      <c r="C19" t="s">
        <v>3448</v>
      </c>
    </row>
    <row r="20" spans="2:3">
      <c r="B20" s="210">
        <v>18</v>
      </c>
      <c r="C20" t="s">
        <v>3449</v>
      </c>
    </row>
    <row r="21" spans="2:3">
      <c r="B21" s="210">
        <v>19</v>
      </c>
      <c r="C21" t="s">
        <v>3451</v>
      </c>
    </row>
    <row r="22" spans="2:3">
      <c r="B22" s="210">
        <v>20</v>
      </c>
      <c r="C22" t="s">
        <v>3480</v>
      </c>
    </row>
    <row r="23" spans="2:3">
      <c r="B23" s="210">
        <v>21</v>
      </c>
      <c r="C23" t="s">
        <v>3452</v>
      </c>
    </row>
    <row r="24" spans="2:3">
      <c r="B24" s="210">
        <v>22</v>
      </c>
      <c r="C24" t="s">
        <v>3467</v>
      </c>
    </row>
    <row r="25" spans="2:3">
      <c r="B25" s="210">
        <v>23</v>
      </c>
      <c r="C25" t="s">
        <v>3450</v>
      </c>
    </row>
    <row r="26" spans="2:3">
      <c r="B26" s="210">
        <v>24</v>
      </c>
      <c r="C26" t="s">
        <v>3468</v>
      </c>
    </row>
    <row r="27" spans="2:3">
      <c r="B27" s="210">
        <v>25</v>
      </c>
      <c r="C27" t="s">
        <v>3481</v>
      </c>
    </row>
    <row r="28" spans="2:3">
      <c r="B28" s="210">
        <v>26</v>
      </c>
      <c r="C28" t="s">
        <v>3482</v>
      </c>
    </row>
    <row r="29" spans="2:3">
      <c r="B29" s="210">
        <v>27</v>
      </c>
      <c r="C29" t="s">
        <v>3483</v>
      </c>
    </row>
    <row r="30" spans="2:3">
      <c r="B30" s="210">
        <v>28</v>
      </c>
      <c r="C30" t="s">
        <v>3484</v>
      </c>
    </row>
    <row r="31" spans="2:3">
      <c r="B31" s="210">
        <v>29</v>
      </c>
      <c r="C31" t="s">
        <v>3485</v>
      </c>
    </row>
    <row r="32" spans="2:3">
      <c r="B32" s="210">
        <v>30</v>
      </c>
      <c r="C32" t="s">
        <v>3486</v>
      </c>
    </row>
    <row r="33" spans="2:3">
      <c r="B33" s="210">
        <v>31</v>
      </c>
      <c r="C33" t="s">
        <v>3487</v>
      </c>
    </row>
    <row r="34" spans="2:3">
      <c r="B34" s="210">
        <v>32</v>
      </c>
      <c r="C34" t="s">
        <v>3488</v>
      </c>
    </row>
    <row r="35" spans="2:3">
      <c r="B35" s="210">
        <v>33</v>
      </c>
      <c r="C35" t="s">
        <v>3489</v>
      </c>
    </row>
    <row r="36" spans="2:3">
      <c r="B36" s="210">
        <v>34</v>
      </c>
      <c r="C36" t="s">
        <v>3490</v>
      </c>
    </row>
    <row r="37" spans="2:3">
      <c r="B37" s="210">
        <v>35</v>
      </c>
      <c r="C37" t="s">
        <v>3491</v>
      </c>
    </row>
    <row r="38" spans="2:3">
      <c r="B38" s="210">
        <v>36</v>
      </c>
      <c r="C38" t="s">
        <v>3492</v>
      </c>
    </row>
    <row r="39" spans="2:3">
      <c r="B39" s="210">
        <v>37</v>
      </c>
      <c r="C39" t="s">
        <v>248</v>
      </c>
    </row>
    <row r="40" spans="2:3">
      <c r="B40" s="210">
        <v>38</v>
      </c>
      <c r="C40" t="s">
        <v>112</v>
      </c>
    </row>
    <row r="41" spans="2:3">
      <c r="B41" s="210">
        <v>39</v>
      </c>
      <c r="C41" t="s">
        <v>1853</v>
      </c>
    </row>
    <row r="42" spans="2:3">
      <c r="B42" s="210">
        <v>40</v>
      </c>
      <c r="C42" t="s">
        <v>572</v>
      </c>
    </row>
    <row r="43" spans="2:3">
      <c r="B43" s="210">
        <v>41</v>
      </c>
      <c r="C43" t="s">
        <v>80</v>
      </c>
    </row>
    <row r="44" spans="2:3">
      <c r="B44" s="210">
        <v>42</v>
      </c>
      <c r="C44" t="s">
        <v>3495</v>
      </c>
    </row>
    <row r="45" spans="2:3">
      <c r="B45" s="210">
        <v>43</v>
      </c>
      <c r="C45" t="s">
        <v>3493</v>
      </c>
    </row>
    <row r="46" spans="2:3">
      <c r="B46" s="210">
        <v>44</v>
      </c>
      <c r="C46" t="s">
        <v>3429</v>
      </c>
    </row>
    <row r="47" spans="2:3">
      <c r="B47" s="210">
        <v>45</v>
      </c>
      <c r="C47" t="s">
        <v>3494</v>
      </c>
    </row>
    <row r="48" spans="2:3">
      <c r="B48" s="210">
        <v>46</v>
      </c>
      <c r="C48" t="s">
        <v>3496</v>
      </c>
    </row>
    <row r="49" spans="2:3">
      <c r="B49" s="210">
        <v>47</v>
      </c>
      <c r="C49" t="s">
        <v>270</v>
      </c>
    </row>
    <row r="50" spans="2:3">
      <c r="B50" s="210">
        <v>48</v>
      </c>
      <c r="C50" t="s">
        <v>3262</v>
      </c>
    </row>
    <row r="53" spans="2:3" ht="18">
      <c r="B53" s="910" t="s">
        <v>3453</v>
      </c>
    </row>
    <row r="54" spans="2:3">
      <c r="B54" s="210">
        <v>1</v>
      </c>
      <c r="C54" s="7" t="s">
        <v>3456</v>
      </c>
    </row>
    <row r="55" spans="2:3">
      <c r="B55" s="210">
        <v>2</v>
      </c>
      <c r="C55" t="s">
        <v>3457</v>
      </c>
    </row>
    <row r="56" spans="2:3">
      <c r="B56" s="210">
        <v>3</v>
      </c>
      <c r="C56" t="s">
        <v>3458</v>
      </c>
    </row>
    <row r="57" spans="2:3">
      <c r="B57" s="210">
        <v>4</v>
      </c>
      <c r="C57" t="s">
        <v>3459</v>
      </c>
    </row>
    <row r="58" spans="2:3">
      <c r="B58" s="210">
        <v>5</v>
      </c>
      <c r="C58" t="s">
        <v>3460</v>
      </c>
    </row>
    <row r="59" spans="2:3">
      <c r="B59" s="210">
        <v>6</v>
      </c>
      <c r="C59" t="s">
        <v>3454</v>
      </c>
    </row>
    <row r="60" spans="2:3">
      <c r="B60" s="210">
        <v>7</v>
      </c>
      <c r="C60" t="s">
        <v>3455</v>
      </c>
    </row>
    <row r="61" spans="2:3">
      <c r="B61" s="210">
        <v>8</v>
      </c>
      <c r="C61" t="s">
        <v>3461</v>
      </c>
    </row>
    <row r="62" spans="2:3">
      <c r="B62" s="210">
        <v>9</v>
      </c>
      <c r="C62" t="s">
        <v>3466</v>
      </c>
    </row>
    <row r="63" spans="2:3">
      <c r="B63" s="210">
        <v>10</v>
      </c>
      <c r="C63" t="s">
        <v>3462</v>
      </c>
    </row>
    <row r="64" spans="2:3">
      <c r="B64" s="210">
        <v>11</v>
      </c>
      <c r="C64" t="s">
        <v>3463</v>
      </c>
    </row>
    <row r="65" spans="2:3">
      <c r="B65" s="210">
        <v>12</v>
      </c>
      <c r="C65" t="s">
        <v>3464</v>
      </c>
    </row>
    <row r="66" spans="2:3">
      <c r="B66" s="210">
        <v>13</v>
      </c>
      <c r="C66" t="s">
        <v>3469</v>
      </c>
    </row>
    <row r="67" spans="2:3">
      <c r="B67" s="210">
        <v>14</v>
      </c>
      <c r="C67" t="s">
        <v>3471</v>
      </c>
    </row>
    <row r="68" spans="2:3">
      <c r="B68" s="210">
        <v>15</v>
      </c>
      <c r="C68" t="s">
        <v>3477</v>
      </c>
    </row>
    <row r="69" spans="2:3">
      <c r="B69" s="210">
        <v>16</v>
      </c>
      <c r="C69" t="s">
        <v>3472</v>
      </c>
    </row>
    <row r="70" spans="2:3">
      <c r="B70" s="210">
        <v>17</v>
      </c>
      <c r="C70" t="s">
        <v>3473</v>
      </c>
    </row>
    <row r="71" spans="2:3">
      <c r="B71" s="210">
        <v>18</v>
      </c>
      <c r="C71" t="s">
        <v>3474</v>
      </c>
    </row>
    <row r="72" spans="2:3">
      <c r="B72" s="210">
        <v>19</v>
      </c>
      <c r="C72" t="s">
        <v>3470</v>
      </c>
    </row>
    <row r="73" spans="2:3">
      <c r="B73" s="210">
        <v>20</v>
      </c>
      <c r="C73" t="s">
        <v>3475</v>
      </c>
    </row>
    <row r="74" spans="2:3">
      <c r="B74" s="210">
        <v>21</v>
      </c>
      <c r="C74" t="s">
        <v>3476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BD203-5BC7-420B-86E7-8BEE85856E71}">
  <sheetPr codeName="Sheet30">
    <tabColor rgb="FF00B0F0"/>
  </sheetPr>
  <dimension ref="A1:AG19"/>
  <sheetViews>
    <sheetView topLeftCell="W1" workbookViewId="0">
      <selection activeCell="AE15" sqref="AE15"/>
    </sheetView>
  </sheetViews>
  <sheetFormatPr defaultRowHeight="14.4"/>
  <cols>
    <col min="1" max="1" width="16.109375" customWidth="1"/>
    <col min="2" max="2" width="18.5546875" customWidth="1"/>
    <col min="27" max="27" width="24.5546875" bestFit="1" customWidth="1"/>
    <col min="28" max="28" width="21.88671875" bestFit="1" customWidth="1"/>
    <col min="29" max="29" width="26.109375" bestFit="1" customWidth="1"/>
    <col min="30" max="30" width="20.21875" bestFit="1" customWidth="1"/>
    <col min="31" max="31" width="23.77734375" bestFit="1" customWidth="1"/>
    <col min="32" max="32" width="16.88671875" bestFit="1" customWidth="1"/>
    <col min="33" max="33" width="22.21875" bestFit="1" customWidth="1"/>
  </cols>
  <sheetData>
    <row r="1" spans="1:33" ht="21">
      <c r="A1" s="1494" t="s">
        <v>7474</v>
      </c>
      <c r="B1" s="1494"/>
      <c r="C1" s="1442" t="s">
        <v>336</v>
      </c>
      <c r="AA1" s="1193" t="s">
        <v>7344</v>
      </c>
      <c r="AE1" s="198" t="s">
        <v>336</v>
      </c>
    </row>
    <row r="2" spans="1:33">
      <c r="A2" s="210"/>
      <c r="B2" s="409"/>
      <c r="C2" s="129"/>
    </row>
    <row r="3" spans="1:33" ht="18">
      <c r="A3" s="1193" t="s">
        <v>7344</v>
      </c>
      <c r="B3" s="1450" t="s">
        <v>233</v>
      </c>
      <c r="C3" s="1449"/>
      <c r="AA3" s="335" t="s">
        <v>3692</v>
      </c>
      <c r="AB3" s="335" t="s">
        <v>6130</v>
      </c>
      <c r="AC3" s="335" t="s">
        <v>261</v>
      </c>
      <c r="AD3" s="335" t="s">
        <v>315</v>
      </c>
      <c r="AE3" s="335" t="s">
        <v>961</v>
      </c>
      <c r="AF3" s="335" t="s">
        <v>6539</v>
      </c>
      <c r="AG3" s="335" t="s">
        <v>5789</v>
      </c>
    </row>
    <row r="4" spans="1:33" ht="18">
      <c r="A4" s="911"/>
      <c r="AA4" t="s">
        <v>7497</v>
      </c>
      <c r="AB4" t="s">
        <v>4714</v>
      </c>
      <c r="AC4" t="s">
        <v>4587</v>
      </c>
      <c r="AD4" s="822" t="s">
        <v>7475</v>
      </c>
      <c r="AE4" t="s">
        <v>7462</v>
      </c>
      <c r="AF4" t="s">
        <v>7467</v>
      </c>
      <c r="AG4" s="490" t="s">
        <v>6063</v>
      </c>
    </row>
    <row r="5" spans="1:33" ht="18">
      <c r="A5" s="911"/>
      <c r="AA5" t="s">
        <v>6340</v>
      </c>
      <c r="AB5" s="9" t="s">
        <v>7463</v>
      </c>
      <c r="AC5" t="s">
        <v>9</v>
      </c>
      <c r="AD5" s="822" t="s">
        <v>197</v>
      </c>
      <c r="AE5" t="s">
        <v>7464</v>
      </c>
      <c r="AF5" t="s">
        <v>17</v>
      </c>
    </row>
    <row r="6" spans="1:33" ht="18">
      <c r="A6" s="911"/>
      <c r="AA6" t="s">
        <v>4540</v>
      </c>
      <c r="AB6" t="s">
        <v>7465</v>
      </c>
      <c r="AC6" t="s">
        <v>11</v>
      </c>
      <c r="AD6" s="822" t="s">
        <v>1193</v>
      </c>
      <c r="AE6" t="s">
        <v>7466</v>
      </c>
    </row>
    <row r="7" spans="1:33" ht="18">
      <c r="A7" s="911"/>
      <c r="AA7" s="9" t="s">
        <v>4523</v>
      </c>
      <c r="AC7" t="s">
        <v>25</v>
      </c>
      <c r="AD7" s="822" t="s">
        <v>1296</v>
      </c>
      <c r="AE7" t="s">
        <v>7469</v>
      </c>
    </row>
    <row r="8" spans="1:33" ht="18">
      <c r="A8" s="911"/>
      <c r="AA8" s="9" t="s">
        <v>7468</v>
      </c>
      <c r="AC8" t="s">
        <v>26</v>
      </c>
      <c r="AE8" s="822" t="s">
        <v>7345</v>
      </c>
    </row>
    <row r="9" spans="1:33" ht="18">
      <c r="A9" s="911"/>
      <c r="AC9" t="s">
        <v>32</v>
      </c>
      <c r="AE9" t="s">
        <v>7470</v>
      </c>
    </row>
    <row r="10" spans="1:33">
      <c r="AC10" t="s">
        <v>34</v>
      </c>
      <c r="AE10" t="s">
        <v>7471</v>
      </c>
    </row>
    <row r="11" spans="1:33" ht="15.6">
      <c r="AB11" s="912"/>
      <c r="AC11" t="s">
        <v>39</v>
      </c>
      <c r="AE11" t="s">
        <v>7472</v>
      </c>
    </row>
    <row r="12" spans="1:33">
      <c r="AC12" t="s">
        <v>4588</v>
      </c>
      <c r="AE12" t="s">
        <v>1853</v>
      </c>
    </row>
    <row r="13" spans="1:33">
      <c r="AC13" t="s">
        <v>202</v>
      </c>
      <c r="AE13" t="s">
        <v>7473</v>
      </c>
    </row>
    <row r="14" spans="1:33">
      <c r="AC14" t="s">
        <v>41</v>
      </c>
    </row>
    <row r="15" spans="1:33">
      <c r="AC15" s="822" t="s">
        <v>342</v>
      </c>
    </row>
    <row r="18" spans="27:28">
      <c r="AA18" s="822"/>
      <c r="AB18" t="s">
        <v>7476</v>
      </c>
    </row>
    <row r="19" spans="27:28">
      <c r="AA19" s="490"/>
      <c r="AB19" t="s">
        <v>7477</v>
      </c>
    </row>
  </sheetData>
  <sortState xmlns:xlrd2="http://schemas.microsoft.com/office/spreadsheetml/2017/richdata2" ref="AE4:AE13">
    <sortCondition ref="AE4:AE13"/>
  </sortState>
  <mergeCells count="1">
    <mergeCell ref="A1:B1"/>
  </mergeCells>
  <hyperlinks>
    <hyperlink ref="C1" location="Contents!B24" display="Contents" xr:uid="{BCFC816B-8194-41A7-8E3D-A558778988A0}"/>
    <hyperlink ref="B3" location="Menu_Layout!AA1" display="Display" xr:uid="{3B214421-CAD3-43A8-B912-3953887F3B84}"/>
    <hyperlink ref="AE1" location="Menu_Layout!A1" display="Contents" xr:uid="{4C76A242-0B1A-48C8-92D3-38104363401B}"/>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3B10-4B7D-4A39-8EE4-9A60DB9ACCDF}">
  <sheetPr codeName="Sheet29">
    <tabColor rgb="FFFF0000"/>
  </sheetPr>
  <dimension ref="A1:O402"/>
  <sheetViews>
    <sheetView topLeftCell="A190" workbookViewId="0">
      <selection activeCell="F198" sqref="F198"/>
    </sheetView>
  </sheetViews>
  <sheetFormatPr defaultRowHeight="18"/>
  <cols>
    <col min="2" max="2" width="10.109375" style="1451" bestFit="1" customWidth="1"/>
    <col min="3" max="3" width="8.33203125" style="1452" bestFit="1" customWidth="1"/>
    <col min="4" max="4" width="44.5546875" style="1451" bestFit="1" customWidth="1"/>
    <col min="5" max="5" width="22.77734375" style="1451" customWidth="1"/>
    <col min="6" max="6" width="81.21875" style="1451" bestFit="1" customWidth="1"/>
    <col min="7" max="7" width="19.6640625" style="1451" customWidth="1"/>
    <col min="8" max="8" width="17.44140625" customWidth="1"/>
    <col min="9" max="9" width="20.77734375" bestFit="1" customWidth="1"/>
    <col min="10" max="10" width="8.88671875" style="393"/>
  </cols>
  <sheetData>
    <row r="1" spans="1:9">
      <c r="A1" s="966" t="s">
        <v>7448</v>
      </c>
      <c r="E1" s="1454" t="s">
        <v>7452</v>
      </c>
    </row>
    <row r="3" spans="1:9">
      <c r="B3" s="1453" t="s">
        <v>1126</v>
      </c>
      <c r="C3" s="1458" t="s">
        <v>3590</v>
      </c>
      <c r="D3" s="1453" t="s">
        <v>7457</v>
      </c>
      <c r="E3" s="1455" t="s">
        <v>7458</v>
      </c>
      <c r="F3" s="1455" t="s">
        <v>7459</v>
      </c>
      <c r="G3" s="1456" t="s">
        <v>6</v>
      </c>
      <c r="H3" s="170" t="s">
        <v>9229</v>
      </c>
      <c r="I3" s="170" t="s">
        <v>9230</v>
      </c>
    </row>
    <row r="4" spans="1:9">
      <c r="B4" s="640">
        <v>46213</v>
      </c>
      <c r="C4" s="2563">
        <v>2</v>
      </c>
      <c r="D4" s="2576" t="s">
        <v>4540</v>
      </c>
      <c r="E4" s="377"/>
      <c r="F4" s="415" t="s">
        <v>7461</v>
      </c>
      <c r="G4" s="415"/>
      <c r="H4" s="2564" t="b">
        <v>0</v>
      </c>
    </row>
    <row r="5" spans="1:9">
      <c r="B5" s="640">
        <v>46213</v>
      </c>
      <c r="C5" s="2563">
        <v>3</v>
      </c>
      <c r="D5" s="2576" t="s">
        <v>4540</v>
      </c>
      <c r="E5" s="377"/>
      <c r="F5" s="415" t="s">
        <v>7484</v>
      </c>
      <c r="G5" s="415"/>
      <c r="H5" s="2564" t="b">
        <v>0</v>
      </c>
    </row>
    <row r="6" spans="1:9">
      <c r="B6" s="640">
        <v>46213</v>
      </c>
      <c r="C6" s="2563">
        <v>4</v>
      </c>
      <c r="D6" s="2576" t="s">
        <v>4540</v>
      </c>
      <c r="E6" s="377"/>
      <c r="F6" s="415" t="s">
        <v>7485</v>
      </c>
      <c r="G6" s="415"/>
      <c r="H6" s="2564" t="b">
        <v>0</v>
      </c>
    </row>
    <row r="7" spans="1:9">
      <c r="B7" s="640">
        <v>46213</v>
      </c>
      <c r="C7" s="2563">
        <v>5</v>
      </c>
      <c r="D7" s="2576" t="s">
        <v>4540</v>
      </c>
      <c r="E7" s="377"/>
      <c r="F7" s="415" t="s">
        <v>9282</v>
      </c>
      <c r="G7" s="415"/>
      <c r="H7" s="2564"/>
    </row>
    <row r="8" spans="1:9">
      <c r="B8" s="640">
        <v>46213</v>
      </c>
      <c r="C8" s="2563">
        <v>6</v>
      </c>
      <c r="D8" s="2576" t="s">
        <v>7460</v>
      </c>
      <c r="E8" s="2577" t="s">
        <v>7449</v>
      </c>
      <c r="F8" s="415" t="s">
        <v>7451</v>
      </c>
      <c r="G8" s="415"/>
      <c r="H8" s="2564" t="b">
        <v>0</v>
      </c>
    </row>
    <row r="9" spans="1:9">
      <c r="B9" s="640">
        <v>46213</v>
      </c>
      <c r="C9" s="2583">
        <v>7</v>
      </c>
      <c r="D9" s="2576" t="s">
        <v>7478</v>
      </c>
      <c r="E9" s="377"/>
      <c r="F9" s="415" t="s">
        <v>7479</v>
      </c>
      <c r="G9" s="415"/>
      <c r="H9" s="2564" t="b">
        <v>0</v>
      </c>
    </row>
    <row r="10" spans="1:9" ht="27.6">
      <c r="B10" s="640">
        <v>46213</v>
      </c>
      <c r="C10" s="2563">
        <v>8</v>
      </c>
      <c r="D10" s="2576" t="s">
        <v>7478</v>
      </c>
      <c r="E10" s="377"/>
      <c r="F10" s="415" t="s">
        <v>7486</v>
      </c>
      <c r="G10" s="415"/>
      <c r="H10" s="2564" t="b">
        <v>0</v>
      </c>
    </row>
    <row r="11" spans="1:9">
      <c r="B11" s="640">
        <v>46213</v>
      </c>
      <c r="C11" s="2563">
        <v>9</v>
      </c>
      <c r="D11" s="2576" t="s">
        <v>7478</v>
      </c>
      <c r="E11" s="377"/>
      <c r="F11" s="2584" t="s">
        <v>7487</v>
      </c>
      <c r="G11" s="415"/>
      <c r="H11" s="2564" t="b">
        <v>0</v>
      </c>
    </row>
    <row r="12" spans="1:9" ht="27.6">
      <c r="B12" s="640">
        <v>46213</v>
      </c>
      <c r="C12" s="2563">
        <v>11</v>
      </c>
      <c r="D12" s="2576" t="s">
        <v>7478</v>
      </c>
      <c r="E12" s="377" t="s">
        <v>7492</v>
      </c>
      <c r="F12" s="415" t="s">
        <v>7491</v>
      </c>
      <c r="G12" s="415"/>
      <c r="H12" s="2564" t="b">
        <v>0</v>
      </c>
    </row>
    <row r="13" spans="1:9">
      <c r="B13" s="640">
        <v>46213</v>
      </c>
      <c r="C13" s="2563">
        <v>1</v>
      </c>
      <c r="D13" s="2576" t="s">
        <v>7450</v>
      </c>
      <c r="E13" s="2577" t="s">
        <v>7449</v>
      </c>
      <c r="F13" s="415" t="s">
        <v>7451</v>
      </c>
      <c r="G13" s="415"/>
      <c r="H13" s="2564"/>
    </row>
    <row r="14" spans="1:9">
      <c r="B14" s="640">
        <v>46213</v>
      </c>
      <c r="C14" s="2563">
        <v>10</v>
      </c>
      <c r="D14" s="2576" t="s">
        <v>7488</v>
      </c>
      <c r="E14" s="377"/>
      <c r="F14" s="415" t="s">
        <v>7489</v>
      </c>
      <c r="G14" s="415"/>
      <c r="H14" s="2564" t="b">
        <v>0</v>
      </c>
    </row>
    <row r="15" spans="1:9" ht="18.600000000000001" customHeight="1">
      <c r="B15" s="640">
        <v>46214</v>
      </c>
      <c r="C15" s="2563">
        <v>13</v>
      </c>
      <c r="D15" s="2576" t="s">
        <v>7496</v>
      </c>
      <c r="E15" s="2577" t="s">
        <v>6385</v>
      </c>
      <c r="F15" s="415" t="s">
        <v>9283</v>
      </c>
      <c r="G15" s="415"/>
      <c r="H15" s="2564" t="b">
        <v>0</v>
      </c>
    </row>
    <row r="16" spans="1:9" ht="18" customHeight="1">
      <c r="B16" s="640">
        <v>46214</v>
      </c>
      <c r="C16" s="2563">
        <v>14</v>
      </c>
      <c r="D16" s="2576" t="s">
        <v>7496</v>
      </c>
      <c r="E16" s="377"/>
      <c r="F16" s="415" t="s">
        <v>7498</v>
      </c>
      <c r="G16" s="415"/>
      <c r="H16" s="2564" t="b">
        <v>0</v>
      </c>
    </row>
    <row r="17" spans="2:8">
      <c r="B17" s="2565">
        <v>46214</v>
      </c>
      <c r="C17" s="2563">
        <v>15</v>
      </c>
      <c r="D17" s="2576" t="s">
        <v>7496</v>
      </c>
      <c r="E17" s="377" t="s">
        <v>7499</v>
      </c>
      <c r="F17" s="415" t="s">
        <v>7500</v>
      </c>
      <c r="G17" s="415"/>
      <c r="H17" s="2564" t="b">
        <v>0</v>
      </c>
    </row>
    <row r="18" spans="2:8">
      <c r="B18" s="640">
        <v>46214</v>
      </c>
      <c r="C18" s="2563">
        <v>16</v>
      </c>
      <c r="D18" s="2576" t="s">
        <v>7496</v>
      </c>
      <c r="E18" s="377" t="s">
        <v>7501</v>
      </c>
      <c r="F18" s="415" t="s">
        <v>7502</v>
      </c>
      <c r="G18" s="415"/>
      <c r="H18" s="2564" t="b">
        <v>0</v>
      </c>
    </row>
    <row r="19" spans="2:8">
      <c r="B19" s="640">
        <v>46214</v>
      </c>
      <c r="C19" s="2563">
        <v>17</v>
      </c>
      <c r="D19" s="2576" t="s">
        <v>7496</v>
      </c>
      <c r="E19" s="377" t="s">
        <v>6404</v>
      </c>
      <c r="F19" s="2566" t="s">
        <v>7505</v>
      </c>
      <c r="G19" s="2566"/>
      <c r="H19" s="2564"/>
    </row>
    <row r="20" spans="2:8">
      <c r="B20" s="640">
        <v>46214</v>
      </c>
      <c r="C20" s="2563">
        <v>18</v>
      </c>
      <c r="D20" s="2576" t="s">
        <v>7496</v>
      </c>
      <c r="E20" s="415" t="s">
        <v>7503</v>
      </c>
      <c r="F20" s="415" t="s">
        <v>7504</v>
      </c>
      <c r="G20" s="415"/>
      <c r="H20" s="2564"/>
    </row>
    <row r="21" spans="2:8">
      <c r="B21" s="640">
        <v>46214</v>
      </c>
      <c r="C21" s="2563">
        <v>19</v>
      </c>
      <c r="D21" s="2576" t="s">
        <v>7496</v>
      </c>
      <c r="E21" s="377" t="s">
        <v>7507</v>
      </c>
      <c r="F21" s="415" t="s">
        <v>7506</v>
      </c>
      <c r="G21" s="415"/>
      <c r="H21" s="2564"/>
    </row>
    <row r="22" spans="2:8">
      <c r="B22" s="640">
        <v>46214</v>
      </c>
      <c r="C22" s="2563">
        <v>20</v>
      </c>
      <c r="D22" s="2576" t="s">
        <v>7496</v>
      </c>
      <c r="E22" s="377" t="s">
        <v>7508</v>
      </c>
      <c r="F22" s="415" t="s">
        <v>7509</v>
      </c>
      <c r="G22" s="415"/>
      <c r="H22" s="2564"/>
    </row>
    <row r="23" spans="2:8" ht="27.6">
      <c r="B23" s="640">
        <v>46214</v>
      </c>
      <c r="C23" s="2563">
        <v>21</v>
      </c>
      <c r="D23" s="2576" t="s">
        <v>7496</v>
      </c>
      <c r="E23" s="377" t="s">
        <v>7510</v>
      </c>
      <c r="F23" s="415" t="s">
        <v>7511</v>
      </c>
      <c r="G23" s="415"/>
      <c r="H23" s="2564"/>
    </row>
    <row r="24" spans="2:8">
      <c r="B24" s="640">
        <v>46214</v>
      </c>
      <c r="C24" s="2563">
        <v>22</v>
      </c>
      <c r="D24" s="2576" t="s">
        <v>7496</v>
      </c>
      <c r="E24" s="377" t="s">
        <v>7512</v>
      </c>
      <c r="F24" s="415" t="s">
        <v>9284</v>
      </c>
      <c r="G24" s="415"/>
      <c r="H24" s="2564"/>
    </row>
    <row r="25" spans="2:8">
      <c r="B25" s="640">
        <v>46214</v>
      </c>
      <c r="C25" s="2563">
        <v>31</v>
      </c>
      <c r="D25" s="2576" t="s">
        <v>7518</v>
      </c>
      <c r="E25" s="377" t="s">
        <v>7520</v>
      </c>
      <c r="F25" s="377" t="s">
        <v>7519</v>
      </c>
      <c r="G25" s="377"/>
      <c r="H25" s="2564"/>
    </row>
    <row r="26" spans="2:8">
      <c r="B26" s="2567">
        <v>46214</v>
      </c>
      <c r="C26" s="2563">
        <v>32</v>
      </c>
      <c r="D26" s="2576" t="s">
        <v>7518</v>
      </c>
      <c r="E26" s="377" t="s">
        <v>7510</v>
      </c>
      <c r="F26" s="415" t="s">
        <v>7515</v>
      </c>
      <c r="G26" s="415"/>
      <c r="H26" s="2564"/>
    </row>
    <row r="27" spans="2:8" ht="27.6">
      <c r="B27" s="640">
        <v>46214</v>
      </c>
      <c r="C27" s="2563">
        <v>27</v>
      </c>
      <c r="D27" s="2576" t="s">
        <v>7516</v>
      </c>
      <c r="E27" s="377"/>
      <c r="F27" s="415" t="s">
        <v>9295</v>
      </c>
      <c r="G27" s="415"/>
      <c r="H27" s="2564"/>
    </row>
    <row r="28" spans="2:8">
      <c r="B28" s="2565">
        <v>46214</v>
      </c>
      <c r="C28" s="2583">
        <v>28</v>
      </c>
      <c r="D28" s="2576" t="s">
        <v>7516</v>
      </c>
      <c r="E28" s="377"/>
      <c r="F28" s="415" t="s">
        <v>7517</v>
      </c>
      <c r="G28" s="415"/>
      <c r="H28" s="2564"/>
    </row>
    <row r="29" spans="2:8" ht="27.6">
      <c r="B29" s="640">
        <v>46214</v>
      </c>
      <c r="C29" s="2563">
        <v>29</v>
      </c>
      <c r="D29" s="2576" t="s">
        <v>7516</v>
      </c>
      <c r="E29" s="377"/>
      <c r="F29" s="415" t="s">
        <v>7521</v>
      </c>
      <c r="G29" s="415"/>
      <c r="H29" s="2564"/>
    </row>
    <row r="30" spans="2:8">
      <c r="B30" s="2565">
        <v>46214</v>
      </c>
      <c r="C30" s="2563">
        <v>26</v>
      </c>
      <c r="D30" s="2576" t="s">
        <v>3721</v>
      </c>
      <c r="E30" s="377" t="s">
        <v>7510</v>
      </c>
      <c r="F30" s="415" t="s">
        <v>7515</v>
      </c>
      <c r="G30" s="415"/>
      <c r="H30" s="2564"/>
    </row>
    <row r="31" spans="2:8">
      <c r="B31" s="640">
        <v>46214</v>
      </c>
      <c r="C31" s="2563">
        <v>30</v>
      </c>
      <c r="D31" s="2576" t="s">
        <v>261</v>
      </c>
      <c r="E31" s="377"/>
      <c r="F31" s="415" t="s">
        <v>7522</v>
      </c>
      <c r="G31" s="415"/>
      <c r="H31" s="2564"/>
    </row>
    <row r="32" spans="2:8">
      <c r="B32" s="640">
        <v>46214</v>
      </c>
      <c r="C32" s="2563">
        <v>12</v>
      </c>
      <c r="D32" s="2576" t="s">
        <v>9298</v>
      </c>
      <c r="E32" s="377"/>
      <c r="F32" s="415" t="s">
        <v>9299</v>
      </c>
      <c r="G32" s="415"/>
      <c r="H32" s="2564"/>
    </row>
    <row r="33" spans="2:8">
      <c r="B33" s="640">
        <v>46214</v>
      </c>
      <c r="C33" s="2563">
        <v>25</v>
      </c>
      <c r="D33" s="2576" t="s">
        <v>202</v>
      </c>
      <c r="E33" s="377"/>
      <c r="F33" s="415" t="s">
        <v>9330</v>
      </c>
      <c r="G33" s="415"/>
      <c r="H33" s="2564"/>
    </row>
    <row r="34" spans="2:8" ht="27.6">
      <c r="B34" s="640">
        <v>46214</v>
      </c>
      <c r="C34" s="2563">
        <v>24</v>
      </c>
      <c r="D34" s="2576" t="s">
        <v>7514</v>
      </c>
      <c r="E34" s="377" t="s">
        <v>7510</v>
      </c>
      <c r="F34" s="415" t="s">
        <v>9332</v>
      </c>
      <c r="G34" s="415"/>
      <c r="H34" s="2564"/>
    </row>
    <row r="35" spans="2:8" ht="18" customHeight="1">
      <c r="B35" s="2569">
        <v>46214</v>
      </c>
      <c r="C35" s="2570">
        <v>23</v>
      </c>
      <c r="D35" s="2576" t="s">
        <v>342</v>
      </c>
      <c r="E35" s="2585" t="s">
        <v>7513</v>
      </c>
      <c r="F35" s="2586" t="s">
        <v>9213</v>
      </c>
      <c r="G35" s="2575"/>
      <c r="H35" s="2564"/>
    </row>
    <row r="36" spans="2:8" ht="18" customHeight="1">
      <c r="B36" s="2565">
        <v>46217</v>
      </c>
      <c r="C36" s="2563">
        <v>76</v>
      </c>
      <c r="D36" s="2576" t="s">
        <v>4540</v>
      </c>
      <c r="E36" s="377"/>
      <c r="F36" s="415" t="s">
        <v>7577</v>
      </c>
      <c r="G36" s="415"/>
      <c r="H36" s="2564"/>
    </row>
    <row r="37" spans="2:8" ht="18" customHeight="1">
      <c r="B37" s="640">
        <v>46217</v>
      </c>
      <c r="C37" s="2563">
        <v>51</v>
      </c>
      <c r="D37" s="2576" t="s">
        <v>7540</v>
      </c>
      <c r="E37" s="377" t="s">
        <v>7530</v>
      </c>
      <c r="F37" s="415" t="s">
        <v>7539</v>
      </c>
      <c r="G37" s="415"/>
      <c r="H37" s="2564"/>
    </row>
    <row r="38" spans="2:8">
      <c r="B38" s="2565">
        <v>46217</v>
      </c>
      <c r="C38" s="2563">
        <v>52</v>
      </c>
      <c r="D38" s="2576" t="s">
        <v>7541</v>
      </c>
      <c r="E38" s="377" t="s">
        <v>7542</v>
      </c>
      <c r="F38" s="415" t="s">
        <v>9261</v>
      </c>
      <c r="G38" s="415"/>
      <c r="H38" s="2564"/>
    </row>
    <row r="39" spans="2:8">
      <c r="B39" s="2565">
        <v>46217</v>
      </c>
      <c r="C39" s="2570">
        <v>53</v>
      </c>
      <c r="D39" s="2576" t="s">
        <v>7541</v>
      </c>
      <c r="E39" s="377" t="s">
        <v>6276</v>
      </c>
      <c r="F39" s="415" t="s">
        <v>9303</v>
      </c>
      <c r="G39" s="415"/>
      <c r="H39" s="2564"/>
    </row>
    <row r="40" spans="2:8">
      <c r="B40" s="2565">
        <v>46217</v>
      </c>
      <c r="C40" s="2563">
        <v>54</v>
      </c>
      <c r="D40" s="2576" t="s">
        <v>7541</v>
      </c>
      <c r="E40" s="377"/>
      <c r="F40" s="377" t="s">
        <v>9304</v>
      </c>
      <c r="G40" s="415"/>
      <c r="H40" s="2564"/>
    </row>
    <row r="41" spans="2:8">
      <c r="B41" s="640">
        <v>46217</v>
      </c>
      <c r="C41" s="2563">
        <v>55</v>
      </c>
      <c r="D41" s="2576" t="s">
        <v>7541</v>
      </c>
      <c r="E41" s="377" t="s">
        <v>7548</v>
      </c>
      <c r="F41" s="415" t="s">
        <v>7543</v>
      </c>
      <c r="G41" s="415"/>
      <c r="H41" s="2564"/>
    </row>
    <row r="42" spans="2:8">
      <c r="B42" s="640">
        <v>46217</v>
      </c>
      <c r="C42" s="2563">
        <v>56</v>
      </c>
      <c r="D42" s="2576" t="s">
        <v>7541</v>
      </c>
      <c r="E42" s="377"/>
      <c r="F42" s="415" t="s">
        <v>9262</v>
      </c>
      <c r="G42" s="415"/>
      <c r="H42" s="2564"/>
    </row>
    <row r="43" spans="2:8" ht="55.2">
      <c r="B43" s="640">
        <v>46217</v>
      </c>
      <c r="C43" s="2570">
        <v>57</v>
      </c>
      <c r="D43" s="2576" t="s">
        <v>7541</v>
      </c>
      <c r="E43" s="377"/>
      <c r="F43" s="415" t="s">
        <v>7544</v>
      </c>
      <c r="G43" s="415"/>
      <c r="H43" s="2564"/>
    </row>
    <row r="44" spans="2:8">
      <c r="B44" s="640">
        <v>46217</v>
      </c>
      <c r="C44" s="2563">
        <v>66</v>
      </c>
      <c r="D44" s="2576" t="s">
        <v>7556</v>
      </c>
      <c r="E44" s="377"/>
      <c r="F44" s="415" t="s">
        <v>9314</v>
      </c>
      <c r="G44" s="415"/>
      <c r="H44" s="2564"/>
    </row>
    <row r="45" spans="2:8">
      <c r="B45" s="2565">
        <v>46217</v>
      </c>
      <c r="C45" s="2563">
        <v>67</v>
      </c>
      <c r="D45" s="2576" t="s">
        <v>7556</v>
      </c>
      <c r="E45" s="377"/>
      <c r="F45" s="415" t="s">
        <v>7557</v>
      </c>
      <c r="G45" s="415"/>
      <c r="H45" s="2564"/>
    </row>
    <row r="46" spans="2:8" ht="27.6">
      <c r="B46" s="640">
        <v>46217</v>
      </c>
      <c r="C46" s="2570">
        <v>68</v>
      </c>
      <c r="D46" s="2576" t="s">
        <v>7556</v>
      </c>
      <c r="E46" s="377"/>
      <c r="F46" s="415" t="s">
        <v>7558</v>
      </c>
      <c r="G46" s="415"/>
      <c r="H46" s="2564"/>
    </row>
    <row r="47" spans="2:8" ht="69">
      <c r="B47" s="640">
        <v>46217</v>
      </c>
      <c r="C47" s="2563">
        <v>69</v>
      </c>
      <c r="D47" s="2576" t="s">
        <v>7556</v>
      </c>
      <c r="E47" s="377"/>
      <c r="F47" s="415" t="s">
        <v>7555</v>
      </c>
      <c r="G47" s="415"/>
      <c r="H47" s="2564"/>
    </row>
    <row r="48" spans="2:8">
      <c r="B48" s="2565">
        <v>46217</v>
      </c>
      <c r="C48" s="2563">
        <v>70</v>
      </c>
      <c r="D48" s="2576" t="s">
        <v>7556</v>
      </c>
      <c r="E48" s="377"/>
      <c r="F48" s="415" t="s">
        <v>7559</v>
      </c>
      <c r="G48" s="415"/>
      <c r="H48" s="2564"/>
    </row>
    <row r="49" spans="2:15">
      <c r="B49" s="640">
        <v>46217</v>
      </c>
      <c r="C49" s="2570">
        <v>71</v>
      </c>
      <c r="D49" s="2576" t="s">
        <v>7556</v>
      </c>
      <c r="E49" s="377"/>
      <c r="F49" s="415" t="s">
        <v>7564</v>
      </c>
      <c r="G49" s="415"/>
      <c r="H49" s="2564"/>
    </row>
    <row r="50" spans="2:15" ht="27.6">
      <c r="B50" s="640">
        <v>46217</v>
      </c>
      <c r="C50" s="2563">
        <v>72</v>
      </c>
      <c r="D50" s="2576" t="s">
        <v>7556</v>
      </c>
      <c r="E50" s="377"/>
      <c r="F50" s="415" t="s">
        <v>7560</v>
      </c>
      <c r="G50" s="415"/>
      <c r="H50" s="2564"/>
    </row>
    <row r="51" spans="2:15" ht="18.600000000000001" thickBot="1">
      <c r="B51" s="640">
        <v>46217</v>
      </c>
      <c r="C51" s="2563">
        <v>73</v>
      </c>
      <c r="D51" s="2576" t="s">
        <v>7556</v>
      </c>
      <c r="E51" s="377"/>
      <c r="F51" s="2579" t="s">
        <v>7561</v>
      </c>
      <c r="G51" s="415"/>
      <c r="H51" s="2564"/>
    </row>
    <row r="52" spans="2:15" ht="52.8" customHeight="1">
      <c r="B52" s="640">
        <v>46217</v>
      </c>
      <c r="C52" s="2563">
        <v>74</v>
      </c>
      <c r="D52" s="2576" t="s">
        <v>7556</v>
      </c>
      <c r="E52" s="377"/>
      <c r="F52" s="415" t="s">
        <v>7562</v>
      </c>
      <c r="G52" s="415"/>
      <c r="H52" s="2564"/>
      <c r="J52" s="1457"/>
      <c r="K52" s="1457"/>
      <c r="L52" s="1457"/>
      <c r="M52" s="1457"/>
      <c r="N52" s="1457"/>
      <c r="O52" s="1457"/>
    </row>
    <row r="53" spans="2:15" ht="14.4">
      <c r="B53" s="640">
        <v>46217</v>
      </c>
      <c r="C53" s="2563">
        <v>75</v>
      </c>
      <c r="D53" s="2576" t="s">
        <v>7556</v>
      </c>
      <c r="E53" s="377"/>
      <c r="F53" s="415" t="s">
        <v>7563</v>
      </c>
      <c r="G53" s="415"/>
      <c r="H53" s="2564"/>
      <c r="J53" s="1457"/>
      <c r="K53" s="1457"/>
      <c r="L53" s="1457"/>
      <c r="M53" s="1457"/>
      <c r="N53" s="1457"/>
      <c r="O53" s="1457"/>
    </row>
    <row r="54" spans="2:15" ht="18" customHeight="1">
      <c r="B54" s="640">
        <v>46217</v>
      </c>
      <c r="C54" s="2563">
        <v>45</v>
      </c>
      <c r="D54" s="2576" t="s">
        <v>7523</v>
      </c>
      <c r="E54" s="377" t="s">
        <v>430</v>
      </c>
      <c r="F54" s="415" t="s">
        <v>9315</v>
      </c>
      <c r="G54" s="415"/>
      <c r="H54" s="2564"/>
    </row>
    <row r="55" spans="2:15" ht="43.8" customHeight="1">
      <c r="B55" s="640">
        <v>46217</v>
      </c>
      <c r="C55" s="2563">
        <v>46</v>
      </c>
      <c r="D55" s="2576" t="s">
        <v>7523</v>
      </c>
      <c r="E55" s="377" t="s">
        <v>4865</v>
      </c>
      <c r="F55" s="415" t="s">
        <v>7524</v>
      </c>
      <c r="G55" s="415"/>
      <c r="H55" s="2564"/>
    </row>
    <row r="56" spans="2:15" ht="50.4" customHeight="1">
      <c r="B56" s="640">
        <v>46217</v>
      </c>
      <c r="C56" s="2563">
        <v>47</v>
      </c>
      <c r="D56" s="2576" t="s">
        <v>7523</v>
      </c>
      <c r="E56" s="377"/>
      <c r="F56" s="415" t="s">
        <v>9316</v>
      </c>
      <c r="G56" s="415"/>
      <c r="H56" s="2564"/>
    </row>
    <row r="57" spans="2:15" ht="50.4" customHeight="1">
      <c r="B57" s="640">
        <v>46217</v>
      </c>
      <c r="C57" s="2563">
        <v>58</v>
      </c>
      <c r="D57" s="2576" t="s">
        <v>7545</v>
      </c>
      <c r="E57" s="377"/>
      <c r="F57" s="415" t="s">
        <v>9317</v>
      </c>
      <c r="G57" s="415"/>
      <c r="H57" s="2564"/>
    </row>
    <row r="58" spans="2:15" ht="18.600000000000001" customHeight="1">
      <c r="B58" s="640">
        <v>46217</v>
      </c>
      <c r="C58" s="2563">
        <v>59</v>
      </c>
      <c r="D58" s="2576" t="s">
        <v>7545</v>
      </c>
      <c r="E58" s="377"/>
      <c r="F58" s="415" t="s">
        <v>9318</v>
      </c>
      <c r="G58" s="415"/>
      <c r="H58" s="2564"/>
    </row>
    <row r="59" spans="2:15" ht="41.4">
      <c r="B59" s="640">
        <v>46217</v>
      </c>
      <c r="C59" s="2563">
        <v>60</v>
      </c>
      <c r="D59" s="2576" t="s">
        <v>7545</v>
      </c>
      <c r="E59" s="377" t="s">
        <v>7546</v>
      </c>
      <c r="F59" s="415" t="s">
        <v>7550</v>
      </c>
      <c r="G59" s="415"/>
      <c r="H59" s="2564"/>
    </row>
    <row r="60" spans="2:15" ht="27.6">
      <c r="B60" s="640">
        <v>46217</v>
      </c>
      <c r="C60" s="2563">
        <v>61</v>
      </c>
      <c r="D60" s="2576" t="s">
        <v>7545</v>
      </c>
      <c r="E60" s="377" t="s">
        <v>7546</v>
      </c>
      <c r="F60" s="415" t="s">
        <v>7547</v>
      </c>
      <c r="G60" s="415"/>
      <c r="H60" s="2564"/>
    </row>
    <row r="61" spans="2:15" ht="18" customHeight="1">
      <c r="B61" s="640">
        <v>46217</v>
      </c>
      <c r="C61" s="2563">
        <v>62</v>
      </c>
      <c r="D61" s="2576" t="s">
        <v>7545</v>
      </c>
      <c r="E61" s="377" t="s">
        <v>7546</v>
      </c>
      <c r="F61" s="415" t="s">
        <v>7551</v>
      </c>
      <c r="G61" s="415"/>
      <c r="H61" s="2564"/>
    </row>
    <row r="62" spans="2:15" ht="18.600000000000001" customHeight="1">
      <c r="B62" s="640">
        <v>46217</v>
      </c>
      <c r="C62" s="2563">
        <v>63</v>
      </c>
      <c r="D62" s="2576" t="s">
        <v>7545</v>
      </c>
      <c r="E62" s="377" t="s">
        <v>7548</v>
      </c>
      <c r="F62" s="415" t="s">
        <v>7549</v>
      </c>
      <c r="G62" s="415"/>
      <c r="H62" s="2564"/>
    </row>
    <row r="63" spans="2:15" ht="18.600000000000001" customHeight="1">
      <c r="B63" s="640">
        <v>46217</v>
      </c>
      <c r="C63" s="2563">
        <v>64</v>
      </c>
      <c r="D63" s="2576" t="s">
        <v>7545</v>
      </c>
      <c r="E63" s="377"/>
      <c r="F63" s="415" t="s">
        <v>7552</v>
      </c>
      <c r="G63" s="415"/>
      <c r="H63" s="2564"/>
    </row>
    <row r="64" spans="2:15">
      <c r="B64" s="640">
        <v>46217</v>
      </c>
      <c r="C64" s="2563">
        <v>65</v>
      </c>
      <c r="D64" s="2576" t="s">
        <v>7545</v>
      </c>
      <c r="E64" s="377" t="s">
        <v>6276</v>
      </c>
      <c r="F64" s="415" t="s">
        <v>7553</v>
      </c>
      <c r="G64" s="415"/>
      <c r="H64" s="2564"/>
    </row>
    <row r="65" spans="2:12">
      <c r="B65" s="2565">
        <v>46217</v>
      </c>
      <c r="C65" s="2563">
        <v>49</v>
      </c>
      <c r="D65" s="2576" t="s">
        <v>7536</v>
      </c>
      <c r="E65" s="415" t="s">
        <v>7534</v>
      </c>
      <c r="F65" s="415" t="s">
        <v>7537</v>
      </c>
      <c r="G65" s="415"/>
      <c r="H65" s="2564"/>
      <c r="I65" s="1457"/>
    </row>
    <row r="66" spans="2:12" ht="41.4">
      <c r="B66" s="640">
        <v>46217</v>
      </c>
      <c r="C66" s="2563">
        <v>50</v>
      </c>
      <c r="D66" s="2576" t="s">
        <v>7538</v>
      </c>
      <c r="E66" s="377"/>
      <c r="F66" s="415" t="s">
        <v>7537</v>
      </c>
      <c r="G66" s="415"/>
      <c r="H66" s="2564"/>
      <c r="I66" s="1457"/>
    </row>
    <row r="67" spans="2:12" ht="27.6">
      <c r="B67" s="640">
        <v>46217</v>
      </c>
      <c r="C67" s="2563">
        <v>33</v>
      </c>
      <c r="D67" s="2576" t="s">
        <v>7525</v>
      </c>
      <c r="E67" s="377" t="s">
        <v>7526</v>
      </c>
      <c r="F67" s="377" t="s">
        <v>9319</v>
      </c>
      <c r="G67" s="377"/>
      <c r="H67" s="2564"/>
    </row>
    <row r="68" spans="2:12" ht="41.4">
      <c r="B68" s="640">
        <v>46217</v>
      </c>
      <c r="C68" s="2563">
        <v>34</v>
      </c>
      <c r="D68" s="2576" t="s">
        <v>7525</v>
      </c>
      <c r="E68" s="377" t="s">
        <v>7527</v>
      </c>
      <c r="F68" s="377" t="s">
        <v>9320</v>
      </c>
      <c r="G68" s="377"/>
      <c r="H68" s="2564"/>
    </row>
    <row r="69" spans="2:12" ht="18.600000000000001" customHeight="1">
      <c r="B69" s="640">
        <v>46217</v>
      </c>
      <c r="C69" s="2563">
        <v>35</v>
      </c>
      <c r="D69" s="2576" t="s">
        <v>7525</v>
      </c>
      <c r="E69" s="377" t="s">
        <v>7527</v>
      </c>
      <c r="F69" s="613" t="s">
        <v>7528</v>
      </c>
      <c r="G69" s="613"/>
      <c r="H69" s="2564"/>
    </row>
    <row r="70" spans="2:12">
      <c r="B70" s="2565">
        <v>46217</v>
      </c>
      <c r="C70" s="2563">
        <v>36</v>
      </c>
      <c r="D70" s="2576" t="s">
        <v>7525</v>
      </c>
      <c r="E70" s="2571" t="s">
        <v>9278</v>
      </c>
      <c r="F70" s="2572" t="s">
        <v>9321</v>
      </c>
      <c r="G70" s="2572"/>
      <c r="H70" s="2564"/>
      <c r="K70" t="s">
        <v>804</v>
      </c>
      <c r="L70" t="s">
        <v>441</v>
      </c>
    </row>
    <row r="71" spans="2:12">
      <c r="B71" s="640">
        <v>46217</v>
      </c>
      <c r="C71" s="2563">
        <v>37</v>
      </c>
      <c r="D71" s="2576" t="s">
        <v>7525</v>
      </c>
      <c r="E71" s="377"/>
      <c r="F71" s="377" t="s">
        <v>7529</v>
      </c>
      <c r="G71" s="377"/>
      <c r="H71" s="2564"/>
    </row>
    <row r="72" spans="2:12">
      <c r="B72" s="640">
        <v>46217</v>
      </c>
      <c r="C72" s="2563">
        <v>38</v>
      </c>
      <c r="D72" s="2576" t="s">
        <v>7525</v>
      </c>
      <c r="E72" s="2573" t="s">
        <v>7530</v>
      </c>
      <c r="F72" s="377" t="s">
        <v>7533</v>
      </c>
      <c r="G72" s="377"/>
      <c r="H72" s="2564"/>
    </row>
    <row r="73" spans="2:12">
      <c r="B73" s="2565">
        <v>46217</v>
      </c>
      <c r="C73" s="2563">
        <v>39</v>
      </c>
      <c r="D73" s="2576" t="s">
        <v>7525</v>
      </c>
      <c r="E73" s="2573" t="s">
        <v>7530</v>
      </c>
      <c r="F73" s="415" t="s">
        <v>7531</v>
      </c>
      <c r="G73" s="415"/>
      <c r="H73" s="2564"/>
    </row>
    <row r="74" spans="2:12">
      <c r="B74" s="640">
        <v>46217</v>
      </c>
      <c r="C74" s="2563">
        <v>40</v>
      </c>
      <c r="D74" s="2576" t="s">
        <v>7525</v>
      </c>
      <c r="E74" s="2573" t="s">
        <v>7530</v>
      </c>
      <c r="F74" s="415" t="s">
        <v>9279</v>
      </c>
      <c r="G74" s="377"/>
      <c r="H74" s="2564"/>
    </row>
    <row r="75" spans="2:12">
      <c r="B75" s="640">
        <v>46217</v>
      </c>
      <c r="C75" s="2563">
        <v>41</v>
      </c>
      <c r="D75" s="2576" t="s">
        <v>7525</v>
      </c>
      <c r="E75" s="2573" t="s">
        <v>7530</v>
      </c>
      <c r="F75" s="415" t="s">
        <v>9322</v>
      </c>
      <c r="G75" s="415"/>
      <c r="H75" s="2564"/>
    </row>
    <row r="76" spans="2:12">
      <c r="B76" s="640">
        <v>46217</v>
      </c>
      <c r="C76" s="2563">
        <v>42</v>
      </c>
      <c r="D76" s="2576" t="s">
        <v>7525</v>
      </c>
      <c r="E76" s="2573" t="s">
        <v>7530</v>
      </c>
      <c r="F76" s="377" t="s">
        <v>7532</v>
      </c>
      <c r="G76" s="377"/>
      <c r="H76" s="2564"/>
    </row>
    <row r="77" spans="2:12" ht="27.6">
      <c r="B77" s="2565">
        <v>46217</v>
      </c>
      <c r="C77" s="2563">
        <v>43</v>
      </c>
      <c r="D77" s="2576" t="s">
        <v>7525</v>
      </c>
      <c r="E77" s="2573" t="s">
        <v>7530</v>
      </c>
      <c r="F77" s="377" t="s">
        <v>9323</v>
      </c>
      <c r="G77" s="377"/>
      <c r="H77" s="2564"/>
    </row>
    <row r="78" spans="2:12">
      <c r="B78" s="640">
        <v>46217</v>
      </c>
      <c r="C78" s="2563">
        <v>44</v>
      </c>
      <c r="D78" s="2576" t="s">
        <v>7525</v>
      </c>
      <c r="E78" s="377" t="s">
        <v>7530</v>
      </c>
      <c r="F78" s="415" t="s">
        <v>9324</v>
      </c>
      <c r="G78" s="415"/>
      <c r="H78" s="2564"/>
    </row>
    <row r="79" spans="2:12" ht="27.6">
      <c r="B79" s="640">
        <v>46217</v>
      </c>
      <c r="C79" s="2563">
        <v>48</v>
      </c>
      <c r="D79" s="2576" t="s">
        <v>7535</v>
      </c>
      <c r="E79" s="415" t="s">
        <v>7534</v>
      </c>
      <c r="F79" s="2574" t="s">
        <v>9329</v>
      </c>
      <c r="G79" s="2574"/>
      <c r="H79" s="2564"/>
    </row>
    <row r="80" spans="2:12" ht="27.6">
      <c r="B80" s="640">
        <v>46218</v>
      </c>
      <c r="C80" s="2563">
        <v>78</v>
      </c>
      <c r="D80" s="2576" t="s">
        <v>4540</v>
      </c>
      <c r="E80" s="377"/>
      <c r="F80" s="415" t="s">
        <v>7579</v>
      </c>
      <c r="G80" s="415"/>
      <c r="H80" s="2564"/>
    </row>
    <row r="81" spans="2:8" ht="27.6">
      <c r="B81" s="640">
        <v>46218</v>
      </c>
      <c r="C81" s="2563">
        <v>79</v>
      </c>
      <c r="D81" s="2576" t="s">
        <v>9269</v>
      </c>
      <c r="E81" s="377"/>
      <c r="F81" s="415" t="s">
        <v>9307</v>
      </c>
      <c r="G81" s="415"/>
      <c r="H81" s="2564"/>
    </row>
    <row r="82" spans="2:8" ht="27.6">
      <c r="B82" s="640">
        <v>46218</v>
      </c>
      <c r="C82" s="2563">
        <v>77</v>
      </c>
      <c r="D82" s="2576" t="s">
        <v>7578</v>
      </c>
      <c r="E82" s="377" t="s">
        <v>261</v>
      </c>
      <c r="F82" s="415" t="s">
        <v>9220</v>
      </c>
      <c r="G82" s="415"/>
      <c r="H82" s="2564" t="b">
        <v>0</v>
      </c>
    </row>
    <row r="83" spans="2:8" ht="27.6">
      <c r="B83" s="640">
        <v>46219</v>
      </c>
      <c r="C83" s="2563">
        <v>101</v>
      </c>
      <c r="D83" s="2576" t="s">
        <v>9236</v>
      </c>
      <c r="E83" s="377" t="s">
        <v>9200</v>
      </c>
      <c r="F83" s="415" t="s">
        <v>9286</v>
      </c>
      <c r="G83" s="415"/>
      <c r="H83" s="2568"/>
    </row>
    <row r="84" spans="2:8" ht="27.6">
      <c r="B84" s="640">
        <v>46219</v>
      </c>
      <c r="C84" s="2563">
        <v>103</v>
      </c>
      <c r="D84" s="2576" t="s">
        <v>9241</v>
      </c>
      <c r="E84" s="2577" t="s">
        <v>356</v>
      </c>
      <c r="F84" s="415" t="s">
        <v>9288</v>
      </c>
      <c r="G84" s="415"/>
      <c r="H84" s="2564"/>
    </row>
    <row r="85" spans="2:8" ht="27.6">
      <c r="B85" s="640">
        <v>46219</v>
      </c>
      <c r="C85" s="2563">
        <v>80</v>
      </c>
      <c r="D85" s="2576" t="s">
        <v>9269</v>
      </c>
      <c r="E85" s="377" t="s">
        <v>9270</v>
      </c>
      <c r="F85" s="415" t="s">
        <v>9308</v>
      </c>
      <c r="G85" s="415"/>
      <c r="H85" s="2564"/>
    </row>
    <row r="86" spans="2:8" ht="27.6">
      <c r="B86" s="640">
        <v>46219</v>
      </c>
      <c r="C86" s="2563">
        <v>81</v>
      </c>
      <c r="D86" s="2576" t="s">
        <v>9269</v>
      </c>
      <c r="E86" s="377"/>
      <c r="F86" s="415" t="s">
        <v>9271</v>
      </c>
      <c r="G86" s="415"/>
      <c r="H86" s="2564"/>
    </row>
    <row r="87" spans="2:8" ht="27.6">
      <c r="B87" s="640">
        <v>46219</v>
      </c>
      <c r="C87" s="2563">
        <v>82</v>
      </c>
      <c r="D87" s="2576" t="s">
        <v>9269</v>
      </c>
      <c r="E87" s="377"/>
      <c r="F87" s="415" t="s">
        <v>9309</v>
      </c>
      <c r="G87" s="415"/>
      <c r="H87" s="2564"/>
    </row>
    <row r="88" spans="2:8" ht="27.6">
      <c r="B88" s="640">
        <v>46219</v>
      </c>
      <c r="C88" s="2563">
        <v>83</v>
      </c>
      <c r="D88" s="2576" t="s">
        <v>9269</v>
      </c>
      <c r="E88" s="377"/>
      <c r="F88" s="415" t="s">
        <v>9272</v>
      </c>
      <c r="G88" s="415"/>
      <c r="H88" s="2564"/>
    </row>
    <row r="89" spans="2:8" ht="27.6">
      <c r="B89" s="640">
        <v>46219</v>
      </c>
      <c r="C89" s="2563">
        <v>84</v>
      </c>
      <c r="D89" s="2576" t="s">
        <v>9269</v>
      </c>
      <c r="E89" s="377"/>
      <c r="F89" s="415" t="s">
        <v>9310</v>
      </c>
      <c r="G89" s="415"/>
      <c r="H89" s="2564"/>
    </row>
    <row r="90" spans="2:8" ht="27.6">
      <c r="B90" s="640">
        <v>46219</v>
      </c>
      <c r="C90" s="2563">
        <v>85</v>
      </c>
      <c r="D90" s="2576" t="s">
        <v>9269</v>
      </c>
      <c r="E90" s="377"/>
      <c r="F90" s="415" t="s">
        <v>9273</v>
      </c>
      <c r="G90" s="415"/>
      <c r="H90" s="2564"/>
    </row>
    <row r="91" spans="2:8" ht="27.6">
      <c r="B91" s="640">
        <v>46219</v>
      </c>
      <c r="C91" s="2563">
        <v>86</v>
      </c>
      <c r="D91" s="2576" t="s">
        <v>9269</v>
      </c>
      <c r="E91" s="377"/>
      <c r="F91" s="415" t="s">
        <v>9311</v>
      </c>
      <c r="G91" s="415"/>
      <c r="H91" s="2564"/>
    </row>
    <row r="92" spans="2:8" ht="19.2" customHeight="1">
      <c r="B92" s="640">
        <v>46219</v>
      </c>
      <c r="C92" s="2563">
        <v>87</v>
      </c>
      <c r="D92" s="2576" t="s">
        <v>9269</v>
      </c>
      <c r="E92" s="377"/>
      <c r="F92" s="415" t="s">
        <v>9312</v>
      </c>
      <c r="G92" s="415"/>
      <c r="H92" s="2564"/>
    </row>
    <row r="93" spans="2:8" ht="27.6">
      <c r="B93" s="640">
        <v>46219</v>
      </c>
      <c r="C93" s="2563">
        <v>88</v>
      </c>
      <c r="D93" s="2576" t="s">
        <v>9269</v>
      </c>
      <c r="E93" s="377"/>
      <c r="F93" s="415" t="s">
        <v>9313</v>
      </c>
      <c r="G93" s="415"/>
      <c r="H93" s="2564"/>
    </row>
    <row r="94" spans="2:8" ht="27.6">
      <c r="B94" s="640">
        <v>46219</v>
      </c>
      <c r="C94" s="2563">
        <v>89</v>
      </c>
      <c r="D94" s="2576" t="s">
        <v>7538</v>
      </c>
      <c r="E94" s="377"/>
      <c r="F94" s="415" t="s">
        <v>9276</v>
      </c>
      <c r="G94" s="415"/>
      <c r="H94" s="2564"/>
    </row>
    <row r="95" spans="2:8" ht="27.6">
      <c r="B95" s="640">
        <v>46219</v>
      </c>
      <c r="C95" s="2563">
        <v>90</v>
      </c>
      <c r="D95" s="2576" t="s">
        <v>7538</v>
      </c>
      <c r="E95" s="377"/>
      <c r="F95" s="415" t="s">
        <v>9277</v>
      </c>
      <c r="G95" s="415"/>
      <c r="H95" s="2564"/>
    </row>
    <row r="96" spans="2:8" ht="27.6">
      <c r="B96" s="640">
        <v>46219</v>
      </c>
      <c r="C96" s="2563">
        <v>91</v>
      </c>
      <c r="D96" s="2576" t="s">
        <v>7525</v>
      </c>
      <c r="E96" s="377" t="s">
        <v>9191</v>
      </c>
      <c r="F96" s="415" t="s">
        <v>9325</v>
      </c>
      <c r="G96" s="415"/>
      <c r="H96" s="2564"/>
    </row>
    <row r="97" spans="2:8" ht="27.6">
      <c r="B97" s="640">
        <v>46219</v>
      </c>
      <c r="C97" s="2563">
        <v>92</v>
      </c>
      <c r="D97" s="2576" t="s">
        <v>7525</v>
      </c>
      <c r="E97" s="377" t="s">
        <v>9191</v>
      </c>
      <c r="F97" s="415" t="s">
        <v>9192</v>
      </c>
      <c r="G97" s="415"/>
      <c r="H97" s="2564"/>
    </row>
    <row r="98" spans="2:8" ht="27.6">
      <c r="B98" s="640">
        <v>46219</v>
      </c>
      <c r="C98" s="2563">
        <v>93</v>
      </c>
      <c r="D98" s="2576" t="s">
        <v>7525</v>
      </c>
      <c r="E98" s="377" t="s">
        <v>9193</v>
      </c>
      <c r="F98" s="415" t="s">
        <v>9194</v>
      </c>
      <c r="G98" s="415"/>
      <c r="H98" s="2564"/>
    </row>
    <row r="99" spans="2:8">
      <c r="B99" s="640">
        <v>46219</v>
      </c>
      <c r="C99" s="2563">
        <v>94</v>
      </c>
      <c r="D99" s="2576" t="s">
        <v>7525</v>
      </c>
      <c r="E99" s="377" t="s">
        <v>9195</v>
      </c>
      <c r="F99" s="415" t="s">
        <v>9196</v>
      </c>
      <c r="G99" s="415"/>
      <c r="H99" s="2564"/>
    </row>
    <row r="100" spans="2:8">
      <c r="B100" s="640">
        <v>46219</v>
      </c>
      <c r="C100" s="2563">
        <v>95</v>
      </c>
      <c r="D100" s="2576" t="s">
        <v>7525</v>
      </c>
      <c r="E100" s="377" t="s">
        <v>9195</v>
      </c>
      <c r="F100" s="415" t="s">
        <v>9197</v>
      </c>
      <c r="G100" s="415"/>
      <c r="H100" s="2564"/>
    </row>
    <row r="101" spans="2:8" ht="27.6">
      <c r="B101" s="640">
        <v>46219</v>
      </c>
      <c r="C101" s="2563">
        <v>96</v>
      </c>
      <c r="D101" s="2576" t="s">
        <v>7525</v>
      </c>
      <c r="E101" s="415" t="s">
        <v>9195</v>
      </c>
      <c r="F101" s="415" t="s">
        <v>9326</v>
      </c>
      <c r="G101" s="415"/>
      <c r="H101" s="2564"/>
    </row>
    <row r="102" spans="2:8" ht="27.6">
      <c r="B102" s="640">
        <v>46219</v>
      </c>
      <c r="C102" s="2563">
        <v>97</v>
      </c>
      <c r="D102" s="2576" t="s">
        <v>7525</v>
      </c>
      <c r="E102" s="415" t="s">
        <v>9195</v>
      </c>
      <c r="F102" s="415" t="s">
        <v>9327</v>
      </c>
      <c r="G102" s="415"/>
      <c r="H102" s="2564"/>
    </row>
    <row r="103" spans="2:8" ht="27.6">
      <c r="B103" s="640">
        <v>46219</v>
      </c>
      <c r="C103" s="2563">
        <v>98</v>
      </c>
      <c r="D103" s="2576" t="s">
        <v>7525</v>
      </c>
      <c r="E103" s="377" t="s">
        <v>9191</v>
      </c>
      <c r="F103" s="415" t="s">
        <v>9198</v>
      </c>
      <c r="G103" s="415"/>
      <c r="H103" s="2564"/>
    </row>
    <row r="104" spans="2:8" ht="27.6">
      <c r="B104" s="640">
        <v>46219</v>
      </c>
      <c r="C104" s="2563">
        <v>99</v>
      </c>
      <c r="D104" s="2576" t="s">
        <v>7525</v>
      </c>
      <c r="E104" s="377" t="s">
        <v>9191</v>
      </c>
      <c r="F104" s="415" t="s">
        <v>9328</v>
      </c>
      <c r="G104" s="415"/>
      <c r="H104" s="2564"/>
    </row>
    <row r="105" spans="2:8" ht="27.6">
      <c r="B105" s="2565">
        <v>46219</v>
      </c>
      <c r="C105" s="2563">
        <v>100</v>
      </c>
      <c r="D105" s="2576" t="s">
        <v>7525</v>
      </c>
      <c r="E105" s="377" t="s">
        <v>9195</v>
      </c>
      <c r="F105" s="415" t="s">
        <v>9199</v>
      </c>
      <c r="G105" s="415"/>
      <c r="H105" s="2568"/>
    </row>
    <row r="106" spans="2:8" ht="27.6">
      <c r="B106" s="640">
        <v>46219</v>
      </c>
      <c r="C106" s="2563">
        <v>102</v>
      </c>
      <c r="D106" s="2576" t="s">
        <v>7525</v>
      </c>
      <c r="E106" s="377" t="s">
        <v>9200</v>
      </c>
      <c r="F106" s="415" t="s">
        <v>9286</v>
      </c>
      <c r="G106" s="415"/>
      <c r="H106" s="2564"/>
    </row>
    <row r="107" spans="2:8" ht="27.6">
      <c r="B107" s="2565">
        <v>46224</v>
      </c>
      <c r="C107" s="2563">
        <v>104</v>
      </c>
      <c r="D107" s="2576" t="s">
        <v>6063</v>
      </c>
      <c r="E107" s="377" t="s">
        <v>9265</v>
      </c>
      <c r="F107" s="415" t="s">
        <v>9306</v>
      </c>
      <c r="G107" s="415"/>
      <c r="H107" s="2564"/>
    </row>
    <row r="108" spans="2:8" ht="27.6">
      <c r="B108" s="2565">
        <v>46224</v>
      </c>
      <c r="C108" s="2563">
        <v>105</v>
      </c>
      <c r="D108" s="2576" t="s">
        <v>6063</v>
      </c>
      <c r="E108" s="377" t="s">
        <v>7616</v>
      </c>
      <c r="F108" s="415" t="s">
        <v>9266</v>
      </c>
      <c r="G108" s="415"/>
      <c r="H108" s="2564"/>
    </row>
    <row r="109" spans="2:8" ht="27.6">
      <c r="B109" s="2565">
        <v>46224</v>
      </c>
      <c r="C109" s="2563">
        <v>106</v>
      </c>
      <c r="D109" s="2576" t="s">
        <v>6063</v>
      </c>
      <c r="E109" s="377" t="s">
        <v>9267</v>
      </c>
      <c r="F109" s="415" t="s">
        <v>9268</v>
      </c>
      <c r="G109" s="415"/>
      <c r="H109" s="2564"/>
    </row>
    <row r="110" spans="2:8" ht="27.6">
      <c r="B110" s="2565">
        <v>46224</v>
      </c>
      <c r="C110" s="2563">
        <v>107</v>
      </c>
      <c r="D110" s="2576" t="s">
        <v>7525</v>
      </c>
      <c r="E110" s="377" t="s">
        <v>9201</v>
      </c>
      <c r="F110" s="415" t="s">
        <v>9202</v>
      </c>
      <c r="G110" s="415"/>
      <c r="H110" s="2564"/>
    </row>
    <row r="111" spans="2:8">
      <c r="B111" s="640">
        <v>46225</v>
      </c>
      <c r="C111" s="2563">
        <v>117</v>
      </c>
      <c r="D111" s="2576" t="s">
        <v>9247</v>
      </c>
      <c r="E111" s="415" t="s">
        <v>7576</v>
      </c>
      <c r="F111" s="415" t="s">
        <v>9289</v>
      </c>
      <c r="G111" s="415"/>
      <c r="H111" s="2564"/>
    </row>
    <row r="112" spans="2:8">
      <c r="B112" s="2582">
        <v>46225</v>
      </c>
      <c r="C112" s="2583">
        <v>118</v>
      </c>
      <c r="D112" s="2576" t="s">
        <v>9247</v>
      </c>
      <c r="E112" s="2584" t="s">
        <v>7414</v>
      </c>
      <c r="F112" s="2584" t="s">
        <v>9290</v>
      </c>
      <c r="G112" s="415"/>
      <c r="H112" s="2564"/>
    </row>
    <row r="113" spans="2:8" ht="27.6">
      <c r="B113" s="640">
        <v>46225</v>
      </c>
      <c r="C113" s="2563">
        <v>119</v>
      </c>
      <c r="D113" s="2576" t="s">
        <v>9247</v>
      </c>
      <c r="E113" s="415" t="s">
        <v>7576</v>
      </c>
      <c r="F113" s="415" t="s">
        <v>9291</v>
      </c>
      <c r="G113" s="415"/>
      <c r="H113" s="2564"/>
    </row>
    <row r="114" spans="2:8">
      <c r="B114" s="640">
        <v>46225</v>
      </c>
      <c r="C114" s="2563">
        <v>127</v>
      </c>
      <c r="D114" s="2576" t="s">
        <v>7652</v>
      </c>
      <c r="E114" s="377" t="s">
        <v>1193</v>
      </c>
      <c r="F114" s="415" t="s">
        <v>9248</v>
      </c>
      <c r="G114" s="415"/>
      <c r="H114" s="2564"/>
    </row>
    <row r="115" spans="2:8">
      <c r="B115" s="640">
        <v>46225</v>
      </c>
      <c r="C115" s="2563">
        <v>128</v>
      </c>
      <c r="D115" s="2576" t="s">
        <v>7652</v>
      </c>
      <c r="E115" s="377" t="s">
        <v>9249</v>
      </c>
      <c r="F115" s="415" t="s">
        <v>9292</v>
      </c>
      <c r="G115" s="415"/>
      <c r="H115" s="2564"/>
    </row>
    <row r="116" spans="2:8">
      <c r="B116" s="640">
        <v>46225</v>
      </c>
      <c r="C116" s="2583">
        <v>129</v>
      </c>
      <c r="D116" s="2576" t="s">
        <v>7652</v>
      </c>
      <c r="E116" s="377" t="s">
        <v>7616</v>
      </c>
      <c r="F116" s="415" t="s">
        <v>9250</v>
      </c>
      <c r="G116" s="415"/>
      <c r="H116" s="2564"/>
    </row>
    <row r="117" spans="2:8" ht="27.6">
      <c r="B117" s="640">
        <v>46225</v>
      </c>
      <c r="C117" s="2563">
        <v>130</v>
      </c>
      <c r="D117" s="2576" t="s">
        <v>7652</v>
      </c>
      <c r="E117" s="377" t="s">
        <v>7616</v>
      </c>
      <c r="F117" s="415" t="s">
        <v>9251</v>
      </c>
      <c r="G117" s="415"/>
      <c r="H117" s="2564"/>
    </row>
    <row r="118" spans="2:8">
      <c r="B118" s="640">
        <v>46225</v>
      </c>
      <c r="C118" s="2563">
        <v>131</v>
      </c>
      <c r="D118" s="2576" t="s">
        <v>7652</v>
      </c>
      <c r="E118" s="377" t="s">
        <v>7616</v>
      </c>
      <c r="F118" s="415" t="s">
        <v>9221</v>
      </c>
      <c r="G118" s="415"/>
      <c r="H118" s="2564"/>
    </row>
    <row r="119" spans="2:8">
      <c r="B119" s="640">
        <v>46225</v>
      </c>
      <c r="C119" s="2563">
        <v>111</v>
      </c>
      <c r="D119" s="2576" t="s">
        <v>4166</v>
      </c>
      <c r="E119" s="377" t="s">
        <v>315</v>
      </c>
      <c r="F119" s="415" t="s">
        <v>9300</v>
      </c>
      <c r="G119" s="415"/>
      <c r="H119" s="2564"/>
    </row>
    <row r="120" spans="2:8">
      <c r="B120" s="640">
        <v>46225</v>
      </c>
      <c r="C120" s="2563">
        <v>112</v>
      </c>
      <c r="D120" s="2576" t="s">
        <v>4166</v>
      </c>
      <c r="E120" s="377" t="s">
        <v>197</v>
      </c>
      <c r="F120" s="415" t="s">
        <v>9258</v>
      </c>
      <c r="G120" s="415"/>
      <c r="H120" s="2564"/>
    </row>
    <row r="121" spans="2:8" ht="41.4">
      <c r="B121" s="2565">
        <v>46225</v>
      </c>
      <c r="C121" s="2563">
        <v>132</v>
      </c>
      <c r="D121" s="2576" t="s">
        <v>7540</v>
      </c>
      <c r="E121" s="377" t="s">
        <v>7616</v>
      </c>
      <c r="F121" s="415" t="s">
        <v>9302</v>
      </c>
      <c r="G121" s="415"/>
      <c r="H121" s="2564"/>
    </row>
    <row r="122" spans="2:8" ht="27.6">
      <c r="B122" s="640">
        <v>46225</v>
      </c>
      <c r="C122" s="2563">
        <v>116</v>
      </c>
      <c r="D122" s="2576" t="s">
        <v>7541</v>
      </c>
      <c r="E122" s="377" t="s">
        <v>9263</v>
      </c>
      <c r="F122" s="415" t="s">
        <v>9305</v>
      </c>
      <c r="G122" s="415"/>
      <c r="H122" s="2564"/>
    </row>
    <row r="123" spans="2:8" ht="27.6">
      <c r="B123" s="640">
        <v>46225</v>
      </c>
      <c r="C123" s="2563">
        <v>113</v>
      </c>
      <c r="D123" s="2576" t="s">
        <v>9274</v>
      </c>
      <c r="E123" s="377" t="s">
        <v>7616</v>
      </c>
      <c r="F123" s="415" t="s">
        <v>9275</v>
      </c>
      <c r="G123" s="415"/>
      <c r="H123" s="2564"/>
    </row>
    <row r="124" spans="2:8">
      <c r="B124" s="640">
        <v>46225</v>
      </c>
      <c r="C124" s="2563">
        <v>108</v>
      </c>
      <c r="D124" s="2576" t="s">
        <v>7525</v>
      </c>
      <c r="E124" s="377" t="s">
        <v>9203</v>
      </c>
      <c r="F124" s="415" t="s">
        <v>9204</v>
      </c>
      <c r="G124" s="415"/>
      <c r="H124" s="2564"/>
    </row>
    <row r="125" spans="2:8">
      <c r="B125" s="640">
        <v>46225</v>
      </c>
      <c r="C125" s="2563">
        <v>109</v>
      </c>
      <c r="D125" s="2576" t="s">
        <v>7525</v>
      </c>
      <c r="E125" s="377" t="s">
        <v>9205</v>
      </c>
      <c r="F125" s="415" t="s">
        <v>9206</v>
      </c>
      <c r="G125" s="415"/>
      <c r="H125" s="2564"/>
    </row>
    <row r="126" spans="2:8">
      <c r="B126" s="640">
        <v>46225</v>
      </c>
      <c r="C126" s="2563">
        <v>110</v>
      </c>
      <c r="D126" s="2576" t="s">
        <v>7525</v>
      </c>
      <c r="E126" s="377" t="s">
        <v>471</v>
      </c>
      <c r="F126" s="415" t="s">
        <v>9207</v>
      </c>
      <c r="G126" s="415"/>
      <c r="H126" s="2564"/>
    </row>
    <row r="127" spans="2:8">
      <c r="B127" s="640">
        <v>46225</v>
      </c>
      <c r="C127" s="2563">
        <v>114</v>
      </c>
      <c r="D127" s="2576" t="s">
        <v>7525</v>
      </c>
      <c r="E127" s="377" t="s">
        <v>9208</v>
      </c>
      <c r="F127" s="2580" t="s">
        <v>9342</v>
      </c>
      <c r="G127" s="415"/>
      <c r="H127" s="2564"/>
    </row>
    <row r="128" spans="2:8">
      <c r="B128" s="640">
        <v>46225</v>
      </c>
      <c r="C128" s="2563">
        <v>115</v>
      </c>
      <c r="D128" s="2576" t="s">
        <v>7525</v>
      </c>
      <c r="E128" s="377" t="s">
        <v>9200</v>
      </c>
      <c r="F128" s="415" t="s">
        <v>9209</v>
      </c>
      <c r="G128" s="415"/>
      <c r="H128" s="2564"/>
    </row>
    <row r="129" spans="2:8">
      <c r="B129" s="640">
        <v>46225</v>
      </c>
      <c r="C129" s="2563">
        <v>120</v>
      </c>
      <c r="D129" s="2576" t="s">
        <v>1193</v>
      </c>
      <c r="E129" s="415" t="s">
        <v>7616</v>
      </c>
      <c r="F129" s="415" t="s">
        <v>9335</v>
      </c>
      <c r="G129" s="415"/>
      <c r="H129" s="2564"/>
    </row>
    <row r="130" spans="2:8">
      <c r="B130" s="640">
        <v>46225</v>
      </c>
      <c r="C130" s="2563">
        <v>121</v>
      </c>
      <c r="D130" s="2576" t="s">
        <v>1193</v>
      </c>
      <c r="E130" s="415" t="s">
        <v>7616</v>
      </c>
      <c r="F130" s="415" t="s">
        <v>6945</v>
      </c>
      <c r="G130" s="415"/>
      <c r="H130" s="2564"/>
    </row>
    <row r="131" spans="2:8">
      <c r="B131" s="640">
        <v>46225</v>
      </c>
      <c r="C131" s="2563">
        <v>122</v>
      </c>
      <c r="D131" s="2576" t="s">
        <v>1193</v>
      </c>
      <c r="E131" s="377" t="s">
        <v>7616</v>
      </c>
      <c r="F131" s="415" t="s">
        <v>9221</v>
      </c>
      <c r="G131" s="415"/>
      <c r="H131" s="2564"/>
    </row>
    <row r="132" spans="2:8" ht="41.4">
      <c r="B132" s="640">
        <v>46225</v>
      </c>
      <c r="C132" s="2563">
        <v>123</v>
      </c>
      <c r="D132" s="2576" t="s">
        <v>1193</v>
      </c>
      <c r="E132" s="377" t="s">
        <v>7616</v>
      </c>
      <c r="F132" s="415" t="s">
        <v>9222</v>
      </c>
      <c r="G132" s="415"/>
      <c r="H132" s="2564"/>
    </row>
    <row r="133" spans="2:8" ht="18" customHeight="1">
      <c r="B133" s="640">
        <v>46225</v>
      </c>
      <c r="C133" s="2563">
        <v>124</v>
      </c>
      <c r="D133" s="2576" t="s">
        <v>1193</v>
      </c>
      <c r="E133" s="377" t="s">
        <v>7616</v>
      </c>
      <c r="F133" s="415" t="s">
        <v>9223</v>
      </c>
      <c r="G133" s="415"/>
      <c r="H133" s="2564"/>
    </row>
    <row r="134" spans="2:8">
      <c r="B134" s="640">
        <v>46225</v>
      </c>
      <c r="C134" s="2563">
        <v>125</v>
      </c>
      <c r="D134" s="2576" t="s">
        <v>1193</v>
      </c>
      <c r="E134" s="377" t="s">
        <v>2369</v>
      </c>
      <c r="F134" s="415" t="s">
        <v>9224</v>
      </c>
      <c r="G134" s="415"/>
      <c r="H134" s="2564"/>
    </row>
    <row r="135" spans="2:8">
      <c r="B135" s="640">
        <v>46225</v>
      </c>
      <c r="C135" s="2563">
        <v>126</v>
      </c>
      <c r="D135" s="2576" t="s">
        <v>1193</v>
      </c>
      <c r="E135" s="377" t="s">
        <v>2369</v>
      </c>
      <c r="F135" s="415" t="s">
        <v>9336</v>
      </c>
      <c r="G135" s="415"/>
      <c r="H135" s="2564"/>
    </row>
    <row r="136" spans="2:8" ht="110.4">
      <c r="B136" s="640">
        <v>46226</v>
      </c>
      <c r="C136" s="2563">
        <v>135</v>
      </c>
      <c r="D136" s="2576" t="s">
        <v>4166</v>
      </c>
      <c r="E136" s="377" t="s">
        <v>9259</v>
      </c>
      <c r="F136" s="415" t="s">
        <v>9301</v>
      </c>
      <c r="G136" s="415"/>
      <c r="H136" s="2564"/>
    </row>
    <row r="137" spans="2:8">
      <c r="B137" s="640">
        <v>46226</v>
      </c>
      <c r="C137" s="2563">
        <v>136</v>
      </c>
      <c r="D137" s="2576" t="s">
        <v>34</v>
      </c>
      <c r="E137" s="377" t="s">
        <v>7616</v>
      </c>
      <c r="F137" s="415" t="s">
        <v>9260</v>
      </c>
      <c r="G137" s="415"/>
      <c r="H137" s="2564"/>
    </row>
    <row r="138" spans="2:8">
      <c r="B138" s="640">
        <v>46226</v>
      </c>
      <c r="C138" s="2563">
        <v>116</v>
      </c>
      <c r="D138" s="2576" t="s">
        <v>7541</v>
      </c>
      <c r="E138" s="377" t="s">
        <v>9200</v>
      </c>
      <c r="F138" s="415" t="s">
        <v>9264</v>
      </c>
      <c r="G138" s="415"/>
      <c r="H138" s="2564"/>
    </row>
    <row r="139" spans="2:8">
      <c r="B139" s="640">
        <v>46226</v>
      </c>
      <c r="C139" s="2563">
        <v>133</v>
      </c>
      <c r="D139" s="2576" t="s">
        <v>9216</v>
      </c>
      <c r="E139" s="2566" t="s">
        <v>558</v>
      </c>
      <c r="F139" s="415" t="s">
        <v>9217</v>
      </c>
      <c r="G139" s="415"/>
      <c r="H139" s="2564"/>
    </row>
    <row r="140" spans="2:8" ht="27.6">
      <c r="B140" s="2565">
        <v>46226</v>
      </c>
      <c r="C140" s="2563">
        <v>134</v>
      </c>
      <c r="D140" s="2576" t="s">
        <v>9216</v>
      </c>
      <c r="E140" s="770" t="s">
        <v>9218</v>
      </c>
      <c r="F140" s="415" t="s">
        <v>9219</v>
      </c>
      <c r="G140" s="415"/>
      <c r="H140" s="2564"/>
    </row>
    <row r="141" spans="2:8" ht="27.6">
      <c r="B141" s="640">
        <v>46227</v>
      </c>
      <c r="C141" s="2563">
        <v>148</v>
      </c>
      <c r="D141" s="2576" t="s">
        <v>9236</v>
      </c>
      <c r="E141" s="2576" t="s">
        <v>9237</v>
      </c>
      <c r="F141" s="2576" t="s">
        <v>9238</v>
      </c>
      <c r="G141" s="415"/>
      <c r="H141" s="2564"/>
    </row>
    <row r="142" spans="2:8">
      <c r="B142" s="640">
        <v>46227</v>
      </c>
      <c r="C142" s="2563">
        <v>149</v>
      </c>
      <c r="D142" s="2576" t="s">
        <v>9236</v>
      </c>
      <c r="E142" s="2576" t="s">
        <v>9200</v>
      </c>
      <c r="F142" s="2576" t="s">
        <v>9239</v>
      </c>
      <c r="G142" s="415"/>
      <c r="H142" s="2564"/>
    </row>
    <row r="143" spans="2:8">
      <c r="B143" s="2565">
        <v>46227</v>
      </c>
      <c r="C143" s="2563">
        <v>150</v>
      </c>
      <c r="D143" s="2576" t="s">
        <v>9236</v>
      </c>
      <c r="E143" s="2576" t="s">
        <v>9240</v>
      </c>
      <c r="F143" s="2576" t="s">
        <v>9287</v>
      </c>
      <c r="G143" s="415"/>
      <c r="H143" s="2564"/>
    </row>
    <row r="144" spans="2:8" ht="41.4">
      <c r="B144" s="640">
        <v>46227</v>
      </c>
      <c r="C144" s="2563">
        <v>138</v>
      </c>
      <c r="D144" s="2576" t="s">
        <v>7652</v>
      </c>
      <c r="E144" s="377" t="s">
        <v>9252</v>
      </c>
      <c r="F144" s="415" t="s">
        <v>9253</v>
      </c>
      <c r="G144" s="415"/>
      <c r="H144" s="2564"/>
    </row>
    <row r="145" spans="2:8">
      <c r="B145" s="640">
        <v>46227</v>
      </c>
      <c r="C145" s="2583">
        <v>139</v>
      </c>
      <c r="D145" s="2576" t="s">
        <v>7652</v>
      </c>
      <c r="E145" s="2577" t="s">
        <v>7575</v>
      </c>
      <c r="F145" s="415" t="s">
        <v>9293</v>
      </c>
      <c r="G145" s="415"/>
      <c r="H145" s="2564"/>
    </row>
    <row r="146" spans="2:8">
      <c r="B146" s="640">
        <v>46227</v>
      </c>
      <c r="C146" s="2563">
        <v>141</v>
      </c>
      <c r="D146" s="2576" t="s">
        <v>7652</v>
      </c>
      <c r="E146" s="415"/>
      <c r="F146" s="415" t="s">
        <v>9294</v>
      </c>
      <c r="G146" s="415"/>
      <c r="H146" s="2564"/>
    </row>
    <row r="147" spans="2:8" ht="27.6">
      <c r="B147" s="640">
        <v>46227</v>
      </c>
      <c r="C147" s="2563">
        <v>145</v>
      </c>
      <c r="D147" s="2576" t="s">
        <v>7478</v>
      </c>
      <c r="E147" s="2576" t="s">
        <v>7616</v>
      </c>
      <c r="F147" s="2576" t="s">
        <v>9254</v>
      </c>
      <c r="G147" s="415"/>
      <c r="H147" s="2564"/>
    </row>
    <row r="148" spans="2:8">
      <c r="B148" s="640">
        <v>46227</v>
      </c>
      <c r="C148" s="2563">
        <v>146</v>
      </c>
      <c r="D148" s="2576" t="s">
        <v>7478</v>
      </c>
      <c r="E148" s="2576" t="s">
        <v>7616</v>
      </c>
      <c r="F148" s="2576" t="s">
        <v>9255</v>
      </c>
      <c r="G148" s="415"/>
      <c r="H148" s="2564"/>
    </row>
    <row r="149" spans="2:8">
      <c r="B149" s="640">
        <v>46227</v>
      </c>
      <c r="C149" s="2563">
        <v>147</v>
      </c>
      <c r="D149" s="2576" t="s">
        <v>7478</v>
      </c>
      <c r="E149" s="2576" t="s">
        <v>7616</v>
      </c>
      <c r="F149" s="2576" t="s">
        <v>9341</v>
      </c>
      <c r="G149" s="415"/>
      <c r="H149" s="2564"/>
    </row>
    <row r="150" spans="2:8">
      <c r="B150" s="640">
        <v>46227</v>
      </c>
      <c r="C150" s="2563">
        <v>143</v>
      </c>
      <c r="D150" s="2576" t="s">
        <v>7664</v>
      </c>
      <c r="E150" s="2576" t="s">
        <v>935</v>
      </c>
      <c r="F150" s="2576" t="s">
        <v>9296</v>
      </c>
      <c r="G150" s="415"/>
      <c r="H150" s="2564"/>
    </row>
    <row r="151" spans="2:8" ht="41.4">
      <c r="B151" s="640">
        <v>46227</v>
      </c>
      <c r="C151" s="2563">
        <v>144</v>
      </c>
      <c r="D151" s="2576" t="s">
        <v>7664</v>
      </c>
      <c r="E151" s="2576" t="s">
        <v>6404</v>
      </c>
      <c r="F151" s="2576" t="s">
        <v>9256</v>
      </c>
      <c r="G151" s="415"/>
      <c r="H151" s="2564"/>
    </row>
    <row r="152" spans="2:8" ht="27.6">
      <c r="B152" s="640">
        <v>46227</v>
      </c>
      <c r="C152" s="2563">
        <v>140</v>
      </c>
      <c r="D152" s="2576" t="s">
        <v>9257</v>
      </c>
      <c r="E152" s="415"/>
      <c r="F152" s="415" t="s">
        <v>9297</v>
      </c>
      <c r="G152" s="415"/>
      <c r="H152" s="2564"/>
    </row>
    <row r="153" spans="2:8" ht="27.6">
      <c r="B153" s="640">
        <v>46227</v>
      </c>
      <c r="C153" s="2563">
        <v>127</v>
      </c>
      <c r="D153" s="2576" t="s">
        <v>1193</v>
      </c>
      <c r="E153" s="415" t="s">
        <v>7616</v>
      </c>
      <c r="F153" s="415" t="s">
        <v>9225</v>
      </c>
      <c r="G153" s="415"/>
      <c r="H153" s="2564"/>
    </row>
    <row r="154" spans="2:8" ht="27.6">
      <c r="B154" s="640">
        <v>46227</v>
      </c>
      <c r="C154" s="2563">
        <v>128</v>
      </c>
      <c r="D154" s="2576" t="s">
        <v>9226</v>
      </c>
      <c r="E154" s="377" t="s">
        <v>9227</v>
      </c>
      <c r="F154" s="415" t="s">
        <v>9228</v>
      </c>
      <c r="G154" s="415"/>
      <c r="H154" s="2564"/>
    </row>
    <row r="155" spans="2:8" ht="27.6">
      <c r="B155" s="640">
        <v>46228</v>
      </c>
      <c r="C155" s="2563">
        <v>156</v>
      </c>
      <c r="D155" s="2576" t="s">
        <v>7611</v>
      </c>
      <c r="E155" s="377" t="s">
        <v>9242</v>
      </c>
      <c r="F155" s="415" t="s">
        <v>9243</v>
      </c>
      <c r="G155" s="415"/>
      <c r="H155" s="2564"/>
    </row>
    <row r="156" spans="2:8">
      <c r="B156" s="640">
        <v>46228</v>
      </c>
      <c r="C156" s="2563">
        <v>155</v>
      </c>
      <c r="D156" s="2576" t="s">
        <v>41</v>
      </c>
      <c r="E156" s="377" t="s">
        <v>9210</v>
      </c>
      <c r="F156" s="415" t="s">
        <v>9331</v>
      </c>
      <c r="G156" s="415"/>
      <c r="H156" s="2564"/>
    </row>
    <row r="157" spans="2:8" ht="41.4">
      <c r="B157" s="640">
        <v>46228</v>
      </c>
      <c r="C157" s="2563">
        <v>151</v>
      </c>
      <c r="D157" s="1025" t="s">
        <v>342</v>
      </c>
      <c r="E157" s="377" t="s">
        <v>7616</v>
      </c>
      <c r="F157" s="415" t="s">
        <v>9214</v>
      </c>
      <c r="G157" s="415"/>
      <c r="H157" s="2564"/>
    </row>
    <row r="158" spans="2:8" ht="27.6">
      <c r="B158" s="640">
        <v>46228</v>
      </c>
      <c r="C158" s="2563">
        <v>152</v>
      </c>
      <c r="D158" s="1025" t="s">
        <v>342</v>
      </c>
      <c r="E158" s="377" t="s">
        <v>9210</v>
      </c>
      <c r="F158" s="415" t="s">
        <v>9333</v>
      </c>
      <c r="G158" s="415"/>
      <c r="H158" s="2564"/>
    </row>
    <row r="159" spans="2:8">
      <c r="B159" s="640">
        <v>46228</v>
      </c>
      <c r="C159" s="2563">
        <v>153</v>
      </c>
      <c r="D159" s="1025" t="s">
        <v>342</v>
      </c>
      <c r="E159" s="377" t="s">
        <v>9215</v>
      </c>
      <c r="F159" s="415" t="s">
        <v>9214</v>
      </c>
      <c r="G159" s="415"/>
      <c r="H159" s="2564"/>
    </row>
    <row r="160" spans="2:8">
      <c r="B160" s="640">
        <v>46228</v>
      </c>
      <c r="C160" s="2563">
        <v>154</v>
      </c>
      <c r="D160" s="1025" t="s">
        <v>342</v>
      </c>
      <c r="E160" s="377" t="s">
        <v>9215</v>
      </c>
      <c r="F160" s="415" t="s">
        <v>9334</v>
      </c>
      <c r="G160" s="415"/>
      <c r="H160" s="2564"/>
    </row>
    <row r="161" spans="2:8">
      <c r="B161" s="640">
        <v>46228</v>
      </c>
      <c r="C161" s="2563">
        <v>129</v>
      </c>
      <c r="D161" s="415" t="s">
        <v>41</v>
      </c>
      <c r="E161" s="377" t="s">
        <v>9210</v>
      </c>
      <c r="F161" s="415" t="s">
        <v>9331</v>
      </c>
      <c r="G161" s="415"/>
      <c r="H161" s="2564"/>
    </row>
    <row r="162" spans="2:8">
      <c r="B162" s="640">
        <v>46228</v>
      </c>
      <c r="C162" s="2563">
        <v>130</v>
      </c>
      <c r="D162" s="377" t="s">
        <v>342</v>
      </c>
      <c r="E162" s="377" t="s">
        <v>7616</v>
      </c>
      <c r="F162" s="415" t="s">
        <v>9214</v>
      </c>
      <c r="G162" s="415"/>
      <c r="H162" s="2564"/>
    </row>
    <row r="163" spans="2:8">
      <c r="B163" s="640">
        <v>46228</v>
      </c>
      <c r="C163" s="2563">
        <v>131</v>
      </c>
      <c r="D163" s="377" t="s">
        <v>342</v>
      </c>
      <c r="E163" s="377" t="s">
        <v>9210</v>
      </c>
      <c r="F163" s="415" t="s">
        <v>9333</v>
      </c>
      <c r="G163" s="415"/>
      <c r="H163" s="2564"/>
    </row>
    <row r="164" spans="2:8">
      <c r="B164" s="640">
        <v>46228</v>
      </c>
      <c r="C164" s="2563">
        <v>132</v>
      </c>
      <c r="D164" s="377" t="s">
        <v>342</v>
      </c>
      <c r="E164" s="377" t="s">
        <v>9215</v>
      </c>
      <c r="F164" s="415" t="s">
        <v>9214</v>
      </c>
      <c r="G164" s="415"/>
      <c r="H164" s="2564"/>
    </row>
    <row r="165" spans="2:8">
      <c r="B165" s="640">
        <v>46228</v>
      </c>
      <c r="C165" s="2563">
        <v>133</v>
      </c>
      <c r="D165" s="377" t="s">
        <v>342</v>
      </c>
      <c r="E165" s="377" t="s">
        <v>9215</v>
      </c>
      <c r="F165" s="415" t="s">
        <v>9334</v>
      </c>
      <c r="G165" s="415"/>
      <c r="H165" s="2564"/>
    </row>
    <row r="166" spans="2:8" ht="27.6">
      <c r="B166" s="640">
        <v>46229</v>
      </c>
      <c r="C166" s="2563">
        <v>157</v>
      </c>
      <c r="D166" s="1025" t="s">
        <v>7518</v>
      </c>
      <c r="E166" s="377" t="s">
        <v>6017</v>
      </c>
      <c r="F166" s="415" t="s">
        <v>9231</v>
      </c>
      <c r="G166" s="415"/>
      <c r="H166" s="2564"/>
    </row>
    <row r="167" spans="2:8">
      <c r="B167" s="640">
        <v>46229</v>
      </c>
      <c r="C167" s="2563">
        <v>158</v>
      </c>
      <c r="D167" s="1025" t="s">
        <v>7518</v>
      </c>
      <c r="E167" s="377" t="s">
        <v>9232</v>
      </c>
      <c r="F167" s="415" t="s">
        <v>9285</v>
      </c>
      <c r="G167" s="415"/>
      <c r="H167" s="2564"/>
    </row>
    <row r="168" spans="2:8" ht="27.6">
      <c r="B168" s="640">
        <v>46229</v>
      </c>
      <c r="C168" s="2563">
        <v>159</v>
      </c>
      <c r="D168" s="1025" t="s">
        <v>7518</v>
      </c>
      <c r="E168" s="377" t="s">
        <v>9233</v>
      </c>
      <c r="F168" s="415" t="s">
        <v>9234</v>
      </c>
      <c r="G168" s="415"/>
      <c r="H168" s="2564"/>
    </row>
    <row r="169" spans="2:8" ht="27.6">
      <c r="B169" s="640">
        <v>46229</v>
      </c>
      <c r="C169" s="2563">
        <v>160</v>
      </c>
      <c r="D169" s="1025" t="s">
        <v>7518</v>
      </c>
      <c r="E169" s="377"/>
      <c r="F169" s="415" t="s">
        <v>9235</v>
      </c>
      <c r="G169" s="415"/>
      <c r="H169" s="2564"/>
    </row>
    <row r="170" spans="2:8" ht="27.6">
      <c r="B170" s="640">
        <v>46229</v>
      </c>
      <c r="C170" s="2563">
        <v>161</v>
      </c>
      <c r="D170" s="2573" t="s">
        <v>41</v>
      </c>
      <c r="E170" s="377" t="s">
        <v>7616</v>
      </c>
      <c r="F170" s="415" t="s">
        <v>9211</v>
      </c>
      <c r="G170" s="415"/>
      <c r="H170" s="2564"/>
    </row>
    <row r="171" spans="2:8" ht="27.6">
      <c r="B171" s="640">
        <v>46229</v>
      </c>
      <c r="C171" s="2563">
        <v>162</v>
      </c>
      <c r="D171" s="2573" t="s">
        <v>41</v>
      </c>
      <c r="E171" s="377" t="s">
        <v>7616</v>
      </c>
      <c r="F171" s="415" t="s">
        <v>9212</v>
      </c>
      <c r="G171" s="415"/>
      <c r="H171" s="2564"/>
    </row>
    <row r="172" spans="2:8" ht="27.6">
      <c r="B172" s="640">
        <v>46229</v>
      </c>
      <c r="C172" s="2563">
        <v>134</v>
      </c>
      <c r="D172" s="377" t="s">
        <v>41</v>
      </c>
      <c r="E172" s="377" t="s">
        <v>7616</v>
      </c>
      <c r="F172" s="415" t="s">
        <v>9211</v>
      </c>
      <c r="G172" s="415"/>
      <c r="H172" s="2564"/>
    </row>
    <row r="173" spans="2:8">
      <c r="B173" s="640">
        <v>46229</v>
      </c>
      <c r="C173" s="2563">
        <v>135</v>
      </c>
      <c r="D173" s="377" t="s">
        <v>41</v>
      </c>
      <c r="E173" s="377" t="s">
        <v>7616</v>
      </c>
      <c r="F173" s="415" t="s">
        <v>9212</v>
      </c>
      <c r="G173" s="415"/>
      <c r="H173" s="2564"/>
    </row>
    <row r="174" spans="2:8">
      <c r="B174" s="640">
        <v>46234</v>
      </c>
      <c r="C174" s="2563">
        <v>136</v>
      </c>
      <c r="D174" s="2578" t="s">
        <v>7611</v>
      </c>
      <c r="E174" s="377" t="s">
        <v>378</v>
      </c>
      <c r="F174" s="377" t="s">
        <v>7612</v>
      </c>
      <c r="G174" s="415"/>
      <c r="H174" s="2564"/>
    </row>
    <row r="175" spans="2:8">
      <c r="B175" s="640">
        <v>46234</v>
      </c>
      <c r="C175" s="2563">
        <v>137</v>
      </c>
      <c r="D175" s="2578" t="s">
        <v>7611</v>
      </c>
      <c r="E175" s="377" t="s">
        <v>405</v>
      </c>
      <c r="F175" s="377" t="s">
        <v>7612</v>
      </c>
      <c r="G175" s="415"/>
      <c r="H175" s="2564"/>
    </row>
    <row r="176" spans="2:8">
      <c r="B176" s="640">
        <v>46234</v>
      </c>
      <c r="C176" s="2563">
        <v>138</v>
      </c>
      <c r="D176" s="377" t="s">
        <v>342</v>
      </c>
      <c r="E176" s="377" t="s">
        <v>7614</v>
      </c>
      <c r="F176" s="415" t="s">
        <v>7615</v>
      </c>
      <c r="G176" s="415"/>
      <c r="H176" s="2564"/>
    </row>
    <row r="177" spans="2:8">
      <c r="B177" s="640">
        <v>46234</v>
      </c>
      <c r="C177" s="2563">
        <v>139</v>
      </c>
      <c r="D177" s="377" t="s">
        <v>342</v>
      </c>
      <c r="E177" s="377" t="s">
        <v>7616</v>
      </c>
      <c r="F177" s="415" t="s">
        <v>7645</v>
      </c>
      <c r="G177" s="415"/>
      <c r="H177" s="2564"/>
    </row>
    <row r="178" spans="2:8" ht="27.6">
      <c r="B178" s="640">
        <v>46234</v>
      </c>
      <c r="C178" s="2563">
        <v>140</v>
      </c>
      <c r="D178" s="377" t="s">
        <v>342</v>
      </c>
      <c r="E178" s="377" t="s">
        <v>7617</v>
      </c>
      <c r="F178" s="415" t="s">
        <v>7644</v>
      </c>
      <c r="G178" s="415"/>
      <c r="H178" s="2564"/>
    </row>
    <row r="179" spans="2:8">
      <c r="B179" s="640">
        <v>46234</v>
      </c>
      <c r="C179" s="2563">
        <v>141</v>
      </c>
      <c r="D179" s="377" t="s">
        <v>7652</v>
      </c>
      <c r="E179" s="377" t="s">
        <v>6017</v>
      </c>
      <c r="F179" s="415" t="s">
        <v>9337</v>
      </c>
      <c r="G179" s="415"/>
      <c r="H179" s="2564"/>
    </row>
    <row r="180" spans="2:8">
      <c r="B180" s="640">
        <v>46234</v>
      </c>
      <c r="C180" s="2563">
        <v>142</v>
      </c>
      <c r="D180" s="377" t="s">
        <v>7652</v>
      </c>
      <c r="E180" s="377" t="s">
        <v>7617</v>
      </c>
      <c r="F180" s="415" t="s">
        <v>7665</v>
      </c>
      <c r="G180" s="415"/>
      <c r="H180" s="2564"/>
    </row>
    <row r="181" spans="2:8" ht="27.6">
      <c r="B181" s="640">
        <v>46234</v>
      </c>
      <c r="C181" s="2563">
        <v>143</v>
      </c>
      <c r="D181" s="377" t="s">
        <v>7652</v>
      </c>
      <c r="E181" s="377" t="s">
        <v>1147</v>
      </c>
      <c r="F181" s="415" t="s">
        <v>7661</v>
      </c>
      <c r="G181" s="415"/>
      <c r="H181" s="2564"/>
    </row>
    <row r="182" spans="2:8" ht="27.6">
      <c r="B182" s="640">
        <v>46234</v>
      </c>
      <c r="C182" s="2563">
        <v>144</v>
      </c>
      <c r="D182" s="377" t="s">
        <v>7662</v>
      </c>
      <c r="E182" s="377"/>
      <c r="F182" s="2581" t="s">
        <v>7663</v>
      </c>
      <c r="G182" s="415"/>
      <c r="H182" s="2564"/>
    </row>
    <row r="183" spans="2:8">
      <c r="B183" s="640">
        <v>46234</v>
      </c>
      <c r="C183" s="2563">
        <v>145</v>
      </c>
      <c r="D183" s="2578" t="s">
        <v>7664</v>
      </c>
      <c r="E183" s="377" t="s">
        <v>6017</v>
      </c>
      <c r="F183" s="2577" t="s">
        <v>9343</v>
      </c>
      <c r="G183" s="415"/>
      <c r="H183" s="2564"/>
    </row>
    <row r="184" spans="2:8">
      <c r="B184" s="640">
        <v>46234</v>
      </c>
      <c r="C184" s="2563">
        <v>146</v>
      </c>
      <c r="D184" s="2578" t="s">
        <v>7664</v>
      </c>
      <c r="E184" s="377" t="s">
        <v>7616</v>
      </c>
      <c r="F184" s="415" t="s">
        <v>9338</v>
      </c>
      <c r="G184" s="415"/>
      <c r="H184" s="2564"/>
    </row>
    <row r="185" spans="2:8" ht="27.6">
      <c r="B185" s="640">
        <v>46234</v>
      </c>
      <c r="C185" s="2563">
        <v>147</v>
      </c>
      <c r="D185" s="2578" t="s">
        <v>7664</v>
      </c>
      <c r="E185" s="377" t="s">
        <v>7616</v>
      </c>
      <c r="F185" s="415" t="s">
        <v>7666</v>
      </c>
      <c r="G185" s="415"/>
      <c r="H185" s="2564"/>
    </row>
    <row r="186" spans="2:8">
      <c r="B186" s="640">
        <v>46234</v>
      </c>
      <c r="C186" s="2563">
        <v>148</v>
      </c>
      <c r="D186" s="377" t="s">
        <v>7667</v>
      </c>
      <c r="E186" s="377" t="s">
        <v>7669</v>
      </c>
      <c r="F186" s="2572" t="s">
        <v>7668</v>
      </c>
      <c r="G186" s="415"/>
      <c r="H186" s="2564"/>
    </row>
    <row r="187" spans="2:8" ht="41.4">
      <c r="B187" s="640">
        <v>46234</v>
      </c>
      <c r="C187" s="2563">
        <v>149</v>
      </c>
      <c r="D187" s="377" t="s">
        <v>6339</v>
      </c>
      <c r="E187" s="377"/>
      <c r="F187" s="2581" t="s">
        <v>7663</v>
      </c>
      <c r="G187" s="415"/>
      <c r="H187" s="2564"/>
    </row>
    <row r="188" spans="2:8">
      <c r="B188" s="640">
        <v>46240</v>
      </c>
      <c r="C188" s="2563">
        <v>150</v>
      </c>
      <c r="D188" s="2573" t="s">
        <v>7725</v>
      </c>
      <c r="E188" s="377"/>
      <c r="F188" s="415" t="s">
        <v>7737</v>
      </c>
      <c r="G188" s="415"/>
      <c r="H188" s="2564"/>
    </row>
    <row r="189" spans="2:8">
      <c r="B189" s="640">
        <v>46240</v>
      </c>
      <c r="C189" s="2563">
        <v>151</v>
      </c>
      <c r="D189" s="377" t="s">
        <v>7726</v>
      </c>
      <c r="E189" s="377" t="s">
        <v>7727</v>
      </c>
      <c r="F189" s="415" t="s">
        <v>7728</v>
      </c>
      <c r="G189" s="415"/>
      <c r="H189" s="2564"/>
    </row>
    <row r="190" spans="2:8" ht="27.6">
      <c r="B190" s="640">
        <v>46240</v>
      </c>
      <c r="C190" s="2563">
        <v>152</v>
      </c>
      <c r="D190" s="377" t="s">
        <v>7726</v>
      </c>
      <c r="E190" s="377" t="s">
        <v>7729</v>
      </c>
      <c r="F190" s="415" t="s">
        <v>9339</v>
      </c>
      <c r="G190" s="415"/>
      <c r="H190" s="2564"/>
    </row>
    <row r="191" spans="2:8" ht="27.6">
      <c r="B191" s="640">
        <v>46240</v>
      </c>
      <c r="C191" s="2563">
        <v>153</v>
      </c>
      <c r="D191" s="377" t="s">
        <v>7726</v>
      </c>
      <c r="E191" s="377" t="s">
        <v>7729</v>
      </c>
      <c r="F191" s="415" t="s">
        <v>7730</v>
      </c>
      <c r="G191" s="415"/>
      <c r="H191" s="2564"/>
    </row>
    <row r="192" spans="2:8" ht="27.6">
      <c r="B192" s="640">
        <v>46240</v>
      </c>
      <c r="C192" s="2563">
        <v>154</v>
      </c>
      <c r="D192" s="377" t="s">
        <v>7726</v>
      </c>
      <c r="E192" s="377" t="s">
        <v>1436</v>
      </c>
      <c r="F192" s="415" t="s">
        <v>9340</v>
      </c>
      <c r="G192" s="415"/>
      <c r="H192" s="2564"/>
    </row>
    <row r="193" spans="2:8">
      <c r="B193" s="640">
        <v>46240</v>
      </c>
      <c r="C193" s="2563">
        <v>155</v>
      </c>
      <c r="D193" s="377" t="s">
        <v>7726</v>
      </c>
      <c r="E193" s="377" t="s">
        <v>1436</v>
      </c>
      <c r="F193" s="415" t="s">
        <v>7731</v>
      </c>
      <c r="G193" s="415"/>
      <c r="H193" s="2564"/>
    </row>
    <row r="194" spans="2:8">
      <c r="B194" s="640">
        <v>46240</v>
      </c>
      <c r="C194" s="2563">
        <v>156</v>
      </c>
      <c r="D194" s="377" t="s">
        <v>7726</v>
      </c>
      <c r="E194" s="377" t="s">
        <v>6913</v>
      </c>
      <c r="F194" s="415" t="s">
        <v>7738</v>
      </c>
      <c r="G194" s="415"/>
      <c r="H194" s="2564"/>
    </row>
    <row r="195" spans="2:8" ht="55.2">
      <c r="B195" s="640">
        <v>46240</v>
      </c>
      <c r="C195" s="2563">
        <v>157</v>
      </c>
      <c r="D195" s="377" t="s">
        <v>7726</v>
      </c>
      <c r="E195" s="377" t="s">
        <v>2517</v>
      </c>
      <c r="F195" s="415" t="s">
        <v>7732</v>
      </c>
      <c r="G195" s="415"/>
      <c r="H195" s="2564"/>
    </row>
    <row r="196" spans="2:8">
      <c r="B196" s="640">
        <v>46240</v>
      </c>
      <c r="C196" s="2563">
        <v>158</v>
      </c>
      <c r="D196" s="377" t="s">
        <v>7726</v>
      </c>
      <c r="E196" s="377" t="s">
        <v>7733</v>
      </c>
      <c r="F196" s="415" t="s">
        <v>7734</v>
      </c>
      <c r="G196" s="415"/>
      <c r="H196" s="2564"/>
    </row>
    <row r="197" spans="2:8">
      <c r="B197" s="640">
        <v>46240</v>
      </c>
      <c r="C197" s="2563">
        <v>159</v>
      </c>
      <c r="D197" s="377" t="s">
        <v>7726</v>
      </c>
      <c r="E197" s="377" t="s">
        <v>7735</v>
      </c>
      <c r="F197" s="415" t="s">
        <v>7736</v>
      </c>
      <c r="G197" s="415"/>
      <c r="H197" s="2564"/>
    </row>
    <row r="198" spans="2:8">
      <c r="B198" s="640">
        <v>46240</v>
      </c>
      <c r="C198" s="2563">
        <v>163</v>
      </c>
      <c r="D198" s="2578" t="s">
        <v>9244</v>
      </c>
      <c r="E198" s="377" t="s">
        <v>9245</v>
      </c>
      <c r="F198" s="415" t="s">
        <v>9246</v>
      </c>
      <c r="G198" s="415"/>
      <c r="H198" s="2564"/>
    </row>
    <row r="199" spans="2:8">
      <c r="B199" s="640"/>
      <c r="C199" s="2563">
        <v>160</v>
      </c>
      <c r="D199" s="2576"/>
      <c r="E199" s="377"/>
      <c r="F199" s="415"/>
      <c r="G199" s="415"/>
      <c r="H199" s="2564"/>
    </row>
    <row r="200" spans="2:8">
      <c r="B200" s="640"/>
      <c r="C200" s="2563">
        <v>161</v>
      </c>
      <c r="D200" s="2576"/>
      <c r="E200" s="377"/>
      <c r="F200" s="415"/>
      <c r="G200" s="415"/>
      <c r="H200" s="2564"/>
    </row>
    <row r="201" spans="2:8">
      <c r="B201" s="640"/>
      <c r="C201" s="2563">
        <v>162</v>
      </c>
      <c r="D201" s="2576"/>
      <c r="E201" s="377"/>
      <c r="F201" s="415"/>
      <c r="G201" s="415"/>
      <c r="H201" s="2564"/>
    </row>
    <row r="202" spans="2:8">
      <c r="B202" s="640"/>
      <c r="C202" s="2563">
        <v>163</v>
      </c>
      <c r="D202" s="2576"/>
      <c r="E202" s="377"/>
      <c r="F202" s="415"/>
      <c r="G202" s="415"/>
      <c r="H202" s="2564"/>
    </row>
    <row r="203" spans="2:8">
      <c r="B203" s="640"/>
      <c r="C203" s="2563">
        <v>164</v>
      </c>
      <c r="D203" s="2576"/>
      <c r="E203" s="377"/>
      <c r="F203" s="415"/>
      <c r="G203" s="415"/>
      <c r="H203" s="2564"/>
    </row>
    <row r="204" spans="2:8">
      <c r="B204" s="640"/>
      <c r="C204" s="2563">
        <v>165</v>
      </c>
      <c r="D204" s="2576"/>
      <c r="E204" s="377"/>
      <c r="F204" s="415"/>
      <c r="G204" s="415"/>
      <c r="H204" s="2564"/>
    </row>
    <row r="205" spans="2:8">
      <c r="B205" s="640"/>
      <c r="C205" s="2563">
        <v>166</v>
      </c>
      <c r="D205" s="2576"/>
      <c r="E205" s="377"/>
      <c r="F205" s="415"/>
      <c r="G205" s="415"/>
      <c r="H205" s="2564"/>
    </row>
    <row r="206" spans="2:8">
      <c r="B206" s="640"/>
      <c r="C206" s="2563">
        <v>167</v>
      </c>
      <c r="D206" s="2576"/>
      <c r="E206" s="377"/>
      <c r="F206" s="415"/>
      <c r="G206" s="415"/>
      <c r="H206" s="2564"/>
    </row>
    <row r="207" spans="2:8">
      <c r="B207" s="640"/>
      <c r="C207" s="2563">
        <v>168</v>
      </c>
      <c r="D207" s="2576"/>
      <c r="E207" s="377"/>
      <c r="F207" s="415"/>
      <c r="G207" s="415"/>
      <c r="H207" s="2564"/>
    </row>
    <row r="208" spans="2:8">
      <c r="B208" s="640"/>
      <c r="C208" s="2563">
        <v>169</v>
      </c>
      <c r="D208" s="2576"/>
      <c r="E208" s="377"/>
      <c r="F208" s="415"/>
      <c r="G208" s="415"/>
      <c r="H208" s="2564"/>
    </row>
    <row r="209" spans="2:8">
      <c r="B209" s="640"/>
      <c r="C209" s="2563">
        <v>170</v>
      </c>
      <c r="D209" s="2576"/>
      <c r="E209" s="377"/>
      <c r="F209" s="415"/>
      <c r="G209" s="415"/>
      <c r="H209" s="2564"/>
    </row>
    <row r="210" spans="2:8">
      <c r="B210" s="640"/>
      <c r="C210" s="2563">
        <v>171</v>
      </c>
      <c r="D210" s="2576"/>
      <c r="E210" s="377"/>
      <c r="F210" s="415"/>
      <c r="G210" s="415"/>
      <c r="H210" s="2564"/>
    </row>
    <row r="211" spans="2:8">
      <c r="B211" s="640"/>
      <c r="C211" s="2563">
        <v>172</v>
      </c>
      <c r="D211" s="2576"/>
      <c r="E211" s="377"/>
      <c r="F211" s="415"/>
      <c r="G211" s="415"/>
      <c r="H211" s="2564"/>
    </row>
    <row r="212" spans="2:8">
      <c r="B212" s="640"/>
      <c r="C212" s="2563">
        <v>173</v>
      </c>
      <c r="D212" s="2576"/>
      <c r="E212" s="377"/>
      <c r="F212" s="415"/>
      <c r="G212" s="415"/>
      <c r="H212" s="2564"/>
    </row>
    <row r="213" spans="2:8">
      <c r="B213" s="640"/>
      <c r="C213" s="2563">
        <v>174</v>
      </c>
      <c r="D213" s="2576"/>
      <c r="E213" s="377"/>
      <c r="F213" s="415"/>
      <c r="G213" s="415"/>
      <c r="H213" s="2564"/>
    </row>
    <row r="214" spans="2:8">
      <c r="B214" s="640"/>
      <c r="C214" s="2563">
        <v>175</v>
      </c>
      <c r="D214" s="2576"/>
      <c r="E214" s="377"/>
      <c r="F214" s="415"/>
      <c r="G214" s="415"/>
      <c r="H214" s="2564"/>
    </row>
    <row r="215" spans="2:8">
      <c r="B215" s="640"/>
      <c r="C215" s="2563">
        <v>176</v>
      </c>
      <c r="D215" s="2576"/>
      <c r="E215" s="377"/>
      <c r="F215" s="415"/>
      <c r="G215" s="415"/>
      <c r="H215" s="2564"/>
    </row>
    <row r="216" spans="2:8">
      <c r="B216" s="640"/>
      <c r="C216" s="2563">
        <v>177</v>
      </c>
      <c r="D216" s="2576"/>
      <c r="E216" s="377"/>
      <c r="F216" s="415"/>
      <c r="G216" s="415"/>
      <c r="H216" s="2564"/>
    </row>
    <row r="217" spans="2:8">
      <c r="B217" s="640"/>
      <c r="C217" s="2563">
        <v>178</v>
      </c>
      <c r="D217" s="2576"/>
      <c r="E217" s="377"/>
      <c r="F217" s="415"/>
      <c r="G217" s="415"/>
      <c r="H217" s="2564"/>
    </row>
    <row r="218" spans="2:8">
      <c r="B218" s="640"/>
      <c r="C218" s="2563">
        <v>179</v>
      </c>
      <c r="D218" s="2576"/>
      <c r="E218" s="377"/>
      <c r="F218" s="415"/>
      <c r="G218" s="415"/>
      <c r="H218" s="2564"/>
    </row>
    <row r="219" spans="2:8">
      <c r="B219" s="640"/>
      <c r="C219" s="2563">
        <v>180</v>
      </c>
      <c r="D219" s="2576"/>
      <c r="E219" s="377"/>
      <c r="F219" s="415"/>
      <c r="G219" s="415"/>
      <c r="H219" s="2564"/>
    </row>
    <row r="220" spans="2:8">
      <c r="B220" s="640"/>
      <c r="C220" s="2563">
        <v>181</v>
      </c>
      <c r="D220" s="2576"/>
      <c r="E220" s="377"/>
      <c r="F220" s="415"/>
      <c r="G220" s="415"/>
      <c r="H220" s="2564"/>
    </row>
    <row r="221" spans="2:8">
      <c r="B221" s="640"/>
      <c r="C221" s="2563">
        <v>182</v>
      </c>
      <c r="D221" s="2576"/>
      <c r="E221" s="377"/>
      <c r="F221" s="415"/>
      <c r="G221" s="415"/>
      <c r="H221" s="2564"/>
    </row>
    <row r="222" spans="2:8">
      <c r="B222" s="640"/>
      <c r="C222" s="2563">
        <v>183</v>
      </c>
      <c r="D222" s="2576"/>
      <c r="E222" s="377"/>
      <c r="F222" s="415"/>
      <c r="G222" s="415"/>
      <c r="H222" s="2564"/>
    </row>
    <row r="223" spans="2:8">
      <c r="B223" s="640"/>
      <c r="C223" s="2563">
        <v>184</v>
      </c>
      <c r="D223" s="2576"/>
      <c r="E223" s="377"/>
      <c r="F223" s="415"/>
      <c r="G223" s="415"/>
      <c r="H223" s="2564"/>
    </row>
    <row r="224" spans="2:8">
      <c r="B224" s="640"/>
      <c r="C224" s="2563">
        <v>185</v>
      </c>
      <c r="D224" s="2576"/>
      <c r="E224" s="377"/>
      <c r="F224" s="415"/>
      <c r="G224" s="415"/>
      <c r="H224" s="2564"/>
    </row>
    <row r="225" spans="2:8">
      <c r="B225" s="640"/>
      <c r="C225" s="2563">
        <v>186</v>
      </c>
      <c r="D225" s="2576"/>
      <c r="E225" s="377"/>
      <c r="F225" s="415"/>
      <c r="G225" s="415"/>
      <c r="H225" s="2564"/>
    </row>
    <row r="226" spans="2:8">
      <c r="B226" s="640"/>
      <c r="C226" s="2563">
        <v>187</v>
      </c>
      <c r="D226" s="2576"/>
      <c r="E226" s="377"/>
      <c r="F226" s="415"/>
      <c r="G226" s="415"/>
      <c r="H226" s="2564"/>
    </row>
    <row r="227" spans="2:8">
      <c r="B227" s="640"/>
      <c r="C227" s="2563">
        <v>188</v>
      </c>
      <c r="D227" s="2576"/>
      <c r="E227" s="377"/>
      <c r="F227" s="415"/>
      <c r="G227" s="415"/>
      <c r="H227" s="2564"/>
    </row>
    <row r="228" spans="2:8">
      <c r="B228" s="640"/>
      <c r="C228" s="2563">
        <v>189</v>
      </c>
      <c r="D228" s="2576"/>
      <c r="E228" s="377"/>
      <c r="F228" s="415"/>
      <c r="G228" s="415"/>
      <c r="H228" s="2564"/>
    </row>
    <row r="229" spans="2:8">
      <c r="B229" s="640"/>
      <c r="C229" s="2563">
        <v>190</v>
      </c>
      <c r="D229" s="2576"/>
      <c r="E229" s="377"/>
      <c r="F229" s="415"/>
      <c r="G229" s="415"/>
      <c r="H229" s="2564"/>
    </row>
    <row r="230" spans="2:8">
      <c r="B230" s="640"/>
      <c r="C230" s="2563">
        <v>191</v>
      </c>
      <c r="D230" s="2576"/>
      <c r="E230" s="377"/>
      <c r="F230" s="415"/>
      <c r="G230" s="415"/>
      <c r="H230" s="2564"/>
    </row>
    <row r="231" spans="2:8">
      <c r="B231" s="640"/>
      <c r="C231" s="2563">
        <v>192</v>
      </c>
      <c r="D231" s="2576"/>
      <c r="E231" s="377"/>
      <c r="F231" s="415"/>
      <c r="G231" s="415"/>
      <c r="H231" s="2564"/>
    </row>
    <row r="232" spans="2:8">
      <c r="B232" s="640"/>
      <c r="C232" s="2563">
        <v>193</v>
      </c>
      <c r="D232" s="2576"/>
      <c r="E232" s="377"/>
      <c r="F232" s="415"/>
      <c r="G232" s="415"/>
      <c r="H232" s="2564"/>
    </row>
    <row r="233" spans="2:8">
      <c r="B233" s="640"/>
      <c r="C233" s="2563">
        <v>194</v>
      </c>
      <c r="D233" s="2576"/>
      <c r="E233" s="377"/>
      <c r="F233" s="415"/>
      <c r="G233" s="415"/>
      <c r="H233" s="2564"/>
    </row>
    <row r="234" spans="2:8">
      <c r="B234" s="640"/>
      <c r="C234" s="2563">
        <v>195</v>
      </c>
      <c r="D234" s="2576"/>
      <c r="E234" s="377"/>
      <c r="F234" s="415"/>
      <c r="G234" s="415"/>
      <c r="H234" s="2564"/>
    </row>
    <row r="235" spans="2:8">
      <c r="B235" s="640"/>
      <c r="C235" s="2563">
        <v>196</v>
      </c>
      <c r="D235" s="2576"/>
      <c r="E235" s="377"/>
      <c r="F235" s="415"/>
      <c r="G235" s="415"/>
      <c r="H235" s="2564"/>
    </row>
    <row r="236" spans="2:8">
      <c r="B236" s="640"/>
      <c r="C236" s="2563">
        <v>197</v>
      </c>
      <c r="D236" s="2576"/>
      <c r="E236" s="377"/>
      <c r="F236" s="415"/>
      <c r="G236" s="415"/>
      <c r="H236" s="2564"/>
    </row>
    <row r="237" spans="2:8">
      <c r="B237" s="640"/>
      <c r="C237" s="2563">
        <v>198</v>
      </c>
      <c r="D237" s="2576"/>
      <c r="E237" s="377"/>
      <c r="F237" s="415"/>
      <c r="G237" s="415"/>
      <c r="H237" s="2564"/>
    </row>
    <row r="238" spans="2:8">
      <c r="B238" s="640"/>
      <c r="C238" s="2563">
        <v>199</v>
      </c>
      <c r="D238" s="2576"/>
      <c r="E238" s="377"/>
      <c r="F238" s="415"/>
      <c r="G238" s="415"/>
      <c r="H238" s="2564"/>
    </row>
    <row r="239" spans="2:8">
      <c r="B239" s="640"/>
      <c r="C239" s="2563">
        <v>200</v>
      </c>
      <c r="D239" s="2576"/>
      <c r="E239" s="377"/>
      <c r="F239" s="415"/>
      <c r="G239" s="415"/>
      <c r="H239" s="2564"/>
    </row>
    <row r="240" spans="2:8">
      <c r="B240" s="640"/>
      <c r="C240" s="2563">
        <v>201</v>
      </c>
      <c r="D240" s="2576"/>
      <c r="E240" s="377"/>
      <c r="F240" s="415"/>
      <c r="G240" s="415"/>
      <c r="H240" s="2564"/>
    </row>
    <row r="241" spans="2:8">
      <c r="B241" s="640"/>
      <c r="C241" s="2563">
        <v>202</v>
      </c>
      <c r="D241" s="2576"/>
      <c r="E241" s="377"/>
      <c r="F241" s="415"/>
      <c r="G241" s="415"/>
      <c r="H241" s="2564"/>
    </row>
    <row r="242" spans="2:8">
      <c r="B242" s="640"/>
      <c r="C242" s="2563">
        <v>203</v>
      </c>
      <c r="D242" s="2576"/>
      <c r="E242" s="377"/>
      <c r="F242" s="415"/>
      <c r="G242" s="415"/>
      <c r="H242" s="2564"/>
    </row>
    <row r="243" spans="2:8">
      <c r="B243" s="640"/>
      <c r="C243" s="2563">
        <v>204</v>
      </c>
      <c r="D243" s="2576"/>
      <c r="E243" s="377"/>
      <c r="F243" s="415"/>
      <c r="G243" s="415"/>
      <c r="H243" s="2564"/>
    </row>
    <row r="244" spans="2:8">
      <c r="B244" s="640"/>
      <c r="C244" s="2563">
        <v>205</v>
      </c>
      <c r="D244" s="2576"/>
      <c r="E244" s="377"/>
      <c r="F244" s="415"/>
      <c r="G244" s="415"/>
      <c r="H244" s="2564"/>
    </row>
    <row r="245" spans="2:8">
      <c r="B245" s="640"/>
      <c r="C245" s="2563">
        <v>206</v>
      </c>
      <c r="D245" s="2576"/>
      <c r="E245" s="377"/>
      <c r="F245" s="415"/>
      <c r="G245" s="415"/>
      <c r="H245" s="2564"/>
    </row>
    <row r="246" spans="2:8">
      <c r="B246" s="640"/>
      <c r="C246" s="2563">
        <v>207</v>
      </c>
      <c r="D246" s="2576"/>
      <c r="E246" s="377"/>
      <c r="F246" s="415"/>
      <c r="G246" s="415"/>
      <c r="H246" s="2564"/>
    </row>
    <row r="247" spans="2:8">
      <c r="B247" s="640"/>
      <c r="C247" s="2563">
        <v>208</v>
      </c>
      <c r="D247" s="2576"/>
      <c r="E247" s="377"/>
      <c r="F247" s="415"/>
      <c r="G247" s="415"/>
      <c r="H247" s="2564"/>
    </row>
    <row r="248" spans="2:8">
      <c r="B248" s="640"/>
      <c r="C248" s="2563">
        <v>209</v>
      </c>
      <c r="D248" s="2576"/>
      <c r="E248" s="377"/>
      <c r="F248" s="415"/>
      <c r="G248" s="415"/>
      <c r="H248" s="2564"/>
    </row>
    <row r="249" spans="2:8">
      <c r="B249" s="640"/>
      <c r="C249" s="2563">
        <v>210</v>
      </c>
      <c r="D249" s="2576"/>
      <c r="E249" s="377"/>
      <c r="F249" s="415"/>
      <c r="G249" s="415"/>
      <c r="H249" s="2564"/>
    </row>
    <row r="250" spans="2:8">
      <c r="B250" s="640"/>
      <c r="C250" s="2563">
        <v>211</v>
      </c>
      <c r="D250" s="2576"/>
      <c r="E250" s="377"/>
      <c r="F250" s="415"/>
      <c r="G250" s="415"/>
      <c r="H250" s="2564"/>
    </row>
    <row r="251" spans="2:8">
      <c r="B251" s="640"/>
      <c r="C251" s="2563">
        <v>212</v>
      </c>
      <c r="D251" s="2576"/>
      <c r="E251" s="377"/>
      <c r="F251" s="415"/>
      <c r="G251" s="415"/>
      <c r="H251" s="2564"/>
    </row>
    <row r="252" spans="2:8">
      <c r="B252" s="640"/>
      <c r="C252" s="2563">
        <v>213</v>
      </c>
      <c r="D252" s="2576"/>
      <c r="E252" s="377"/>
      <c r="F252" s="415"/>
      <c r="G252" s="415"/>
      <c r="H252" s="2564"/>
    </row>
    <row r="253" spans="2:8">
      <c r="B253" s="640"/>
      <c r="C253" s="2563">
        <v>214</v>
      </c>
      <c r="D253" s="2576"/>
      <c r="E253" s="377"/>
      <c r="F253" s="415"/>
      <c r="G253" s="415"/>
      <c r="H253" s="2564"/>
    </row>
    <row r="254" spans="2:8">
      <c r="B254" s="640"/>
      <c r="C254" s="2563">
        <v>215</v>
      </c>
      <c r="D254" s="2576"/>
      <c r="E254" s="377"/>
      <c r="F254" s="415"/>
      <c r="G254" s="415"/>
      <c r="H254" s="2564"/>
    </row>
    <row r="255" spans="2:8">
      <c r="B255" s="640"/>
      <c r="C255" s="2563">
        <v>216</v>
      </c>
      <c r="D255" s="2576"/>
      <c r="E255" s="377"/>
      <c r="F255" s="415"/>
      <c r="G255" s="415"/>
      <c r="H255" s="2564"/>
    </row>
    <row r="256" spans="2:8">
      <c r="B256" s="640"/>
      <c r="C256" s="2563">
        <v>217</v>
      </c>
      <c r="D256" s="2576"/>
      <c r="E256" s="377"/>
      <c r="F256" s="415"/>
      <c r="G256" s="415"/>
      <c r="H256" s="2564"/>
    </row>
    <row r="257" spans="2:8">
      <c r="B257" s="640"/>
      <c r="C257" s="2563">
        <v>218</v>
      </c>
      <c r="D257" s="2576"/>
      <c r="E257" s="377"/>
      <c r="F257" s="415"/>
      <c r="G257" s="415"/>
      <c r="H257" s="2564"/>
    </row>
    <row r="258" spans="2:8">
      <c r="B258" s="640"/>
      <c r="C258" s="2563">
        <v>219</v>
      </c>
      <c r="D258" s="2576"/>
      <c r="E258" s="377"/>
      <c r="F258" s="415"/>
      <c r="G258" s="415"/>
      <c r="H258" s="2564"/>
    </row>
    <row r="259" spans="2:8">
      <c r="B259" s="640"/>
      <c r="C259" s="2563">
        <v>220</v>
      </c>
      <c r="D259" s="2576"/>
      <c r="E259" s="377"/>
      <c r="F259" s="415"/>
      <c r="G259" s="415"/>
      <c r="H259" s="2564"/>
    </row>
    <row r="260" spans="2:8">
      <c r="B260" s="640"/>
      <c r="C260" s="2563">
        <v>221</v>
      </c>
      <c r="D260" s="2576"/>
      <c r="E260" s="377"/>
      <c r="F260" s="415"/>
      <c r="G260" s="415"/>
      <c r="H260" s="2564"/>
    </row>
    <row r="261" spans="2:8">
      <c r="B261" s="640"/>
      <c r="C261" s="2563">
        <v>222</v>
      </c>
      <c r="D261" s="2576"/>
      <c r="E261" s="377"/>
      <c r="F261" s="415"/>
      <c r="G261" s="415"/>
      <c r="H261" s="2564"/>
    </row>
    <row r="262" spans="2:8">
      <c r="B262" s="640"/>
      <c r="C262" s="2563">
        <v>223</v>
      </c>
      <c r="D262" s="2576"/>
      <c r="E262" s="377"/>
      <c r="F262" s="415"/>
      <c r="G262" s="415"/>
      <c r="H262" s="2564"/>
    </row>
    <row r="263" spans="2:8">
      <c r="B263" s="640"/>
      <c r="C263" s="2563">
        <v>224</v>
      </c>
      <c r="D263" s="2576"/>
      <c r="E263" s="377"/>
      <c r="F263" s="415"/>
      <c r="G263" s="415"/>
      <c r="H263" s="2564"/>
    </row>
    <row r="264" spans="2:8">
      <c r="B264" s="640"/>
      <c r="C264" s="2563">
        <v>225</v>
      </c>
      <c r="D264" s="2576"/>
      <c r="E264" s="377"/>
      <c r="F264" s="415"/>
      <c r="G264" s="415"/>
      <c r="H264" s="2564"/>
    </row>
    <row r="265" spans="2:8">
      <c r="B265" s="640"/>
      <c r="C265" s="2563">
        <v>226</v>
      </c>
      <c r="D265" s="2576"/>
      <c r="E265" s="377"/>
      <c r="F265" s="415"/>
      <c r="G265" s="415"/>
      <c r="H265" s="2564"/>
    </row>
    <row r="266" spans="2:8">
      <c r="B266" s="640"/>
      <c r="C266" s="2563">
        <v>227</v>
      </c>
      <c r="D266" s="2576"/>
      <c r="E266" s="377"/>
      <c r="F266" s="415"/>
      <c r="G266" s="415"/>
      <c r="H266" s="2564"/>
    </row>
    <row r="267" spans="2:8">
      <c r="B267" s="640"/>
      <c r="C267" s="2563">
        <v>228</v>
      </c>
      <c r="D267" s="2576"/>
      <c r="E267" s="377"/>
      <c r="F267" s="415"/>
      <c r="G267" s="415"/>
      <c r="H267" s="2564"/>
    </row>
    <row r="268" spans="2:8">
      <c r="B268" s="640"/>
      <c r="C268" s="2563">
        <v>229</v>
      </c>
      <c r="D268" s="2576"/>
      <c r="E268" s="377"/>
      <c r="F268" s="415"/>
      <c r="G268" s="415"/>
      <c r="H268" s="2564"/>
    </row>
    <row r="269" spans="2:8">
      <c r="B269" s="640"/>
      <c r="C269" s="2563">
        <v>230</v>
      </c>
      <c r="D269" s="2576"/>
      <c r="E269" s="377"/>
      <c r="F269" s="415"/>
      <c r="G269" s="415"/>
      <c r="H269" s="2564"/>
    </row>
    <row r="270" spans="2:8">
      <c r="B270" s="640"/>
      <c r="C270" s="2563">
        <v>231</v>
      </c>
      <c r="D270" s="2576"/>
      <c r="E270" s="377"/>
      <c r="F270" s="415"/>
      <c r="G270" s="415"/>
      <c r="H270" s="2564"/>
    </row>
    <row r="271" spans="2:8">
      <c r="B271" s="640"/>
      <c r="C271" s="2563">
        <v>232</v>
      </c>
      <c r="D271" s="2576"/>
      <c r="E271" s="377"/>
      <c r="F271" s="415"/>
      <c r="G271" s="415"/>
      <c r="H271" s="2564"/>
    </row>
    <row r="272" spans="2:8">
      <c r="B272" s="640"/>
      <c r="C272" s="2563">
        <v>233</v>
      </c>
      <c r="D272" s="2576"/>
      <c r="E272" s="377"/>
      <c r="F272" s="415"/>
      <c r="G272" s="415"/>
      <c r="H272" s="2564"/>
    </row>
    <row r="273" spans="2:8">
      <c r="B273" s="640"/>
      <c r="C273" s="2563">
        <v>234</v>
      </c>
      <c r="D273" s="2576"/>
      <c r="E273" s="377"/>
      <c r="F273" s="415"/>
      <c r="G273" s="415"/>
      <c r="H273" s="2564"/>
    </row>
    <row r="274" spans="2:8">
      <c r="B274" s="640"/>
      <c r="C274" s="2563">
        <v>235</v>
      </c>
      <c r="D274" s="2576"/>
      <c r="E274" s="377"/>
      <c r="F274" s="415"/>
      <c r="G274" s="415"/>
      <c r="H274" s="2564"/>
    </row>
    <row r="275" spans="2:8">
      <c r="B275" s="640"/>
      <c r="C275" s="2563">
        <v>236</v>
      </c>
      <c r="D275" s="2576"/>
      <c r="E275" s="377"/>
      <c r="F275" s="415"/>
      <c r="G275" s="415"/>
      <c r="H275" s="2564"/>
    </row>
    <row r="276" spans="2:8">
      <c r="B276" s="640"/>
      <c r="C276" s="2563">
        <v>237</v>
      </c>
      <c r="D276" s="2576"/>
      <c r="E276" s="377"/>
      <c r="F276" s="415"/>
      <c r="G276" s="415"/>
      <c r="H276" s="2564"/>
    </row>
    <row r="277" spans="2:8">
      <c r="B277" s="640"/>
      <c r="C277" s="2563">
        <v>238</v>
      </c>
      <c r="D277" s="2576"/>
      <c r="E277" s="377"/>
      <c r="F277" s="415"/>
      <c r="G277" s="415"/>
      <c r="H277" s="2564"/>
    </row>
    <row r="278" spans="2:8">
      <c r="B278" s="640"/>
      <c r="C278" s="2563">
        <v>239</v>
      </c>
      <c r="D278" s="2576"/>
      <c r="E278" s="377"/>
      <c r="F278" s="415"/>
      <c r="G278" s="415"/>
      <c r="H278" s="2564"/>
    </row>
    <row r="279" spans="2:8">
      <c r="B279" s="640"/>
      <c r="C279" s="2563">
        <v>240</v>
      </c>
      <c r="D279" s="2576"/>
      <c r="E279" s="377"/>
      <c r="F279" s="415"/>
      <c r="G279" s="415"/>
      <c r="H279" s="2564"/>
    </row>
    <row r="280" spans="2:8">
      <c r="B280" s="640"/>
      <c r="C280" s="2563">
        <v>241</v>
      </c>
      <c r="D280" s="2576"/>
      <c r="E280" s="377"/>
      <c r="F280" s="415"/>
      <c r="G280" s="415"/>
      <c r="H280" s="2564"/>
    </row>
    <row r="281" spans="2:8">
      <c r="B281" s="640"/>
      <c r="C281" s="2563">
        <v>242</v>
      </c>
      <c r="D281" s="2576"/>
      <c r="E281" s="377"/>
      <c r="F281" s="415"/>
      <c r="G281" s="415"/>
      <c r="H281" s="2564"/>
    </row>
    <row r="282" spans="2:8">
      <c r="B282" s="640"/>
      <c r="C282" s="2563">
        <v>243</v>
      </c>
      <c r="D282" s="2576"/>
      <c r="E282" s="377"/>
      <c r="F282" s="415"/>
      <c r="G282" s="415"/>
      <c r="H282" s="2564"/>
    </row>
    <row r="283" spans="2:8">
      <c r="B283" s="640"/>
      <c r="C283" s="2563">
        <v>244</v>
      </c>
      <c r="D283" s="2576"/>
      <c r="E283" s="377"/>
      <c r="F283" s="415"/>
      <c r="G283" s="415"/>
      <c r="H283" s="2564"/>
    </row>
    <row r="284" spans="2:8">
      <c r="B284" s="640"/>
      <c r="C284" s="2563">
        <v>245</v>
      </c>
      <c r="D284" s="2576"/>
      <c r="E284" s="377"/>
      <c r="F284" s="415"/>
      <c r="G284" s="415"/>
      <c r="H284" s="2564"/>
    </row>
    <row r="285" spans="2:8">
      <c r="B285" s="640"/>
      <c r="C285" s="2563">
        <v>246</v>
      </c>
      <c r="D285" s="2576"/>
      <c r="E285" s="377"/>
      <c r="F285" s="415"/>
      <c r="G285" s="415"/>
      <c r="H285" s="2564"/>
    </row>
    <row r="286" spans="2:8">
      <c r="B286" s="640"/>
      <c r="C286" s="2563">
        <v>247</v>
      </c>
      <c r="D286" s="2576"/>
      <c r="E286" s="377"/>
      <c r="F286" s="415"/>
      <c r="G286" s="415"/>
      <c r="H286" s="2564"/>
    </row>
    <row r="287" spans="2:8">
      <c r="B287" s="640"/>
      <c r="C287" s="2563">
        <v>248</v>
      </c>
      <c r="D287" s="2576"/>
      <c r="E287" s="377"/>
      <c r="F287" s="415"/>
      <c r="G287" s="415"/>
      <c r="H287" s="2564"/>
    </row>
    <row r="288" spans="2:8">
      <c r="B288" s="640"/>
      <c r="C288" s="2563">
        <v>249</v>
      </c>
      <c r="D288" s="2576"/>
      <c r="E288" s="377"/>
      <c r="F288" s="415"/>
      <c r="G288" s="415"/>
      <c r="H288" s="2564"/>
    </row>
    <row r="289" spans="2:8">
      <c r="B289" s="640"/>
      <c r="C289" s="2563">
        <v>250</v>
      </c>
      <c r="D289" s="2576"/>
      <c r="E289" s="377"/>
      <c r="F289" s="415"/>
      <c r="G289" s="415"/>
      <c r="H289" s="2564"/>
    </row>
    <row r="290" spans="2:8">
      <c r="B290" s="640"/>
      <c r="C290" s="2563">
        <v>251</v>
      </c>
      <c r="D290" s="2576"/>
      <c r="E290" s="377"/>
      <c r="F290" s="415"/>
      <c r="G290" s="415"/>
      <c r="H290" s="2564"/>
    </row>
    <row r="291" spans="2:8">
      <c r="B291" s="640"/>
      <c r="C291" s="2563">
        <v>252</v>
      </c>
      <c r="D291" s="2576"/>
      <c r="E291" s="377"/>
      <c r="F291" s="415"/>
      <c r="G291" s="415"/>
      <c r="H291" s="2564"/>
    </row>
    <row r="292" spans="2:8">
      <c r="B292" s="640"/>
      <c r="C292" s="2563">
        <v>253</v>
      </c>
      <c r="D292" s="2576"/>
      <c r="E292" s="377"/>
      <c r="F292" s="415"/>
      <c r="G292" s="415"/>
      <c r="H292" s="2564"/>
    </row>
    <row r="293" spans="2:8">
      <c r="B293" s="640"/>
      <c r="C293" s="2563">
        <v>254</v>
      </c>
      <c r="D293" s="2576"/>
      <c r="E293" s="377"/>
      <c r="F293" s="415"/>
      <c r="G293" s="415"/>
      <c r="H293" s="2564"/>
    </row>
    <row r="294" spans="2:8">
      <c r="B294" s="640"/>
      <c r="C294" s="2563">
        <v>255</v>
      </c>
      <c r="D294" s="2576"/>
      <c r="E294" s="377"/>
      <c r="F294" s="415"/>
      <c r="G294" s="415"/>
      <c r="H294" s="2564"/>
    </row>
    <row r="295" spans="2:8">
      <c r="B295" s="640"/>
      <c r="C295" s="2563">
        <v>256</v>
      </c>
      <c r="D295" s="2576"/>
      <c r="E295" s="377"/>
      <c r="F295" s="415"/>
      <c r="G295" s="415"/>
      <c r="H295" s="2564"/>
    </row>
    <row r="296" spans="2:8">
      <c r="B296" s="640"/>
      <c r="C296" s="2563">
        <v>257</v>
      </c>
      <c r="D296" s="2576"/>
      <c r="E296" s="377"/>
      <c r="F296" s="415"/>
      <c r="G296" s="415"/>
      <c r="H296" s="2564"/>
    </row>
    <row r="297" spans="2:8">
      <c r="B297" s="640"/>
      <c r="C297" s="2563">
        <v>258</v>
      </c>
      <c r="D297" s="2576"/>
      <c r="E297" s="377"/>
      <c r="F297" s="415"/>
      <c r="G297" s="415"/>
      <c r="H297" s="2564"/>
    </row>
    <row r="298" spans="2:8">
      <c r="B298" s="640"/>
      <c r="C298" s="2563">
        <v>259</v>
      </c>
      <c r="D298" s="2576"/>
      <c r="E298" s="377"/>
      <c r="F298" s="415"/>
      <c r="G298" s="415"/>
      <c r="H298" s="2564"/>
    </row>
    <row r="299" spans="2:8">
      <c r="B299" s="640"/>
      <c r="C299" s="2563">
        <v>260</v>
      </c>
      <c r="D299" s="2576"/>
      <c r="E299" s="377"/>
      <c r="F299" s="415"/>
      <c r="G299" s="415"/>
      <c r="H299" s="2564"/>
    </row>
    <row r="300" spans="2:8">
      <c r="B300" s="640"/>
      <c r="C300" s="2563">
        <v>261</v>
      </c>
      <c r="D300" s="2576"/>
      <c r="E300" s="377"/>
      <c r="F300" s="415"/>
      <c r="G300" s="415"/>
      <c r="H300" s="2564"/>
    </row>
    <row r="301" spans="2:8">
      <c r="B301" s="640"/>
      <c r="C301" s="2563">
        <v>262</v>
      </c>
      <c r="D301" s="2576"/>
      <c r="E301" s="377"/>
      <c r="F301" s="415"/>
      <c r="G301" s="415"/>
      <c r="H301" s="2564"/>
    </row>
    <row r="302" spans="2:8">
      <c r="B302" s="640"/>
      <c r="C302" s="2563">
        <v>263</v>
      </c>
      <c r="D302" s="2576"/>
      <c r="E302" s="377"/>
      <c r="F302" s="415"/>
      <c r="G302" s="415"/>
      <c r="H302" s="2564"/>
    </row>
    <row r="303" spans="2:8">
      <c r="B303" s="640"/>
      <c r="C303" s="2563">
        <v>264</v>
      </c>
      <c r="D303" s="2576"/>
      <c r="E303" s="377"/>
      <c r="F303" s="415"/>
      <c r="G303" s="415"/>
      <c r="H303" s="2564"/>
    </row>
    <row r="304" spans="2:8">
      <c r="B304" s="640"/>
      <c r="C304" s="2563">
        <v>265</v>
      </c>
      <c r="D304" s="2576"/>
      <c r="E304" s="377"/>
      <c r="F304" s="415"/>
      <c r="G304" s="415"/>
      <c r="H304" s="2564"/>
    </row>
    <row r="305" spans="2:8">
      <c r="B305" s="640"/>
      <c r="C305" s="2563">
        <v>266</v>
      </c>
      <c r="D305" s="2576"/>
      <c r="E305" s="377"/>
      <c r="F305" s="415"/>
      <c r="G305" s="415"/>
      <c r="H305" s="2564"/>
    </row>
    <row r="306" spans="2:8">
      <c r="B306" s="640"/>
      <c r="C306" s="2563">
        <v>267</v>
      </c>
      <c r="D306" s="2576"/>
      <c r="E306" s="377"/>
      <c r="F306" s="415"/>
      <c r="G306" s="415"/>
      <c r="H306" s="2564"/>
    </row>
    <row r="307" spans="2:8">
      <c r="B307" s="640"/>
      <c r="C307" s="2563">
        <v>268</v>
      </c>
      <c r="D307" s="2576"/>
      <c r="E307" s="377"/>
      <c r="F307" s="415"/>
      <c r="G307" s="415"/>
      <c r="H307" s="2564"/>
    </row>
    <row r="308" spans="2:8">
      <c r="B308" s="640"/>
      <c r="C308" s="2563">
        <v>269</v>
      </c>
      <c r="D308" s="2576"/>
      <c r="E308" s="377"/>
      <c r="F308" s="415"/>
      <c r="G308" s="415"/>
      <c r="H308" s="2564"/>
    </row>
    <row r="309" spans="2:8">
      <c r="B309" s="640"/>
      <c r="C309" s="2563">
        <v>270</v>
      </c>
      <c r="D309" s="2576"/>
      <c r="E309" s="377"/>
      <c r="F309" s="415"/>
      <c r="G309" s="415"/>
      <c r="H309" s="2564"/>
    </row>
    <row r="310" spans="2:8">
      <c r="B310" s="640"/>
      <c r="C310" s="2563">
        <v>271</v>
      </c>
      <c r="D310" s="2576"/>
      <c r="E310" s="377"/>
      <c r="F310" s="415"/>
      <c r="G310" s="415"/>
      <c r="H310" s="2564"/>
    </row>
    <row r="311" spans="2:8">
      <c r="B311" s="640"/>
      <c r="C311" s="2563">
        <v>272</v>
      </c>
      <c r="D311" s="2576"/>
      <c r="E311" s="377"/>
      <c r="F311" s="415"/>
      <c r="G311" s="415"/>
      <c r="H311" s="2564"/>
    </row>
    <row r="312" spans="2:8">
      <c r="B312" s="640"/>
      <c r="C312" s="2563">
        <v>273</v>
      </c>
      <c r="D312" s="2576"/>
      <c r="E312" s="377"/>
      <c r="F312" s="415"/>
      <c r="G312" s="415"/>
      <c r="H312" s="2564"/>
    </row>
    <row r="313" spans="2:8">
      <c r="B313" s="640"/>
      <c r="C313" s="2563">
        <v>274</v>
      </c>
      <c r="D313" s="2576"/>
      <c r="E313" s="377"/>
      <c r="F313" s="415"/>
      <c r="G313" s="415"/>
      <c r="H313" s="2564"/>
    </row>
    <row r="314" spans="2:8">
      <c r="B314" s="640"/>
      <c r="C314" s="2563">
        <v>275</v>
      </c>
      <c r="D314" s="2576"/>
      <c r="E314" s="377"/>
      <c r="F314" s="415"/>
      <c r="G314" s="415"/>
      <c r="H314" s="2564"/>
    </row>
    <row r="315" spans="2:8">
      <c r="B315" s="640"/>
      <c r="C315" s="2563">
        <v>276</v>
      </c>
      <c r="D315" s="2576"/>
      <c r="E315" s="377"/>
      <c r="F315" s="415"/>
      <c r="G315" s="415"/>
      <c r="H315" s="2564"/>
    </row>
    <row r="316" spans="2:8">
      <c r="B316" s="640"/>
      <c r="C316" s="2563">
        <v>277</v>
      </c>
      <c r="D316" s="2576"/>
      <c r="E316" s="377"/>
      <c r="F316" s="415"/>
      <c r="G316" s="415"/>
      <c r="H316" s="2564"/>
    </row>
    <row r="317" spans="2:8">
      <c r="B317" s="640"/>
      <c r="C317" s="2563">
        <v>278</v>
      </c>
      <c r="D317" s="2576"/>
      <c r="E317" s="377"/>
      <c r="F317" s="415"/>
      <c r="G317" s="415"/>
      <c r="H317" s="2564"/>
    </row>
    <row r="318" spans="2:8">
      <c r="B318" s="640"/>
      <c r="C318" s="2563">
        <v>279</v>
      </c>
      <c r="D318" s="2576"/>
      <c r="E318" s="377"/>
      <c r="F318" s="415"/>
      <c r="G318" s="415"/>
      <c r="H318" s="2564"/>
    </row>
    <row r="319" spans="2:8">
      <c r="B319" s="640"/>
      <c r="C319" s="2563">
        <v>280</v>
      </c>
      <c r="D319" s="2576"/>
      <c r="E319" s="377"/>
      <c r="F319" s="415"/>
      <c r="G319" s="415"/>
      <c r="H319" s="2564"/>
    </row>
    <row r="320" spans="2:8">
      <c r="B320" s="640"/>
      <c r="C320" s="2563">
        <v>281</v>
      </c>
      <c r="D320" s="2576"/>
      <c r="E320" s="377"/>
      <c r="F320" s="415"/>
      <c r="G320" s="415"/>
      <c r="H320" s="2564"/>
    </row>
    <row r="321" spans="2:8">
      <c r="B321" s="640"/>
      <c r="C321" s="2563">
        <v>282</v>
      </c>
      <c r="D321" s="2576"/>
      <c r="E321" s="377"/>
      <c r="F321" s="415"/>
      <c r="G321" s="415"/>
      <c r="H321" s="2564"/>
    </row>
    <row r="322" spans="2:8">
      <c r="B322" s="640"/>
      <c r="C322" s="2563">
        <v>283</v>
      </c>
      <c r="D322" s="2576"/>
      <c r="E322" s="377"/>
      <c r="F322" s="415"/>
      <c r="G322" s="415"/>
      <c r="H322" s="2564"/>
    </row>
    <row r="323" spans="2:8">
      <c r="B323" s="640"/>
      <c r="C323" s="2563">
        <v>284</v>
      </c>
      <c r="D323" s="2576"/>
      <c r="E323" s="377"/>
      <c r="F323" s="415"/>
      <c r="G323" s="415"/>
      <c r="H323" s="2564"/>
    </row>
    <row r="324" spans="2:8">
      <c r="B324" s="640"/>
      <c r="C324" s="2563">
        <v>285</v>
      </c>
      <c r="D324" s="2576"/>
      <c r="E324" s="377"/>
      <c r="F324" s="415"/>
      <c r="G324" s="415"/>
      <c r="H324" s="2564"/>
    </row>
    <row r="325" spans="2:8">
      <c r="B325" s="640"/>
      <c r="C325" s="2563">
        <v>286</v>
      </c>
      <c r="D325" s="2576"/>
      <c r="E325" s="377"/>
      <c r="F325" s="415"/>
      <c r="G325" s="415"/>
      <c r="H325" s="2564"/>
    </row>
    <row r="326" spans="2:8">
      <c r="B326" s="640"/>
      <c r="C326" s="2563">
        <v>287</v>
      </c>
      <c r="D326" s="2576"/>
      <c r="E326" s="377"/>
      <c r="F326" s="415"/>
      <c r="G326" s="415"/>
      <c r="H326" s="2564"/>
    </row>
    <row r="327" spans="2:8">
      <c r="B327" s="640"/>
      <c r="C327" s="2563">
        <v>288</v>
      </c>
      <c r="D327" s="2576"/>
      <c r="E327" s="377"/>
      <c r="F327" s="415"/>
      <c r="G327" s="415"/>
      <c r="H327" s="2564"/>
    </row>
    <row r="328" spans="2:8">
      <c r="B328" s="640"/>
      <c r="C328" s="2563">
        <v>289</v>
      </c>
      <c r="D328" s="2576"/>
      <c r="E328" s="377"/>
      <c r="F328" s="415"/>
      <c r="G328" s="415"/>
      <c r="H328" s="2564"/>
    </row>
    <row r="329" spans="2:8">
      <c r="B329" s="640"/>
      <c r="C329" s="2563">
        <v>290</v>
      </c>
      <c r="D329" s="2576"/>
      <c r="E329" s="377"/>
      <c r="F329" s="415"/>
      <c r="G329" s="415"/>
      <c r="H329" s="2564"/>
    </row>
    <row r="330" spans="2:8">
      <c r="B330" s="640"/>
      <c r="C330" s="2563">
        <v>291</v>
      </c>
      <c r="D330" s="2576"/>
      <c r="E330" s="377"/>
      <c r="F330" s="415"/>
      <c r="G330" s="415"/>
      <c r="H330" s="2564"/>
    </row>
    <row r="331" spans="2:8">
      <c r="B331" s="640"/>
      <c r="C331" s="2563">
        <v>292</v>
      </c>
      <c r="D331" s="2576"/>
      <c r="E331" s="377"/>
      <c r="F331" s="415"/>
      <c r="G331" s="415"/>
      <c r="H331" s="2564"/>
    </row>
    <row r="332" spans="2:8">
      <c r="B332" s="640"/>
      <c r="C332" s="2563">
        <v>293</v>
      </c>
      <c r="D332" s="2576"/>
      <c r="E332" s="377"/>
      <c r="F332" s="415"/>
      <c r="G332" s="415"/>
      <c r="H332" s="2564"/>
    </row>
    <row r="333" spans="2:8">
      <c r="B333" s="640"/>
      <c r="C333" s="2563">
        <v>294</v>
      </c>
      <c r="D333" s="2576"/>
      <c r="E333" s="377"/>
      <c r="F333" s="415"/>
      <c r="G333" s="415"/>
      <c r="H333" s="2564"/>
    </row>
    <row r="334" spans="2:8">
      <c r="B334" s="640"/>
      <c r="C334" s="2563">
        <v>295</v>
      </c>
      <c r="D334" s="2576"/>
      <c r="E334" s="377"/>
      <c r="F334" s="415"/>
      <c r="G334" s="415"/>
      <c r="H334" s="2564"/>
    </row>
    <row r="335" spans="2:8">
      <c r="B335" s="640"/>
      <c r="C335" s="2563">
        <v>296</v>
      </c>
      <c r="D335" s="2576"/>
      <c r="E335" s="377"/>
      <c r="F335" s="415"/>
      <c r="G335" s="415"/>
      <c r="H335" s="2564"/>
    </row>
    <row r="336" spans="2:8">
      <c r="B336" s="640"/>
      <c r="C336" s="2563">
        <v>297</v>
      </c>
      <c r="D336" s="2576"/>
      <c r="E336" s="377"/>
      <c r="F336" s="415"/>
      <c r="G336" s="415"/>
      <c r="H336" s="2564"/>
    </row>
    <row r="337" spans="2:8">
      <c r="B337" s="640"/>
      <c r="C337" s="2563">
        <v>298</v>
      </c>
      <c r="D337" s="2576"/>
      <c r="E337" s="377"/>
      <c r="F337" s="415"/>
      <c r="G337" s="415"/>
      <c r="H337" s="2564"/>
    </row>
    <row r="338" spans="2:8">
      <c r="B338" s="640"/>
      <c r="C338" s="2563">
        <v>299</v>
      </c>
      <c r="D338" s="2576"/>
      <c r="E338" s="377"/>
      <c r="F338" s="415"/>
      <c r="G338" s="415"/>
      <c r="H338" s="2564"/>
    </row>
    <row r="339" spans="2:8">
      <c r="B339" s="640"/>
      <c r="C339" s="2563">
        <v>300</v>
      </c>
      <c r="D339" s="2576"/>
      <c r="E339" s="377"/>
      <c r="F339" s="415"/>
      <c r="G339" s="415"/>
      <c r="H339" s="2564"/>
    </row>
    <row r="340" spans="2:8">
      <c r="B340" s="640"/>
      <c r="C340" s="2563">
        <v>301</v>
      </c>
      <c r="D340" s="2576"/>
      <c r="E340" s="377"/>
      <c r="F340" s="415"/>
      <c r="G340" s="415"/>
      <c r="H340" s="2564"/>
    </row>
    <row r="341" spans="2:8">
      <c r="B341" s="640"/>
      <c r="C341" s="2563">
        <v>302</v>
      </c>
      <c r="D341" s="2576"/>
      <c r="E341" s="377"/>
      <c r="F341" s="415"/>
      <c r="G341" s="415"/>
      <c r="H341" s="2564"/>
    </row>
    <row r="342" spans="2:8">
      <c r="B342" s="640"/>
      <c r="C342" s="2563">
        <v>303</v>
      </c>
      <c r="D342" s="2576"/>
      <c r="E342" s="377"/>
      <c r="F342" s="415"/>
      <c r="G342" s="415"/>
      <c r="H342" s="2564"/>
    </row>
    <row r="343" spans="2:8">
      <c r="B343" s="640"/>
      <c r="C343" s="2563">
        <v>304</v>
      </c>
      <c r="D343" s="2576"/>
      <c r="E343" s="377"/>
      <c r="F343" s="415"/>
      <c r="G343" s="415"/>
      <c r="H343" s="2564"/>
    </row>
    <row r="344" spans="2:8">
      <c r="B344" s="640"/>
      <c r="C344" s="2563">
        <v>305</v>
      </c>
      <c r="D344" s="2576"/>
      <c r="E344" s="377"/>
      <c r="F344" s="415"/>
      <c r="G344" s="415"/>
      <c r="H344" s="2564"/>
    </row>
    <row r="345" spans="2:8">
      <c r="B345" s="640"/>
      <c r="C345" s="2563">
        <v>306</v>
      </c>
      <c r="D345" s="2576"/>
      <c r="E345" s="377"/>
      <c r="F345" s="415"/>
      <c r="G345" s="415"/>
      <c r="H345" s="2564"/>
    </row>
    <row r="346" spans="2:8">
      <c r="B346" s="640"/>
      <c r="C346" s="2563">
        <v>307</v>
      </c>
      <c r="D346" s="2576"/>
      <c r="E346" s="377"/>
      <c r="F346" s="415"/>
      <c r="G346" s="415"/>
      <c r="H346" s="2564"/>
    </row>
    <row r="347" spans="2:8">
      <c r="B347" s="640"/>
      <c r="C347" s="2563">
        <v>308</v>
      </c>
      <c r="D347" s="2576"/>
      <c r="E347" s="377"/>
      <c r="F347" s="415"/>
      <c r="G347" s="415"/>
      <c r="H347" s="2564"/>
    </row>
    <row r="348" spans="2:8">
      <c r="B348" s="640"/>
      <c r="C348" s="2563">
        <v>309</v>
      </c>
      <c r="D348" s="2576"/>
      <c r="E348" s="377"/>
      <c r="F348" s="415"/>
      <c r="G348" s="415"/>
      <c r="H348" s="2564"/>
    </row>
    <row r="349" spans="2:8">
      <c r="B349" s="640"/>
      <c r="C349" s="2563">
        <v>310</v>
      </c>
      <c r="D349" s="2576"/>
      <c r="E349" s="377"/>
      <c r="F349" s="415"/>
      <c r="G349" s="415"/>
      <c r="H349" s="2564"/>
    </row>
    <row r="350" spans="2:8">
      <c r="B350" s="640"/>
      <c r="C350" s="2563">
        <v>311</v>
      </c>
      <c r="D350" s="2576"/>
      <c r="E350" s="377"/>
      <c r="F350" s="415"/>
      <c r="G350" s="415"/>
      <c r="H350" s="2564"/>
    </row>
    <row r="351" spans="2:8">
      <c r="B351" s="640"/>
      <c r="C351" s="2563">
        <v>312</v>
      </c>
      <c r="D351" s="2576"/>
      <c r="E351" s="377"/>
      <c r="F351" s="415"/>
      <c r="G351" s="415"/>
      <c r="H351" s="2564"/>
    </row>
    <row r="352" spans="2:8">
      <c r="B352" s="640"/>
      <c r="C352" s="2563">
        <v>313</v>
      </c>
      <c r="D352" s="2576"/>
      <c r="E352" s="377"/>
      <c r="F352" s="415"/>
      <c r="G352" s="415"/>
      <c r="H352" s="2564"/>
    </row>
    <row r="353" spans="2:8">
      <c r="B353" s="640"/>
      <c r="C353" s="2563">
        <v>314</v>
      </c>
      <c r="D353" s="2576"/>
      <c r="E353" s="377"/>
      <c r="F353" s="415"/>
      <c r="G353" s="415"/>
      <c r="H353" s="2564"/>
    </row>
    <row r="354" spans="2:8">
      <c r="B354" s="640"/>
      <c r="C354" s="2563">
        <v>315</v>
      </c>
      <c r="D354" s="2576"/>
      <c r="E354" s="377"/>
      <c r="F354" s="415"/>
      <c r="G354" s="415"/>
      <c r="H354" s="2564"/>
    </row>
    <row r="355" spans="2:8">
      <c r="B355" s="640"/>
      <c r="C355" s="2563">
        <v>316</v>
      </c>
      <c r="D355" s="2576"/>
      <c r="E355" s="377"/>
      <c r="F355" s="415"/>
      <c r="G355" s="415"/>
      <c r="H355" s="2564"/>
    </row>
    <row r="356" spans="2:8">
      <c r="B356" s="640"/>
      <c r="C356" s="2563">
        <v>317</v>
      </c>
      <c r="D356" s="2576"/>
      <c r="E356" s="377"/>
      <c r="F356" s="415"/>
      <c r="G356" s="415"/>
      <c r="H356" s="2564"/>
    </row>
    <row r="357" spans="2:8">
      <c r="B357" s="640"/>
      <c r="C357" s="2563">
        <v>318</v>
      </c>
      <c r="D357" s="2576"/>
      <c r="E357" s="377"/>
      <c r="F357" s="415"/>
      <c r="G357" s="415"/>
      <c r="H357" s="2564"/>
    </row>
    <row r="358" spans="2:8">
      <c r="B358" s="640"/>
      <c r="C358" s="2563">
        <v>319</v>
      </c>
      <c r="D358" s="2576"/>
      <c r="E358" s="377"/>
      <c r="F358" s="415"/>
      <c r="G358" s="415"/>
      <c r="H358" s="2564"/>
    </row>
    <row r="359" spans="2:8">
      <c r="B359" s="640"/>
      <c r="C359" s="2563">
        <v>320</v>
      </c>
      <c r="D359" s="2576"/>
      <c r="E359" s="377"/>
      <c r="F359" s="415"/>
      <c r="G359" s="415"/>
      <c r="H359" s="2564"/>
    </row>
    <row r="360" spans="2:8">
      <c r="B360" s="640"/>
      <c r="C360" s="2563">
        <v>321</v>
      </c>
      <c r="D360" s="2576"/>
      <c r="E360" s="377"/>
      <c r="F360" s="415"/>
      <c r="G360" s="415"/>
      <c r="H360" s="2564"/>
    </row>
    <row r="361" spans="2:8">
      <c r="B361" s="640"/>
      <c r="C361" s="2563">
        <v>322</v>
      </c>
      <c r="D361" s="2576"/>
      <c r="E361" s="377"/>
      <c r="F361" s="415"/>
      <c r="G361" s="415"/>
      <c r="H361" s="2564"/>
    </row>
    <row r="362" spans="2:8">
      <c r="B362" s="640"/>
      <c r="C362" s="2563">
        <v>323</v>
      </c>
      <c r="D362" s="2576"/>
      <c r="E362" s="377"/>
      <c r="F362" s="415"/>
      <c r="G362" s="415"/>
      <c r="H362" s="2564"/>
    </row>
    <row r="363" spans="2:8">
      <c r="B363" s="640"/>
      <c r="C363" s="2563">
        <v>324</v>
      </c>
      <c r="D363" s="2576"/>
      <c r="E363" s="377"/>
      <c r="F363" s="415"/>
      <c r="G363" s="415"/>
      <c r="H363" s="2564"/>
    </row>
    <row r="364" spans="2:8">
      <c r="B364" s="640"/>
      <c r="C364" s="2563">
        <v>325</v>
      </c>
      <c r="D364" s="2576"/>
      <c r="E364" s="377"/>
      <c r="F364" s="415"/>
      <c r="G364" s="415"/>
      <c r="H364" s="2564"/>
    </row>
    <row r="365" spans="2:8">
      <c r="B365" s="640"/>
      <c r="C365" s="2563">
        <v>326</v>
      </c>
      <c r="D365" s="2576"/>
      <c r="E365" s="377"/>
      <c r="F365" s="415"/>
      <c r="G365" s="415"/>
      <c r="H365" s="2564"/>
    </row>
    <row r="366" spans="2:8">
      <c r="B366" s="640"/>
      <c r="C366" s="2563">
        <v>327</v>
      </c>
      <c r="D366" s="2576"/>
      <c r="E366" s="377"/>
      <c r="F366" s="415"/>
      <c r="G366" s="415"/>
      <c r="H366" s="2564"/>
    </row>
    <row r="367" spans="2:8">
      <c r="B367" s="640"/>
      <c r="C367" s="2563">
        <v>328</v>
      </c>
      <c r="D367" s="2576"/>
      <c r="E367" s="377"/>
      <c r="F367" s="415"/>
      <c r="G367" s="415"/>
      <c r="H367" s="2564"/>
    </row>
    <row r="368" spans="2:8">
      <c r="B368" s="640"/>
      <c r="C368" s="2563">
        <v>329</v>
      </c>
      <c r="D368" s="2576"/>
      <c r="E368" s="377"/>
      <c r="F368" s="415"/>
      <c r="G368" s="415"/>
      <c r="H368" s="2564"/>
    </row>
    <row r="369" spans="2:8">
      <c r="B369" s="640"/>
      <c r="C369" s="2563">
        <v>330</v>
      </c>
      <c r="D369" s="2576"/>
      <c r="E369" s="377"/>
      <c r="F369" s="415"/>
      <c r="G369" s="415"/>
      <c r="H369" s="2564"/>
    </row>
    <row r="370" spans="2:8">
      <c r="B370" s="640"/>
      <c r="C370" s="2563">
        <v>331</v>
      </c>
      <c r="D370" s="2576"/>
      <c r="E370" s="377"/>
      <c r="F370" s="415"/>
      <c r="G370" s="415"/>
      <c r="H370" s="2564"/>
    </row>
    <row r="371" spans="2:8">
      <c r="B371" s="640"/>
      <c r="C371" s="2563">
        <v>332</v>
      </c>
      <c r="D371" s="2576"/>
      <c r="E371" s="377"/>
      <c r="F371" s="415"/>
      <c r="G371" s="415"/>
      <c r="H371" s="2564"/>
    </row>
    <row r="372" spans="2:8">
      <c r="B372" s="640"/>
      <c r="C372" s="2563">
        <v>333</v>
      </c>
      <c r="D372" s="2576"/>
      <c r="E372" s="377"/>
      <c r="F372" s="415"/>
      <c r="G372" s="415"/>
      <c r="H372" s="2564"/>
    </row>
    <row r="373" spans="2:8">
      <c r="B373" s="640"/>
      <c r="C373" s="2563">
        <v>334</v>
      </c>
      <c r="D373" s="2576"/>
      <c r="E373" s="377"/>
      <c r="F373" s="415"/>
      <c r="G373" s="415"/>
      <c r="H373" s="2564"/>
    </row>
    <row r="374" spans="2:8">
      <c r="B374" s="640"/>
      <c r="C374" s="2563">
        <v>335</v>
      </c>
      <c r="D374" s="2576"/>
      <c r="E374" s="377"/>
      <c r="F374" s="415"/>
      <c r="G374" s="415"/>
      <c r="H374" s="2564"/>
    </row>
    <row r="375" spans="2:8">
      <c r="B375" s="640"/>
      <c r="C375" s="2563">
        <v>336</v>
      </c>
      <c r="D375" s="2576"/>
      <c r="E375" s="377"/>
      <c r="F375" s="415"/>
      <c r="G375" s="415"/>
      <c r="H375" s="2564"/>
    </row>
    <row r="376" spans="2:8">
      <c r="B376" s="640"/>
      <c r="C376" s="2563">
        <v>337</v>
      </c>
      <c r="D376" s="2576"/>
      <c r="E376" s="377"/>
      <c r="F376" s="415"/>
      <c r="G376" s="415"/>
      <c r="H376" s="2564"/>
    </row>
    <row r="377" spans="2:8">
      <c r="B377" s="640"/>
      <c r="C377" s="2563">
        <v>338</v>
      </c>
      <c r="D377" s="2576"/>
      <c r="E377" s="377"/>
      <c r="F377" s="415"/>
      <c r="G377" s="415"/>
      <c r="H377" s="2564"/>
    </row>
    <row r="378" spans="2:8">
      <c r="B378" s="640"/>
      <c r="C378" s="2563">
        <v>339</v>
      </c>
      <c r="D378" s="2576"/>
      <c r="E378" s="377"/>
      <c r="F378" s="415"/>
      <c r="G378" s="415"/>
      <c r="H378" s="2564"/>
    </row>
    <row r="379" spans="2:8">
      <c r="B379" s="640"/>
      <c r="C379" s="2563">
        <v>340</v>
      </c>
      <c r="D379" s="2576"/>
      <c r="E379" s="377"/>
      <c r="F379" s="415"/>
      <c r="G379" s="415"/>
      <c r="H379" s="2564"/>
    </row>
    <row r="380" spans="2:8">
      <c r="B380" s="640"/>
      <c r="C380" s="2563">
        <v>341</v>
      </c>
      <c r="D380" s="2576"/>
      <c r="E380" s="377"/>
      <c r="F380" s="415"/>
      <c r="G380" s="415"/>
      <c r="H380" s="2564"/>
    </row>
    <row r="381" spans="2:8">
      <c r="B381" s="640"/>
      <c r="C381" s="2563">
        <v>342</v>
      </c>
      <c r="D381" s="2576"/>
      <c r="E381" s="377"/>
      <c r="F381" s="415"/>
      <c r="G381" s="415"/>
      <c r="H381" s="2564"/>
    </row>
    <row r="382" spans="2:8">
      <c r="B382" s="640"/>
      <c r="C382" s="2563">
        <v>343</v>
      </c>
      <c r="D382" s="2576"/>
      <c r="E382" s="377"/>
      <c r="F382" s="415"/>
      <c r="G382" s="415"/>
      <c r="H382" s="2564"/>
    </row>
    <row r="383" spans="2:8">
      <c r="B383" s="640"/>
      <c r="C383" s="2563">
        <v>344</v>
      </c>
      <c r="D383" s="2576"/>
      <c r="E383" s="377"/>
      <c r="F383" s="415"/>
      <c r="G383" s="415"/>
      <c r="H383" s="2564"/>
    </row>
    <row r="384" spans="2:8">
      <c r="B384" s="640"/>
      <c r="C384" s="2563">
        <v>345</v>
      </c>
      <c r="D384" s="2576"/>
      <c r="E384" s="377"/>
      <c r="F384" s="415"/>
      <c r="G384" s="415"/>
      <c r="H384" s="2564"/>
    </row>
    <row r="385" spans="2:8">
      <c r="B385" s="640"/>
      <c r="C385" s="2563">
        <v>346</v>
      </c>
      <c r="D385" s="2576"/>
      <c r="E385" s="377"/>
      <c r="F385" s="415"/>
      <c r="G385" s="415"/>
      <c r="H385" s="2564"/>
    </row>
    <row r="386" spans="2:8">
      <c r="B386" s="640"/>
      <c r="C386" s="2563">
        <v>347</v>
      </c>
      <c r="D386" s="2576"/>
      <c r="E386" s="377"/>
      <c r="F386" s="415"/>
      <c r="G386" s="415"/>
      <c r="H386" s="2564"/>
    </row>
    <row r="387" spans="2:8">
      <c r="B387" s="640"/>
      <c r="C387" s="2563">
        <v>348</v>
      </c>
      <c r="D387" s="2576"/>
      <c r="E387" s="377"/>
      <c r="F387" s="415"/>
      <c r="G387" s="415"/>
      <c r="H387" s="2564"/>
    </row>
    <row r="388" spans="2:8">
      <c r="B388" s="640"/>
      <c r="C388" s="2563">
        <v>349</v>
      </c>
      <c r="D388" s="2576"/>
      <c r="E388" s="377"/>
      <c r="F388" s="415"/>
      <c r="G388" s="415"/>
      <c r="H388" s="2564"/>
    </row>
    <row r="389" spans="2:8">
      <c r="B389" s="640"/>
      <c r="C389" s="2563">
        <v>350</v>
      </c>
      <c r="D389" s="2576"/>
      <c r="E389" s="377"/>
      <c r="F389" s="415"/>
      <c r="G389" s="415"/>
      <c r="H389" s="2564"/>
    </row>
    <row r="390" spans="2:8">
      <c r="B390" s="640"/>
      <c r="C390" s="2563">
        <v>351</v>
      </c>
      <c r="D390" s="2576"/>
      <c r="E390" s="377"/>
      <c r="F390" s="415"/>
      <c r="G390" s="415"/>
      <c r="H390" s="2564"/>
    </row>
    <row r="391" spans="2:8">
      <c r="B391" s="640"/>
      <c r="C391" s="2563">
        <v>352</v>
      </c>
      <c r="D391" s="2576"/>
      <c r="E391" s="377"/>
      <c r="F391" s="415"/>
      <c r="G391" s="415"/>
      <c r="H391" s="2564"/>
    </row>
    <row r="392" spans="2:8">
      <c r="B392" s="640"/>
      <c r="C392" s="2563">
        <v>353</v>
      </c>
      <c r="D392" s="2576"/>
      <c r="E392" s="377"/>
      <c r="F392" s="415"/>
      <c r="G392" s="415"/>
      <c r="H392" s="2564"/>
    </row>
    <row r="393" spans="2:8">
      <c r="B393" s="640"/>
      <c r="C393" s="2563">
        <v>354</v>
      </c>
      <c r="D393" s="2576"/>
      <c r="E393" s="377"/>
      <c r="F393" s="415"/>
      <c r="G393" s="415"/>
      <c r="H393" s="2564"/>
    </row>
    <row r="394" spans="2:8">
      <c r="B394" s="640"/>
      <c r="C394" s="2563">
        <v>355</v>
      </c>
      <c r="D394" s="2576"/>
      <c r="E394" s="377"/>
      <c r="F394" s="415"/>
      <c r="G394" s="415"/>
      <c r="H394" s="2564"/>
    </row>
    <row r="395" spans="2:8">
      <c r="B395" s="640"/>
      <c r="C395" s="2563">
        <v>356</v>
      </c>
      <c r="D395" s="2576"/>
      <c r="E395" s="377"/>
      <c r="F395" s="415"/>
      <c r="G395" s="415"/>
      <c r="H395" s="2564"/>
    </row>
    <row r="396" spans="2:8">
      <c r="B396" s="640"/>
      <c r="C396" s="2563">
        <v>357</v>
      </c>
      <c r="D396" s="2576"/>
      <c r="E396" s="377"/>
      <c r="F396" s="415"/>
      <c r="G396" s="415"/>
      <c r="H396" s="2564"/>
    </row>
    <row r="397" spans="2:8">
      <c r="B397" s="640"/>
      <c r="C397" s="2563">
        <v>358</v>
      </c>
      <c r="D397" s="2576"/>
      <c r="E397" s="377"/>
      <c r="F397" s="415"/>
      <c r="G397" s="415"/>
      <c r="H397" s="2564"/>
    </row>
    <row r="398" spans="2:8">
      <c r="B398" s="640"/>
      <c r="C398" s="2563">
        <v>359</v>
      </c>
      <c r="D398" s="2576"/>
      <c r="E398" s="377"/>
      <c r="F398" s="415"/>
      <c r="G398" s="415"/>
      <c r="H398" s="2564"/>
    </row>
    <row r="399" spans="2:8">
      <c r="B399" s="640"/>
      <c r="C399" s="2563">
        <v>360</v>
      </c>
      <c r="D399" s="2576"/>
      <c r="E399" s="377"/>
      <c r="F399" s="415"/>
      <c r="G399" s="415"/>
      <c r="H399" s="2564"/>
    </row>
    <row r="400" spans="2:8">
      <c r="B400" s="640"/>
      <c r="C400" s="2563">
        <v>361</v>
      </c>
      <c r="D400" s="2576"/>
      <c r="E400" s="377"/>
      <c r="F400" s="415"/>
      <c r="G400" s="415"/>
      <c r="H400" s="2564"/>
    </row>
    <row r="401" spans="2:8">
      <c r="B401" s="640"/>
      <c r="C401" s="2563">
        <v>362</v>
      </c>
      <c r="D401" s="2576"/>
      <c r="E401" s="377"/>
      <c r="F401" s="415"/>
      <c r="G401" s="415"/>
      <c r="H401" s="2564"/>
    </row>
    <row r="402" spans="2:8" ht="18.600000000000001" thickBot="1">
      <c r="C402" s="2560"/>
      <c r="D402" s="2560"/>
      <c r="E402" s="2560"/>
      <c r="F402" s="2560"/>
      <c r="G402" s="2561" t="s">
        <v>9280</v>
      </c>
      <c r="H402" s="2562" t="s">
        <v>9281</v>
      </c>
    </row>
  </sheetData>
  <hyperlinks>
    <hyperlink ref="E1" location="Master!A1" display="Main Menu" xr:uid="{3E2B4C12-FF65-4370-9008-CFA4DE4E4BB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624" r:id="rId4" name="Check Box 144">
              <controlPr defaultSize="0" autoFill="0" autoLine="0" autoPict="0">
                <anchor moveWithCells="1">
                  <from>
                    <xdr:col>6</xdr:col>
                    <xdr:colOff>0</xdr:colOff>
                    <xdr:row>3</xdr:row>
                    <xdr:rowOff>0</xdr:rowOff>
                  </from>
                  <to>
                    <xdr:col>6</xdr:col>
                    <xdr:colOff>830580</xdr:colOff>
                    <xdr:row>4</xdr:row>
                    <xdr:rowOff>7620</xdr:rowOff>
                  </to>
                </anchor>
              </controlPr>
            </control>
          </mc:Choice>
        </mc:AlternateContent>
        <mc:AlternateContent xmlns:mc="http://schemas.openxmlformats.org/markup-compatibility/2006">
          <mc:Choice Requires="x14">
            <control shapeId="148625" r:id="rId5" name="Check Box 145">
              <controlPr defaultSize="0" autoFill="0" autoLine="0" autoPict="0">
                <anchor moveWithCells="1">
                  <from>
                    <xdr:col>6</xdr:col>
                    <xdr:colOff>0</xdr:colOff>
                    <xdr:row>4</xdr:row>
                    <xdr:rowOff>0</xdr:rowOff>
                  </from>
                  <to>
                    <xdr:col>6</xdr:col>
                    <xdr:colOff>830580</xdr:colOff>
                    <xdr:row>5</xdr:row>
                    <xdr:rowOff>0</xdr:rowOff>
                  </to>
                </anchor>
              </controlPr>
            </control>
          </mc:Choice>
        </mc:AlternateContent>
        <mc:AlternateContent xmlns:mc="http://schemas.openxmlformats.org/markup-compatibility/2006">
          <mc:Choice Requires="x14">
            <control shapeId="148626" r:id="rId6" name="Check Box 146">
              <controlPr defaultSize="0" autoFill="0" autoLine="0" autoPict="0">
                <anchor moveWithCells="1">
                  <from>
                    <xdr:col>6</xdr:col>
                    <xdr:colOff>0</xdr:colOff>
                    <xdr:row>5</xdr:row>
                    <xdr:rowOff>0</xdr:rowOff>
                  </from>
                  <to>
                    <xdr:col>6</xdr:col>
                    <xdr:colOff>830580</xdr:colOff>
                    <xdr:row>6</xdr:row>
                    <xdr:rowOff>0</xdr:rowOff>
                  </to>
                </anchor>
              </controlPr>
            </control>
          </mc:Choice>
        </mc:AlternateContent>
        <mc:AlternateContent xmlns:mc="http://schemas.openxmlformats.org/markup-compatibility/2006">
          <mc:Choice Requires="x14">
            <control shapeId="148627" r:id="rId7" name="Check Box 147">
              <controlPr defaultSize="0" autoFill="0" autoLine="0" autoPict="0">
                <anchor moveWithCells="1">
                  <from>
                    <xdr:col>6</xdr:col>
                    <xdr:colOff>0</xdr:colOff>
                    <xdr:row>6</xdr:row>
                    <xdr:rowOff>0</xdr:rowOff>
                  </from>
                  <to>
                    <xdr:col>6</xdr:col>
                    <xdr:colOff>830580</xdr:colOff>
                    <xdr:row>7</xdr:row>
                    <xdr:rowOff>0</xdr:rowOff>
                  </to>
                </anchor>
              </controlPr>
            </control>
          </mc:Choice>
        </mc:AlternateContent>
        <mc:AlternateContent xmlns:mc="http://schemas.openxmlformats.org/markup-compatibility/2006">
          <mc:Choice Requires="x14">
            <control shapeId="148628" r:id="rId8" name="Check Box 148">
              <controlPr defaultSize="0" autoFill="0" autoLine="0" autoPict="0">
                <anchor moveWithCells="1">
                  <from>
                    <xdr:col>6</xdr:col>
                    <xdr:colOff>0</xdr:colOff>
                    <xdr:row>35</xdr:row>
                    <xdr:rowOff>0</xdr:rowOff>
                  </from>
                  <to>
                    <xdr:col>6</xdr:col>
                    <xdr:colOff>830580</xdr:colOff>
                    <xdr:row>36</xdr:row>
                    <xdr:rowOff>0</xdr:rowOff>
                  </to>
                </anchor>
              </controlPr>
            </control>
          </mc:Choice>
        </mc:AlternateContent>
        <mc:AlternateContent xmlns:mc="http://schemas.openxmlformats.org/markup-compatibility/2006">
          <mc:Choice Requires="x14">
            <control shapeId="148629" r:id="rId9" name="Check Box 149">
              <controlPr defaultSize="0" autoFill="0" autoLine="0" autoPict="0">
                <anchor moveWithCells="1">
                  <from>
                    <xdr:col>6</xdr:col>
                    <xdr:colOff>0</xdr:colOff>
                    <xdr:row>79</xdr:row>
                    <xdr:rowOff>0</xdr:rowOff>
                  </from>
                  <to>
                    <xdr:col>6</xdr:col>
                    <xdr:colOff>830580</xdr:colOff>
                    <xdr:row>79</xdr:row>
                    <xdr:rowOff>236220</xdr:rowOff>
                  </to>
                </anchor>
              </controlPr>
            </control>
          </mc:Choice>
        </mc:AlternateContent>
        <mc:AlternateContent xmlns:mc="http://schemas.openxmlformats.org/markup-compatibility/2006">
          <mc:Choice Requires="x14">
            <control shapeId="148630" r:id="rId10" name="Check Box 150">
              <controlPr defaultSize="0" autoFill="0" autoLine="0" autoPict="0">
                <anchor moveWithCells="1">
                  <from>
                    <xdr:col>6</xdr:col>
                    <xdr:colOff>0</xdr:colOff>
                    <xdr:row>14</xdr:row>
                    <xdr:rowOff>0</xdr:rowOff>
                  </from>
                  <to>
                    <xdr:col>6</xdr:col>
                    <xdr:colOff>830580</xdr:colOff>
                    <xdr:row>14</xdr:row>
                    <xdr:rowOff>228600</xdr:rowOff>
                  </to>
                </anchor>
              </controlPr>
            </control>
          </mc:Choice>
        </mc:AlternateContent>
        <mc:AlternateContent xmlns:mc="http://schemas.openxmlformats.org/markup-compatibility/2006">
          <mc:Choice Requires="x14">
            <control shapeId="148631" r:id="rId11" name="Check Box 151">
              <controlPr defaultSize="0" autoFill="0" autoLine="0" autoPict="0">
                <anchor moveWithCells="1">
                  <from>
                    <xdr:col>6</xdr:col>
                    <xdr:colOff>0</xdr:colOff>
                    <xdr:row>15</xdr:row>
                    <xdr:rowOff>0</xdr:rowOff>
                  </from>
                  <to>
                    <xdr:col>6</xdr:col>
                    <xdr:colOff>830580</xdr:colOff>
                    <xdr:row>16</xdr:row>
                    <xdr:rowOff>0</xdr:rowOff>
                  </to>
                </anchor>
              </controlPr>
            </control>
          </mc:Choice>
        </mc:AlternateContent>
        <mc:AlternateContent xmlns:mc="http://schemas.openxmlformats.org/markup-compatibility/2006">
          <mc:Choice Requires="x14">
            <control shapeId="148632" r:id="rId12" name="Check Box 152">
              <controlPr defaultSize="0" autoFill="0" autoLine="0" autoPict="0">
                <anchor moveWithCells="1">
                  <from>
                    <xdr:col>6</xdr:col>
                    <xdr:colOff>0</xdr:colOff>
                    <xdr:row>16</xdr:row>
                    <xdr:rowOff>0</xdr:rowOff>
                  </from>
                  <to>
                    <xdr:col>6</xdr:col>
                    <xdr:colOff>830580</xdr:colOff>
                    <xdr:row>17</xdr:row>
                    <xdr:rowOff>0</xdr:rowOff>
                  </to>
                </anchor>
              </controlPr>
            </control>
          </mc:Choice>
        </mc:AlternateContent>
        <mc:AlternateContent xmlns:mc="http://schemas.openxmlformats.org/markup-compatibility/2006">
          <mc:Choice Requires="x14">
            <control shapeId="148633" r:id="rId13" name="Check Box 153">
              <controlPr defaultSize="0" autoFill="0" autoLine="0" autoPict="0">
                <anchor moveWithCells="1">
                  <from>
                    <xdr:col>6</xdr:col>
                    <xdr:colOff>0</xdr:colOff>
                    <xdr:row>17</xdr:row>
                    <xdr:rowOff>0</xdr:rowOff>
                  </from>
                  <to>
                    <xdr:col>6</xdr:col>
                    <xdr:colOff>830580</xdr:colOff>
                    <xdr:row>18</xdr:row>
                    <xdr:rowOff>0</xdr:rowOff>
                  </to>
                </anchor>
              </controlPr>
            </control>
          </mc:Choice>
        </mc:AlternateContent>
        <mc:AlternateContent xmlns:mc="http://schemas.openxmlformats.org/markup-compatibility/2006">
          <mc:Choice Requires="x14">
            <control shapeId="148634" r:id="rId14" name="Check Box 154">
              <controlPr defaultSize="0" autoFill="0" autoLine="0" autoPict="0">
                <anchor moveWithCells="1">
                  <from>
                    <xdr:col>6</xdr:col>
                    <xdr:colOff>0</xdr:colOff>
                    <xdr:row>18</xdr:row>
                    <xdr:rowOff>0</xdr:rowOff>
                  </from>
                  <to>
                    <xdr:col>6</xdr:col>
                    <xdr:colOff>830580</xdr:colOff>
                    <xdr:row>19</xdr:row>
                    <xdr:rowOff>0</xdr:rowOff>
                  </to>
                </anchor>
              </controlPr>
            </control>
          </mc:Choice>
        </mc:AlternateContent>
        <mc:AlternateContent xmlns:mc="http://schemas.openxmlformats.org/markup-compatibility/2006">
          <mc:Choice Requires="x14">
            <control shapeId="148635" r:id="rId15" name="Check Box 155">
              <controlPr defaultSize="0" autoFill="0" autoLine="0" autoPict="0">
                <anchor moveWithCells="1">
                  <from>
                    <xdr:col>6</xdr:col>
                    <xdr:colOff>0</xdr:colOff>
                    <xdr:row>20</xdr:row>
                    <xdr:rowOff>0</xdr:rowOff>
                  </from>
                  <to>
                    <xdr:col>6</xdr:col>
                    <xdr:colOff>830580</xdr:colOff>
                    <xdr:row>21</xdr:row>
                    <xdr:rowOff>7620</xdr:rowOff>
                  </to>
                </anchor>
              </controlPr>
            </control>
          </mc:Choice>
        </mc:AlternateContent>
        <mc:AlternateContent xmlns:mc="http://schemas.openxmlformats.org/markup-compatibility/2006">
          <mc:Choice Requires="x14">
            <control shapeId="148636" r:id="rId16" name="Check Box 156">
              <controlPr defaultSize="0" autoFill="0" autoLine="0" autoPict="0">
                <anchor moveWithCells="1">
                  <from>
                    <xdr:col>6</xdr:col>
                    <xdr:colOff>0</xdr:colOff>
                    <xdr:row>21</xdr:row>
                    <xdr:rowOff>0</xdr:rowOff>
                  </from>
                  <to>
                    <xdr:col>6</xdr:col>
                    <xdr:colOff>830580</xdr:colOff>
                    <xdr:row>22</xdr:row>
                    <xdr:rowOff>0</xdr:rowOff>
                  </to>
                </anchor>
              </controlPr>
            </control>
          </mc:Choice>
        </mc:AlternateContent>
        <mc:AlternateContent xmlns:mc="http://schemas.openxmlformats.org/markup-compatibility/2006">
          <mc:Choice Requires="x14">
            <control shapeId="148637" r:id="rId17" name="Check Box 157">
              <controlPr defaultSize="0" autoFill="0" autoLine="0" autoPict="0">
                <anchor moveWithCells="1">
                  <from>
                    <xdr:col>6</xdr:col>
                    <xdr:colOff>0</xdr:colOff>
                    <xdr:row>22</xdr:row>
                    <xdr:rowOff>0</xdr:rowOff>
                  </from>
                  <to>
                    <xdr:col>6</xdr:col>
                    <xdr:colOff>830580</xdr:colOff>
                    <xdr:row>22</xdr:row>
                    <xdr:rowOff>228600</xdr:rowOff>
                  </to>
                </anchor>
              </controlPr>
            </control>
          </mc:Choice>
        </mc:AlternateContent>
        <mc:AlternateContent xmlns:mc="http://schemas.openxmlformats.org/markup-compatibility/2006">
          <mc:Choice Requires="x14">
            <control shapeId="148638" r:id="rId18" name="Check Box 158">
              <controlPr defaultSize="0" autoFill="0" autoLine="0" autoPict="0">
                <anchor moveWithCells="1">
                  <from>
                    <xdr:col>6</xdr:col>
                    <xdr:colOff>0</xdr:colOff>
                    <xdr:row>23</xdr:row>
                    <xdr:rowOff>0</xdr:rowOff>
                  </from>
                  <to>
                    <xdr:col>6</xdr:col>
                    <xdr:colOff>830580</xdr:colOff>
                    <xdr:row>24</xdr:row>
                    <xdr:rowOff>144780</xdr:rowOff>
                  </to>
                </anchor>
              </controlPr>
            </control>
          </mc:Choice>
        </mc:AlternateContent>
        <mc:AlternateContent xmlns:mc="http://schemas.openxmlformats.org/markup-compatibility/2006">
          <mc:Choice Requires="x14">
            <control shapeId="148639" r:id="rId19" name="Check Box 159">
              <controlPr defaultSize="0" autoFill="0" autoLine="0" autoPict="0">
                <anchor moveWithCells="1">
                  <from>
                    <xdr:col>6</xdr:col>
                    <xdr:colOff>0</xdr:colOff>
                    <xdr:row>24</xdr:row>
                    <xdr:rowOff>0</xdr:rowOff>
                  </from>
                  <to>
                    <xdr:col>6</xdr:col>
                    <xdr:colOff>830580</xdr:colOff>
                    <xdr:row>25</xdr:row>
                    <xdr:rowOff>0</xdr:rowOff>
                  </to>
                </anchor>
              </controlPr>
            </control>
          </mc:Choice>
        </mc:AlternateContent>
        <mc:AlternateContent xmlns:mc="http://schemas.openxmlformats.org/markup-compatibility/2006">
          <mc:Choice Requires="x14">
            <control shapeId="148640" r:id="rId20" name="Check Box 160">
              <controlPr defaultSize="0" autoFill="0" autoLine="0" autoPict="0">
                <anchor moveWithCells="1">
                  <from>
                    <xdr:col>6</xdr:col>
                    <xdr:colOff>0</xdr:colOff>
                    <xdr:row>25</xdr:row>
                    <xdr:rowOff>0</xdr:rowOff>
                  </from>
                  <to>
                    <xdr:col>6</xdr:col>
                    <xdr:colOff>830580</xdr:colOff>
                    <xdr:row>26</xdr:row>
                    <xdr:rowOff>0</xdr:rowOff>
                  </to>
                </anchor>
              </controlPr>
            </control>
          </mc:Choice>
        </mc:AlternateContent>
        <mc:AlternateContent xmlns:mc="http://schemas.openxmlformats.org/markup-compatibility/2006">
          <mc:Choice Requires="x14">
            <control shapeId="148641" r:id="rId21" name="Check Box 161">
              <controlPr defaultSize="0" autoFill="0" autoLine="0" autoPict="0">
                <anchor moveWithCells="1">
                  <from>
                    <xdr:col>6</xdr:col>
                    <xdr:colOff>0</xdr:colOff>
                    <xdr:row>165</xdr:row>
                    <xdr:rowOff>0</xdr:rowOff>
                  </from>
                  <to>
                    <xdr:col>6</xdr:col>
                    <xdr:colOff>830580</xdr:colOff>
                    <xdr:row>166</xdr:row>
                    <xdr:rowOff>76200</xdr:rowOff>
                  </to>
                </anchor>
              </controlPr>
            </control>
          </mc:Choice>
        </mc:AlternateContent>
        <mc:AlternateContent xmlns:mc="http://schemas.openxmlformats.org/markup-compatibility/2006">
          <mc:Choice Requires="x14">
            <control shapeId="148642" r:id="rId22" name="Check Box 162">
              <controlPr defaultSize="0" autoFill="0" autoLine="0" autoPict="0">
                <anchor moveWithCells="1">
                  <from>
                    <xdr:col>6</xdr:col>
                    <xdr:colOff>0</xdr:colOff>
                    <xdr:row>166</xdr:row>
                    <xdr:rowOff>0</xdr:rowOff>
                  </from>
                  <to>
                    <xdr:col>6</xdr:col>
                    <xdr:colOff>830580</xdr:colOff>
                    <xdr:row>167</xdr:row>
                    <xdr:rowOff>0</xdr:rowOff>
                  </to>
                </anchor>
              </controlPr>
            </control>
          </mc:Choice>
        </mc:AlternateContent>
        <mc:AlternateContent xmlns:mc="http://schemas.openxmlformats.org/markup-compatibility/2006">
          <mc:Choice Requires="x14">
            <control shapeId="148643" r:id="rId23" name="Check Box 163">
              <controlPr defaultSize="0" autoFill="0" autoLine="0" autoPict="0">
                <anchor moveWithCells="1">
                  <from>
                    <xdr:col>6</xdr:col>
                    <xdr:colOff>0</xdr:colOff>
                    <xdr:row>167</xdr:row>
                    <xdr:rowOff>0</xdr:rowOff>
                  </from>
                  <to>
                    <xdr:col>6</xdr:col>
                    <xdr:colOff>830580</xdr:colOff>
                    <xdr:row>167</xdr:row>
                    <xdr:rowOff>228600</xdr:rowOff>
                  </to>
                </anchor>
              </controlPr>
            </control>
          </mc:Choice>
        </mc:AlternateContent>
        <mc:AlternateContent xmlns:mc="http://schemas.openxmlformats.org/markup-compatibility/2006">
          <mc:Choice Requires="x14">
            <control shapeId="148644" r:id="rId24" name="Check Box 164">
              <controlPr defaultSize="0" autoFill="0" autoLine="0" autoPict="0">
                <anchor moveWithCells="1">
                  <from>
                    <xdr:col>6</xdr:col>
                    <xdr:colOff>0</xdr:colOff>
                    <xdr:row>168</xdr:row>
                    <xdr:rowOff>0</xdr:rowOff>
                  </from>
                  <to>
                    <xdr:col>6</xdr:col>
                    <xdr:colOff>830580</xdr:colOff>
                    <xdr:row>168</xdr:row>
                    <xdr:rowOff>228600</xdr:rowOff>
                  </to>
                </anchor>
              </controlPr>
            </control>
          </mc:Choice>
        </mc:AlternateContent>
        <mc:AlternateContent xmlns:mc="http://schemas.openxmlformats.org/markup-compatibility/2006">
          <mc:Choice Requires="x14">
            <control shapeId="148645" r:id="rId25" name="Check Box 165">
              <controlPr defaultSize="0" autoFill="0" autoLine="0" autoPict="0">
                <anchor moveWithCells="1">
                  <from>
                    <xdr:col>6</xdr:col>
                    <xdr:colOff>0</xdr:colOff>
                    <xdr:row>82</xdr:row>
                    <xdr:rowOff>0</xdr:rowOff>
                  </from>
                  <to>
                    <xdr:col>6</xdr:col>
                    <xdr:colOff>830580</xdr:colOff>
                    <xdr:row>82</xdr:row>
                    <xdr:rowOff>228600</xdr:rowOff>
                  </to>
                </anchor>
              </controlPr>
            </control>
          </mc:Choice>
        </mc:AlternateContent>
        <mc:AlternateContent xmlns:mc="http://schemas.openxmlformats.org/markup-compatibility/2006">
          <mc:Choice Requires="x14">
            <control shapeId="148646" r:id="rId26" name="Check Box 166">
              <controlPr defaultSize="0" autoFill="0" autoLine="0" autoPict="0">
                <anchor moveWithCells="1">
                  <from>
                    <xdr:col>6</xdr:col>
                    <xdr:colOff>0</xdr:colOff>
                    <xdr:row>140</xdr:row>
                    <xdr:rowOff>0</xdr:rowOff>
                  </from>
                  <to>
                    <xdr:col>6</xdr:col>
                    <xdr:colOff>830580</xdr:colOff>
                    <xdr:row>141</xdr:row>
                    <xdr:rowOff>22860</xdr:rowOff>
                  </to>
                </anchor>
              </controlPr>
            </control>
          </mc:Choice>
        </mc:AlternateContent>
        <mc:AlternateContent xmlns:mc="http://schemas.openxmlformats.org/markup-compatibility/2006">
          <mc:Choice Requires="x14">
            <control shapeId="148647" r:id="rId27" name="Check Box 167">
              <controlPr defaultSize="0" autoFill="0" autoLine="0" autoPict="0">
                <anchor moveWithCells="1">
                  <from>
                    <xdr:col>6</xdr:col>
                    <xdr:colOff>0</xdr:colOff>
                    <xdr:row>141</xdr:row>
                    <xdr:rowOff>0</xdr:rowOff>
                  </from>
                  <to>
                    <xdr:col>6</xdr:col>
                    <xdr:colOff>830580</xdr:colOff>
                    <xdr:row>142</xdr:row>
                    <xdr:rowOff>0</xdr:rowOff>
                  </to>
                </anchor>
              </controlPr>
            </control>
          </mc:Choice>
        </mc:AlternateContent>
        <mc:AlternateContent xmlns:mc="http://schemas.openxmlformats.org/markup-compatibility/2006">
          <mc:Choice Requires="x14">
            <control shapeId="148648" r:id="rId28" name="Check Box 168">
              <controlPr defaultSize="0" autoFill="0" autoLine="0" autoPict="0">
                <anchor moveWithCells="1">
                  <from>
                    <xdr:col>6</xdr:col>
                    <xdr:colOff>0</xdr:colOff>
                    <xdr:row>142</xdr:row>
                    <xdr:rowOff>0</xdr:rowOff>
                  </from>
                  <to>
                    <xdr:col>6</xdr:col>
                    <xdr:colOff>830580</xdr:colOff>
                    <xdr:row>143</xdr:row>
                    <xdr:rowOff>0</xdr:rowOff>
                  </to>
                </anchor>
              </controlPr>
            </control>
          </mc:Choice>
        </mc:AlternateContent>
        <mc:AlternateContent xmlns:mc="http://schemas.openxmlformats.org/markup-compatibility/2006">
          <mc:Choice Requires="x14">
            <control shapeId="148649" r:id="rId29" name="Check Box 169">
              <controlPr defaultSize="0" autoFill="0" autoLine="0" autoPict="0">
                <anchor moveWithCells="1">
                  <from>
                    <xdr:col>6</xdr:col>
                    <xdr:colOff>0</xdr:colOff>
                    <xdr:row>7</xdr:row>
                    <xdr:rowOff>0</xdr:rowOff>
                  </from>
                  <to>
                    <xdr:col>6</xdr:col>
                    <xdr:colOff>830580</xdr:colOff>
                    <xdr:row>8</xdr:row>
                    <xdr:rowOff>0</xdr:rowOff>
                  </to>
                </anchor>
              </controlPr>
            </control>
          </mc:Choice>
        </mc:AlternateContent>
        <mc:AlternateContent xmlns:mc="http://schemas.openxmlformats.org/markup-compatibility/2006">
          <mc:Choice Requires="x14">
            <control shapeId="148650" r:id="rId30" name="Check Box 170">
              <controlPr defaultSize="0" autoFill="0" autoLine="0" autoPict="0">
                <anchor moveWithCells="1">
                  <from>
                    <xdr:col>6</xdr:col>
                    <xdr:colOff>0</xdr:colOff>
                    <xdr:row>83</xdr:row>
                    <xdr:rowOff>0</xdr:rowOff>
                  </from>
                  <to>
                    <xdr:col>6</xdr:col>
                    <xdr:colOff>830580</xdr:colOff>
                    <xdr:row>83</xdr:row>
                    <xdr:rowOff>228600</xdr:rowOff>
                  </to>
                </anchor>
              </controlPr>
            </control>
          </mc:Choice>
        </mc:AlternateContent>
        <mc:AlternateContent xmlns:mc="http://schemas.openxmlformats.org/markup-compatibility/2006">
          <mc:Choice Requires="x14">
            <control shapeId="148651" r:id="rId31" name="Check Box 171">
              <controlPr defaultSize="0" autoFill="0" autoLine="0" autoPict="0">
                <anchor moveWithCells="1">
                  <from>
                    <xdr:col>6</xdr:col>
                    <xdr:colOff>0</xdr:colOff>
                    <xdr:row>154</xdr:row>
                    <xdr:rowOff>0</xdr:rowOff>
                  </from>
                  <to>
                    <xdr:col>6</xdr:col>
                    <xdr:colOff>830580</xdr:colOff>
                    <xdr:row>155</xdr:row>
                    <xdr:rowOff>76200</xdr:rowOff>
                  </to>
                </anchor>
              </controlPr>
            </control>
          </mc:Choice>
        </mc:AlternateContent>
        <mc:AlternateContent xmlns:mc="http://schemas.openxmlformats.org/markup-compatibility/2006">
          <mc:Choice Requires="x14">
            <control shapeId="148652" r:id="rId32" name="Check Box 172">
              <controlPr defaultSize="0" autoFill="0" autoLine="0" autoPict="0">
                <anchor moveWithCells="1">
                  <from>
                    <xdr:col>6</xdr:col>
                    <xdr:colOff>0</xdr:colOff>
                    <xdr:row>197</xdr:row>
                    <xdr:rowOff>0</xdr:rowOff>
                  </from>
                  <to>
                    <xdr:col>6</xdr:col>
                    <xdr:colOff>830580</xdr:colOff>
                    <xdr:row>201</xdr:row>
                    <xdr:rowOff>7620</xdr:rowOff>
                  </to>
                </anchor>
              </controlPr>
            </control>
          </mc:Choice>
        </mc:AlternateContent>
        <mc:AlternateContent xmlns:mc="http://schemas.openxmlformats.org/markup-compatibility/2006">
          <mc:Choice Requires="x14">
            <control shapeId="148653" r:id="rId33" name="Check Box 173">
              <controlPr defaultSize="0" autoFill="0" autoLine="0" autoPict="0">
                <anchor moveWithCells="1">
                  <from>
                    <xdr:col>6</xdr:col>
                    <xdr:colOff>0</xdr:colOff>
                    <xdr:row>110</xdr:row>
                    <xdr:rowOff>0</xdr:rowOff>
                  </from>
                  <to>
                    <xdr:col>6</xdr:col>
                    <xdr:colOff>830580</xdr:colOff>
                    <xdr:row>112</xdr:row>
                    <xdr:rowOff>99060</xdr:rowOff>
                  </to>
                </anchor>
              </controlPr>
            </control>
          </mc:Choice>
        </mc:AlternateContent>
        <mc:AlternateContent xmlns:mc="http://schemas.openxmlformats.org/markup-compatibility/2006">
          <mc:Choice Requires="x14">
            <control shapeId="148654" r:id="rId34" name="Check Box 174">
              <controlPr defaultSize="0" autoFill="0" autoLine="0" autoPict="0">
                <anchor moveWithCells="1">
                  <from>
                    <xdr:col>6</xdr:col>
                    <xdr:colOff>0</xdr:colOff>
                    <xdr:row>111</xdr:row>
                    <xdr:rowOff>0</xdr:rowOff>
                  </from>
                  <to>
                    <xdr:col>6</xdr:col>
                    <xdr:colOff>830580</xdr:colOff>
                    <xdr:row>112</xdr:row>
                    <xdr:rowOff>0</xdr:rowOff>
                  </to>
                </anchor>
              </controlPr>
            </control>
          </mc:Choice>
        </mc:AlternateContent>
      </controls>
    </mc:Choice>
  </mc:AlternateContent>
  <tableParts count="1">
    <tablePart r:id="rId3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55113-AEB1-4144-A863-A03DDE4EDAD3}">
  <sheetPr codeName="Sheet9">
    <tabColor rgb="FF92D050"/>
  </sheetPr>
  <dimension ref="A1:DDF16588"/>
  <sheetViews>
    <sheetView topLeftCell="OF1" workbookViewId="0">
      <selection activeCell="PA1" sqref="PA1:PB1"/>
    </sheetView>
  </sheetViews>
  <sheetFormatPr defaultRowHeight="14.4"/>
  <cols>
    <col min="1" max="1" width="8.88671875" style="210"/>
    <col min="2" max="2" width="11.33203125" style="409" customWidth="1"/>
    <col min="3" max="3" width="45.88671875" style="129" customWidth="1"/>
    <col min="4" max="4" width="9.44140625" style="129" customWidth="1"/>
    <col min="5" max="5" width="64.6640625" style="129" customWidth="1"/>
    <col min="6" max="6" width="14" style="129" customWidth="1"/>
    <col min="7" max="9" width="14" style="129" hidden="1" customWidth="1"/>
    <col min="10" max="10" width="46.44140625" style="129" hidden="1" customWidth="1"/>
    <col min="11" max="11" width="14" style="129" hidden="1" customWidth="1"/>
    <col min="12" max="23" width="14" style="129" customWidth="1"/>
    <col min="27" max="27" width="31.77734375" customWidth="1"/>
    <col min="28" max="28" width="32.5546875" customWidth="1"/>
    <col min="29" max="29" width="29" customWidth="1"/>
    <col min="30" max="30" width="11.77734375" customWidth="1"/>
    <col min="31" max="31" width="45" customWidth="1"/>
    <col min="32" max="52" width="1.77734375" customWidth="1"/>
    <col min="53" max="53" width="18.6640625" customWidth="1"/>
    <col min="54" max="54" width="35.88671875" customWidth="1"/>
    <col min="55" max="55" width="27.5546875" customWidth="1"/>
    <col min="57" max="57" width="55.44140625" customWidth="1"/>
    <col min="58" max="78" width="1.77734375" customWidth="1"/>
    <col min="79" max="79" width="27" customWidth="1"/>
    <col min="80" max="80" width="26.109375" customWidth="1"/>
    <col min="81" max="81" width="22.44140625" customWidth="1"/>
    <col min="82" max="82" width="13.109375" customWidth="1"/>
    <col min="83" max="83" width="35" customWidth="1"/>
    <col min="84" max="104" width="1.77734375" customWidth="1"/>
    <col min="105" max="105" width="20.44140625" customWidth="1"/>
    <col min="106" max="106" width="30.5546875" customWidth="1"/>
    <col min="107" max="107" width="22.44140625" customWidth="1"/>
    <col min="109" max="109" width="52.5546875" customWidth="1"/>
    <col min="110" max="130" width="1.77734375" customWidth="1"/>
    <col min="131" max="131" width="21.88671875" customWidth="1"/>
    <col min="132" max="132" width="30.5546875" customWidth="1"/>
    <col min="133" max="133" width="25.88671875" customWidth="1"/>
    <col min="135" max="135" width="53.109375" customWidth="1"/>
    <col min="157" max="157" width="24" customWidth="1"/>
    <col min="158" max="158" width="35.6640625" customWidth="1"/>
    <col min="159" max="159" width="14.21875" customWidth="1"/>
    <col min="160" max="160" width="13.5546875" customWidth="1"/>
    <col min="161" max="162" width="43.6640625" customWidth="1"/>
    <col min="163" max="166" width="10.77734375" customWidth="1"/>
    <col min="167" max="182" width="1.77734375" customWidth="1"/>
    <col min="183" max="183" width="20.77734375" customWidth="1"/>
    <col min="184" max="184" width="35.5546875" customWidth="1"/>
    <col min="185" max="185" width="24.77734375" customWidth="1"/>
    <col min="186" max="186" width="20.77734375" customWidth="1"/>
    <col min="187" max="188" width="34.6640625" customWidth="1"/>
    <col min="189" max="208" width="1.77734375" customWidth="1"/>
    <col min="209" max="211" width="27.33203125" customWidth="1"/>
    <col min="212" max="212" width="11.5546875" customWidth="1"/>
    <col min="213" max="213" width="20.77734375" customWidth="1"/>
    <col min="214" max="214" width="26.33203125" customWidth="1"/>
    <col min="215" max="286" width="1.77734375" customWidth="1"/>
    <col min="287" max="287" width="21.5546875" customWidth="1"/>
    <col min="288" max="288" width="34.109375" customWidth="1"/>
    <col min="289" max="289" width="14.5546875" customWidth="1"/>
    <col min="290" max="290" width="16.5546875" customWidth="1"/>
    <col min="291" max="291" width="34" customWidth="1"/>
    <col min="292" max="312" width="1.77734375" customWidth="1"/>
    <col min="313" max="313" width="22" bestFit="1" customWidth="1"/>
    <col min="314" max="314" width="29.88671875" customWidth="1"/>
    <col min="315" max="315" width="22.6640625" customWidth="1"/>
    <col min="316" max="316" width="12.88671875" customWidth="1"/>
    <col min="317" max="317" width="28.5546875" customWidth="1"/>
    <col min="318" max="338" width="1.77734375" customWidth="1"/>
    <col min="339" max="340" width="25" customWidth="1"/>
    <col min="341" max="341" width="10" bestFit="1" customWidth="1"/>
    <col min="343" max="343" width="24.88671875" bestFit="1" customWidth="1"/>
    <col min="344" max="364" width="1.77734375" customWidth="1"/>
    <col min="365" max="366" width="27" customWidth="1"/>
    <col min="367" max="367" width="10" bestFit="1" customWidth="1"/>
    <col min="369" max="369" width="24.88671875" bestFit="1" customWidth="1"/>
    <col min="370" max="390" width="1.77734375" customWidth="1"/>
    <col min="391" max="392" width="26.33203125" customWidth="1"/>
    <col min="393" max="393" width="10" bestFit="1" customWidth="1"/>
    <col min="395" max="395" width="24.88671875" bestFit="1" customWidth="1"/>
    <col min="396" max="416" width="1.77734375" customWidth="1"/>
    <col min="417" max="418" width="34.77734375" customWidth="1"/>
    <col min="419" max="419" width="10.6640625" bestFit="1" customWidth="1"/>
    <col min="420" max="420" width="11.5546875" customWidth="1"/>
    <col min="421" max="421" width="68.109375" customWidth="1"/>
    <col min="422" max="442" width="1.77734375" customWidth="1"/>
    <col min="443" max="443" width="30.77734375" customWidth="1"/>
    <col min="444" max="444" width="26.5546875" customWidth="1"/>
    <col min="445" max="446" width="8.77734375" customWidth="1"/>
    <col min="447" max="447" width="26.5546875" customWidth="1"/>
    <col min="448" max="468" width="1.77734375" customWidth="1"/>
    <col min="469" max="469" width="25.6640625" customWidth="1"/>
    <col min="470" max="470" width="38.33203125" customWidth="1"/>
    <col min="471" max="471" width="9.77734375" customWidth="1"/>
    <col min="472" max="472" width="12.88671875" customWidth="1"/>
    <col min="473" max="473" width="38.109375" customWidth="1"/>
    <col min="474" max="474" width="12.88671875" customWidth="1"/>
    <col min="475" max="475" width="5.88671875" bestFit="1" customWidth="1"/>
    <col min="476" max="494" width="5.44140625" customWidth="1"/>
    <col min="495" max="495" width="27.77734375" customWidth="1"/>
    <col min="496" max="496" width="34.5546875" customWidth="1"/>
    <col min="497" max="497" width="13.77734375" customWidth="1"/>
    <col min="498" max="501" width="11.33203125" customWidth="1"/>
    <col min="502" max="502" width="10" customWidth="1"/>
    <col min="503" max="519" width="1.77734375" customWidth="1"/>
    <col min="520" max="520" width="12.5546875" customWidth="1"/>
    <col min="521" max="521" width="17.5546875" customWidth="1"/>
    <col min="522" max="524" width="38.6640625" customWidth="1"/>
    <col min="525" max="525" width="26.44140625" customWidth="1"/>
    <col min="526" max="526" width="10.6640625" customWidth="1"/>
    <col min="527" max="527" width="46.6640625" customWidth="1"/>
    <col min="528" max="546" width="1.77734375" customWidth="1"/>
    <col min="547" max="547" width="27.109375" customWidth="1"/>
    <col min="548" max="548" width="34.6640625" customWidth="1"/>
    <col min="549" max="549" width="25.5546875" customWidth="1"/>
    <col min="550" max="550" width="10.5546875" customWidth="1"/>
    <col min="551" max="551" width="10" customWidth="1"/>
    <col min="552" max="552" width="8.6640625" customWidth="1"/>
    <col min="554" max="554" width="47.109375" customWidth="1"/>
    <col min="555" max="572" width="1.77734375" customWidth="1"/>
    <col min="573" max="573" width="19.44140625" customWidth="1"/>
    <col min="574" max="574" width="27" customWidth="1"/>
    <col min="575" max="575" width="25.44140625" customWidth="1"/>
    <col min="577" max="577" width="26.5546875" customWidth="1"/>
    <col min="578" max="598" width="1.77734375" customWidth="1"/>
    <col min="599" max="599" width="25.44140625" customWidth="1"/>
    <col min="600" max="600" width="26.5546875" customWidth="1"/>
    <col min="601" max="601" width="25.5546875" customWidth="1"/>
    <col min="603" max="603" width="26.5546875" customWidth="1"/>
    <col min="604" max="624" width="1.77734375" customWidth="1"/>
    <col min="625" max="625" width="22.44140625" customWidth="1"/>
    <col min="626" max="626" width="26.6640625" customWidth="1"/>
    <col min="627" max="627" width="26" customWidth="1"/>
    <col min="628" max="628" width="13.77734375" customWidth="1"/>
    <col min="629" max="630" width="24.33203125" customWidth="1"/>
    <col min="631" max="635" width="1.77734375" customWidth="1"/>
    <col min="636" max="639" width="20.77734375" customWidth="1"/>
    <col min="640" max="650" width="1.77734375" customWidth="1"/>
    <col min="651" max="651" width="20" customWidth="1"/>
    <col min="652" max="652" width="38.21875" customWidth="1"/>
    <col min="653" max="653" width="22.5546875" customWidth="1"/>
    <col min="654" max="654" width="12.6640625" customWidth="1"/>
    <col min="655" max="656" width="35.33203125" customWidth="1"/>
    <col min="657" max="659" width="1.77734375" customWidth="1"/>
    <col min="660" max="661" width="25.77734375" customWidth="1"/>
    <col min="662" max="662" width="3.33203125" customWidth="1"/>
    <col min="663" max="664" width="25.77734375" customWidth="1"/>
    <col min="665" max="676" width="1.77734375" customWidth="1"/>
    <col min="677" max="677" width="1.88671875" customWidth="1"/>
    <col min="678" max="679" width="20.77734375" customWidth="1"/>
    <col min="680" max="680" width="29.109375" customWidth="1"/>
    <col min="681" max="681" width="10.77734375" customWidth="1"/>
    <col min="682" max="682" width="20.77734375" customWidth="1"/>
    <col min="683" max="683" width="19.109375" customWidth="1"/>
    <col min="684" max="703" width="1.77734375" customWidth="1"/>
    <col min="704" max="708" width="20.77734375" customWidth="1"/>
    <col min="709" max="709" width="16.77734375" customWidth="1"/>
    <col min="710" max="729" width="1.77734375" customWidth="1"/>
    <col min="730" max="731" width="22.88671875" customWidth="1"/>
    <col min="732" max="732" width="26.5546875" customWidth="1"/>
    <col min="733" max="733" width="23" customWidth="1"/>
    <col min="734" max="734" width="34.77734375" customWidth="1"/>
    <col min="735" max="755" width="1.77734375" customWidth="1"/>
    <col min="756" max="757" width="22" customWidth="1"/>
    <col min="758" max="758" width="30.5546875" customWidth="1"/>
    <col min="759" max="759" width="13.5546875" customWidth="1"/>
    <col min="760" max="760" width="26.44140625" customWidth="1"/>
    <col min="761" max="781" width="1.77734375" customWidth="1"/>
    <col min="782" max="782" width="24.6640625" customWidth="1"/>
    <col min="783" max="783" width="36.33203125" customWidth="1"/>
    <col min="784" max="784" width="22.109375" customWidth="1"/>
    <col min="785" max="785" width="10.21875" customWidth="1"/>
    <col min="786" max="786" width="43.5546875" customWidth="1"/>
    <col min="787" max="807" width="1.77734375" customWidth="1"/>
    <col min="808" max="808" width="23.5546875" customWidth="1"/>
    <col min="809" max="809" width="30.77734375" customWidth="1"/>
    <col min="810" max="810" width="33.44140625" customWidth="1"/>
    <col min="811" max="811" width="11.33203125" customWidth="1"/>
    <col min="812" max="812" width="44.33203125" customWidth="1"/>
    <col min="813" max="833" width="1.77734375" customWidth="1"/>
    <col min="834" max="834" width="25.44140625" customWidth="1"/>
    <col min="835" max="835" width="31.44140625" customWidth="1"/>
    <col min="836" max="836" width="30.44140625" customWidth="1"/>
    <col min="837" max="837" width="10.6640625" bestFit="1" customWidth="1"/>
    <col min="838" max="838" width="32.21875" customWidth="1"/>
    <col min="839" max="859" width="1.77734375" customWidth="1"/>
    <col min="860" max="860" width="23.33203125" customWidth="1"/>
    <col min="861" max="861" width="25.5546875" customWidth="1"/>
    <col min="862" max="862" width="27.5546875" customWidth="1"/>
    <col min="863" max="863" width="24.44140625" customWidth="1"/>
    <col min="864" max="864" width="25.44140625" customWidth="1"/>
    <col min="865" max="885" width="1.77734375" customWidth="1"/>
    <col min="886" max="886" width="24.6640625" customWidth="1"/>
    <col min="887" max="887" width="27" customWidth="1"/>
    <col min="888" max="888" width="26.5546875" customWidth="1"/>
    <col min="889" max="889" width="23.88671875" customWidth="1"/>
    <col min="890" max="890" width="29" customWidth="1"/>
    <col min="891" max="911" width="1.77734375" customWidth="1"/>
    <col min="912" max="912" width="31.33203125" customWidth="1"/>
    <col min="913" max="913" width="25" customWidth="1"/>
    <col min="914" max="914" width="23.44140625" customWidth="1"/>
    <col min="915" max="915" width="19.44140625" customWidth="1"/>
    <col min="916" max="916" width="29.21875" customWidth="1"/>
    <col min="917" max="937" width="1.77734375" customWidth="1"/>
    <col min="938" max="938" width="27.33203125" customWidth="1"/>
    <col min="939" max="939" width="27.88671875" customWidth="1"/>
    <col min="940" max="940" width="21.5546875" customWidth="1"/>
    <col min="941" max="941" width="17.44140625" customWidth="1"/>
    <col min="942" max="942" width="22.33203125" customWidth="1"/>
    <col min="943" max="963" width="1.77734375" customWidth="1"/>
    <col min="964" max="965" width="35.109375" customWidth="1"/>
    <col min="966" max="966" width="25.77734375" customWidth="1"/>
    <col min="967" max="967" width="8.33203125" customWidth="1"/>
    <col min="968" max="968" width="24.6640625" customWidth="1"/>
    <col min="969" max="989" width="1.77734375" customWidth="1"/>
    <col min="990" max="990" width="29.21875" customWidth="1"/>
    <col min="991" max="991" width="29.77734375" customWidth="1"/>
    <col min="992" max="992" width="25.77734375" customWidth="1"/>
    <col min="993" max="993" width="8.33203125" customWidth="1"/>
    <col min="994" max="994" width="25" customWidth="1"/>
    <col min="995" max="1015" width="1.77734375" customWidth="1"/>
    <col min="1016" max="1016" width="35.109375" customWidth="1"/>
    <col min="1017" max="1017" width="38.5546875" customWidth="1"/>
    <col min="1018" max="1018" width="28.21875" customWidth="1"/>
    <col min="1019" max="1019" width="8.33203125" customWidth="1"/>
    <col min="1020" max="1020" width="21.5546875" customWidth="1"/>
    <col min="1021" max="1041" width="1.77734375" customWidth="1"/>
    <col min="1042" max="1042" width="27.77734375" customWidth="1"/>
    <col min="1043" max="1043" width="34" customWidth="1"/>
    <col min="1044" max="1044" width="25.109375" customWidth="1"/>
    <col min="1045" max="1045" width="8.33203125" customWidth="1"/>
    <col min="1046" max="1046" width="18.33203125" customWidth="1"/>
    <col min="1047" max="1066" width="1.77734375" customWidth="1"/>
    <col min="1067" max="1067" width="31" style="2527" customWidth="1"/>
    <col min="1068" max="1068" width="43.6640625" style="2527" customWidth="1"/>
    <col min="1069" max="1070" width="27.21875" style="2527" customWidth="1"/>
    <col min="1071" max="1072" width="34.44140625" style="2527" customWidth="1"/>
    <col min="1073" max="1073" width="29.21875" customWidth="1"/>
    <col min="1074" max="1092" width="1.77734375" customWidth="1"/>
    <col min="1093" max="1094" width="37.21875" style="2527" customWidth="1"/>
    <col min="1095" max="1095" width="20.77734375" style="2527" customWidth="1"/>
    <col min="1096" max="1096" width="23.44140625" style="2527" customWidth="1"/>
    <col min="1097" max="1099" width="26.88671875" style="2527" customWidth="1"/>
    <col min="1100" max="1100" width="1.77734375" style="2527" customWidth="1"/>
    <col min="1101" max="1118" width="1.77734375" customWidth="1"/>
    <col min="1119" max="1119" width="25.77734375" customWidth="1"/>
    <col min="1120" max="1120" width="33.44140625" customWidth="1"/>
    <col min="1121" max="1121" width="25.44140625" customWidth="1"/>
    <col min="1122" max="1122" width="10.6640625" bestFit="1" customWidth="1"/>
    <col min="1123" max="1123" width="23.109375" customWidth="1"/>
    <col min="1124" max="1124" width="31.88671875" customWidth="1"/>
    <col min="1125" max="1125" width="11.5546875" customWidth="1"/>
    <col min="1127" max="1127" width="10.5546875" bestFit="1" customWidth="1"/>
    <col min="1128" max="1143" width="1.77734375" customWidth="1"/>
    <col min="1144" max="1144" width="26.109375" customWidth="1"/>
    <col min="1145" max="1146" width="39" customWidth="1"/>
    <col min="1147" max="1147" width="11.44140625" customWidth="1"/>
    <col min="1148" max="1148" width="10.77734375" customWidth="1"/>
    <col min="1149" max="1150" width="47.33203125" customWidth="1"/>
    <col min="1151" max="1151" width="5.77734375" customWidth="1"/>
    <col min="1152" max="1196" width="1.77734375" customWidth="1"/>
    <col min="1197" max="1197" width="34.77734375" customWidth="1"/>
    <col min="1198" max="1198" width="36.33203125" customWidth="1"/>
    <col min="1199" max="1199" width="33.44140625" customWidth="1"/>
    <col min="1200" max="1200" width="16.109375" customWidth="1"/>
    <col min="1201" max="1204" width="24.6640625" customWidth="1"/>
    <col min="1205" max="1205" width="20.77734375" customWidth="1"/>
    <col min="1206" max="1222" width="1.77734375" customWidth="1"/>
    <col min="1223" max="1223" width="39.109375" customWidth="1"/>
    <col min="1224" max="1225" width="39.44140625" customWidth="1"/>
    <col min="1226" max="1226" width="10.77734375" customWidth="1"/>
    <col min="1227" max="1228" width="45" customWidth="1"/>
    <col min="1229" max="1248" width="1.77734375" customWidth="1"/>
    <col min="1249" max="1249" width="29.33203125" customWidth="1"/>
    <col min="1250" max="1250" width="53.77734375" customWidth="1"/>
    <col min="1251" max="1251" width="30.109375" customWidth="1"/>
    <col min="1252" max="1252" width="10.77734375" customWidth="1"/>
    <col min="1253" max="1254" width="34.109375" customWidth="1"/>
    <col min="1255" max="1256" width="10.77734375" customWidth="1"/>
    <col min="1257" max="1274" width="1.77734375" customWidth="1"/>
    <col min="1275" max="1275" width="32.6640625" customWidth="1"/>
    <col min="1276" max="1276" width="21.5546875" customWidth="1"/>
    <col min="1277" max="1279" width="16.5546875" customWidth="1"/>
    <col min="1280" max="1283" width="10.77734375" customWidth="1"/>
    <col min="1284" max="1300" width="1.77734375" customWidth="1"/>
    <col min="1301" max="1301" width="34.109375" customWidth="1"/>
    <col min="1302" max="1304" width="29.5546875" customWidth="1"/>
    <col min="1305" max="1305" width="24.6640625" customWidth="1"/>
    <col min="1306" max="1307" width="20.77734375" customWidth="1"/>
    <col min="1308" max="1326" width="1.77734375" customWidth="1"/>
    <col min="1327" max="1327" width="29.109375" customWidth="1"/>
    <col min="1328" max="1328" width="36.21875" customWidth="1"/>
    <col min="1329" max="1329" width="25.44140625" customWidth="1"/>
    <col min="1330" max="1330" width="11" customWidth="1"/>
    <col min="1331" max="1331" width="24" customWidth="1"/>
    <col min="1332" max="1352" width="1.77734375" customWidth="1"/>
    <col min="1353" max="1353" width="21.6640625" customWidth="1"/>
    <col min="1354" max="1354" width="26.77734375" customWidth="1"/>
    <col min="1355" max="1355" width="18.77734375" customWidth="1"/>
    <col min="1356" max="1356" width="11.77734375" customWidth="1"/>
    <col min="1357" max="1357" width="27.21875" customWidth="1"/>
    <col min="1358" max="1358" width="18" customWidth="1"/>
    <col min="1379" max="1379" width="23.6640625" customWidth="1"/>
    <col min="1380" max="1380" width="36.21875" customWidth="1"/>
    <col min="1381" max="1381" width="33.109375" customWidth="1"/>
    <col min="1382" max="1382" width="11" customWidth="1"/>
    <col min="1383" max="1384" width="39.77734375" customWidth="1"/>
    <col min="1405" max="1405" width="23.6640625" customWidth="1"/>
    <col min="1406" max="1406" width="36.21875" customWidth="1"/>
    <col min="1407" max="1407" width="23.44140625" customWidth="1"/>
    <col min="1408" max="1408" width="11.33203125" customWidth="1"/>
    <col min="1409" max="1410" width="36.88671875" customWidth="1"/>
    <col min="1411" max="1430" width="1.77734375" customWidth="1"/>
    <col min="1431" max="1431" width="28.5546875" customWidth="1"/>
    <col min="1432" max="1432" width="39.33203125" customWidth="1"/>
    <col min="1433" max="1436" width="17.77734375" customWidth="1"/>
    <col min="1437" max="1438" width="32.77734375" customWidth="1"/>
    <col min="1439" max="1460" width="1.77734375" customWidth="1"/>
    <col min="1461" max="1461" width="23.88671875" customWidth="1"/>
    <col min="1462" max="1462" width="40.109375" customWidth="1"/>
    <col min="1463" max="1464" width="20.77734375" customWidth="1"/>
    <col min="1465" max="1465" width="11.77734375" customWidth="1"/>
    <col min="1466" max="1467" width="48.5546875" customWidth="1"/>
    <col min="1468" max="1482" width="1.77734375" customWidth="1"/>
    <col min="1483" max="1483" width="21" customWidth="1"/>
    <col min="1484" max="1484" width="35.77734375" customWidth="1"/>
    <col min="1485" max="1485" width="22.33203125" customWidth="1"/>
    <col min="1486" max="1486" width="10.5546875" customWidth="1"/>
    <col min="1487" max="1488" width="31.21875" customWidth="1"/>
    <col min="1489" max="1508" width="1.77734375" customWidth="1"/>
    <col min="1509" max="1509" width="27.5546875" customWidth="1"/>
    <col min="1510" max="1510" width="45" customWidth="1"/>
    <col min="1511" max="1511" width="20.5546875" customWidth="1"/>
    <col min="1512" max="1512" width="14.77734375" customWidth="1"/>
    <col min="1513" max="1517" width="13.33203125" customWidth="1"/>
    <col min="1518" max="1534" width="12.33203125" customWidth="1"/>
    <col min="1535" max="1535" width="27.5546875" customWidth="1"/>
    <col min="1536" max="1536" width="45" customWidth="1"/>
    <col min="1537" max="1537" width="20.5546875" customWidth="1"/>
    <col min="1538" max="1538" width="14.77734375" customWidth="1"/>
    <col min="1539" max="1543" width="13.33203125" customWidth="1"/>
    <col min="1544" max="1550" width="1.77734375" customWidth="1"/>
    <col min="1551" max="1560" width="13" customWidth="1"/>
    <col min="1561" max="1561" width="28.88671875" customWidth="1"/>
    <col min="1562" max="1562" width="28.109375" customWidth="1"/>
    <col min="1563" max="1563" width="16.33203125" customWidth="1"/>
    <col min="1564" max="1564" width="16.44140625" customWidth="1"/>
    <col min="1565" max="1565" width="19.6640625" customWidth="1"/>
    <col min="1566" max="1586" width="1.77734375" customWidth="1"/>
    <col min="1587" max="1587" width="31.33203125" customWidth="1"/>
    <col min="1588" max="1588" width="37.77734375" customWidth="1"/>
    <col min="1589" max="1590" width="25.77734375" customWidth="1"/>
    <col min="1591" max="1591" width="33.5546875" customWidth="1"/>
    <col min="1592" max="1612" width="1.77734375" customWidth="1"/>
    <col min="1613" max="1613" width="26.33203125" customWidth="1"/>
    <col min="1614" max="1614" width="34.33203125" customWidth="1"/>
    <col min="1615" max="1615" width="22.5546875" customWidth="1"/>
    <col min="1616" max="1616" width="22.109375" customWidth="1"/>
    <col min="1617" max="1617" width="9.77734375" customWidth="1"/>
    <col min="1622" max="1638" width="1.77734375" customWidth="1"/>
    <col min="1639" max="1639" width="26.33203125" customWidth="1"/>
    <col min="1640" max="1640" width="34.33203125" customWidth="1"/>
    <col min="1641" max="1641" width="22.5546875" customWidth="1"/>
    <col min="1642" max="1642" width="22.109375" customWidth="1"/>
    <col min="1643" max="1643" width="9.77734375" customWidth="1"/>
    <col min="1648" max="1664" width="1.77734375" customWidth="1"/>
    <col min="1665" max="1665" width="34.109375" customWidth="1"/>
    <col min="1666" max="1666" width="39.21875" customWidth="1"/>
    <col min="1667" max="1667" width="26.5546875" customWidth="1"/>
    <col min="1668" max="1668" width="14.6640625" customWidth="1"/>
    <col min="1669" max="1669" width="40.6640625" customWidth="1"/>
    <col min="1670" max="1690" width="1.77734375" customWidth="1"/>
    <col min="1691" max="1692" width="33.21875" customWidth="1"/>
    <col min="1693" max="1693" width="19.88671875" customWidth="1"/>
    <col min="1694" max="1694" width="33.21875" customWidth="1"/>
    <col min="1695" max="1696" width="19.77734375" customWidth="1"/>
    <col min="1697" max="1716" width="1.77734375" customWidth="1"/>
    <col min="1717" max="1717" width="27.5546875" customWidth="1"/>
    <col min="1718" max="1718" width="37.77734375" customWidth="1"/>
    <col min="1719" max="1719" width="30.88671875" customWidth="1"/>
    <col min="1720" max="1720" width="11.6640625" customWidth="1"/>
    <col min="1721" max="1726" width="10.44140625" customWidth="1"/>
    <col min="1743" max="1743" width="43.5546875" customWidth="1"/>
    <col min="1744" max="1744" width="49.33203125" customWidth="1"/>
    <col min="1745" max="1745" width="60.21875" customWidth="1"/>
    <col min="1746" max="1746" width="10.77734375" customWidth="1"/>
    <col min="1747" max="1747" width="35.77734375" customWidth="1"/>
    <col min="1748" max="1768" width="1.77734375" customWidth="1"/>
    <col min="1769" max="1769" width="25.21875" customWidth="1"/>
    <col min="1770" max="1770" width="27.33203125" customWidth="1"/>
    <col min="1771" max="1772" width="16.5546875" customWidth="1"/>
    <col min="1773" max="1773" width="18.6640625" customWidth="1"/>
    <col min="1774" max="1794" width="1.77734375" customWidth="1"/>
    <col min="1795" max="1795" width="26.33203125" customWidth="1"/>
    <col min="1796" max="1796" width="27" customWidth="1"/>
    <col min="1797" max="1797" width="26.33203125" customWidth="1"/>
    <col min="1798" max="1798" width="19.109375" customWidth="1"/>
    <col min="1799" max="1799" width="18.21875" customWidth="1"/>
    <col min="1800" max="1820" width="1.77734375" customWidth="1"/>
    <col min="1821" max="1821" width="50.44140625" customWidth="1"/>
    <col min="1822" max="1822" width="58.44140625" customWidth="1"/>
    <col min="1823" max="1823" width="27.109375" customWidth="1"/>
    <col min="1825" max="1825" width="28.33203125" customWidth="1"/>
    <col min="1826" max="1846" width="1.77734375" customWidth="1"/>
    <col min="1951" max="1951" width="42.77734375" customWidth="1"/>
    <col min="1952" max="1952" width="24.88671875" customWidth="1"/>
    <col min="1953" max="1959" width="20.77734375" customWidth="1"/>
    <col min="1960" max="1960" width="10.5546875" customWidth="1"/>
    <col min="1961" max="1961" width="36.21875" customWidth="1"/>
    <col min="1977" max="1977" width="34.44140625" customWidth="1"/>
    <col min="1978" max="1978" width="54.33203125" customWidth="1"/>
    <col min="1979" max="1981" width="20.77734375" customWidth="1"/>
    <col min="2000" max="2000" width="49.77734375" customWidth="1"/>
    <col min="2001" max="2001" width="35.21875" customWidth="1"/>
    <col min="2002" max="2002" width="13" customWidth="1"/>
    <col min="2003" max="2004" width="26.109375" customWidth="1"/>
    <col min="2005" max="2005" width="22.33203125" customWidth="1"/>
    <col min="2006" max="2006" width="38" customWidth="1"/>
    <col min="2007" max="2007" width="25.21875" customWidth="1"/>
    <col min="2008" max="2756" width="13" customWidth="1"/>
    <col min="2757" max="2757" width="43" customWidth="1"/>
    <col min="2758" max="2758" width="20.77734375" customWidth="1"/>
    <col min="2760" max="2760" width="9.33203125" customWidth="1"/>
    <col min="2761" max="2761" width="26.6640625" customWidth="1"/>
    <col min="2783" max="2783" width="21.5546875" customWidth="1"/>
    <col min="2784" max="2790" width="20.77734375" customWidth="1"/>
    <col min="2809" max="2810" width="37.21875" customWidth="1"/>
    <col min="2811" max="2811" width="20.77734375" customWidth="1"/>
    <col min="2812" max="2812" width="23.44140625" customWidth="1"/>
    <col min="2813" max="2814" width="26.88671875" customWidth="1"/>
  </cols>
  <sheetData>
    <row r="1" spans="1:2814" ht="21" customHeight="1" thickBot="1">
      <c r="A1" s="1494" t="s">
        <v>7344</v>
      </c>
      <c r="B1" s="1494"/>
      <c r="C1" s="1442" t="s">
        <v>336</v>
      </c>
      <c r="E1" s="1442" t="s">
        <v>7444</v>
      </c>
      <c r="F1" s="456"/>
      <c r="G1" s="456"/>
      <c r="H1" s="456"/>
      <c r="I1" s="456"/>
      <c r="J1" s="456"/>
      <c r="K1" s="456"/>
      <c r="L1" s="456"/>
      <c r="M1" s="456"/>
      <c r="N1" s="456"/>
      <c r="O1" s="456"/>
      <c r="P1" s="456"/>
      <c r="Q1" s="456"/>
      <c r="R1" s="456"/>
      <c r="S1" s="456"/>
      <c r="T1" s="456"/>
      <c r="U1" s="456"/>
      <c r="V1" s="456"/>
      <c r="W1" s="456"/>
      <c r="AA1" s="243" t="s">
        <v>11</v>
      </c>
      <c r="AB1" s="243"/>
      <c r="AD1" s="243"/>
      <c r="AE1" s="940" t="s">
        <v>336</v>
      </c>
      <c r="AF1" s="941"/>
      <c r="AG1" s="941"/>
      <c r="AH1" s="941"/>
      <c r="AI1" s="941"/>
      <c r="AJ1" s="941"/>
      <c r="AK1" s="941"/>
      <c r="AL1" s="941"/>
      <c r="AM1" s="941"/>
      <c r="AN1" s="941"/>
      <c r="AO1" s="941"/>
      <c r="AP1" s="941"/>
      <c r="AQ1" s="941"/>
      <c r="AR1" s="941"/>
      <c r="AS1" s="941"/>
      <c r="AT1" s="941"/>
      <c r="AU1" s="941"/>
      <c r="AV1" s="941"/>
      <c r="AW1" s="243"/>
      <c r="AX1" s="243"/>
      <c r="AY1" s="243"/>
      <c r="AZ1" s="243"/>
      <c r="BA1" s="243" t="s">
        <v>39</v>
      </c>
      <c r="BE1" s="940" t="s">
        <v>336</v>
      </c>
      <c r="BF1" s="941"/>
      <c r="BG1" s="941"/>
      <c r="BH1" s="941"/>
      <c r="BI1" s="941"/>
      <c r="BJ1" s="941"/>
      <c r="BK1" s="941"/>
      <c r="BL1" s="941"/>
      <c r="BM1" s="941"/>
      <c r="BN1" s="941"/>
      <c r="BO1" s="941"/>
      <c r="BP1" s="941"/>
      <c r="BQ1" s="941"/>
      <c r="BR1" s="941"/>
      <c r="BS1" s="941"/>
      <c r="BT1" s="941"/>
      <c r="BU1" s="941"/>
      <c r="BV1" s="941"/>
      <c r="BW1" s="941"/>
      <c r="BX1" s="243"/>
      <c r="BY1" s="243"/>
      <c r="BZ1" s="243"/>
      <c r="CA1" s="1558" t="s">
        <v>4587</v>
      </c>
      <c r="CB1" s="1558"/>
      <c r="CC1" s="243"/>
      <c r="CD1" s="243"/>
      <c r="CE1" s="940" t="s">
        <v>336</v>
      </c>
      <c r="CF1" s="243"/>
      <c r="CG1" s="243"/>
      <c r="CH1" s="243"/>
      <c r="CI1" s="243"/>
      <c r="CJ1" s="243"/>
      <c r="CK1" s="243"/>
      <c r="CL1" s="243"/>
      <c r="CM1" s="243"/>
      <c r="CN1" s="243"/>
      <c r="CO1" s="243"/>
      <c r="CP1" s="243"/>
      <c r="CQ1" s="243"/>
      <c r="CR1" s="243"/>
      <c r="CS1" s="243"/>
      <c r="CT1" s="243"/>
      <c r="CU1" s="243"/>
      <c r="CV1" s="243"/>
      <c r="CW1" s="243"/>
      <c r="CX1" s="243"/>
      <c r="CY1" s="243"/>
      <c r="CZ1" s="243"/>
      <c r="DA1" s="1558" t="s">
        <v>9</v>
      </c>
      <c r="DB1" s="1558"/>
      <c r="DC1" s="243"/>
      <c r="DD1" s="243"/>
      <c r="DE1" s="248" t="s">
        <v>336</v>
      </c>
      <c r="DF1" s="243"/>
      <c r="DG1" s="243"/>
      <c r="DH1" s="243"/>
      <c r="DI1" s="243"/>
      <c r="DJ1" s="243"/>
      <c r="DK1" s="243"/>
      <c r="DL1" s="243"/>
      <c r="DM1" s="243"/>
      <c r="DN1" s="243"/>
      <c r="DO1" s="243"/>
      <c r="DP1" s="243"/>
      <c r="DQ1" s="243"/>
      <c r="DR1" s="243"/>
      <c r="DS1" s="243"/>
      <c r="DT1" s="243"/>
      <c r="DU1" s="243"/>
      <c r="DV1" s="243"/>
      <c r="DW1" s="243"/>
      <c r="DX1" s="243"/>
      <c r="DY1" s="243"/>
      <c r="DZ1" s="243"/>
      <c r="EA1" s="243" t="s">
        <v>4588</v>
      </c>
      <c r="EB1" s="243"/>
      <c r="EC1" s="243"/>
      <c r="ED1" s="243"/>
      <c r="EE1" s="248" t="s">
        <v>336</v>
      </c>
      <c r="EF1" s="243"/>
      <c r="EG1" s="243"/>
      <c r="EH1" s="243"/>
      <c r="EI1" s="243"/>
      <c r="EJ1" s="243"/>
      <c r="EK1" s="243"/>
      <c r="EL1" s="243"/>
      <c r="EM1" s="243"/>
      <c r="EN1" s="243"/>
      <c r="EO1" s="243"/>
      <c r="EP1" s="243"/>
      <c r="EQ1" s="243"/>
      <c r="ER1" s="243"/>
      <c r="ES1" s="243"/>
      <c r="ET1" s="243"/>
      <c r="EU1" s="243"/>
      <c r="EV1" s="243"/>
      <c r="EW1" s="243"/>
      <c r="EX1" s="243"/>
      <c r="EY1" s="243"/>
      <c r="EZ1" s="243"/>
      <c r="FA1" s="243" t="s">
        <v>6900</v>
      </c>
      <c r="FB1" s="243"/>
      <c r="FC1" s="243"/>
      <c r="FD1" s="243"/>
      <c r="FE1" s="248" t="s">
        <v>336</v>
      </c>
      <c r="FF1" s="243"/>
      <c r="FG1" s="243"/>
      <c r="FH1" s="243"/>
      <c r="FI1" s="243"/>
      <c r="FJ1" s="243"/>
      <c r="FK1" s="243"/>
      <c r="FL1" s="243"/>
      <c r="FM1" s="243"/>
      <c r="FN1" s="243"/>
      <c r="FO1" s="243"/>
      <c r="FP1" s="243"/>
      <c r="FQ1" s="243"/>
      <c r="FR1" s="243"/>
      <c r="FS1" s="243"/>
      <c r="FT1" s="243"/>
      <c r="FU1" s="243"/>
      <c r="FV1" s="243"/>
      <c r="FW1" s="243"/>
      <c r="FX1" s="243"/>
      <c r="FY1" s="243"/>
      <c r="FZ1" s="243"/>
      <c r="GA1" s="243" t="s">
        <v>6901</v>
      </c>
      <c r="GB1" s="243"/>
      <c r="GC1" s="243"/>
      <c r="GD1" s="243"/>
      <c r="GE1" s="248" t="s">
        <v>336</v>
      </c>
      <c r="GF1" s="243"/>
      <c r="GG1" s="243"/>
      <c r="GH1" s="243"/>
      <c r="GI1" s="243"/>
      <c r="GJ1" s="243"/>
      <c r="GK1" s="243"/>
      <c r="GL1" s="243"/>
      <c r="GM1" s="243"/>
      <c r="GN1" s="243"/>
      <c r="GO1" s="243"/>
      <c r="GP1" s="243"/>
      <c r="GQ1" s="243"/>
      <c r="GR1" s="243"/>
      <c r="GS1" s="243"/>
      <c r="GT1" s="243"/>
      <c r="GU1" s="243"/>
      <c r="GV1" s="243"/>
      <c r="GW1" s="243"/>
      <c r="GX1" s="243"/>
      <c r="GY1" s="243"/>
      <c r="GZ1" s="243"/>
      <c r="HA1" s="243" t="s">
        <v>4714</v>
      </c>
      <c r="HB1" s="243"/>
      <c r="HC1" s="243"/>
      <c r="HD1" s="243"/>
      <c r="HE1" s="248" t="s">
        <v>336</v>
      </c>
      <c r="HF1" s="243"/>
      <c r="HG1" s="243"/>
      <c r="HH1" s="243"/>
      <c r="HI1" s="243"/>
      <c r="HJ1" s="243"/>
      <c r="HK1" s="243"/>
      <c r="HL1" s="243"/>
      <c r="HM1" s="243"/>
      <c r="HN1" s="243"/>
      <c r="HO1" s="243"/>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IN1" s="243"/>
      <c r="IO1" s="243"/>
      <c r="IP1" s="243"/>
      <c r="IQ1" s="243"/>
      <c r="IR1" s="243"/>
      <c r="IS1" s="243"/>
      <c r="IT1" s="243"/>
      <c r="IU1" s="243"/>
      <c r="IV1" s="243"/>
      <c r="IW1" s="243"/>
      <c r="IX1" s="243"/>
      <c r="IY1" s="243"/>
      <c r="IZ1" s="243"/>
      <c r="JA1" s="243"/>
      <c r="JB1" s="243"/>
      <c r="JC1" s="243"/>
      <c r="JD1" s="243"/>
      <c r="JE1" s="243"/>
      <c r="JF1" s="243"/>
      <c r="JG1" s="243"/>
      <c r="JH1" s="243"/>
      <c r="JI1" s="243"/>
      <c r="JJ1" s="243"/>
      <c r="JK1" s="243"/>
      <c r="JL1" s="243"/>
      <c r="JM1" s="243"/>
      <c r="JN1" s="243"/>
      <c r="JO1" s="243"/>
      <c r="JP1" s="243"/>
      <c r="JQ1" s="243"/>
      <c r="JR1" s="243"/>
      <c r="JS1" s="243"/>
      <c r="JT1" s="243"/>
      <c r="JU1" s="243"/>
      <c r="JV1" s="243"/>
      <c r="JW1" s="243"/>
      <c r="JX1" s="243"/>
      <c r="JY1" s="243"/>
      <c r="JZ1" s="243"/>
      <c r="KA1" s="243" t="s">
        <v>34</v>
      </c>
      <c r="KB1" s="243"/>
      <c r="KC1" s="243"/>
      <c r="KD1" s="243"/>
      <c r="KE1" s="248" t="s">
        <v>336</v>
      </c>
      <c r="KF1" s="249"/>
      <c r="KG1" s="249"/>
      <c r="KH1" s="249"/>
      <c r="KI1" s="249"/>
      <c r="KJ1" s="249"/>
      <c r="KK1" s="249"/>
      <c r="KL1" s="249"/>
      <c r="KM1" s="249"/>
      <c r="KN1" s="249"/>
      <c r="KO1" s="249"/>
      <c r="KP1" s="249"/>
      <c r="KQ1" s="249"/>
      <c r="KR1" s="249"/>
      <c r="KS1" s="249"/>
      <c r="KT1" s="249"/>
      <c r="KU1" s="249"/>
      <c r="KV1" s="249"/>
      <c r="KW1" s="243"/>
      <c r="KX1" s="243"/>
      <c r="KY1" s="243"/>
      <c r="KZ1" s="243"/>
      <c r="LA1" s="243" t="s">
        <v>17</v>
      </c>
      <c r="LB1" s="243"/>
      <c r="LC1" s="243"/>
      <c r="LD1" s="243"/>
      <c r="LE1" s="248" t="s">
        <v>336</v>
      </c>
      <c r="LF1" s="248"/>
      <c r="LG1" s="248"/>
      <c r="LH1" s="248"/>
      <c r="LI1" s="248"/>
      <c r="LJ1" s="248"/>
      <c r="LK1" s="248"/>
      <c r="LL1" s="248"/>
      <c r="LM1" s="248"/>
      <c r="LN1" s="248"/>
      <c r="LO1" s="248"/>
      <c r="LP1" s="248"/>
      <c r="LQ1" s="248"/>
      <c r="LR1" s="248"/>
      <c r="LS1" s="248"/>
      <c r="LT1" s="248"/>
      <c r="LU1" s="248"/>
      <c r="LV1" s="248"/>
      <c r="LW1" s="248"/>
      <c r="LX1" s="248"/>
      <c r="LY1" s="248"/>
      <c r="LZ1" s="248"/>
      <c r="MA1" s="243" t="s">
        <v>26</v>
      </c>
      <c r="MB1" s="243"/>
      <c r="MC1" s="243"/>
      <c r="MD1" s="243"/>
      <c r="ME1" s="248" t="s">
        <v>336</v>
      </c>
      <c r="MF1" s="248"/>
      <c r="MG1" s="248"/>
      <c r="MH1" s="248"/>
      <c r="MI1" s="248"/>
      <c r="MJ1" s="248"/>
      <c r="MK1" s="248"/>
      <c r="ML1" s="248"/>
      <c r="MM1" s="248"/>
      <c r="MN1" s="248"/>
      <c r="MO1" s="248"/>
      <c r="MP1" s="248"/>
      <c r="MQ1" s="248"/>
      <c r="MR1" s="248"/>
      <c r="MS1" s="248"/>
      <c r="MT1" s="248"/>
      <c r="MU1" s="248"/>
      <c r="MV1" s="248"/>
      <c r="MW1" s="248"/>
      <c r="MX1" s="248"/>
      <c r="MY1" s="248"/>
      <c r="MZ1" s="248"/>
      <c r="NA1" s="243" t="s">
        <v>32</v>
      </c>
      <c r="NB1" s="243"/>
      <c r="NC1" s="243"/>
      <c r="ND1" s="243"/>
      <c r="NE1" s="248" t="s">
        <v>336</v>
      </c>
      <c r="NF1" s="248"/>
      <c r="NG1" s="248"/>
      <c r="NH1" s="248"/>
      <c r="NI1" s="248"/>
      <c r="NJ1" s="248"/>
      <c r="NK1" s="248"/>
      <c r="NL1" s="248"/>
      <c r="NM1" s="248"/>
      <c r="NN1" s="248"/>
      <c r="NO1" s="248"/>
      <c r="NP1" s="248"/>
      <c r="NQ1" s="248"/>
      <c r="NR1" s="248"/>
      <c r="NS1" s="248"/>
      <c r="NT1" s="248"/>
      <c r="NU1" s="248"/>
      <c r="NV1" s="248"/>
      <c r="NW1" s="248"/>
      <c r="NX1" s="248"/>
      <c r="NY1" s="248"/>
      <c r="NZ1" s="248"/>
      <c r="OA1" s="243" t="s">
        <v>25</v>
      </c>
      <c r="OB1" s="243"/>
      <c r="OC1" s="243"/>
      <c r="OD1" s="243"/>
      <c r="OE1" s="248" t="s">
        <v>336</v>
      </c>
      <c r="PA1" s="1558" t="s">
        <v>339</v>
      </c>
      <c r="PB1" s="1558"/>
      <c r="PC1" s="243"/>
      <c r="PD1" s="243"/>
      <c r="PE1" s="248" t="s">
        <v>336</v>
      </c>
      <c r="PF1" s="249"/>
      <c r="PG1" s="249"/>
      <c r="PH1" s="249"/>
      <c r="PI1" s="249"/>
      <c r="PJ1" s="249"/>
      <c r="PK1" s="249"/>
      <c r="PL1" s="249"/>
      <c r="PM1" s="249"/>
      <c r="PN1" s="249"/>
      <c r="PO1" s="249"/>
      <c r="PP1" s="249"/>
      <c r="PQ1" s="249"/>
      <c r="PR1" s="249"/>
      <c r="PS1" s="249"/>
      <c r="PT1" s="249"/>
      <c r="PU1" s="249"/>
      <c r="PV1" s="249"/>
      <c r="PW1" s="249"/>
      <c r="PX1" s="249"/>
      <c r="PY1" s="249"/>
      <c r="PZ1" s="249"/>
      <c r="QA1" s="252" t="s">
        <v>3724</v>
      </c>
      <c r="QB1" s="252"/>
      <c r="QC1" s="249"/>
      <c r="QD1" s="249"/>
      <c r="QE1" s="248" t="s">
        <v>336</v>
      </c>
      <c r="QF1" s="249"/>
      <c r="QG1" s="249"/>
      <c r="QH1" s="249"/>
      <c r="QI1" s="249"/>
      <c r="QJ1" s="249"/>
      <c r="QK1" s="249"/>
      <c r="QL1" s="249"/>
      <c r="QM1" s="249"/>
      <c r="QN1" s="249"/>
      <c r="QO1" s="249"/>
      <c r="QP1" s="249"/>
      <c r="QQ1" s="249"/>
      <c r="QR1" s="249"/>
      <c r="QS1" s="249"/>
      <c r="QT1" s="249"/>
      <c r="QU1" s="249"/>
      <c r="QV1" s="249"/>
      <c r="QW1" s="249"/>
      <c r="QX1" s="249"/>
      <c r="QY1" s="249"/>
      <c r="QZ1" s="249"/>
      <c r="RA1" s="1553" t="s">
        <v>4589</v>
      </c>
      <c r="RB1" s="1553"/>
      <c r="RC1" s="435"/>
      <c r="RD1" s="243"/>
      <c r="RE1" s="248" t="s">
        <v>336</v>
      </c>
      <c r="RF1" s="1002"/>
      <c r="RH1" s="249"/>
      <c r="RI1" s="249"/>
      <c r="RJ1" s="249"/>
      <c r="RK1" s="249"/>
      <c r="RL1" s="249"/>
      <c r="RM1" s="249"/>
      <c r="RN1" s="249"/>
      <c r="RO1" s="249"/>
      <c r="RP1" s="249"/>
      <c r="RQ1" s="249"/>
      <c r="RR1" s="249"/>
      <c r="RS1" s="249"/>
      <c r="RT1" s="249"/>
      <c r="RU1" s="249"/>
      <c r="RV1" s="249"/>
      <c r="RW1" s="249"/>
      <c r="RX1" s="249"/>
      <c r="RY1" s="249"/>
      <c r="RZ1" s="249"/>
      <c r="SA1" s="243" t="s">
        <v>18</v>
      </c>
      <c r="SB1" s="243"/>
      <c r="SC1" s="243"/>
      <c r="SD1" s="243"/>
      <c r="SE1" s="248" t="s">
        <v>336</v>
      </c>
      <c r="SF1" s="252"/>
      <c r="SG1" s="252"/>
      <c r="SH1" s="252"/>
      <c r="SI1" s="252"/>
      <c r="SJ1" s="252"/>
      <c r="SK1" s="252"/>
      <c r="SL1" s="252"/>
      <c r="SM1" s="252"/>
      <c r="SN1" s="252"/>
      <c r="SO1" s="252"/>
      <c r="SP1" s="252"/>
      <c r="SQ1" s="252"/>
      <c r="SR1" s="252"/>
      <c r="SS1" s="252"/>
      <c r="ST1" s="252"/>
      <c r="SU1" s="252"/>
      <c r="SV1" s="252"/>
      <c r="SW1" s="252"/>
      <c r="SX1" s="252"/>
      <c r="SY1" s="252"/>
      <c r="TA1" s="243" t="s">
        <v>341</v>
      </c>
      <c r="TB1" s="243"/>
      <c r="TC1" s="243"/>
      <c r="TD1" s="435"/>
      <c r="TE1" s="940" t="s">
        <v>5806</v>
      </c>
      <c r="TF1" s="243"/>
      <c r="TG1" s="248" t="s">
        <v>336</v>
      </c>
      <c r="TH1" s="243"/>
      <c r="TI1" s="243"/>
      <c r="TJ1" s="243"/>
      <c r="TK1" s="243"/>
      <c r="TL1" s="243"/>
      <c r="TM1" s="243"/>
      <c r="TN1" s="243"/>
      <c r="TO1" s="243"/>
      <c r="TP1" s="243"/>
      <c r="TQ1" s="243"/>
      <c r="TR1" s="243"/>
      <c r="TS1" s="243"/>
      <c r="TT1" s="243"/>
      <c r="TU1" s="243"/>
      <c r="TV1" s="243"/>
      <c r="TW1" s="243"/>
      <c r="TX1" s="243"/>
      <c r="TY1" s="243"/>
      <c r="TZ1" s="243"/>
      <c r="UA1" s="1558" t="s">
        <v>4590</v>
      </c>
      <c r="UB1" s="1558"/>
      <c r="UC1" s="435"/>
      <c r="UD1" s="243"/>
      <c r="UE1" s="198" t="s">
        <v>5805</v>
      </c>
      <c r="UF1" s="243"/>
      <c r="UG1" s="243"/>
      <c r="UH1" s="248" t="s">
        <v>336</v>
      </c>
      <c r="UI1" s="243"/>
      <c r="UJ1" s="243"/>
      <c r="UK1" s="243"/>
      <c r="UL1" s="243"/>
      <c r="UM1" s="243"/>
      <c r="UN1" s="243"/>
      <c r="UO1" s="243"/>
      <c r="UP1" s="243"/>
      <c r="UQ1" s="243"/>
      <c r="UR1" s="243"/>
      <c r="US1" s="243"/>
      <c r="UT1" s="243"/>
      <c r="UU1" s="243"/>
      <c r="UV1" s="243"/>
      <c r="UW1" s="243"/>
      <c r="UX1" s="243"/>
      <c r="UY1" s="243"/>
      <c r="UZ1" s="243"/>
      <c r="VA1" s="243" t="s">
        <v>3719</v>
      </c>
      <c r="VB1" s="243"/>
      <c r="VC1" s="243"/>
      <c r="VD1" s="243"/>
      <c r="VE1" s="248" t="s">
        <v>336</v>
      </c>
      <c r="VF1" s="248"/>
      <c r="VG1" s="248"/>
      <c r="VH1" s="248"/>
      <c r="VI1" s="248"/>
      <c r="VJ1" s="248"/>
      <c r="VK1" s="248"/>
      <c r="VL1" s="248"/>
      <c r="VM1" s="248"/>
      <c r="VN1" s="243"/>
      <c r="VO1" s="243"/>
      <c r="VP1" s="252"/>
      <c r="VQ1" s="252"/>
      <c r="VR1" s="252"/>
      <c r="VS1" s="252"/>
      <c r="VT1" s="252"/>
      <c r="VU1" s="252"/>
      <c r="VV1" s="252"/>
      <c r="VX1" s="248"/>
      <c r="WA1" s="1558" t="s">
        <v>41</v>
      </c>
      <c r="WB1" s="1558"/>
      <c r="WC1" s="243"/>
      <c r="WD1" s="243"/>
      <c r="WE1" s="248" t="s">
        <v>336</v>
      </c>
      <c r="WX1" s="243"/>
      <c r="WY1" s="243"/>
      <c r="WZ1" s="243"/>
      <c r="XA1" s="1558" t="s">
        <v>342</v>
      </c>
      <c r="XB1" s="1558"/>
      <c r="XC1" s="243"/>
      <c r="XD1" s="243"/>
      <c r="XE1" s="1003" t="s">
        <v>336</v>
      </c>
      <c r="XF1" s="249"/>
      <c r="XG1" s="249"/>
      <c r="XH1" s="249"/>
      <c r="XI1" s="249"/>
      <c r="XJ1" s="249"/>
      <c r="XK1" s="249"/>
      <c r="XX1" s="243"/>
      <c r="XY1" s="243"/>
      <c r="XZ1" s="243"/>
      <c r="YA1" s="243" t="s">
        <v>202</v>
      </c>
      <c r="YC1" s="243"/>
      <c r="YD1" s="243"/>
      <c r="YE1" s="248" t="s">
        <v>336</v>
      </c>
      <c r="YF1" s="243"/>
      <c r="YG1" s="243"/>
      <c r="YH1" s="243"/>
      <c r="YI1" s="243"/>
      <c r="YJ1" s="243"/>
      <c r="YK1" s="243"/>
      <c r="YL1" s="243"/>
      <c r="YM1" s="243"/>
      <c r="YN1" s="243"/>
      <c r="YO1" s="243"/>
      <c r="YP1" s="243"/>
      <c r="YQ1" s="243"/>
      <c r="YR1" s="243"/>
      <c r="YS1" s="243"/>
      <c r="YT1" s="243"/>
      <c r="YU1" s="243"/>
      <c r="YV1" s="243"/>
      <c r="YW1" s="243"/>
      <c r="YX1" s="243"/>
      <c r="YY1" s="243"/>
      <c r="YZ1" s="243"/>
      <c r="ZA1" s="243"/>
      <c r="ZB1" s="1558" t="s">
        <v>205</v>
      </c>
      <c r="ZC1" s="1558"/>
      <c r="ZD1" s="243"/>
      <c r="ZE1" s="243"/>
      <c r="ZF1" s="248" t="s">
        <v>336</v>
      </c>
      <c r="ZG1" s="243"/>
      <c r="ZH1" s="243"/>
      <c r="ZI1" s="243"/>
      <c r="ZJ1" s="243"/>
      <c r="ZK1" s="243"/>
      <c r="ZL1" s="243"/>
      <c r="ZM1" s="243"/>
      <c r="ZN1" s="243"/>
      <c r="ZO1" s="243"/>
      <c r="ZP1" s="243"/>
      <c r="ZQ1" s="243"/>
      <c r="ZR1" s="243"/>
      <c r="ZS1" s="243"/>
      <c r="ZT1" s="243"/>
      <c r="ZU1" s="243"/>
      <c r="ZV1" s="243"/>
      <c r="ZW1" s="243"/>
      <c r="ZX1" s="243"/>
      <c r="ZY1" s="243"/>
      <c r="ZZ1" s="243"/>
      <c r="AAA1" s="243"/>
      <c r="AAB1" s="1558" t="s">
        <v>3730</v>
      </c>
      <c r="AAC1" s="1558"/>
      <c r="AAD1" s="243"/>
      <c r="AAE1" s="243"/>
      <c r="AAF1" s="248" t="s">
        <v>336</v>
      </c>
      <c r="AAG1" s="243"/>
      <c r="AAH1" s="243"/>
      <c r="AAI1" s="243"/>
      <c r="AAJ1" s="243"/>
      <c r="AAK1" s="243"/>
      <c r="AAL1" s="243"/>
      <c r="AAM1" s="243"/>
      <c r="AAN1" s="243"/>
      <c r="AAO1" s="243"/>
      <c r="AAP1" s="243"/>
      <c r="AAQ1" s="243"/>
      <c r="AAR1" s="243"/>
      <c r="AAS1" s="243"/>
      <c r="AAT1" s="243"/>
      <c r="AAU1" s="243"/>
      <c r="AAV1" s="243"/>
      <c r="AAW1" s="243"/>
      <c r="AAX1" s="243"/>
      <c r="AAY1" s="243"/>
      <c r="AAZ1" s="243"/>
      <c r="ABA1" s="243"/>
      <c r="ABB1" s="243" t="s">
        <v>42</v>
      </c>
      <c r="ABC1" s="243"/>
      <c r="ABD1" s="243"/>
      <c r="ABE1" s="243"/>
      <c r="ABF1" s="248" t="s">
        <v>336</v>
      </c>
      <c r="ACB1" s="243" t="s">
        <v>4868</v>
      </c>
      <c r="ACC1" s="243"/>
      <c r="ACD1" s="243"/>
      <c r="ACE1" s="243"/>
      <c r="ACF1" s="248" t="s">
        <v>336</v>
      </c>
      <c r="ACZ1" s="243"/>
      <c r="ADA1" s="243"/>
      <c r="ADB1" s="243" t="s">
        <v>4332</v>
      </c>
      <c r="ADC1" s="243"/>
      <c r="ADD1" s="243"/>
      <c r="ADE1" s="243"/>
      <c r="ADF1" s="248" t="s">
        <v>336</v>
      </c>
      <c r="ADG1" s="243"/>
      <c r="ADH1" s="243"/>
      <c r="ADI1" s="243"/>
      <c r="ADJ1" s="243"/>
      <c r="ADK1" s="243"/>
      <c r="ADL1" s="243"/>
      <c r="ADM1" s="243"/>
      <c r="ADN1" s="243"/>
      <c r="ADO1" s="243"/>
      <c r="ADP1" s="243"/>
      <c r="ADQ1" s="243"/>
      <c r="ADR1" s="243"/>
      <c r="ADS1" s="243"/>
      <c r="ADT1" s="243"/>
      <c r="ADU1" s="243"/>
      <c r="ADV1" s="243"/>
      <c r="ADW1" s="243"/>
      <c r="ADX1" s="243"/>
      <c r="ADY1" s="243"/>
      <c r="ADZ1" s="243"/>
      <c r="AEA1" s="243"/>
      <c r="AEB1" s="243" t="s">
        <v>4321</v>
      </c>
      <c r="AEC1" s="243"/>
      <c r="AED1" s="243"/>
      <c r="AEE1" s="243"/>
      <c r="AEF1" s="248" t="s">
        <v>336</v>
      </c>
      <c r="AEG1" s="249"/>
      <c r="AEH1" s="249"/>
      <c r="AEI1" s="249"/>
      <c r="AEJ1" s="249"/>
      <c r="AEK1" s="249"/>
      <c r="AEL1" s="249"/>
      <c r="AEM1" s="249"/>
      <c r="AEN1" s="249"/>
      <c r="AEO1" s="249"/>
      <c r="AEP1" s="249"/>
      <c r="AEQ1" s="249"/>
      <c r="AER1" s="249"/>
      <c r="AES1" s="249"/>
      <c r="AET1" s="249"/>
      <c r="AEU1" s="249"/>
      <c r="AEV1" s="249"/>
      <c r="AEW1" s="249"/>
      <c r="AEX1" s="249"/>
      <c r="AEY1" s="243"/>
      <c r="AEZ1" s="243"/>
      <c r="AFA1" s="243"/>
      <c r="AFB1" s="1558" t="s">
        <v>4354</v>
      </c>
      <c r="AFC1" s="1558"/>
      <c r="AFD1" s="243"/>
      <c r="AFE1" s="243"/>
      <c r="AFF1" s="248" t="s">
        <v>336</v>
      </c>
      <c r="AFG1" s="243"/>
      <c r="AFH1" s="243"/>
      <c r="AFI1" s="243"/>
      <c r="AFJ1" s="243"/>
      <c r="AFK1" s="243"/>
      <c r="AFL1" s="243"/>
      <c r="AFM1" s="243"/>
      <c r="AFN1" s="243"/>
      <c r="AFO1" s="243"/>
      <c r="AFP1" s="243"/>
      <c r="AFQ1" s="243"/>
      <c r="AFR1" s="243"/>
      <c r="AFS1" s="243"/>
      <c r="AFT1" s="243"/>
      <c r="AFU1" s="243"/>
      <c r="AFV1" s="243"/>
      <c r="AFW1" s="243"/>
      <c r="AFX1" s="243"/>
      <c r="AFY1" s="243"/>
      <c r="AFZ1" s="243"/>
      <c r="AGA1" s="243"/>
      <c r="AGB1" s="1558" t="s">
        <v>4364</v>
      </c>
      <c r="AGC1" s="1558"/>
      <c r="AGD1" s="243"/>
      <c r="AGE1" s="243"/>
      <c r="AGF1" s="248" t="s">
        <v>336</v>
      </c>
      <c r="AGG1" s="243"/>
      <c r="AGH1" s="243"/>
      <c r="AGI1" s="243"/>
      <c r="AGJ1" s="243"/>
      <c r="AGK1" s="243"/>
      <c r="AGL1" s="243"/>
      <c r="AGM1" s="243"/>
      <c r="AGN1" s="243"/>
      <c r="AGO1" s="243"/>
      <c r="AGP1" s="243"/>
      <c r="AGQ1" s="243"/>
      <c r="AGR1" s="243"/>
      <c r="AGS1" s="243"/>
      <c r="AGT1" s="243"/>
      <c r="AGU1" s="243"/>
      <c r="AGV1" s="243"/>
      <c r="AGW1" s="243"/>
      <c r="AGX1" s="243"/>
      <c r="AGY1" s="243"/>
      <c r="AGZ1" s="243"/>
      <c r="AHA1" s="243"/>
      <c r="AHB1" s="1558" t="s">
        <v>29</v>
      </c>
      <c r="AHC1" s="1558"/>
      <c r="AHD1" s="243"/>
      <c r="AHE1" s="243"/>
      <c r="AHF1" s="248" t="s">
        <v>336</v>
      </c>
      <c r="AHG1" s="243"/>
      <c r="AHH1" s="243"/>
      <c r="AHI1" s="243"/>
      <c r="AHJ1" s="243"/>
      <c r="AHK1" s="243"/>
      <c r="AHL1" s="243"/>
      <c r="AHM1" s="243"/>
      <c r="AHN1" s="243"/>
      <c r="AHO1" s="243"/>
      <c r="AHP1" s="243"/>
      <c r="AHQ1" s="243"/>
      <c r="AHR1" s="243"/>
      <c r="AHS1" s="243"/>
      <c r="AHT1" s="243"/>
      <c r="AHU1" s="243"/>
      <c r="AHV1" s="243"/>
      <c r="AHW1" s="243"/>
      <c r="AHX1" s="243"/>
      <c r="AHY1" s="243"/>
      <c r="AHZ1" s="243"/>
      <c r="AIA1" s="243"/>
      <c r="AIB1" s="243" t="s">
        <v>31</v>
      </c>
      <c r="AIC1" s="243"/>
      <c r="AID1" s="243"/>
      <c r="AIE1" s="243"/>
      <c r="AIF1" s="248" t="s">
        <v>336</v>
      </c>
      <c r="AIG1" s="243"/>
      <c r="AIH1" s="243"/>
      <c r="AII1" s="243"/>
      <c r="AIJ1" s="243"/>
      <c r="AIK1" s="243"/>
      <c r="AIL1" s="243"/>
      <c r="AIM1" s="243"/>
      <c r="AIN1" s="243"/>
      <c r="AIO1" s="243"/>
      <c r="AIP1" s="243"/>
      <c r="AIQ1" s="243"/>
      <c r="AIR1" s="243"/>
      <c r="AIS1" s="243"/>
      <c r="AIT1" s="243"/>
      <c r="AIU1" s="243"/>
      <c r="AIV1" s="243"/>
      <c r="AIW1" s="243"/>
      <c r="AIX1" s="243"/>
      <c r="AIY1" s="243"/>
      <c r="AIZ1" s="243"/>
      <c r="AJA1" s="243"/>
      <c r="AJB1" s="1558" t="s">
        <v>30</v>
      </c>
      <c r="AJC1" s="1558"/>
      <c r="AJD1" s="243"/>
      <c r="AJE1" s="243"/>
      <c r="AJF1" s="248" t="s">
        <v>336</v>
      </c>
      <c r="AJG1" s="243"/>
      <c r="AJH1" s="243"/>
      <c r="AJI1" s="243"/>
      <c r="AJJ1" s="243"/>
      <c r="AJK1" s="243"/>
      <c r="AJL1" s="243"/>
      <c r="AJM1" s="243"/>
      <c r="AJN1" s="243"/>
      <c r="AJO1" s="243"/>
      <c r="AJP1" s="243"/>
      <c r="AJQ1" s="243"/>
      <c r="AJR1" s="243"/>
      <c r="AJS1" s="243"/>
      <c r="AJT1" s="243"/>
      <c r="AJU1" s="243"/>
      <c r="AJV1" s="243"/>
      <c r="AJW1" s="243"/>
      <c r="AJX1" s="243"/>
      <c r="AJY1" s="243"/>
      <c r="AJZ1" s="243"/>
      <c r="AKA1" s="243"/>
      <c r="AKB1" s="243" t="s">
        <v>4020</v>
      </c>
      <c r="AKC1" s="243"/>
      <c r="AKD1" s="243"/>
      <c r="AKE1" s="243"/>
      <c r="AKF1" s="248" t="s">
        <v>336</v>
      </c>
      <c r="AKG1" s="243"/>
      <c r="AKH1" s="243"/>
      <c r="AKI1" s="243"/>
      <c r="AKJ1" s="243"/>
      <c r="AKK1" s="243"/>
      <c r="AKL1" s="243"/>
      <c r="AKM1" s="243"/>
      <c r="AKN1" s="243"/>
      <c r="AKO1" s="243"/>
      <c r="AKP1" s="243"/>
      <c r="AKR1" s="243"/>
      <c r="AKS1" s="243"/>
      <c r="AKT1" s="243"/>
      <c r="AKU1" s="243"/>
      <c r="AKV1" s="243"/>
      <c r="AKW1" s="243"/>
      <c r="AKX1" s="243"/>
      <c r="AKY1" s="243"/>
      <c r="AKZ1" s="243"/>
      <c r="ALA1" s="243"/>
      <c r="ALB1" s="243" t="s">
        <v>3722</v>
      </c>
      <c r="ALC1" s="243"/>
      <c r="ALD1" s="243"/>
      <c r="ALE1" s="243"/>
      <c r="ALF1" s="248" t="s">
        <v>336</v>
      </c>
      <c r="ALG1" s="243"/>
      <c r="ALH1" s="243"/>
      <c r="ALI1" s="243"/>
      <c r="ALJ1" s="243"/>
      <c r="ALK1" s="243"/>
      <c r="ALL1" s="243"/>
      <c r="ALM1" s="243"/>
      <c r="ALN1" s="243"/>
      <c r="ALO1" s="243"/>
      <c r="ALP1" s="243"/>
      <c r="ALQ1" s="243"/>
      <c r="ALR1" s="243"/>
      <c r="ALS1" s="243"/>
      <c r="ALT1" s="243"/>
      <c r="ALU1" s="243"/>
      <c r="ALV1" s="243"/>
      <c r="ALW1" s="243"/>
      <c r="ALX1" s="243"/>
      <c r="ALY1" s="243"/>
      <c r="ALZ1" s="243"/>
      <c r="AMA1" s="243"/>
      <c r="AMB1" s="243" t="s">
        <v>4037</v>
      </c>
      <c r="AMC1" s="243"/>
      <c r="AMD1" s="243"/>
      <c r="AME1" s="243"/>
      <c r="AMF1" s="248" t="s">
        <v>336</v>
      </c>
      <c r="AMG1" s="243"/>
      <c r="AMH1" s="243"/>
      <c r="AMI1" s="243"/>
      <c r="AMJ1" s="243"/>
      <c r="AMK1" s="243"/>
      <c r="AML1" s="243"/>
      <c r="AMM1" s="243"/>
      <c r="AMN1" s="243"/>
      <c r="AMO1" s="243"/>
      <c r="AMP1" s="243"/>
      <c r="AMQ1" s="243"/>
      <c r="AMR1" s="243"/>
      <c r="AMS1" s="243"/>
      <c r="AMT1" s="243"/>
      <c r="AMU1" s="243"/>
      <c r="AMV1" s="243"/>
      <c r="AMW1" s="243"/>
      <c r="AMX1" s="243"/>
      <c r="AMY1" s="243"/>
      <c r="ANA1" s="243"/>
      <c r="ANB1" s="243" t="s">
        <v>3725</v>
      </c>
      <c r="ANC1" s="243"/>
      <c r="AND1" s="243"/>
      <c r="ANE1" s="243"/>
      <c r="ANF1" s="248" t="s">
        <v>336</v>
      </c>
      <c r="ANG1" s="249"/>
      <c r="ANH1" s="249"/>
      <c r="ANI1" s="249"/>
      <c r="ANJ1" s="249"/>
      <c r="ANK1" s="249"/>
      <c r="ANL1" s="249"/>
      <c r="ANM1" s="249"/>
      <c r="ANN1" s="249"/>
      <c r="ANO1" s="249"/>
      <c r="ANP1" s="249"/>
      <c r="ANQ1" s="249"/>
      <c r="ANR1" s="249"/>
      <c r="ANS1" s="249"/>
      <c r="ANT1" s="249"/>
      <c r="ANU1" s="249"/>
      <c r="ANV1" s="249"/>
      <c r="ANW1" s="249"/>
      <c r="ANX1" s="249"/>
      <c r="ANY1" s="249"/>
      <c r="ANZ1" s="249"/>
      <c r="AOA1" s="2526"/>
      <c r="AOB1" s="2526"/>
      <c r="AOC1" s="2526"/>
      <c r="AOD1" s="2526"/>
      <c r="AOE1" s="1002"/>
      <c r="AOF1" s="1002"/>
      <c r="AOG1" s="249"/>
      <c r="AOH1" s="249"/>
      <c r="AOI1" s="249"/>
      <c r="AOJ1" s="249"/>
      <c r="AOK1" s="249"/>
      <c r="AOL1" s="249"/>
      <c r="AOM1" s="249"/>
      <c r="AON1" s="249"/>
      <c r="AOO1" s="249"/>
      <c r="AOP1" s="249"/>
      <c r="AOQ1" s="249"/>
      <c r="AOR1" s="249"/>
      <c r="AOS1" s="249"/>
      <c r="AOT1" s="249"/>
      <c r="AOU1" s="249"/>
      <c r="AOV1" s="249"/>
      <c r="AOW1" s="249"/>
      <c r="AOX1" s="249"/>
      <c r="AOY1" s="249"/>
      <c r="AOZ1" s="249"/>
      <c r="APA1" s="2526"/>
      <c r="APB1" s="2526"/>
      <c r="APC1" s="2526"/>
      <c r="APD1" s="2526"/>
      <c r="APE1" s="1002"/>
      <c r="APF1" s="2526"/>
      <c r="APG1" s="2526"/>
      <c r="APH1" s="2526"/>
      <c r="API1" s="243"/>
      <c r="APJ1" s="243"/>
      <c r="APK1" s="243"/>
      <c r="APL1" s="243"/>
      <c r="APM1" s="243"/>
      <c r="APN1" s="243"/>
      <c r="APO1" s="243"/>
      <c r="APP1" s="243"/>
      <c r="APQ1" s="243"/>
      <c r="APR1" s="243"/>
      <c r="APS1" s="243"/>
      <c r="APT1" s="243"/>
      <c r="APU1" s="243"/>
      <c r="APV1" s="243"/>
      <c r="APW1" s="243"/>
      <c r="APX1" s="243"/>
      <c r="APY1" s="243"/>
      <c r="APZ1" s="243"/>
      <c r="AQA1" s="1558" t="s">
        <v>4523</v>
      </c>
      <c r="AQB1" s="1558"/>
      <c r="AQC1" s="243"/>
      <c r="AQD1" s="243"/>
      <c r="AQE1" s="248" t="s">
        <v>336</v>
      </c>
      <c r="AQF1" s="243"/>
      <c r="AQG1" s="243"/>
      <c r="AQZ1" s="1219" t="s">
        <v>7739</v>
      </c>
      <c r="ARA1" s="393"/>
      <c r="ARB1" s="2480" t="s">
        <v>7740</v>
      </c>
      <c r="ARC1" s="1" t="s">
        <v>7741</v>
      </c>
      <c r="ARD1" s="248" t="s">
        <v>336</v>
      </c>
      <c r="ATA1" s="243" t="s">
        <v>4540</v>
      </c>
      <c r="ATB1" s="243" t="s">
        <v>7454</v>
      </c>
      <c r="ATC1" s="1447">
        <v>46213</v>
      </c>
      <c r="ATD1" s="243"/>
      <c r="ATE1" s="1003" t="s">
        <v>336</v>
      </c>
      <c r="ATF1" s="243"/>
      <c r="ATG1" s="243"/>
      <c r="AUA1" s="252" t="s">
        <v>7490</v>
      </c>
      <c r="AUB1" s="252"/>
      <c r="AUC1" s="243"/>
      <c r="AUD1" s="243"/>
      <c r="AUE1" s="248" t="s">
        <v>336</v>
      </c>
      <c r="AUF1" s="243"/>
      <c r="AUG1" s="243"/>
      <c r="AVA1" s="252" t="s">
        <v>6339</v>
      </c>
      <c r="AVB1" s="252"/>
      <c r="AVC1" s="243"/>
      <c r="AVD1" s="243"/>
      <c r="AVE1" s="248" t="s">
        <v>336</v>
      </c>
      <c r="AWA1" s="252"/>
      <c r="AWB1" s="252"/>
      <c r="AWC1" s="252"/>
      <c r="AWD1" s="252"/>
      <c r="AWE1" s="1002"/>
      <c r="AXA1" s="1553" t="s">
        <v>5400</v>
      </c>
      <c r="AXB1" s="1553"/>
      <c r="AXC1" s="991"/>
      <c r="AXD1" s="991"/>
      <c r="AXE1" s="940" t="s">
        <v>5804</v>
      </c>
      <c r="AXF1" s="243"/>
      <c r="AXG1" s="248" t="s">
        <v>336</v>
      </c>
      <c r="AYA1" s="1558" t="s">
        <v>4732</v>
      </c>
      <c r="AYB1" s="1558"/>
      <c r="AYE1" s="248" t="s">
        <v>336</v>
      </c>
      <c r="AYF1" s="243"/>
      <c r="AZA1" s="243" t="s">
        <v>3770</v>
      </c>
      <c r="AZB1" s="243"/>
      <c r="AZE1" s="248" t="s">
        <v>336</v>
      </c>
      <c r="BAA1" s="1558" t="s">
        <v>6668</v>
      </c>
      <c r="BAB1" s="1558"/>
      <c r="BAC1" s="312"/>
      <c r="BAD1" s="312"/>
      <c r="BAE1" s="248" t="s">
        <v>336</v>
      </c>
      <c r="BAF1" s="312"/>
      <c r="BAG1" s="312"/>
      <c r="BAH1" s="312"/>
      <c r="BAI1" s="312"/>
      <c r="BAJ1" s="312"/>
      <c r="BAK1" s="312"/>
      <c r="BAL1" s="312"/>
      <c r="BAM1" s="312"/>
      <c r="BAN1" s="312"/>
      <c r="BAO1" s="312"/>
      <c r="BAP1" s="312"/>
      <c r="BAQ1" s="312"/>
      <c r="BAR1" s="312"/>
      <c r="BAS1" s="312"/>
      <c r="BAT1" s="312"/>
      <c r="BAU1" s="312"/>
      <c r="BAV1" s="312"/>
      <c r="BAW1" s="312"/>
      <c r="BAX1" s="312"/>
      <c r="BAY1" s="312"/>
      <c r="BAZ1" s="312"/>
      <c r="BBA1" s="1558" t="s">
        <v>6680</v>
      </c>
      <c r="BBB1" s="1558"/>
      <c r="BBC1" s="312"/>
      <c r="BBD1" s="312"/>
      <c r="BBE1" s="248" t="s">
        <v>336</v>
      </c>
      <c r="BBF1" s="312"/>
      <c r="BBG1" s="312"/>
      <c r="BBH1" s="312"/>
      <c r="BBI1" s="312"/>
      <c r="BBJ1" s="312"/>
      <c r="BBK1" s="312"/>
      <c r="BBL1" s="312"/>
      <c r="BBM1" s="312"/>
      <c r="BBN1" s="312"/>
      <c r="BBO1" s="312"/>
      <c r="BBP1" s="312"/>
      <c r="BBQ1" s="312"/>
      <c r="BBR1" s="312"/>
      <c r="BBS1" s="312"/>
      <c r="BBT1" s="312"/>
      <c r="BBU1" s="312"/>
      <c r="BBV1" s="312"/>
      <c r="BBW1" s="312"/>
      <c r="BBX1" s="312"/>
      <c r="BBY1" s="312"/>
      <c r="BBZ1" s="312"/>
      <c r="BCA1" s="1558" t="s">
        <v>6778</v>
      </c>
      <c r="BCB1" s="1558"/>
      <c r="BCC1" s="1291" t="s">
        <v>6860</v>
      </c>
      <c r="BCE1" s="312"/>
      <c r="BCF1" s="312"/>
      <c r="BCG1" s="248" t="s">
        <v>336</v>
      </c>
      <c r="BCH1" s="312"/>
      <c r="BCI1" s="312"/>
      <c r="BCJ1" s="312"/>
      <c r="BCK1" s="312"/>
      <c r="BCL1" s="312"/>
      <c r="BCM1" s="312"/>
      <c r="BCN1" s="312"/>
      <c r="BCO1" s="312"/>
      <c r="BCP1" s="312"/>
      <c r="BCQ1" s="312"/>
      <c r="BCR1" s="312"/>
      <c r="BCS1" s="312"/>
      <c r="BCT1" s="312"/>
      <c r="BCU1" s="312"/>
      <c r="BCV1" s="312"/>
      <c r="BCW1" s="312"/>
      <c r="BCX1" s="312"/>
      <c r="BCY1" s="312"/>
      <c r="BCZ1" s="312"/>
      <c r="BDA1" s="312"/>
      <c r="BDB1" s="312"/>
      <c r="BDC1" s="312"/>
      <c r="BDD1" s="312"/>
      <c r="BDE1" s="243" t="s">
        <v>6696</v>
      </c>
      <c r="BDG1" s="1289" t="s">
        <v>6862</v>
      </c>
      <c r="BDH1" s="312"/>
      <c r="BDI1" s="312"/>
      <c r="BDJ1" s="248" t="s">
        <v>336</v>
      </c>
      <c r="BDK1" s="312"/>
      <c r="BDL1" s="312"/>
      <c r="BDM1" s="312"/>
      <c r="BDN1" s="312"/>
      <c r="BDO1" s="312"/>
      <c r="BDP1" s="312"/>
      <c r="BDQ1" s="312"/>
      <c r="BDR1" s="312"/>
      <c r="BDS1" s="312"/>
      <c r="BDT1" s="312"/>
      <c r="BDU1" s="312"/>
      <c r="BDV1" s="312"/>
      <c r="BDW1" s="312"/>
      <c r="BDX1" s="312"/>
      <c r="BDY1" s="312"/>
      <c r="BDZ1" s="312"/>
      <c r="BEA1" s="243" t="s">
        <v>6865</v>
      </c>
      <c r="BEB1" s="312"/>
      <c r="BEC1" s="312"/>
      <c r="BED1" s="312"/>
      <c r="BEE1" s="249" t="s">
        <v>336</v>
      </c>
      <c r="BEF1" s="129"/>
      <c r="BEG1" s="129"/>
      <c r="BEH1" s="312"/>
      <c r="BEI1" s="312"/>
      <c r="BEJ1" s="312"/>
      <c r="BEK1" s="312"/>
      <c r="BEL1" s="312"/>
      <c r="BEM1" s="312"/>
      <c r="BEN1" s="312"/>
      <c r="BEO1" s="312"/>
      <c r="BEP1" s="312"/>
      <c r="BEQ1" s="312"/>
      <c r="BER1" s="312"/>
      <c r="BES1" s="312"/>
      <c r="BET1" s="312"/>
      <c r="BEU1" s="312"/>
      <c r="BEV1" s="312"/>
      <c r="BEW1" s="312"/>
      <c r="BEX1" s="312"/>
      <c r="BEY1" s="312"/>
      <c r="BEZ1" s="312"/>
      <c r="BFA1" s="243" t="s">
        <v>6697</v>
      </c>
      <c r="BFE1" s="248" t="s">
        <v>336</v>
      </c>
      <c r="BGA1" s="243" t="s">
        <v>6762</v>
      </c>
      <c r="BGE1" s="248" t="s">
        <v>336</v>
      </c>
      <c r="BHA1" s="252" t="s">
        <v>6813</v>
      </c>
      <c r="BHB1" s="252"/>
      <c r="BHC1" s="243"/>
      <c r="BHD1" s="243"/>
      <c r="BHE1" s="248" t="s">
        <v>336</v>
      </c>
      <c r="BIA1" s="1553" t="s">
        <v>6806</v>
      </c>
      <c r="BIB1" s="1553"/>
      <c r="BIC1" s="991"/>
      <c r="BID1" s="991"/>
      <c r="BIE1" s="248" t="s">
        <v>336</v>
      </c>
      <c r="BJA1" s="252" t="s">
        <v>4745</v>
      </c>
      <c r="BJB1" s="252"/>
      <c r="BJE1" s="248" t="s">
        <v>336</v>
      </c>
      <c r="BKA1" s="252" t="s">
        <v>4744</v>
      </c>
      <c r="BKB1" s="252"/>
      <c r="BKE1" s="248" t="s">
        <v>336</v>
      </c>
      <c r="BLA1" s="1553" t="s">
        <v>5469</v>
      </c>
      <c r="BLB1" s="1553"/>
      <c r="BLE1" s="248" t="s">
        <v>336</v>
      </c>
      <c r="BMA1" s="1553" t="s">
        <v>5468</v>
      </c>
      <c r="BMB1" s="1553"/>
      <c r="BME1" s="248" t="s">
        <v>336</v>
      </c>
      <c r="BNA1" s="1553" t="s">
        <v>5470</v>
      </c>
      <c r="BNB1" s="1553"/>
      <c r="BNE1" s="248" t="s">
        <v>336</v>
      </c>
      <c r="BOA1" s="1553" t="s">
        <v>3744</v>
      </c>
      <c r="BOB1" s="1553"/>
      <c r="BOE1" s="248" t="s">
        <v>336</v>
      </c>
      <c r="BPA1" s="1553" t="s">
        <v>4013</v>
      </c>
      <c r="BPB1" s="1553"/>
      <c r="BPE1" s="248" t="s">
        <v>336</v>
      </c>
      <c r="BQA1" s="1553" t="s">
        <v>4980</v>
      </c>
      <c r="BQB1" s="1553"/>
      <c r="BQE1" s="248" t="s">
        <v>336</v>
      </c>
      <c r="BRA1" s="1553" t="s">
        <v>129</v>
      </c>
      <c r="BRB1" s="1553"/>
      <c r="BRE1" s="248" t="s">
        <v>336</v>
      </c>
      <c r="BWA1" s="252" t="s">
        <v>6340</v>
      </c>
      <c r="BWB1" s="252"/>
      <c r="BWD1" s="243"/>
      <c r="BWE1" s="248" t="s">
        <v>336</v>
      </c>
      <c r="BXA1" s="252" t="s">
        <v>6063</v>
      </c>
      <c r="BXB1" s="252"/>
      <c r="BXC1" s="243"/>
      <c r="BXD1" s="243"/>
      <c r="BXE1" s="248" t="s">
        <v>336</v>
      </c>
      <c r="BYA1" s="1219" t="s">
        <v>6562</v>
      </c>
      <c r="BYE1" s="248" t="s">
        <v>336</v>
      </c>
      <c r="DBA1" s="252" t="s">
        <v>6311</v>
      </c>
      <c r="DBB1" s="252"/>
      <c r="DBE1" s="248" t="s">
        <v>336</v>
      </c>
      <c r="DCA1" s="1219" t="s">
        <v>7122</v>
      </c>
      <c r="DCE1" s="248" t="s">
        <v>336</v>
      </c>
      <c r="DDA1" s="243" t="s">
        <v>7345</v>
      </c>
      <c r="DDB1" s="243"/>
      <c r="DDC1" s="243"/>
      <c r="DDD1" s="243"/>
      <c r="DDE1" s="248" t="s">
        <v>336</v>
      </c>
      <c r="DDF1" s="243"/>
    </row>
    <row r="2" spans="1:2814" ht="19.95" customHeight="1">
      <c r="YJ2" s="1736" t="s">
        <v>7597</v>
      </c>
      <c r="YK2" s="1736"/>
    </row>
    <row r="3" spans="1:2814" ht="18.600000000000001" thickBot="1">
      <c r="A3" s="1322" t="s">
        <v>457</v>
      </c>
      <c r="B3" s="1300" t="s">
        <v>345</v>
      </c>
      <c r="C3" s="1301" t="s">
        <v>122</v>
      </c>
      <c r="D3" s="1302" t="s">
        <v>346</v>
      </c>
      <c r="E3" s="1303" t="s">
        <v>347</v>
      </c>
      <c r="F3" s="1304" t="s">
        <v>233</v>
      </c>
      <c r="G3" s="1304" t="s">
        <v>6615</v>
      </c>
      <c r="H3" s="1304" t="s">
        <v>6616</v>
      </c>
      <c r="I3" s="1304" t="s">
        <v>6617</v>
      </c>
      <c r="J3" s="1304" t="s">
        <v>234</v>
      </c>
      <c r="K3" s="426"/>
      <c r="L3" s="426"/>
      <c r="M3" s="426"/>
      <c r="N3" s="426"/>
      <c r="O3" s="426"/>
      <c r="P3" s="426"/>
      <c r="Q3" s="426"/>
      <c r="R3" s="426"/>
      <c r="S3" s="426"/>
      <c r="T3" s="426"/>
      <c r="U3" s="426"/>
      <c r="V3" s="426"/>
      <c r="W3" s="426"/>
      <c r="AA3" s="153" t="s">
        <v>11</v>
      </c>
      <c r="AB3" s="1096"/>
      <c r="AC3" s="235" t="s">
        <v>4115</v>
      </c>
      <c r="AD3" s="115" t="s">
        <v>3802</v>
      </c>
      <c r="AE3" s="131" t="s">
        <v>348</v>
      </c>
      <c r="AF3" s="122"/>
      <c r="AG3" s="122"/>
      <c r="AH3" s="122"/>
      <c r="AI3" s="122"/>
      <c r="AJ3" s="122"/>
      <c r="AK3" s="122"/>
      <c r="AL3" s="122"/>
      <c r="AM3" s="122"/>
      <c r="AN3" s="122"/>
      <c r="AO3" s="122"/>
      <c r="AP3" s="122"/>
      <c r="AQ3" s="122"/>
      <c r="AR3" s="122"/>
      <c r="AS3" s="122"/>
      <c r="AT3" s="122"/>
      <c r="AU3" s="122"/>
      <c r="AV3" s="122"/>
      <c r="AW3" s="122"/>
      <c r="AX3" s="122"/>
      <c r="AY3" s="122"/>
      <c r="AZ3" s="122"/>
      <c r="BA3" s="1559" t="s">
        <v>39</v>
      </c>
      <c r="BB3" s="1560"/>
      <c r="BC3" s="137" t="s">
        <v>4115</v>
      </c>
      <c r="BD3" s="137" t="s">
        <v>4087</v>
      </c>
      <c r="BE3" s="137" t="s">
        <v>348</v>
      </c>
      <c r="BF3" s="122"/>
      <c r="BG3" s="122"/>
      <c r="BH3" s="122"/>
      <c r="BI3" s="122"/>
      <c r="BJ3" s="122"/>
      <c r="BK3" s="122"/>
      <c r="BL3" s="122"/>
      <c r="BM3" s="122"/>
      <c r="BN3" s="122"/>
      <c r="BO3" s="122"/>
      <c r="BP3" s="122"/>
      <c r="BQ3" s="122"/>
      <c r="BR3" s="122"/>
      <c r="BS3" s="122"/>
      <c r="BT3" s="122"/>
      <c r="BU3" s="122"/>
      <c r="BV3" s="122"/>
      <c r="BW3" s="122"/>
      <c r="BX3" s="122"/>
      <c r="BY3" s="122"/>
      <c r="BZ3" s="122"/>
      <c r="CA3" s="1554" t="s">
        <v>4587</v>
      </c>
      <c r="CB3" s="1555"/>
      <c r="CC3" s="137" t="s">
        <v>4116</v>
      </c>
      <c r="CD3" s="137" t="s">
        <v>3795</v>
      </c>
      <c r="CE3" s="137" t="s">
        <v>348</v>
      </c>
      <c r="CF3" s="122"/>
      <c r="CG3" s="122"/>
      <c r="CH3" s="122"/>
      <c r="CI3" s="122"/>
      <c r="CJ3" s="122"/>
      <c r="CK3" s="122"/>
      <c r="CL3" s="122"/>
      <c r="CM3" s="122"/>
      <c r="CN3" s="122"/>
      <c r="CO3" s="122"/>
      <c r="CP3" s="122"/>
      <c r="CQ3" s="122"/>
      <c r="CR3" s="122"/>
      <c r="CS3" s="122"/>
      <c r="CT3" s="122"/>
      <c r="CU3" s="122"/>
      <c r="CV3" s="122"/>
      <c r="CW3" s="122"/>
      <c r="CX3" s="122"/>
      <c r="CY3" s="122"/>
      <c r="CZ3" s="122"/>
      <c r="DA3" s="1554" t="s">
        <v>9</v>
      </c>
      <c r="DB3" s="1649"/>
      <c r="DC3" s="235" t="s">
        <v>4115</v>
      </c>
      <c r="DD3" s="115" t="s">
        <v>3797</v>
      </c>
      <c r="DE3" s="131" t="s">
        <v>348</v>
      </c>
      <c r="EA3" s="1654" t="str">
        <f>C52</f>
        <v>Salutation</v>
      </c>
      <c r="EB3" s="1654"/>
      <c r="EC3" s="235" t="s">
        <v>4115</v>
      </c>
      <c r="ED3" s="137" t="s">
        <v>4088</v>
      </c>
      <c r="EE3" s="131" t="s">
        <v>348</v>
      </c>
      <c r="FA3" s="1554" t="s">
        <v>6663</v>
      </c>
      <c r="FB3" s="1555"/>
      <c r="FC3" s="137" t="s">
        <v>4115</v>
      </c>
      <c r="FD3" s="137" t="s">
        <v>3791</v>
      </c>
      <c r="FE3" s="1655" t="s">
        <v>348</v>
      </c>
      <c r="FF3" s="1655"/>
      <c r="FG3" s="122"/>
      <c r="FH3" s="122"/>
      <c r="GA3" s="1554" t="s">
        <v>6901</v>
      </c>
      <c r="GB3" s="1555"/>
      <c r="GC3" s="137" t="s">
        <v>4115</v>
      </c>
      <c r="GD3" s="137" t="s">
        <v>3789</v>
      </c>
      <c r="GE3" s="1562" t="s">
        <v>348</v>
      </c>
      <c r="GF3" s="1563"/>
      <c r="HA3" s="1554" t="s">
        <v>4715</v>
      </c>
      <c r="HB3" s="1555"/>
      <c r="HC3" s="137" t="s">
        <v>4115</v>
      </c>
      <c r="HD3" s="137" t="s">
        <v>3790</v>
      </c>
      <c r="HE3" s="1562" t="s">
        <v>348</v>
      </c>
      <c r="HF3" s="1563"/>
      <c r="KA3" s="153" t="s">
        <v>34</v>
      </c>
      <c r="KB3" s="137"/>
      <c r="KC3" s="137" t="s">
        <v>4115</v>
      </c>
      <c r="KD3" s="137" t="s">
        <v>4085</v>
      </c>
      <c r="KE3" s="137" t="s">
        <v>348</v>
      </c>
      <c r="KF3" s="122"/>
      <c r="KG3" s="122"/>
      <c r="KH3" s="122"/>
      <c r="KI3" s="122"/>
      <c r="KJ3" s="122"/>
      <c r="KK3" s="122"/>
      <c r="KL3" s="122"/>
      <c r="KM3" s="122"/>
      <c r="KN3" s="122"/>
      <c r="KO3" s="122"/>
      <c r="KP3" s="122"/>
      <c r="KQ3" s="122"/>
      <c r="KR3" s="122"/>
      <c r="KS3" s="122"/>
      <c r="KT3" s="122"/>
      <c r="KU3" s="122"/>
      <c r="KV3" s="122"/>
      <c r="LA3" s="153" t="s">
        <v>17</v>
      </c>
      <c r="LB3" s="137"/>
      <c r="LC3" s="137" t="s">
        <v>4115</v>
      </c>
      <c r="LD3" s="137" t="s">
        <v>3810</v>
      </c>
      <c r="LE3" s="137" t="s">
        <v>348</v>
      </c>
      <c r="MA3" s="153" t="s">
        <v>4253</v>
      </c>
      <c r="MB3" s="235"/>
      <c r="MC3" s="137" t="s">
        <v>4115</v>
      </c>
      <c r="MD3" s="137" t="s">
        <v>3826</v>
      </c>
      <c r="ME3" s="137" t="s">
        <v>348</v>
      </c>
      <c r="NA3" s="153" t="s">
        <v>4254</v>
      </c>
      <c r="NB3" s="235"/>
      <c r="NC3" s="137" t="s">
        <v>4115</v>
      </c>
      <c r="ND3" s="137" t="s">
        <v>4083</v>
      </c>
      <c r="NE3" s="137" t="s">
        <v>348</v>
      </c>
      <c r="OA3" s="153" t="s">
        <v>25</v>
      </c>
      <c r="OB3" s="235"/>
      <c r="OC3" s="137" t="s">
        <v>4115</v>
      </c>
      <c r="OD3" s="137" t="s">
        <v>3825</v>
      </c>
      <c r="OE3" s="137" t="s">
        <v>348</v>
      </c>
      <c r="PA3" s="1554" t="s">
        <v>4182</v>
      </c>
      <c r="PB3" s="1555"/>
      <c r="PC3" s="137" t="s">
        <v>4115</v>
      </c>
      <c r="PD3" s="137" t="s">
        <v>4084</v>
      </c>
      <c r="PE3" s="137" t="s">
        <v>348</v>
      </c>
      <c r="PF3" s="122"/>
      <c r="PG3" s="122"/>
      <c r="PH3" s="122"/>
      <c r="PI3" s="122"/>
      <c r="PJ3" s="122"/>
      <c r="PK3" s="122"/>
      <c r="PL3" s="122"/>
      <c r="PM3" s="122"/>
      <c r="PN3" s="122"/>
      <c r="PO3" s="122"/>
      <c r="PP3" s="122"/>
      <c r="PQ3" s="122"/>
      <c r="PR3" s="122"/>
      <c r="PS3" s="122"/>
      <c r="PT3" s="122"/>
      <c r="PU3" s="122"/>
      <c r="PV3" s="122"/>
      <c r="PW3" s="122"/>
      <c r="PX3" s="122"/>
      <c r="PY3" s="122"/>
      <c r="PZ3" s="122"/>
      <c r="QA3" s="153" t="s">
        <v>4869</v>
      </c>
      <c r="QB3" s="235"/>
      <c r="QC3" s="137" t="s">
        <v>4115</v>
      </c>
      <c r="QD3" s="137" t="s">
        <v>4089</v>
      </c>
      <c r="QE3" s="137" t="s">
        <v>348</v>
      </c>
      <c r="QF3" s="122"/>
      <c r="QG3" s="122"/>
      <c r="QH3" s="122"/>
      <c r="QI3" s="122"/>
      <c r="QJ3" s="122"/>
      <c r="QK3" s="122"/>
      <c r="QL3" s="122"/>
      <c r="QM3" s="122"/>
      <c r="QN3" s="122"/>
      <c r="QO3" s="122"/>
      <c r="QP3" s="122"/>
      <c r="QQ3" s="122"/>
      <c r="QR3" s="122"/>
      <c r="QS3" s="122"/>
      <c r="QT3" s="122"/>
      <c r="QU3" s="122"/>
      <c r="QV3" s="122"/>
      <c r="QW3" s="122"/>
      <c r="QX3" s="122"/>
      <c r="QY3" s="122"/>
      <c r="QZ3" s="122"/>
      <c r="RA3" s="1559" t="s">
        <v>4589</v>
      </c>
      <c r="RB3" s="1560"/>
      <c r="RC3" s="137" t="s">
        <v>4115</v>
      </c>
      <c r="RD3" s="137" t="s">
        <v>3806</v>
      </c>
      <c r="RE3" s="153" t="s">
        <v>348</v>
      </c>
      <c r="RF3" s="122"/>
      <c r="RG3" s="122"/>
      <c r="RH3" s="122"/>
      <c r="RI3" s="122"/>
      <c r="RJ3" s="122"/>
      <c r="RK3" s="122"/>
      <c r="RL3" s="122"/>
      <c r="RM3" s="122"/>
      <c r="RN3" s="122"/>
      <c r="RO3" s="122"/>
      <c r="RP3" s="122"/>
      <c r="RQ3" s="122"/>
      <c r="RR3" s="122"/>
      <c r="RS3" s="122"/>
      <c r="RT3" s="122"/>
      <c r="RU3" s="122"/>
      <c r="RV3" s="122"/>
      <c r="RW3" s="122"/>
      <c r="RX3" s="122"/>
      <c r="RY3" s="122"/>
      <c r="RZ3" s="122"/>
      <c r="SA3" s="153" t="s">
        <v>349</v>
      </c>
      <c r="SB3" s="235"/>
      <c r="SC3" s="137" t="s">
        <v>4115</v>
      </c>
      <c r="SD3" s="137" t="s">
        <v>3811</v>
      </c>
      <c r="SE3" s="137" t="s">
        <v>348</v>
      </c>
      <c r="SF3" s="122"/>
      <c r="SG3" s="122"/>
      <c r="SH3" s="122"/>
      <c r="SI3" s="122"/>
      <c r="SJ3" s="122"/>
      <c r="SK3" s="122"/>
      <c r="SL3" s="122"/>
      <c r="SM3" s="122"/>
      <c r="SN3" s="122"/>
      <c r="SO3" s="122"/>
      <c r="SP3" s="122"/>
      <c r="SQ3" s="122"/>
      <c r="SR3" s="122"/>
      <c r="SS3" s="122"/>
      <c r="ST3" s="122"/>
      <c r="SU3" s="122"/>
      <c r="SV3" s="122"/>
      <c r="SW3" s="122"/>
      <c r="SX3" s="122"/>
      <c r="SY3" s="122"/>
      <c r="TA3" s="153" t="s">
        <v>20</v>
      </c>
      <c r="TB3" s="235"/>
      <c r="TC3" s="235"/>
      <c r="TD3" s="137" t="s">
        <v>4086</v>
      </c>
      <c r="TE3" s="137" t="s">
        <v>4115</v>
      </c>
      <c r="TF3" s="137" t="str">
        <f>D51</f>
        <v>A-51</v>
      </c>
      <c r="TG3" s="137" t="s">
        <v>348</v>
      </c>
      <c r="UA3" s="1554" t="s">
        <v>4590</v>
      </c>
      <c r="UB3" s="1555"/>
      <c r="UC3" s="137" t="s">
        <v>4115</v>
      </c>
      <c r="UD3" s="137" t="s">
        <v>3812</v>
      </c>
      <c r="UE3" s="1562" t="s">
        <v>348</v>
      </c>
      <c r="UF3" s="1563"/>
      <c r="UG3" s="1563"/>
      <c r="UH3" s="1563"/>
      <c r="VA3" s="1559" t="s">
        <v>3719</v>
      </c>
      <c r="VB3" s="1560"/>
      <c r="VC3" s="137" t="s">
        <v>4115</v>
      </c>
      <c r="VD3" s="137" t="s">
        <v>3803</v>
      </c>
      <c r="VE3" s="137" t="s">
        <v>348</v>
      </c>
      <c r="WA3" s="1554" t="s">
        <v>41</v>
      </c>
      <c r="WB3" s="1555"/>
      <c r="WC3" s="137" t="s">
        <v>4115</v>
      </c>
      <c r="WD3" s="137" t="s">
        <v>4091</v>
      </c>
      <c r="WE3" s="137" t="s">
        <v>348</v>
      </c>
      <c r="XA3" s="1554" t="s">
        <v>342</v>
      </c>
      <c r="XB3" s="1555"/>
      <c r="XC3" s="137" t="s">
        <v>4115</v>
      </c>
      <c r="XD3" s="137" t="s">
        <v>4131</v>
      </c>
      <c r="XE3" s="1562" t="s">
        <v>348</v>
      </c>
      <c r="XF3" s="1563"/>
      <c r="XG3" s="122"/>
      <c r="XH3" s="122"/>
      <c r="XI3" s="122"/>
      <c r="XJ3" s="122"/>
      <c r="XK3" s="122"/>
      <c r="YA3" s="137" t="s">
        <v>202</v>
      </c>
      <c r="YB3" s="137"/>
      <c r="YC3" s="137" t="s">
        <v>4115</v>
      </c>
      <c r="YD3" s="137" t="s">
        <v>4090</v>
      </c>
      <c r="YE3" s="1562" t="s">
        <v>348</v>
      </c>
      <c r="YF3" s="1563"/>
      <c r="ZB3" s="1554" t="s">
        <v>205</v>
      </c>
      <c r="ZC3" s="1555"/>
      <c r="ZD3" s="137" t="s">
        <v>4115</v>
      </c>
      <c r="ZE3" s="137" t="s">
        <v>3816</v>
      </c>
      <c r="ZF3" s="1556" t="s">
        <v>348</v>
      </c>
      <c r="ZG3" s="1557"/>
      <c r="AAB3" s="1554" t="s">
        <v>3730</v>
      </c>
      <c r="AAC3" s="1555"/>
      <c r="AAD3" s="137" t="s">
        <v>4115</v>
      </c>
      <c r="AAE3" s="137" t="s">
        <v>3817</v>
      </c>
      <c r="AAF3" s="137" t="s">
        <v>348</v>
      </c>
      <c r="ABB3" s="1554" t="s">
        <v>42</v>
      </c>
      <c r="ABC3" s="1555"/>
      <c r="ABD3" s="137" t="s">
        <v>4115</v>
      </c>
      <c r="ABE3" s="137" t="s">
        <v>4531</v>
      </c>
      <c r="ABF3" s="137" t="s">
        <v>348</v>
      </c>
      <c r="ACB3" s="1554" t="s">
        <v>15</v>
      </c>
      <c r="ACC3" s="1555"/>
      <c r="ACD3" s="137" t="s">
        <v>4115</v>
      </c>
      <c r="ACE3" s="137" t="s">
        <v>3808</v>
      </c>
      <c r="ACF3" s="137" t="s">
        <v>348</v>
      </c>
      <c r="ADB3" s="1554" t="s">
        <v>4332</v>
      </c>
      <c r="ADC3" s="1555"/>
      <c r="ADD3" s="137" t="s">
        <v>4115</v>
      </c>
      <c r="ADE3" s="137" t="s">
        <v>3804</v>
      </c>
      <c r="ADF3" s="137" t="s">
        <v>348</v>
      </c>
      <c r="AEB3" s="1554" t="s">
        <v>4321</v>
      </c>
      <c r="AEC3" s="1555"/>
      <c r="AED3" s="137" t="s">
        <v>4115</v>
      </c>
      <c r="AEE3" s="137" t="s">
        <v>3805</v>
      </c>
      <c r="AEF3" s="137" t="s">
        <v>348</v>
      </c>
      <c r="AEG3" s="122"/>
      <c r="AEH3" s="122"/>
      <c r="AEI3" s="122"/>
      <c r="AEJ3" s="122"/>
      <c r="AEK3" s="122"/>
      <c r="AEL3" s="122"/>
      <c r="AEM3" s="122"/>
      <c r="AEN3" s="122"/>
      <c r="AEO3" s="122"/>
      <c r="AEP3" s="122"/>
      <c r="AEQ3" s="122"/>
      <c r="AER3" s="122"/>
      <c r="AES3" s="122"/>
      <c r="AET3" s="122"/>
      <c r="AEU3" s="122"/>
      <c r="AEV3" s="122"/>
      <c r="AEW3" s="122"/>
      <c r="AEX3" s="122"/>
      <c r="AFB3" s="1554" t="s">
        <v>4354</v>
      </c>
      <c r="AFC3" s="1555"/>
      <c r="AFD3" s="137" t="s">
        <v>4115</v>
      </c>
      <c r="AFE3" s="137" t="s">
        <v>3827</v>
      </c>
      <c r="AFF3" s="137" t="s">
        <v>348</v>
      </c>
      <c r="AGB3" s="1554" t="s">
        <v>4364</v>
      </c>
      <c r="AGC3" s="1555"/>
      <c r="AGD3" s="137" t="s">
        <v>4115</v>
      </c>
      <c r="AGE3" s="137" t="s">
        <v>3828</v>
      </c>
      <c r="AGF3" s="137" t="s">
        <v>348</v>
      </c>
      <c r="AHB3" s="1554" t="s">
        <v>29</v>
      </c>
      <c r="AHC3" s="1555"/>
      <c r="AHD3" s="137" t="s">
        <v>4115</v>
      </c>
      <c r="AHE3" s="137" t="s">
        <v>4079</v>
      </c>
      <c r="AHF3" s="137" t="s">
        <v>348</v>
      </c>
      <c r="AIB3" s="1554" t="s">
        <v>31</v>
      </c>
      <c r="AIC3" s="1555"/>
      <c r="AID3" s="137" t="s">
        <v>4115</v>
      </c>
      <c r="AIE3" s="137" t="s">
        <v>4081</v>
      </c>
      <c r="AIF3" s="137" t="s">
        <v>348</v>
      </c>
      <c r="AJB3" s="1554" t="s">
        <v>30</v>
      </c>
      <c r="AJC3" s="1555"/>
      <c r="AJD3" s="137" t="s">
        <v>4115</v>
      </c>
      <c r="AJE3" s="137" t="s">
        <v>4080</v>
      </c>
      <c r="AJF3" s="137" t="s">
        <v>348</v>
      </c>
      <c r="AKB3" s="1554" t="s">
        <v>4020</v>
      </c>
      <c r="AKC3" s="1555"/>
      <c r="AKD3" s="137" t="s">
        <v>4115</v>
      </c>
      <c r="AKE3" s="137" t="s">
        <v>3829</v>
      </c>
      <c r="AKF3" s="137" t="s">
        <v>348</v>
      </c>
      <c r="ALB3" s="1554" t="s">
        <v>4020</v>
      </c>
      <c r="ALC3" s="1555"/>
      <c r="ALD3" s="137" t="s">
        <v>4115</v>
      </c>
      <c r="ALE3" s="137" t="s">
        <v>4038</v>
      </c>
      <c r="ALF3" s="137" t="s">
        <v>348</v>
      </c>
      <c r="AMB3" s="1554" t="s">
        <v>4037</v>
      </c>
      <c r="AMC3" s="1555"/>
      <c r="AMD3" s="137" t="s">
        <v>4115</v>
      </c>
      <c r="AME3" s="137" t="s">
        <v>4078</v>
      </c>
      <c r="AMF3" s="137" t="s">
        <v>348</v>
      </c>
      <c r="ANB3" s="1554" t="s">
        <v>3725</v>
      </c>
      <c r="ANC3" s="1555"/>
      <c r="AND3" s="137" t="s">
        <v>4115</v>
      </c>
      <c r="ANE3" s="427" t="s">
        <v>4082</v>
      </c>
      <c r="ANF3" s="137" t="s">
        <v>348</v>
      </c>
      <c r="ANG3" s="122"/>
      <c r="ANH3" s="122"/>
      <c r="ANI3" s="122"/>
      <c r="ANJ3" s="122"/>
      <c r="ANK3" s="122"/>
      <c r="ANL3" s="122"/>
      <c r="ANM3" s="122"/>
      <c r="ANN3" s="122"/>
      <c r="ANO3" s="122"/>
      <c r="ANP3" s="122"/>
      <c r="ANQ3" s="122"/>
      <c r="ANR3" s="122"/>
      <c r="ANS3" s="122"/>
      <c r="ANT3" s="122"/>
      <c r="ANU3" s="122"/>
      <c r="ANV3" s="122"/>
      <c r="ANW3" s="122"/>
      <c r="ANX3" s="122"/>
      <c r="ANY3" s="122"/>
      <c r="ANZ3" s="122"/>
      <c r="AOA3" s="2543"/>
      <c r="AOB3" s="2543"/>
      <c r="AOC3" s="2528"/>
      <c r="AOD3" s="2528"/>
      <c r="AOE3" s="2543"/>
      <c r="AOF3" s="2543"/>
      <c r="AOG3" s="1193"/>
      <c r="AOH3" s="122"/>
      <c r="AOI3" s="122"/>
      <c r="AOJ3" s="122"/>
      <c r="AOK3" s="122"/>
      <c r="AOL3" s="122"/>
      <c r="AOM3" s="122"/>
      <c r="AON3" s="122"/>
      <c r="AOO3" s="122"/>
      <c r="AOP3" s="122"/>
      <c r="AOQ3" s="122"/>
      <c r="AOR3" s="122"/>
      <c r="AOS3" s="122"/>
      <c r="AOT3" s="122"/>
      <c r="AOU3" s="122"/>
      <c r="AOV3" s="122"/>
      <c r="AOW3" s="122"/>
      <c r="AOX3" s="122"/>
      <c r="AOY3" s="122"/>
      <c r="AOZ3" s="122"/>
      <c r="APA3" s="2543"/>
      <c r="APB3" s="2543"/>
      <c r="APC3" s="2528"/>
      <c r="APD3" s="2528"/>
      <c r="APE3" s="2543"/>
      <c r="APF3" s="2543"/>
      <c r="APG3" s="2543"/>
      <c r="AQA3" s="1559" t="s">
        <v>4489</v>
      </c>
      <c r="AQB3" s="1560"/>
      <c r="AQC3" s="427" t="s">
        <v>4115</v>
      </c>
      <c r="AQD3" s="427" t="s">
        <v>3792</v>
      </c>
      <c r="AQE3" s="427" t="s">
        <v>348</v>
      </c>
      <c r="AQZ3" s="1554" t="s">
        <v>7739</v>
      </c>
      <c r="ARA3" s="1649"/>
      <c r="ARB3" s="427" t="s">
        <v>4115</v>
      </c>
      <c r="ARC3" s="427" t="s">
        <v>4626</v>
      </c>
      <c r="ARE3" s="1562" t="s">
        <v>348</v>
      </c>
      <c r="ARF3" s="1563"/>
      <c r="ATA3" s="1559" t="s">
        <v>4540</v>
      </c>
      <c r="ATB3" s="1560"/>
      <c r="ATC3" s="427" t="s">
        <v>4115</v>
      </c>
      <c r="ATD3" s="427" t="s">
        <v>3788</v>
      </c>
      <c r="ATE3" s="1655" t="s">
        <v>348</v>
      </c>
      <c r="ATF3" s="1655"/>
      <c r="ATG3" s="1655"/>
      <c r="ATH3" s="1655"/>
      <c r="AUA3" s="1636" t="s">
        <v>4533</v>
      </c>
      <c r="AUB3" s="1636"/>
      <c r="AUC3" s="427" t="s">
        <v>4115</v>
      </c>
      <c r="AUD3" s="427" t="s">
        <v>3796</v>
      </c>
      <c r="AUE3" s="427" t="s">
        <v>348</v>
      </c>
      <c r="AVA3" s="1677" t="s">
        <v>6339</v>
      </c>
      <c r="AVB3" s="1678"/>
      <c r="AVC3" s="427" t="s">
        <v>4115</v>
      </c>
      <c r="AVD3" s="427" t="s">
        <v>3766</v>
      </c>
      <c r="AVE3" s="1556" t="s">
        <v>348</v>
      </c>
      <c r="AVF3" s="1557"/>
      <c r="AWA3" s="252"/>
      <c r="AWB3" s="252"/>
      <c r="AWC3" s="122"/>
      <c r="AWD3" s="122"/>
      <c r="AWE3" s="122"/>
      <c r="AWF3" s="122"/>
      <c r="AXA3" s="1574" t="s">
        <v>5400</v>
      </c>
      <c r="AXB3" s="1575"/>
      <c r="AXC3" s="1029"/>
      <c r="AXD3" s="1029" t="s">
        <v>3794</v>
      </c>
      <c r="AXE3" s="427" t="s">
        <v>4115</v>
      </c>
      <c r="AXF3" s="427" t="s">
        <v>3793</v>
      </c>
      <c r="AXG3" s="1562" t="s">
        <v>348</v>
      </c>
      <c r="AXH3" s="1633"/>
      <c r="AYA3" s="1554" t="s">
        <v>344</v>
      </c>
      <c r="AYB3" s="1555"/>
      <c r="AYC3" s="427" t="s">
        <v>4115</v>
      </c>
      <c r="AYD3" s="427" t="s">
        <v>3818</v>
      </c>
      <c r="AYE3" s="427" t="s">
        <v>348</v>
      </c>
      <c r="AZA3" s="153" t="s">
        <v>344</v>
      </c>
      <c r="AZB3" s="235"/>
      <c r="AZC3" s="427" t="s">
        <v>4115</v>
      </c>
      <c r="AZD3" s="427" t="s">
        <v>3809</v>
      </c>
      <c r="AZE3" s="1562" t="s">
        <v>348</v>
      </c>
      <c r="AZF3" s="1563"/>
      <c r="BAA3" s="1554" t="s">
        <v>6326</v>
      </c>
      <c r="BAB3" s="1555"/>
      <c r="BAC3" s="427" t="s">
        <v>4115</v>
      </c>
      <c r="BAD3" s="427" t="s">
        <v>3824</v>
      </c>
      <c r="BAE3" s="1562" t="s">
        <v>348</v>
      </c>
      <c r="BAF3" s="1563"/>
      <c r="BBA3" s="1559" t="s">
        <v>4628</v>
      </c>
      <c r="BBB3" s="1560"/>
      <c r="BBC3" s="427" t="s">
        <v>4115</v>
      </c>
      <c r="BBD3" s="427" t="s">
        <v>3822</v>
      </c>
      <c r="BBE3" s="250" t="s">
        <v>348</v>
      </c>
      <c r="BBF3" s="115"/>
      <c r="BCA3" s="1554" t="s">
        <v>4629</v>
      </c>
      <c r="BCB3" s="1555"/>
      <c r="BCC3" s="1260"/>
      <c r="BCD3" s="1260"/>
      <c r="BCE3" s="427" t="s">
        <v>4115</v>
      </c>
      <c r="BCF3" s="427" t="s">
        <v>3819</v>
      </c>
      <c r="BCG3" s="1562" t="s">
        <v>348</v>
      </c>
      <c r="BCH3" s="1563"/>
      <c r="BDE3" s="153" t="s">
        <v>4630</v>
      </c>
      <c r="BDF3" s="235"/>
      <c r="BDG3" s="427" t="s">
        <v>4115</v>
      </c>
      <c r="BDH3" s="427"/>
      <c r="BDI3" s="427" t="s">
        <v>3821</v>
      </c>
      <c r="BDJ3" s="1562" t="s">
        <v>348</v>
      </c>
      <c r="BDK3" s="1563"/>
      <c r="BEA3" s="153" t="s">
        <v>4630</v>
      </c>
      <c r="BEB3" s="235"/>
      <c r="BEC3" s="427" t="s">
        <v>4115</v>
      </c>
      <c r="BED3" s="427" t="s">
        <v>3823</v>
      </c>
      <c r="BEE3" s="1562" t="s">
        <v>348</v>
      </c>
      <c r="BEF3" s="1563"/>
      <c r="BFA3" s="153" t="s">
        <v>4630</v>
      </c>
      <c r="BFB3" s="235"/>
      <c r="BFC3" s="427" t="s">
        <v>4115</v>
      </c>
      <c r="BFD3" s="427" t="s">
        <v>3820</v>
      </c>
      <c r="BFE3" s="1562" t="s">
        <v>348</v>
      </c>
      <c r="BFF3" s="1563"/>
      <c r="BFG3" s="1563"/>
      <c r="BFH3" s="1563"/>
      <c r="BFI3" s="1563"/>
      <c r="BGA3" s="153" t="s">
        <v>4630</v>
      </c>
      <c r="BGB3" s="235"/>
      <c r="BGC3" s="427" t="s">
        <v>4115</v>
      </c>
      <c r="BGD3" s="427" t="s">
        <v>3820</v>
      </c>
      <c r="BGE3" s="1562" t="s">
        <v>348</v>
      </c>
      <c r="BGF3" s="1563"/>
      <c r="BGG3" s="1563"/>
      <c r="BGH3" s="1563"/>
      <c r="BGI3" s="1563"/>
      <c r="BHA3" s="1574" t="s">
        <v>6813</v>
      </c>
      <c r="BHB3" s="1575"/>
      <c r="BHC3" s="427" t="s">
        <v>4115</v>
      </c>
      <c r="BHD3" s="427" t="s">
        <v>3800</v>
      </c>
      <c r="BHE3" s="982" t="s">
        <v>348</v>
      </c>
      <c r="BIA3" s="1561" t="s">
        <v>6806</v>
      </c>
      <c r="BIB3" s="1561"/>
      <c r="BIC3" s="137" t="s">
        <v>4115</v>
      </c>
      <c r="BID3" s="137" t="s">
        <v>3801</v>
      </c>
      <c r="BIE3" s="907" t="s">
        <v>348</v>
      </c>
      <c r="BJA3" s="1554" t="s">
        <v>4745</v>
      </c>
      <c r="BJB3" s="1555"/>
      <c r="BJC3" s="427" t="s">
        <v>4115</v>
      </c>
      <c r="BJD3" s="427" t="s">
        <v>3798</v>
      </c>
      <c r="BJE3" s="1556" t="s">
        <v>348</v>
      </c>
      <c r="BJF3" s="1557"/>
      <c r="BJG3" s="1557"/>
      <c r="BJH3" s="1557"/>
      <c r="BJI3" s="1557"/>
      <c r="BKA3" s="1554" t="s">
        <v>4744</v>
      </c>
      <c r="BKB3" s="1555"/>
      <c r="BKC3" s="427" t="s">
        <v>4115</v>
      </c>
      <c r="BKD3" s="427" t="s">
        <v>3799</v>
      </c>
      <c r="BKE3" s="1556" t="s">
        <v>348</v>
      </c>
      <c r="BKF3" s="1557"/>
      <c r="BKG3" s="1557"/>
      <c r="BKH3" s="1557"/>
      <c r="BKI3" s="1557"/>
      <c r="BLA3" s="1554" t="s">
        <v>5469</v>
      </c>
      <c r="BLB3" s="1555"/>
      <c r="BLC3" s="427" t="s">
        <v>4115</v>
      </c>
      <c r="BLD3" s="427" t="s">
        <v>3815</v>
      </c>
      <c r="BLE3" s="982" t="s">
        <v>348</v>
      </c>
      <c r="BMA3" s="1554" t="s">
        <v>5468</v>
      </c>
      <c r="BMB3" s="1555"/>
      <c r="BMC3" s="427" t="s">
        <v>4115</v>
      </c>
      <c r="BMD3" s="427" t="s">
        <v>3813</v>
      </c>
      <c r="BME3" s="1562" t="s">
        <v>348</v>
      </c>
      <c r="BMF3" s="1563"/>
      <c r="BNA3" s="1554" t="s">
        <v>5470</v>
      </c>
      <c r="BNB3" s="1555"/>
      <c r="BNC3" s="427" t="s">
        <v>4115</v>
      </c>
      <c r="BND3" s="427" t="s">
        <v>3814</v>
      </c>
      <c r="BNE3" s="1562" t="s">
        <v>348</v>
      </c>
      <c r="BNF3" s="1563"/>
      <c r="BOA3" s="1554" t="s">
        <v>3744</v>
      </c>
      <c r="BOB3" s="1555"/>
      <c r="BOC3" s="427" t="s">
        <v>4115</v>
      </c>
      <c r="BOD3" s="427" t="s">
        <v>4538</v>
      </c>
      <c r="BOE3" s="427" t="s">
        <v>234</v>
      </c>
      <c r="BPA3" s="1554" t="s">
        <v>4807</v>
      </c>
      <c r="BPB3" s="1555"/>
      <c r="BPC3" s="427" t="s">
        <v>4115</v>
      </c>
      <c r="BPD3" s="427" t="s">
        <v>4544</v>
      </c>
      <c r="BPE3" s="427" t="s">
        <v>234</v>
      </c>
      <c r="BQA3" s="1554" t="s">
        <v>4980</v>
      </c>
      <c r="BQB3" s="1555"/>
      <c r="BQC3" s="427" t="s">
        <v>4115</v>
      </c>
      <c r="BQD3" s="427" t="s">
        <v>4621</v>
      </c>
      <c r="BQE3" s="427" t="s">
        <v>234</v>
      </c>
      <c r="BRA3" s="1554" t="s">
        <v>129</v>
      </c>
      <c r="BRB3" s="1555"/>
      <c r="BRC3" s="427" t="s">
        <v>4115</v>
      </c>
      <c r="BRD3" s="427" t="s">
        <v>4578</v>
      </c>
      <c r="BRE3" s="427" t="s">
        <v>234</v>
      </c>
      <c r="BWA3" s="1636" t="s">
        <v>6339</v>
      </c>
      <c r="BWB3" s="1735"/>
      <c r="BWC3" s="427" t="s">
        <v>4115</v>
      </c>
      <c r="BWD3" s="427" t="s">
        <v>4625</v>
      </c>
      <c r="BXA3" s="1574" t="s">
        <v>6063</v>
      </c>
      <c r="BXB3" s="1575"/>
      <c r="BXC3" s="427" t="s">
        <v>4115</v>
      </c>
      <c r="BXD3" s="427" t="s">
        <v>4621</v>
      </c>
      <c r="BXE3" s="982" t="s">
        <v>348</v>
      </c>
      <c r="BYA3" s="153" t="s">
        <v>6562</v>
      </c>
      <c r="BYB3" s="235"/>
      <c r="BYC3" s="427" t="s">
        <v>4115</v>
      </c>
      <c r="BYD3" s="427" t="s">
        <v>4626</v>
      </c>
      <c r="BYE3" s="1562" t="s">
        <v>348</v>
      </c>
      <c r="BYF3" s="1563"/>
      <c r="BYG3" s="1563"/>
      <c r="DBA3" s="1009" t="s">
        <v>6311</v>
      </c>
      <c r="DBB3" s="427" t="s">
        <v>4115</v>
      </c>
      <c r="DBC3" s="427" t="s">
        <v>4627</v>
      </c>
      <c r="DBD3" s="115" t="s">
        <v>352</v>
      </c>
      <c r="DBE3" s="427" t="s">
        <v>234</v>
      </c>
      <c r="DCA3" s="153" t="s">
        <v>6562</v>
      </c>
      <c r="DCB3" s="235"/>
      <c r="DCC3" s="427" t="s">
        <v>4115</v>
      </c>
      <c r="DCD3" s="427" t="s">
        <v>7137</v>
      </c>
      <c r="DCE3" s="1562" t="s">
        <v>348</v>
      </c>
      <c r="DCF3" s="1563"/>
      <c r="DCG3" s="1563"/>
      <c r="DDA3" s="153" t="s">
        <v>7345</v>
      </c>
      <c r="DDB3" s="235"/>
      <c r="DDC3" s="427" t="s">
        <v>4115</v>
      </c>
      <c r="DDD3" s="427" t="s">
        <v>3807</v>
      </c>
    </row>
    <row r="4" spans="1:2814" ht="30" customHeight="1" thickBot="1">
      <c r="A4" s="1323" t="s">
        <v>3768</v>
      </c>
      <c r="B4" s="1305">
        <v>37</v>
      </c>
      <c r="C4" s="1306" t="s">
        <v>7122</v>
      </c>
      <c r="D4" s="317" t="s">
        <v>3823</v>
      </c>
      <c r="E4" s="2505" t="s">
        <v>7776</v>
      </c>
      <c r="F4" s="1311" t="s">
        <v>233</v>
      </c>
      <c r="G4" s="1316"/>
      <c r="H4" s="1316"/>
      <c r="I4" s="1316"/>
      <c r="J4" s="1316"/>
      <c r="K4" s="416"/>
      <c r="L4" s="2506">
        <f>MATCH(C4, $A$1:$DZG$1,0)</f>
        <v>2783</v>
      </c>
      <c r="M4" t="str">
        <f>SUBSTITUTE(ADDRESS(1, L4, 4), "1", "")</f>
        <v>DCA</v>
      </c>
      <c r="N4" s="416"/>
      <c r="O4" s="416"/>
      <c r="P4" s="416"/>
      <c r="Q4" s="416"/>
      <c r="R4" s="416"/>
      <c r="S4" s="416"/>
      <c r="T4" s="416"/>
      <c r="U4" s="416"/>
      <c r="V4" s="416"/>
      <c r="W4" s="416"/>
      <c r="X4" s="170"/>
      <c r="AA4" s="231" t="s">
        <v>350</v>
      </c>
      <c r="AB4" s="234" t="s">
        <v>351</v>
      </c>
      <c r="AC4" s="116"/>
      <c r="AD4" s="116" t="s">
        <v>352</v>
      </c>
      <c r="AE4" s="116"/>
      <c r="AF4" s="245"/>
      <c r="AG4" s="245"/>
      <c r="AH4" s="245"/>
      <c r="AI4" s="245"/>
      <c r="AJ4" s="245"/>
      <c r="AK4" s="245"/>
      <c r="AL4" s="245"/>
      <c r="AM4" s="245"/>
      <c r="AN4" s="245"/>
      <c r="AO4" s="245"/>
      <c r="AP4" s="245"/>
      <c r="AQ4" s="245"/>
      <c r="AR4" s="245"/>
      <c r="AS4" s="245"/>
      <c r="AT4" s="245"/>
      <c r="AU4" s="245"/>
      <c r="AV4" s="245"/>
      <c r="AW4" s="245"/>
      <c r="AX4" s="245"/>
      <c r="AY4" s="245"/>
      <c r="AZ4" s="245"/>
      <c r="BA4" s="6" t="s">
        <v>350</v>
      </c>
      <c r="BB4" s="429" t="s">
        <v>351</v>
      </c>
      <c r="BC4" s="1508" t="s">
        <v>4144</v>
      </c>
      <c r="BD4" s="52" t="s">
        <v>352</v>
      </c>
      <c r="BE4" s="52"/>
      <c r="BF4" s="245"/>
      <c r="BG4" s="245"/>
      <c r="BH4" s="245"/>
      <c r="BI4" s="245"/>
      <c r="BJ4" s="245"/>
      <c r="BK4" s="245"/>
      <c r="BL4" s="245"/>
      <c r="BM4" s="245"/>
      <c r="BN4" s="245"/>
      <c r="BO4" s="245"/>
      <c r="BP4" s="245"/>
      <c r="BQ4" s="245"/>
      <c r="BR4" s="245"/>
      <c r="BS4" s="245"/>
      <c r="BT4" s="245"/>
      <c r="BU4" s="245"/>
      <c r="BV4" s="245"/>
      <c r="BW4" s="245"/>
      <c r="BX4" s="245"/>
      <c r="BY4" s="245"/>
      <c r="BZ4" s="245"/>
      <c r="CA4" s="231" t="s">
        <v>350</v>
      </c>
      <c r="CB4" s="234" t="s">
        <v>351</v>
      </c>
      <c r="CC4" s="116"/>
      <c r="CD4" s="116" t="s">
        <v>352</v>
      </c>
      <c r="CE4" s="116"/>
      <c r="CF4" s="245"/>
      <c r="CG4" s="245"/>
      <c r="CH4" s="245"/>
      <c r="CI4" s="245"/>
      <c r="CJ4" s="245"/>
      <c r="CK4" s="245"/>
      <c r="CL4" s="245"/>
      <c r="CM4" s="245"/>
      <c r="CN4" s="245"/>
      <c r="CO4" s="245"/>
      <c r="CP4" s="245"/>
      <c r="CQ4" s="245"/>
      <c r="CR4" s="245"/>
      <c r="CS4" s="245"/>
      <c r="CT4" s="245"/>
      <c r="CU4" s="245"/>
      <c r="CV4" s="245"/>
      <c r="CW4" s="245"/>
      <c r="CX4" s="245"/>
      <c r="CY4" s="245"/>
      <c r="CZ4" s="245"/>
      <c r="DA4" s="231" t="s">
        <v>350</v>
      </c>
      <c r="DB4" s="234" t="s">
        <v>351</v>
      </c>
      <c r="DC4" s="116"/>
      <c r="DD4" s="116" t="s">
        <v>352</v>
      </c>
      <c r="DE4" s="116"/>
      <c r="EA4" s="231" t="s">
        <v>350</v>
      </c>
      <c r="EB4" s="234" t="s">
        <v>351</v>
      </c>
      <c r="EC4" s="116"/>
      <c r="ED4" s="116" t="s">
        <v>352</v>
      </c>
      <c r="EE4" s="116"/>
      <c r="FA4" s="6" t="s">
        <v>350</v>
      </c>
      <c r="FB4" s="429" t="s">
        <v>351</v>
      </c>
      <c r="FC4" s="52"/>
      <c r="FD4" s="52" t="s">
        <v>352</v>
      </c>
      <c r="FE4" s="1588"/>
      <c r="FF4" s="1589"/>
      <c r="FG4" s="245"/>
      <c r="FH4" s="245"/>
      <c r="GA4" s="6" t="s">
        <v>350</v>
      </c>
      <c r="GB4" s="429" t="s">
        <v>351</v>
      </c>
      <c r="GC4" s="52"/>
      <c r="GD4" s="52" t="s">
        <v>352</v>
      </c>
      <c r="GE4" s="1586"/>
      <c r="GF4" s="1587"/>
      <c r="HA4" s="6" t="s">
        <v>350</v>
      </c>
      <c r="HB4" s="429" t="s">
        <v>351</v>
      </c>
      <c r="HC4" s="52"/>
      <c r="HD4" s="430" t="s">
        <v>352</v>
      </c>
      <c r="HE4" s="245"/>
      <c r="KA4" s="231" t="s">
        <v>350</v>
      </c>
      <c r="KB4" s="234" t="s">
        <v>351</v>
      </c>
      <c r="KC4" s="116"/>
      <c r="KD4" s="116" t="s">
        <v>352</v>
      </c>
      <c r="KE4" s="116"/>
      <c r="KF4" s="245"/>
      <c r="KG4" s="245"/>
      <c r="KH4" s="245"/>
      <c r="KI4" s="245"/>
      <c r="KJ4" s="245"/>
      <c r="KK4" s="245"/>
      <c r="KL4" s="245"/>
      <c r="KM4" s="245"/>
      <c r="KN4" s="245"/>
      <c r="KO4" s="245"/>
      <c r="KP4" s="245"/>
      <c r="KQ4" s="245"/>
      <c r="KR4" s="245"/>
      <c r="KS4" s="245"/>
      <c r="KT4" s="245"/>
      <c r="KU4" s="245"/>
      <c r="KV4" s="245"/>
      <c r="LA4" s="231" t="s">
        <v>350</v>
      </c>
      <c r="LB4" s="234" t="s">
        <v>351</v>
      </c>
      <c r="LC4" s="116"/>
      <c r="LD4" s="116" t="s">
        <v>352</v>
      </c>
      <c r="LE4" s="116"/>
      <c r="MA4" s="231" t="s">
        <v>350</v>
      </c>
      <c r="MB4" s="234" t="s">
        <v>351</v>
      </c>
      <c r="MC4" s="116"/>
      <c r="MD4" s="116" t="s">
        <v>352</v>
      </c>
      <c r="ME4" s="116"/>
      <c r="NA4" s="231" t="s">
        <v>350</v>
      </c>
      <c r="NB4" s="234" t="s">
        <v>351</v>
      </c>
      <c r="NC4" s="116"/>
      <c r="ND4" s="116" t="s">
        <v>352</v>
      </c>
      <c r="NE4" s="116"/>
      <c r="OA4" s="231" t="s">
        <v>350</v>
      </c>
      <c r="OB4" s="234" t="s">
        <v>351</v>
      </c>
      <c r="OC4" s="116"/>
      <c r="OD4" s="116" t="s">
        <v>352</v>
      </c>
      <c r="OE4" s="116"/>
      <c r="PA4" s="231" t="s">
        <v>350</v>
      </c>
      <c r="PB4" s="234" t="s">
        <v>351</v>
      </c>
      <c r="PC4" s="245"/>
      <c r="PD4" s="116" t="s">
        <v>352</v>
      </c>
      <c r="PE4" s="245"/>
      <c r="PF4" s="245"/>
      <c r="PG4" s="245"/>
      <c r="PH4" s="245"/>
      <c r="PI4" s="245"/>
      <c r="PJ4" s="245"/>
      <c r="PK4" s="245"/>
      <c r="PL4" s="245"/>
      <c r="PM4" s="245"/>
      <c r="PN4" s="245"/>
      <c r="PO4" s="245"/>
      <c r="PP4" s="245"/>
      <c r="PQ4" s="245"/>
      <c r="PR4" s="245"/>
      <c r="PS4" s="245"/>
      <c r="PT4" s="245"/>
      <c r="PU4" s="245"/>
      <c r="PV4" s="245"/>
      <c r="PW4" s="245"/>
      <c r="PX4" s="245"/>
      <c r="PY4" s="245"/>
      <c r="PZ4" s="245"/>
      <c r="QA4" s="231" t="s">
        <v>350</v>
      </c>
      <c r="QB4" s="234" t="s">
        <v>351</v>
      </c>
      <c r="QC4" s="116"/>
      <c r="QD4" s="116" t="s">
        <v>352</v>
      </c>
      <c r="QE4" s="116"/>
      <c r="QF4" s="245"/>
      <c r="QG4" s="245"/>
      <c r="QH4" s="245"/>
      <c r="QI4" s="245"/>
      <c r="QJ4" s="245"/>
      <c r="QK4" s="245"/>
      <c r="QL4" s="245"/>
      <c r="QM4" s="245"/>
      <c r="QN4" s="245"/>
      <c r="QO4" s="245"/>
      <c r="QP4" s="245"/>
      <c r="QQ4" s="245"/>
      <c r="QR4" s="245"/>
      <c r="QS4" s="245"/>
      <c r="QT4" s="245"/>
      <c r="QU4" s="245"/>
      <c r="QV4" s="245"/>
      <c r="QW4" s="245"/>
      <c r="QX4" s="245"/>
      <c r="QY4" s="245"/>
      <c r="QZ4" s="245"/>
      <c r="RA4" s="231" t="s">
        <v>350</v>
      </c>
      <c r="RB4" s="234" t="s">
        <v>351</v>
      </c>
      <c r="RC4" s="116"/>
      <c r="RD4" s="116" t="s">
        <v>352</v>
      </c>
      <c r="RE4" s="116"/>
      <c r="RF4" s="245"/>
      <c r="RG4" s="245"/>
      <c r="RH4" s="245"/>
      <c r="RI4" s="245"/>
      <c r="RJ4" s="245"/>
      <c r="RK4" s="245"/>
      <c r="RL4" s="245"/>
      <c r="RM4" s="245"/>
      <c r="RN4" s="245"/>
      <c r="RO4" s="245"/>
      <c r="RP4" s="245"/>
      <c r="RQ4" s="245"/>
      <c r="RR4" s="245"/>
      <c r="RS4" s="245"/>
      <c r="RT4" s="245"/>
      <c r="RU4" s="245"/>
      <c r="RV4" s="245"/>
      <c r="RW4" s="245"/>
      <c r="RX4" s="245"/>
      <c r="RY4" s="245"/>
      <c r="RZ4" s="245"/>
      <c r="SA4" s="231" t="s">
        <v>350</v>
      </c>
      <c r="SB4" s="234" t="s">
        <v>351</v>
      </c>
      <c r="SC4" s="116"/>
      <c r="SD4" s="116" t="s">
        <v>4115</v>
      </c>
      <c r="SE4" s="116"/>
      <c r="SF4" s="245"/>
      <c r="SG4" s="245"/>
      <c r="SH4" s="245"/>
      <c r="SI4" s="245"/>
      <c r="SJ4" s="245"/>
      <c r="SK4" s="245"/>
      <c r="SL4" s="245"/>
      <c r="SM4" s="245"/>
      <c r="SN4" s="245"/>
      <c r="SO4" s="245"/>
      <c r="SP4" s="245"/>
      <c r="SQ4" s="245"/>
      <c r="SR4" s="245"/>
      <c r="SS4" s="245"/>
      <c r="ST4" s="245"/>
      <c r="SU4" s="245"/>
      <c r="SV4" s="245"/>
      <c r="SW4" s="245"/>
      <c r="SX4" s="245"/>
      <c r="SY4" s="245"/>
      <c r="TA4" s="231" t="s">
        <v>350</v>
      </c>
      <c r="TB4" s="234" t="s">
        <v>351</v>
      </c>
      <c r="TC4" s="255"/>
      <c r="TD4" s="116"/>
      <c r="TE4" s="116"/>
      <c r="TF4" s="116" t="s">
        <v>352</v>
      </c>
      <c r="UA4" s="231" t="s">
        <v>350</v>
      </c>
      <c r="UB4" s="234" t="s">
        <v>351</v>
      </c>
      <c r="UC4" s="116"/>
      <c r="UD4" s="116" t="s">
        <v>352</v>
      </c>
      <c r="UE4" s="245"/>
      <c r="VA4" s="231" t="s">
        <v>350</v>
      </c>
      <c r="VB4" s="234" t="s">
        <v>351</v>
      </c>
      <c r="VC4" s="116"/>
      <c r="VD4" s="116" t="s">
        <v>352</v>
      </c>
      <c r="VE4" s="116"/>
      <c r="WA4" s="231" t="s">
        <v>350</v>
      </c>
      <c r="WB4" s="234" t="s">
        <v>351</v>
      </c>
      <c r="WC4" s="116"/>
      <c r="WD4" s="116" t="s">
        <v>352</v>
      </c>
      <c r="WE4" s="116"/>
      <c r="XA4" s="231" t="s">
        <v>350</v>
      </c>
      <c r="XB4" s="234" t="s">
        <v>351</v>
      </c>
      <c r="XC4" s="116"/>
      <c r="XD4" s="116" t="s">
        <v>352</v>
      </c>
      <c r="XE4" s="1587"/>
      <c r="XF4" s="1587"/>
      <c r="XG4" s="245"/>
      <c r="XH4" s="245"/>
      <c r="XI4" s="245"/>
      <c r="XJ4" s="245"/>
      <c r="XK4" s="245"/>
      <c r="YA4" s="6" t="s">
        <v>350</v>
      </c>
      <c r="YB4" s="429" t="s">
        <v>351</v>
      </c>
      <c r="YC4" s="169"/>
      <c r="YD4" s="52" t="s">
        <v>352</v>
      </c>
      <c r="YE4" s="1586"/>
      <c r="YF4" s="1587"/>
      <c r="YJ4" s="346" t="s">
        <v>7595</v>
      </c>
      <c r="YK4" s="254" t="s">
        <v>5412</v>
      </c>
      <c r="YL4" s="1459"/>
      <c r="YM4" s="346" t="s">
        <v>7596</v>
      </c>
      <c r="YN4" s="254" t="s">
        <v>5412</v>
      </c>
      <c r="ZB4" s="231" t="s">
        <v>350</v>
      </c>
      <c r="ZC4" s="234" t="s">
        <v>351</v>
      </c>
      <c r="ZD4" s="116"/>
      <c r="ZE4" s="116" t="s">
        <v>352</v>
      </c>
      <c r="ZF4" s="1587"/>
      <c r="ZG4" s="1587"/>
      <c r="AAB4" s="231" t="s">
        <v>350</v>
      </c>
      <c r="AAC4" s="234" t="s">
        <v>351</v>
      </c>
      <c r="AAD4" s="116"/>
      <c r="AAE4" s="116" t="s">
        <v>352</v>
      </c>
      <c r="AAF4" s="1587"/>
      <c r="AAG4" s="1587"/>
      <c r="ABB4" s="231" t="s">
        <v>350</v>
      </c>
      <c r="ABC4" s="234" t="s">
        <v>351</v>
      </c>
      <c r="ABD4" s="116"/>
      <c r="ABE4" s="116" t="s">
        <v>352</v>
      </c>
      <c r="ABF4" s="116"/>
      <c r="ACB4" s="6" t="s">
        <v>350</v>
      </c>
      <c r="ACC4" s="429" t="s">
        <v>351</v>
      </c>
      <c r="ACD4" s="52"/>
      <c r="ACE4" s="52" t="s">
        <v>352</v>
      </c>
      <c r="ACF4" s="52"/>
      <c r="ADB4" s="231" t="s">
        <v>350</v>
      </c>
      <c r="ADC4" s="234" t="s">
        <v>351</v>
      </c>
      <c r="ADD4" s="52"/>
      <c r="ADE4" s="52" t="s">
        <v>352</v>
      </c>
      <c r="ADF4" s="52"/>
      <c r="AEB4" s="231" t="s">
        <v>350</v>
      </c>
      <c r="AEC4" s="234" t="s">
        <v>351</v>
      </c>
      <c r="AED4" s="116"/>
      <c r="AEE4" s="116" t="s">
        <v>352</v>
      </c>
      <c r="AEF4" s="116"/>
      <c r="AEG4" s="245"/>
      <c r="AEH4" s="245"/>
      <c r="AEI4" s="245"/>
      <c r="AEJ4" s="245"/>
      <c r="AEK4" s="245"/>
      <c r="AEL4" s="245"/>
      <c r="AEM4" s="245"/>
      <c r="AEN4" s="245"/>
      <c r="AEO4" s="245"/>
      <c r="AEP4" s="245"/>
      <c r="AEQ4" s="245"/>
      <c r="AER4" s="245"/>
      <c r="AES4" s="245"/>
      <c r="AET4" s="245"/>
      <c r="AEU4" s="245"/>
      <c r="AEV4" s="245"/>
      <c r="AEW4" s="245"/>
      <c r="AEX4" s="245"/>
      <c r="AFB4" s="231" t="s">
        <v>350</v>
      </c>
      <c r="AFC4" s="234" t="s">
        <v>351</v>
      </c>
      <c r="AFD4" s="116"/>
      <c r="AFE4" s="116" t="s">
        <v>352</v>
      </c>
      <c r="AFF4" s="116"/>
      <c r="AGB4" s="231" t="s">
        <v>350</v>
      </c>
      <c r="AGC4" s="234" t="s">
        <v>351</v>
      </c>
      <c r="AGD4" s="116"/>
      <c r="AGE4" s="116" t="s">
        <v>352</v>
      </c>
      <c r="AGF4" s="116"/>
      <c r="AHB4" s="6" t="s">
        <v>350</v>
      </c>
      <c r="AHC4" s="429" t="s">
        <v>351</v>
      </c>
      <c r="AHD4" s="52"/>
      <c r="AHE4" s="52" t="s">
        <v>352</v>
      </c>
      <c r="AHF4" s="52"/>
      <c r="AIB4" s="231" t="s">
        <v>350</v>
      </c>
      <c r="AIC4" s="234" t="s">
        <v>351</v>
      </c>
      <c r="AID4" s="116"/>
      <c r="AIE4" s="116" t="s">
        <v>352</v>
      </c>
      <c r="AIF4" s="116"/>
      <c r="AJB4" s="231" t="s">
        <v>350</v>
      </c>
      <c r="AJC4" s="234" t="s">
        <v>351</v>
      </c>
      <c r="AJD4" s="116"/>
      <c r="AJE4" s="116" t="s">
        <v>352</v>
      </c>
      <c r="AJF4" s="116"/>
      <c r="AKB4" s="231" t="s">
        <v>350</v>
      </c>
      <c r="AKC4" s="234" t="s">
        <v>351</v>
      </c>
      <c r="AKD4" s="116"/>
      <c r="AKE4" s="116" t="s">
        <v>352</v>
      </c>
      <c r="AKF4" s="116"/>
      <c r="ALB4" s="231" t="s">
        <v>350</v>
      </c>
      <c r="ALC4" s="234" t="s">
        <v>351</v>
      </c>
      <c r="ALD4" s="116"/>
      <c r="ALE4" s="116" t="s">
        <v>352</v>
      </c>
      <c r="ALF4" s="116"/>
      <c r="AMB4" s="231" t="s">
        <v>350</v>
      </c>
      <c r="AMC4" s="234" t="s">
        <v>351</v>
      </c>
      <c r="AMD4" s="116"/>
      <c r="AME4" s="116" t="s">
        <v>352</v>
      </c>
      <c r="AMF4" s="116"/>
      <c r="ANB4" s="231" t="s">
        <v>350</v>
      </c>
      <c r="ANC4" s="234" t="s">
        <v>351</v>
      </c>
      <c r="AND4" s="116"/>
      <c r="ANE4" s="116" t="s">
        <v>352</v>
      </c>
      <c r="ANF4" s="116"/>
      <c r="ANG4" s="245"/>
      <c r="ANH4" s="245"/>
      <c r="ANI4" s="245"/>
      <c r="ANJ4" s="245"/>
      <c r="ANK4" s="245"/>
      <c r="ANL4" s="245"/>
      <c r="ANM4" s="245"/>
      <c r="ANN4" s="245"/>
      <c r="ANO4" s="245"/>
      <c r="ANP4" s="245"/>
      <c r="ANQ4" s="245"/>
      <c r="ANR4" s="245"/>
      <c r="ANS4" s="245"/>
      <c r="ANT4" s="245"/>
      <c r="ANU4" s="245"/>
      <c r="ANV4" s="245"/>
      <c r="ANW4" s="245"/>
      <c r="ANX4" s="245"/>
      <c r="ANY4" s="245"/>
      <c r="ANZ4" s="245"/>
      <c r="AOA4" s="2529"/>
      <c r="AOB4" s="2530"/>
      <c r="AOC4" s="2531"/>
      <c r="AOD4" s="2531"/>
      <c r="AOE4" s="2545"/>
      <c r="AOF4" s="2545"/>
      <c r="AOG4" s="1021"/>
      <c r="AOH4" s="245"/>
      <c r="AOI4" s="245"/>
      <c r="AOJ4" s="245"/>
      <c r="AOK4" s="245"/>
      <c r="AOL4" s="245"/>
      <c r="AOM4" s="245"/>
      <c r="AON4" s="245"/>
      <c r="AOO4" s="245"/>
      <c r="AOP4" s="245"/>
      <c r="AOQ4" s="245"/>
      <c r="AOR4" s="245"/>
      <c r="AOS4" s="245"/>
      <c r="AOT4" s="245"/>
      <c r="AOU4" s="245"/>
      <c r="AOV4" s="245"/>
      <c r="AOW4" s="245"/>
      <c r="AOX4" s="245"/>
      <c r="AOY4" s="245"/>
      <c r="AOZ4" s="245"/>
      <c r="APA4" s="2529"/>
      <c r="APB4" s="2530"/>
      <c r="APC4" s="2531"/>
      <c r="APD4" s="2531"/>
      <c r="APE4" s="2545"/>
      <c r="APF4" s="2545"/>
      <c r="APG4" s="2545"/>
      <c r="AQA4" s="6" t="s">
        <v>350</v>
      </c>
      <c r="AQB4" s="429" t="s">
        <v>351</v>
      </c>
      <c r="AQC4" s="430"/>
      <c r="AQD4" s="52" t="s">
        <v>352</v>
      </c>
      <c r="AQE4" s="52"/>
      <c r="AQZ4" s="6" t="s">
        <v>350</v>
      </c>
      <c r="ARA4" s="1491" t="s">
        <v>351</v>
      </c>
      <c r="ARB4" s="1491"/>
      <c r="ARC4" s="10"/>
      <c r="ARD4" s="1018" t="s">
        <v>352</v>
      </c>
      <c r="ARE4" s="1255"/>
      <c r="ARF4" s="245"/>
      <c r="ATA4" s="6" t="s">
        <v>350</v>
      </c>
      <c r="ATB4" s="429" t="s">
        <v>351</v>
      </c>
      <c r="ATC4" s="417"/>
      <c r="ATD4" s="52" t="s">
        <v>352</v>
      </c>
      <c r="ATE4" s="1685"/>
      <c r="ATF4" s="1685"/>
      <c r="ATG4" s="1685"/>
      <c r="ATH4" s="1685"/>
      <c r="AUA4" s="6" t="s">
        <v>350</v>
      </c>
      <c r="AUB4" s="429" t="s">
        <v>351</v>
      </c>
      <c r="AUC4" s="417"/>
      <c r="AUD4" s="52" t="s">
        <v>352</v>
      </c>
      <c r="AUE4" s="52"/>
      <c r="AVA4" s="6" t="s">
        <v>350</v>
      </c>
      <c r="AVB4" s="429" t="s">
        <v>351</v>
      </c>
      <c r="AVC4" s="52"/>
      <c r="AVD4" s="52" t="s">
        <v>352</v>
      </c>
      <c r="AVE4" s="1685"/>
      <c r="AVF4" s="1685"/>
      <c r="AWA4" s="4"/>
      <c r="AWB4" s="1021"/>
      <c r="AWC4" s="245"/>
      <c r="AWD4" s="245"/>
      <c r="AWE4" s="245"/>
      <c r="AWF4" s="245"/>
      <c r="AXA4" s="6" t="s">
        <v>350</v>
      </c>
      <c r="AXB4" s="429" t="s">
        <v>351</v>
      </c>
      <c r="AXC4" s="1030"/>
      <c r="AXD4" s="1541" t="s">
        <v>5418</v>
      </c>
      <c r="AXE4" s="1511" t="s">
        <v>5411</v>
      </c>
      <c r="AXF4" s="1018" t="s">
        <v>352</v>
      </c>
      <c r="AXG4" s="1586"/>
      <c r="AXH4" s="1634"/>
      <c r="AYA4" s="6" t="s">
        <v>350</v>
      </c>
      <c r="AYB4" s="429" t="s">
        <v>351</v>
      </c>
      <c r="AYC4" s="417"/>
      <c r="AYD4" s="52" t="s">
        <v>352</v>
      </c>
      <c r="AYE4" s="52"/>
      <c r="AZA4" s="6" t="s">
        <v>350</v>
      </c>
      <c r="AZB4" s="429" t="s">
        <v>351</v>
      </c>
      <c r="AZC4" s="417"/>
      <c r="AZD4" s="52" t="s">
        <v>352</v>
      </c>
      <c r="AZE4" s="1586"/>
      <c r="AZF4" s="1587"/>
      <c r="BAA4" s="6" t="s">
        <v>350</v>
      </c>
      <c r="BAB4" s="429" t="s">
        <v>351</v>
      </c>
      <c r="BAC4" s="417"/>
      <c r="BAD4" s="52" t="s">
        <v>352</v>
      </c>
      <c r="BAE4" s="1586"/>
      <c r="BAF4" s="1587"/>
      <c r="BBA4" s="6" t="s">
        <v>350</v>
      </c>
      <c r="BBB4" s="429" t="s">
        <v>351</v>
      </c>
      <c r="BBC4" s="417"/>
      <c r="BBD4" s="52" t="s">
        <v>352</v>
      </c>
      <c r="BBE4" s="1255"/>
      <c r="BBF4" s="245"/>
      <c r="BCA4" s="6" t="s">
        <v>350</v>
      </c>
      <c r="BCB4" s="429" t="s">
        <v>351</v>
      </c>
      <c r="BCC4" s="1261"/>
      <c r="BCD4" s="1261"/>
      <c r="BCE4" s="417"/>
      <c r="BCF4" s="52" t="s">
        <v>352</v>
      </c>
      <c r="BCG4" s="1665" t="s">
        <v>6753</v>
      </c>
      <c r="BCH4" s="1666"/>
      <c r="BDE4" s="6" t="s">
        <v>350</v>
      </c>
      <c r="BDF4" s="429" t="s">
        <v>351</v>
      </c>
      <c r="BDG4" s="417"/>
      <c r="BDH4" s="417"/>
      <c r="BDI4" s="52" t="s">
        <v>352</v>
      </c>
      <c r="BDJ4" s="1665" t="s">
        <v>6754</v>
      </c>
      <c r="BDK4" s="1666"/>
      <c r="BEA4" s="6" t="s">
        <v>350</v>
      </c>
      <c r="BEB4" s="429" t="s">
        <v>351</v>
      </c>
      <c r="BEC4" s="417"/>
      <c r="BED4" s="52" t="s">
        <v>352</v>
      </c>
      <c r="BEE4" s="1586"/>
      <c r="BEF4" s="1587"/>
      <c r="BFA4" s="6" t="s">
        <v>350</v>
      </c>
      <c r="BFB4" s="429" t="s">
        <v>351</v>
      </c>
      <c r="BFC4" s="52"/>
      <c r="BFD4" s="52" t="s">
        <v>352</v>
      </c>
      <c r="BFE4" s="1572" t="s">
        <v>6698</v>
      </c>
      <c r="BFF4" s="1572"/>
      <c r="BFG4" s="1572"/>
      <c r="BFH4" s="1572"/>
      <c r="BFI4" s="1572"/>
      <c r="BGA4" s="6" t="s">
        <v>350</v>
      </c>
      <c r="BGB4" s="429" t="s">
        <v>351</v>
      </c>
      <c r="BGC4" s="52"/>
      <c r="BGD4" s="52" t="s">
        <v>352</v>
      </c>
      <c r="BGE4" s="1572" t="s">
        <v>6698</v>
      </c>
      <c r="BGF4" s="1572"/>
      <c r="BGG4" s="1572"/>
      <c r="BGH4" s="1572"/>
      <c r="BGI4" s="1572"/>
      <c r="BHA4" s="6" t="s">
        <v>350</v>
      </c>
      <c r="BHB4" s="429" t="s">
        <v>351</v>
      </c>
      <c r="BHC4" s="430"/>
      <c r="BHD4" s="52" t="s">
        <v>352</v>
      </c>
      <c r="BHE4" s="995"/>
      <c r="BIA4" s="6" t="s">
        <v>350</v>
      </c>
      <c r="BIB4" s="429" t="s">
        <v>351</v>
      </c>
      <c r="BIC4" s="52"/>
      <c r="BID4" s="52" t="s">
        <v>352</v>
      </c>
      <c r="BIE4" s="429"/>
      <c r="BJA4" s="6" t="s">
        <v>350</v>
      </c>
      <c r="BJB4" s="429" t="s">
        <v>351</v>
      </c>
      <c r="BJC4" s="417"/>
      <c r="BJD4" s="52" t="s">
        <v>352</v>
      </c>
      <c r="BJE4" s="1586"/>
      <c r="BJF4" s="1587"/>
      <c r="BJG4" s="1587"/>
      <c r="BJH4" s="1587"/>
      <c r="BJI4" s="1587"/>
      <c r="BKA4" s="6" t="s">
        <v>350</v>
      </c>
      <c r="BKB4" s="429" t="s">
        <v>351</v>
      </c>
      <c r="BKC4" s="417"/>
      <c r="BKD4" s="52" t="s">
        <v>352</v>
      </c>
      <c r="BKE4" s="1586"/>
      <c r="BKF4" s="1587"/>
      <c r="BKG4" s="1587"/>
      <c r="BKH4" s="1587"/>
      <c r="BKI4" s="1587"/>
      <c r="BLA4" s="6" t="s">
        <v>350</v>
      </c>
      <c r="BLB4" s="429" t="s">
        <v>351</v>
      </c>
      <c r="BLC4" s="417"/>
      <c r="BLD4" s="52" t="s">
        <v>352</v>
      </c>
      <c r="BLE4" s="995"/>
      <c r="BMA4" s="6" t="s">
        <v>350</v>
      </c>
      <c r="BMB4" s="429" t="s">
        <v>351</v>
      </c>
      <c r="BMC4" s="417"/>
      <c r="BMD4" s="52" t="s">
        <v>352</v>
      </c>
      <c r="BME4" s="1566"/>
      <c r="BMF4" s="1567"/>
      <c r="BNA4" s="6" t="s">
        <v>350</v>
      </c>
      <c r="BNB4" s="429" t="s">
        <v>351</v>
      </c>
      <c r="BNC4" s="417"/>
      <c r="BND4" s="52"/>
      <c r="BNE4" s="1566"/>
      <c r="BNF4" s="1567"/>
      <c r="BOA4" s="6" t="s">
        <v>350</v>
      </c>
      <c r="BOB4" s="429" t="s">
        <v>351</v>
      </c>
      <c r="BOC4" s="417"/>
      <c r="BOD4" s="52" t="s">
        <v>352</v>
      </c>
      <c r="BPA4" s="6" t="s">
        <v>350</v>
      </c>
      <c r="BPB4" s="429" t="s">
        <v>351</v>
      </c>
      <c r="BPC4" s="417"/>
      <c r="BPD4" s="52" t="s">
        <v>352</v>
      </c>
      <c r="BQA4" s="6" t="s">
        <v>350</v>
      </c>
      <c r="BQB4" s="429" t="s">
        <v>351</v>
      </c>
      <c r="BQC4" s="417"/>
      <c r="BQD4" s="52" t="s">
        <v>352</v>
      </c>
      <c r="BRA4" s="6" t="s">
        <v>350</v>
      </c>
      <c r="BRB4" s="429" t="s">
        <v>351</v>
      </c>
      <c r="BRC4" s="417"/>
      <c r="BRD4" s="52" t="s">
        <v>352</v>
      </c>
      <c r="BWA4" s="137" t="s">
        <v>350</v>
      </c>
      <c r="BWB4" s="427"/>
      <c r="BWC4" s="427"/>
      <c r="BWD4" s="427"/>
      <c r="BWJ4" s="137" t="s">
        <v>352</v>
      </c>
      <c r="BWK4" s="1156" t="s">
        <v>348</v>
      </c>
      <c r="BXA4" s="6" t="s">
        <v>350</v>
      </c>
      <c r="BXB4" s="429" t="s">
        <v>351</v>
      </c>
      <c r="BXC4" s="417"/>
      <c r="BXD4" s="52" t="s">
        <v>352</v>
      </c>
      <c r="BXE4" s="995"/>
      <c r="BYA4" s="6" t="s">
        <v>350</v>
      </c>
      <c r="BYB4" s="429" t="s">
        <v>351</v>
      </c>
      <c r="BYC4" s="169"/>
      <c r="BYD4" s="52" t="s">
        <v>352</v>
      </c>
      <c r="BYE4" s="1566"/>
      <c r="BYF4" s="1567"/>
      <c r="BYG4" s="1567"/>
      <c r="DBA4" s="170" t="s">
        <v>6314</v>
      </c>
      <c r="DBB4" s="170" t="s">
        <v>6313</v>
      </c>
      <c r="DBC4" s="170"/>
      <c r="DBD4" s="170">
        <v>1</v>
      </c>
      <c r="DBE4" s="170"/>
      <c r="DCA4" s="1386" t="s">
        <v>350</v>
      </c>
      <c r="DCB4" s="1030" t="s">
        <v>351</v>
      </c>
      <c r="DCC4" s="169"/>
      <c r="DCD4" s="52"/>
      <c r="DCE4" s="1566"/>
      <c r="DCF4" s="1567"/>
      <c r="DCG4" s="1567"/>
      <c r="DDA4" s="6" t="s">
        <v>350</v>
      </c>
      <c r="DDB4" s="429" t="s">
        <v>351</v>
      </c>
      <c r="DDC4" s="169"/>
      <c r="DDD4" s="52" t="s">
        <v>352</v>
      </c>
    </row>
    <row r="5" spans="1:2814" ht="30" customHeight="1" thickBot="1">
      <c r="A5" s="1323" t="s">
        <v>1261</v>
      </c>
      <c r="B5" s="1305">
        <v>1</v>
      </c>
      <c r="C5" s="1306" t="s">
        <v>6339</v>
      </c>
      <c r="D5" s="672" t="s">
        <v>3766</v>
      </c>
      <c r="E5" s="645" t="s">
        <v>6342</v>
      </c>
      <c r="F5" s="1307" t="s">
        <v>233</v>
      </c>
      <c r="G5" s="1308"/>
      <c r="H5" s="1308"/>
      <c r="I5" s="1308"/>
      <c r="J5" s="1308"/>
      <c r="K5" s="416"/>
      <c r="L5" s="2506">
        <f>MATCH(C5, $A$1:$DZG$1,0)</f>
        <v>1249</v>
      </c>
      <c r="M5" t="str">
        <f t="shared" ref="M5:M67" si="0">SUBSTITUTE(ADDRESS(1, L5, 4), "1", "")</f>
        <v>AVA</v>
      </c>
      <c r="N5" s="416"/>
      <c r="O5" s="416"/>
      <c r="P5" s="416"/>
      <c r="Q5" s="416"/>
      <c r="R5" s="416"/>
      <c r="S5" s="416"/>
      <c r="T5" s="416"/>
      <c r="U5" s="416"/>
      <c r="V5" s="416"/>
      <c r="W5" s="416"/>
      <c r="AA5" s="221" t="s">
        <v>356</v>
      </c>
      <c r="AB5" s="230" t="s">
        <v>357</v>
      </c>
      <c r="AC5" s="1511" t="s">
        <v>4108</v>
      </c>
      <c r="AD5" s="157">
        <v>1</v>
      </c>
      <c r="AE5" s="133" t="s">
        <v>358</v>
      </c>
      <c r="AF5" s="133"/>
      <c r="AG5" s="133"/>
      <c r="AH5" s="133"/>
      <c r="AI5" s="133"/>
      <c r="AJ5" s="133"/>
      <c r="AK5" s="133"/>
      <c r="AL5" s="133"/>
      <c r="AM5" s="133"/>
      <c r="AN5" s="133"/>
      <c r="AO5" s="133"/>
      <c r="AP5" s="133"/>
      <c r="AQ5" s="133"/>
      <c r="AR5" s="133"/>
      <c r="AS5" s="133"/>
      <c r="AT5" s="133"/>
      <c r="AU5" s="133"/>
      <c r="AV5" s="133"/>
      <c r="AW5" s="133"/>
      <c r="AX5" s="133"/>
      <c r="AY5" s="133"/>
      <c r="AZ5" s="133"/>
      <c r="BA5" s="346" t="s">
        <v>356</v>
      </c>
      <c r="BB5" s="254" t="s">
        <v>359</v>
      </c>
      <c r="BC5" s="1509"/>
      <c r="BD5" s="345">
        <v>1</v>
      </c>
      <c r="BE5" s="244"/>
      <c r="BF5" s="133"/>
      <c r="BG5" s="133"/>
      <c r="BH5" s="133"/>
      <c r="BI5" s="133"/>
      <c r="BJ5" s="133"/>
      <c r="BK5" s="133"/>
      <c r="BL5" s="133"/>
      <c r="BM5" s="133"/>
      <c r="BN5" s="133"/>
      <c r="BO5" s="133"/>
      <c r="BP5" s="133"/>
      <c r="BQ5" s="133"/>
      <c r="BR5" s="133"/>
      <c r="BS5" s="133"/>
      <c r="BT5" s="133"/>
      <c r="BU5" s="133"/>
      <c r="BV5" s="133"/>
      <c r="BW5" s="133"/>
      <c r="BX5" s="133"/>
      <c r="BY5" s="133"/>
      <c r="BZ5" s="133"/>
      <c r="CA5" s="1596" t="s">
        <v>360</v>
      </c>
      <c r="CB5" s="1596"/>
      <c r="CC5" s="1639" t="s">
        <v>4118</v>
      </c>
      <c r="CE5" s="133"/>
      <c r="CF5" s="133"/>
      <c r="CG5" s="133"/>
      <c r="CH5" s="133"/>
      <c r="CI5" s="133"/>
      <c r="CJ5" s="133"/>
      <c r="CK5" s="133"/>
      <c r="CL5" s="133"/>
      <c r="CM5" s="133"/>
      <c r="CN5" s="133"/>
      <c r="CO5" s="133"/>
      <c r="CP5" s="133"/>
      <c r="CQ5" s="133"/>
      <c r="CR5" s="133"/>
      <c r="CS5" s="133"/>
      <c r="CT5" s="133"/>
      <c r="CU5" s="133"/>
      <c r="CV5" s="133"/>
      <c r="CW5" s="133"/>
      <c r="CX5" s="133"/>
      <c r="CY5" s="133"/>
      <c r="CZ5" s="133"/>
      <c r="DA5" s="1596" t="s">
        <v>360</v>
      </c>
      <c r="DB5" s="1534"/>
      <c r="DC5" s="1625" t="s">
        <v>4130</v>
      </c>
      <c r="DD5" s="157"/>
      <c r="DE5" s="133" t="s">
        <v>4128</v>
      </c>
      <c r="EA5" s="221" t="s">
        <v>361</v>
      </c>
      <c r="EB5" s="165" t="s">
        <v>362</v>
      </c>
      <c r="EC5" s="1625" t="s">
        <v>4138</v>
      </c>
      <c r="ED5" s="225">
        <v>1</v>
      </c>
      <c r="EE5" s="133" t="s">
        <v>4134</v>
      </c>
      <c r="FA5" s="1583" t="s">
        <v>6648</v>
      </c>
      <c r="FB5" s="1584"/>
      <c r="FC5" s="1584"/>
      <c r="FD5" s="439"/>
      <c r="FE5" s="1650" t="s">
        <v>6923</v>
      </c>
      <c r="FF5" s="1651"/>
      <c r="FG5" s="442"/>
      <c r="FH5" s="442"/>
      <c r="GA5" s="1330" t="s">
        <v>6907</v>
      </c>
      <c r="GB5" s="1331" t="s">
        <v>586</v>
      </c>
      <c r="GC5" s="168"/>
      <c r="GD5" s="52"/>
      <c r="GE5" s="1021"/>
      <c r="GF5" s="1021"/>
      <c r="HA5" s="1583" t="s">
        <v>4713</v>
      </c>
      <c r="HB5" s="1584"/>
      <c r="HC5" s="1584"/>
      <c r="HD5" s="439"/>
      <c r="KA5" s="1599" t="s">
        <v>364</v>
      </c>
      <c r="KB5" s="1600"/>
      <c r="KE5" s="1511" t="s">
        <v>4162</v>
      </c>
      <c r="KF5" s="951"/>
      <c r="KG5" s="951"/>
      <c r="KH5" s="951"/>
      <c r="KI5" s="951"/>
      <c r="KJ5" s="951"/>
      <c r="KK5" s="951"/>
      <c r="KL5" s="951"/>
      <c r="KM5" s="951"/>
      <c r="KN5" s="951"/>
      <c r="KO5" s="951"/>
      <c r="KP5" s="951"/>
      <c r="KQ5" s="951"/>
      <c r="KR5" s="951"/>
      <c r="KS5" s="951"/>
      <c r="KT5" s="951"/>
      <c r="KU5" s="951"/>
      <c r="KV5" s="951"/>
      <c r="LA5" s="1622" t="s">
        <v>366</v>
      </c>
      <c r="LB5" s="1624"/>
      <c r="LC5" s="1576" t="s">
        <v>4163</v>
      </c>
      <c r="LD5" s="985"/>
      <c r="MA5" s="1622" t="s">
        <v>366</v>
      </c>
      <c r="MB5" s="1623"/>
      <c r="MD5" s="133"/>
      <c r="ME5" s="1511" t="s">
        <v>4163</v>
      </c>
      <c r="NA5" s="1590" t="s">
        <v>367</v>
      </c>
      <c r="NB5" s="1591"/>
      <c r="ND5" s="133"/>
      <c r="NE5" s="1578" t="s">
        <v>4163</v>
      </c>
      <c r="OA5" s="1622" t="s">
        <v>368</v>
      </c>
      <c r="OB5" s="1623"/>
      <c r="OC5" s="952"/>
      <c r="OE5" s="1578" t="s">
        <v>4163</v>
      </c>
      <c r="PA5" s="1590" t="s">
        <v>369</v>
      </c>
      <c r="PB5" s="1591"/>
      <c r="PC5" s="956"/>
      <c r="PD5" s="225"/>
      <c r="PE5" s="1629" t="s">
        <v>4163</v>
      </c>
      <c r="PF5" s="133"/>
      <c r="PG5" s="133"/>
      <c r="PH5" s="133"/>
      <c r="PI5" s="133"/>
      <c r="PJ5" s="133"/>
      <c r="PK5" s="133"/>
      <c r="PL5" s="133"/>
      <c r="PM5" s="133"/>
      <c r="PN5" s="133"/>
      <c r="PO5" s="133"/>
      <c r="PP5" s="133"/>
      <c r="PQ5" s="133"/>
      <c r="PR5" s="133"/>
      <c r="PS5" s="133"/>
      <c r="PT5" s="133"/>
      <c r="PU5" s="133"/>
      <c r="PV5" s="133"/>
      <c r="PW5" s="133"/>
      <c r="PX5" s="133"/>
      <c r="PY5" s="133"/>
      <c r="PZ5" s="133"/>
      <c r="QA5" s="1622" t="s">
        <v>4870</v>
      </c>
      <c r="QB5" s="1623"/>
      <c r="QC5" s="952"/>
      <c r="QE5" s="1578" t="s">
        <v>4151</v>
      </c>
      <c r="QF5" s="133"/>
      <c r="QG5" s="133"/>
      <c r="QH5" s="133"/>
      <c r="QI5" s="133"/>
      <c r="QJ5" s="133"/>
      <c r="QK5" s="133"/>
      <c r="QL5" s="133"/>
      <c r="QM5" s="133"/>
      <c r="QN5" s="133"/>
      <c r="QO5" s="133"/>
      <c r="QP5" s="133"/>
      <c r="QQ5" s="133"/>
      <c r="QR5" s="133"/>
      <c r="QS5" s="133"/>
      <c r="QT5" s="133"/>
      <c r="QU5" s="133"/>
      <c r="QV5" s="133"/>
      <c r="QW5" s="133"/>
      <c r="QX5" s="133"/>
      <c r="QY5" s="133"/>
      <c r="QZ5" s="133"/>
      <c r="RA5" s="1603" t="s">
        <v>4192</v>
      </c>
      <c r="RB5" s="1603"/>
      <c r="RC5" s="951"/>
      <c r="RD5" s="133"/>
      <c r="RE5" s="1511" t="s">
        <v>4215</v>
      </c>
      <c r="RF5" s="442"/>
      <c r="RG5" s="442"/>
      <c r="RH5" s="133"/>
      <c r="RI5" s="133"/>
      <c r="RJ5" s="133"/>
      <c r="RK5" s="133"/>
      <c r="RL5" s="133"/>
      <c r="RM5" s="133"/>
      <c r="RN5" s="133"/>
      <c r="RO5" s="133"/>
      <c r="RP5" s="133"/>
      <c r="RQ5" s="133"/>
      <c r="RR5" s="133"/>
      <c r="RS5" s="133"/>
      <c r="RT5" s="133"/>
      <c r="RU5" s="133"/>
      <c r="RV5" s="133"/>
      <c r="RW5" s="133"/>
      <c r="RX5" s="133"/>
      <c r="RY5" s="133"/>
      <c r="RZ5" s="133"/>
      <c r="SA5" s="1603" t="s">
        <v>371</v>
      </c>
      <c r="SB5" s="1599"/>
      <c r="SC5" s="956"/>
      <c r="SD5" s="934"/>
      <c r="SE5" s="1621" t="s">
        <v>4215</v>
      </c>
      <c r="SF5" s="1577"/>
      <c r="SG5" s="1577"/>
      <c r="SH5" s="133"/>
      <c r="SI5" s="133"/>
      <c r="SJ5" s="133"/>
      <c r="SK5" s="133"/>
      <c r="SL5" s="133"/>
      <c r="SM5" s="133"/>
      <c r="SN5" s="133"/>
      <c r="SO5" s="133"/>
      <c r="SP5" s="133"/>
      <c r="SQ5" s="133"/>
      <c r="SR5" s="133"/>
      <c r="SS5" s="133"/>
      <c r="ST5" s="133"/>
      <c r="SU5" s="133"/>
      <c r="SV5" s="133"/>
      <c r="SW5" s="133"/>
      <c r="SX5" s="133"/>
      <c r="SY5" s="133"/>
      <c r="TA5" s="826" t="s">
        <v>372</v>
      </c>
      <c r="TB5" s="165" t="s">
        <v>365</v>
      </c>
      <c r="TC5" s="1615" t="s">
        <v>373</v>
      </c>
      <c r="TD5" s="1616"/>
      <c r="TE5" s="1617"/>
      <c r="TF5" s="114">
        <v>1</v>
      </c>
      <c r="TG5" t="s">
        <v>374</v>
      </c>
      <c r="UA5" s="221" t="s">
        <v>4255</v>
      </c>
      <c r="UB5" s="230" t="s">
        <v>403</v>
      </c>
      <c r="UC5" s="1511" t="s">
        <v>4215</v>
      </c>
      <c r="UD5" s="157">
        <v>1</v>
      </c>
      <c r="UE5" s="1641" t="s">
        <v>4257</v>
      </c>
      <c r="UF5" s="1513"/>
      <c r="UG5" s="1513"/>
      <c r="UH5" s="1513"/>
      <c r="VA5" s="1596" t="s">
        <v>375</v>
      </c>
      <c r="VB5" s="1596"/>
      <c r="VC5" s="1511" t="s">
        <v>4283</v>
      </c>
      <c r="VE5" s="133"/>
      <c r="WA5" s="1596" t="s">
        <v>376</v>
      </c>
      <c r="WB5" s="1534"/>
      <c r="WC5" s="1511" t="s">
        <v>4283</v>
      </c>
      <c r="WD5" s="133"/>
      <c r="WE5" s="133"/>
      <c r="XA5" s="358" t="s">
        <v>41</v>
      </c>
      <c r="XB5" s="165" t="s">
        <v>7618</v>
      </c>
      <c r="XC5" s="1511" t="s">
        <v>4299</v>
      </c>
      <c r="XD5" s="157">
        <v>1</v>
      </c>
      <c r="XE5" s="1744" t="s">
        <v>7639</v>
      </c>
      <c r="XF5" s="1745"/>
      <c r="XG5" s="133"/>
      <c r="XH5" s="133"/>
      <c r="XI5" s="133"/>
      <c r="XJ5" s="133"/>
      <c r="XK5" s="133"/>
      <c r="XL5" s="358" t="s">
        <v>41</v>
      </c>
      <c r="XM5" s="165" t="s">
        <v>7618</v>
      </c>
      <c r="YA5" s="346" t="s">
        <v>7595</v>
      </c>
      <c r="YB5" s="254" t="s">
        <v>5412</v>
      </c>
      <c r="YC5" s="1257" t="s">
        <v>4302</v>
      </c>
      <c r="YD5" s="345">
        <v>1</v>
      </c>
      <c r="YE5" s="1744" t="s">
        <v>7590</v>
      </c>
      <c r="YF5" s="1745"/>
      <c r="YL5" s="1459"/>
      <c r="ZB5" s="1534" t="s">
        <v>4767</v>
      </c>
      <c r="ZC5" s="1535"/>
      <c r="ZD5" s="1511" t="s">
        <v>4283</v>
      </c>
      <c r="ZE5" s="245"/>
      <c r="ZF5" s="245"/>
      <c r="AAB5" s="1534" t="s">
        <v>4794</v>
      </c>
      <c r="AAC5" s="1535"/>
      <c r="AAD5" s="1511" t="s">
        <v>4283</v>
      </c>
      <c r="AAE5" s="245"/>
      <c r="AAF5" s="245"/>
      <c r="ABB5" s="1590" t="s">
        <v>379</v>
      </c>
      <c r="ABC5" s="1635"/>
      <c r="ABD5" s="1692" t="s">
        <v>4151</v>
      </c>
      <c r="ABF5" s="133"/>
      <c r="ACB5" s="1709" t="s">
        <v>380</v>
      </c>
      <c r="ACC5" s="1709"/>
      <c r="ACD5" s="1692" t="s">
        <v>4151</v>
      </c>
      <c r="ACE5" s="10"/>
      <c r="ACF5" s="178"/>
      <c r="ADB5" s="1709" t="s">
        <v>4322</v>
      </c>
      <c r="ADC5" s="1709"/>
      <c r="ADD5" s="1695" t="s">
        <v>4339</v>
      </c>
      <c r="ADE5" s="225"/>
      <c r="ADF5" s="178"/>
      <c r="AEB5" s="1590" t="s">
        <v>381</v>
      </c>
      <c r="AEC5" s="1591"/>
      <c r="AED5" s="1519" t="s">
        <v>4339</v>
      </c>
      <c r="AEE5" s="157"/>
      <c r="AEF5" s="133"/>
      <c r="AEG5" s="133"/>
      <c r="AEH5" s="133"/>
      <c r="AEI5" s="133"/>
      <c r="AEJ5" s="133"/>
      <c r="AEK5" s="133"/>
      <c r="AEL5" s="133"/>
      <c r="AEM5" s="133"/>
      <c r="AEN5" s="133"/>
      <c r="AEO5" s="133"/>
      <c r="AEP5" s="133"/>
      <c r="AEQ5" s="133"/>
      <c r="AER5" s="133"/>
      <c r="AES5" s="133"/>
      <c r="AET5" s="133"/>
      <c r="AEU5" s="133"/>
      <c r="AEV5" s="133"/>
      <c r="AEW5" s="133"/>
      <c r="AEX5" s="133"/>
      <c r="AFB5" s="1599" t="s">
        <v>382</v>
      </c>
      <c r="AFC5" s="1632"/>
      <c r="AFD5" s="1511" t="s">
        <v>4356</v>
      </c>
      <c r="AFE5" s="157"/>
      <c r="AFF5" s="133"/>
      <c r="AGB5" s="1599" t="s">
        <v>382</v>
      </c>
      <c r="AGC5" s="1632"/>
      <c r="AGD5" s="1511" t="s">
        <v>4356</v>
      </c>
      <c r="AGE5" s="157"/>
      <c r="AGF5" s="133"/>
      <c r="AHB5" s="1656" t="s">
        <v>382</v>
      </c>
      <c r="AHC5" s="1657"/>
      <c r="AHD5" s="1512" t="s">
        <v>4356</v>
      </c>
      <c r="AHE5" s="345"/>
      <c r="AHF5" s="133"/>
      <c r="AIB5" s="1599" t="s">
        <v>382</v>
      </c>
      <c r="AIC5" s="1632"/>
      <c r="AID5" s="1511" t="s">
        <v>4356</v>
      </c>
      <c r="AIE5" s="157"/>
      <c r="AIF5" s="133"/>
      <c r="AJB5" s="1599" t="s">
        <v>382</v>
      </c>
      <c r="AJC5" s="1632"/>
      <c r="AJD5" s="1511" t="s">
        <v>4356</v>
      </c>
      <c r="AJE5" s="157"/>
      <c r="AJF5" s="133"/>
      <c r="AKB5" s="1599" t="s">
        <v>382</v>
      </c>
      <c r="AKC5" s="1632"/>
      <c r="AKD5" s="1511" t="s">
        <v>4356</v>
      </c>
      <c r="AKE5" s="157"/>
      <c r="AKF5" s="133"/>
      <c r="ALB5" s="1599" t="s">
        <v>382</v>
      </c>
      <c r="ALC5" s="1632"/>
      <c r="ALD5" s="1511" t="s">
        <v>4356</v>
      </c>
      <c r="ALE5" s="157"/>
      <c r="ALF5" s="133"/>
      <c r="AMB5" s="1599" t="s">
        <v>382</v>
      </c>
      <c r="AMC5" s="1632"/>
      <c r="AMD5" s="1511" t="s">
        <v>4356</v>
      </c>
      <c r="AME5" s="157"/>
      <c r="AMF5" s="133"/>
      <c r="ANB5" s="1599" t="s">
        <v>382</v>
      </c>
      <c r="ANC5" s="1632"/>
      <c r="AND5" s="1511" t="s">
        <v>4356</v>
      </c>
      <c r="ANE5" s="157"/>
      <c r="ANF5" s="133"/>
      <c r="ANG5" s="133"/>
      <c r="ANH5" s="133"/>
      <c r="ANI5" s="133"/>
      <c r="ANJ5" s="133"/>
      <c r="ANK5" s="133"/>
      <c r="ANL5" s="133"/>
      <c r="ANM5" s="133"/>
      <c r="ANN5" s="133"/>
      <c r="ANO5" s="133"/>
      <c r="ANP5" s="133"/>
      <c r="ANQ5" s="133"/>
      <c r="ANR5" s="133"/>
      <c r="ANS5" s="133"/>
      <c r="ANT5" s="133"/>
      <c r="ANU5" s="133"/>
      <c r="ANV5" s="133"/>
      <c r="ANW5" s="133"/>
      <c r="ANX5" s="133"/>
      <c r="ANY5" s="133"/>
      <c r="ANZ5" s="133"/>
      <c r="AOB5" s="2534"/>
      <c r="AOC5" s="2549"/>
      <c r="AOD5" s="2533"/>
      <c r="AOE5" s="2546"/>
      <c r="AOF5" s="2546"/>
      <c r="AOH5" s="133"/>
      <c r="AOI5" s="133"/>
      <c r="AOJ5" s="133"/>
      <c r="AOK5" s="133"/>
      <c r="AOL5" s="133"/>
      <c r="AOM5" s="133"/>
      <c r="AON5" s="133"/>
      <c r="AOO5" s="133"/>
      <c r="AOP5" s="133"/>
      <c r="AOQ5" s="133"/>
      <c r="AOR5" s="133"/>
      <c r="AOS5" s="133"/>
      <c r="AOT5" s="133"/>
      <c r="AOU5" s="133"/>
      <c r="AOV5" s="133"/>
      <c r="AOW5" s="133"/>
      <c r="AOX5" s="133"/>
      <c r="AOY5" s="133"/>
      <c r="AOZ5" s="133"/>
      <c r="APB5" s="2532"/>
      <c r="APC5" s="2549"/>
      <c r="APD5" s="2533"/>
      <c r="APE5" s="2546"/>
      <c r="APF5" s="2546"/>
      <c r="APG5" s="2546"/>
      <c r="AQA5" s="1574" t="s">
        <v>4523</v>
      </c>
      <c r="AQB5" s="1574"/>
      <c r="AQC5" s="951"/>
      <c r="AQE5" s="133"/>
      <c r="AQZ5" s="1109" t="s">
        <v>6385</v>
      </c>
      <c r="ARA5" s="2481" t="s">
        <v>7742</v>
      </c>
      <c r="ARB5" s="2482"/>
      <c r="ARC5" s="2483"/>
      <c r="ARD5" s="157">
        <v>1</v>
      </c>
      <c r="ARE5" s="1526" t="s">
        <v>7743</v>
      </c>
      <c r="ARF5" s="1527"/>
      <c r="ATA5" s="221" t="s">
        <v>6059</v>
      </c>
      <c r="ATB5" s="230" t="s">
        <v>4541</v>
      </c>
      <c r="ATC5" s="1511" t="s">
        <v>6877</v>
      </c>
      <c r="ATD5" s="985">
        <v>1</v>
      </c>
      <c r="ATE5" s="1711" t="s">
        <v>6878</v>
      </c>
      <c r="ATF5" s="1711"/>
      <c r="ATG5" s="1711"/>
      <c r="ATH5" s="1711"/>
      <c r="AUA5" s="990" t="s">
        <v>6405</v>
      </c>
      <c r="AUB5" s="1098" t="s">
        <v>6406</v>
      </c>
      <c r="AUC5" s="1497" t="s">
        <v>6895</v>
      </c>
      <c r="AUD5" s="985">
        <v>1</v>
      </c>
      <c r="AUE5" s="1680" t="s">
        <v>6412</v>
      </c>
      <c r="AUF5" s="1681"/>
      <c r="AUG5" s="7"/>
      <c r="AUH5" s="7"/>
      <c r="AVA5" s="1203" t="s">
        <v>6511</v>
      </c>
      <c r="AVB5" s="1204" t="s">
        <v>6367</v>
      </c>
      <c r="AVC5" s="245"/>
      <c r="AVD5" s="157">
        <v>1</v>
      </c>
      <c r="AVE5" s="1684" t="s">
        <v>6621</v>
      </c>
      <c r="AVF5" s="1594"/>
      <c r="AVG5" s="133"/>
      <c r="AVH5" s="133"/>
      <c r="AWA5" s="252"/>
      <c r="AWC5" s="237"/>
      <c r="AWD5" s="133"/>
      <c r="AWE5" s="133"/>
      <c r="AXA5" s="989" t="s">
        <v>5401</v>
      </c>
      <c r="AXB5" s="1537" t="s">
        <v>5402</v>
      </c>
      <c r="AXC5" s="1538"/>
      <c r="AXD5" s="1542"/>
      <c r="AXE5" s="1512"/>
      <c r="AXF5" s="157">
        <v>1</v>
      </c>
      <c r="AXG5" s="831" t="s">
        <v>4555</v>
      </c>
      <c r="AYA5" s="221" t="s">
        <v>3</v>
      </c>
      <c r="AYB5" s="230" t="s">
        <v>362</v>
      </c>
      <c r="AYC5" s="1511" t="s">
        <v>4596</v>
      </c>
      <c r="AYD5" s="157">
        <v>1</v>
      </c>
      <c r="AYE5" s="133"/>
      <c r="AZA5" s="221" t="s">
        <v>3</v>
      </c>
      <c r="AZB5" s="230" t="s">
        <v>362</v>
      </c>
      <c r="AZC5" s="1576" t="s">
        <v>4734</v>
      </c>
      <c r="AZD5" s="157">
        <v>1</v>
      </c>
      <c r="AZE5" s="133"/>
      <c r="BAA5" s="221" t="s">
        <v>966</v>
      </c>
      <c r="BAB5" s="1248" t="s">
        <v>5825</v>
      </c>
      <c r="BAC5" s="1728" t="s">
        <v>6670</v>
      </c>
      <c r="BAD5" s="157" t="s">
        <v>6003</v>
      </c>
      <c r="BAE5" s="1545" t="s">
        <v>6678</v>
      </c>
      <c r="BAF5" s="1546"/>
      <c r="BBA5" s="221" t="s">
        <v>260</v>
      </c>
      <c r="BBB5" s="1067" t="s">
        <v>6695</v>
      </c>
      <c r="BBC5" s="1511" t="s">
        <v>4650</v>
      </c>
      <c r="BBD5" s="157">
        <v>1</v>
      </c>
      <c r="BBE5" s="1543" t="s">
        <v>6729</v>
      </c>
      <c r="BBF5" s="1544"/>
      <c r="BCA5" s="221" t="s">
        <v>260</v>
      </c>
      <c r="BCB5" s="1111" t="s">
        <v>6738</v>
      </c>
      <c r="BCC5" s="1262"/>
      <c r="BCD5" s="1577" t="s">
        <v>6852</v>
      </c>
      <c r="BCE5" s="1706"/>
      <c r="BCF5" s="934">
        <v>1</v>
      </c>
      <c r="BCG5" s="1547" t="s">
        <v>6739</v>
      </c>
      <c r="BCH5" s="1548"/>
      <c r="BDE5" s="221" t="s">
        <v>260</v>
      </c>
      <c r="BDF5" s="1067" t="s">
        <v>6738</v>
      </c>
      <c r="BDG5" s="1511" t="s">
        <v>6755</v>
      </c>
      <c r="BDH5" s="1238"/>
      <c r="BDI5" s="943">
        <v>1</v>
      </c>
      <c r="BDJ5" s="1547" t="s">
        <v>6756</v>
      </c>
      <c r="BDK5" s="1548"/>
      <c r="BEA5" s="221" t="s">
        <v>260</v>
      </c>
      <c r="BEB5" s="1067" t="s">
        <v>6738</v>
      </c>
      <c r="BEC5" s="1511" t="s">
        <v>6846</v>
      </c>
      <c r="BED5" s="157">
        <v>1</v>
      </c>
      <c r="BEE5" s="1550" t="s">
        <v>4657</v>
      </c>
      <c r="BEF5" s="1551"/>
      <c r="BFA5" s="346" t="s">
        <v>260</v>
      </c>
      <c r="BFB5" s="254" t="s">
        <v>6770</v>
      </c>
      <c r="BFC5" s="1257" t="s">
        <v>4682</v>
      </c>
      <c r="BFD5" s="157">
        <v>1</v>
      </c>
      <c r="BFE5" s="1707" t="s">
        <v>4685</v>
      </c>
      <c r="BFF5" s="1707"/>
      <c r="BFG5" s="1707"/>
      <c r="BFH5" s="1707"/>
      <c r="BFI5" s="1707"/>
      <c r="BGA5" s="346" t="s">
        <v>260</v>
      </c>
      <c r="BGB5" s="1275" t="s">
        <v>6769</v>
      </c>
      <c r="BGC5" s="1511" t="s">
        <v>6765</v>
      </c>
      <c r="BGD5" s="157">
        <v>1</v>
      </c>
      <c r="BGE5" s="1707" t="s">
        <v>6797</v>
      </c>
      <c r="BGF5" s="1707"/>
      <c r="BGG5" s="1707"/>
      <c r="BGH5" s="1707"/>
      <c r="BGI5" s="1707"/>
      <c r="BHA5" s="989" t="s">
        <v>6814</v>
      </c>
      <c r="BHB5" s="993" t="s">
        <v>4575</v>
      </c>
      <c r="BHC5" s="996"/>
      <c r="BHD5" s="225">
        <v>1</v>
      </c>
      <c r="BHE5" s="831"/>
      <c r="BIA5" s="989" t="s">
        <v>6813</v>
      </c>
      <c r="BIB5" s="5" t="s">
        <v>4558</v>
      </c>
      <c r="BIC5" s="1508" t="s">
        <v>4583</v>
      </c>
      <c r="BID5" s="225">
        <v>1</v>
      </c>
      <c r="BIE5" s="178" t="s">
        <v>6812</v>
      </c>
      <c r="BJA5" s="221" t="s">
        <v>4554</v>
      </c>
      <c r="BJB5" s="230" t="s">
        <v>4651</v>
      </c>
      <c r="BJC5" s="1511" t="s">
        <v>4695</v>
      </c>
      <c r="BJD5" s="157">
        <v>1</v>
      </c>
      <c r="BJE5" s="1504" t="s">
        <v>4708</v>
      </c>
      <c r="BJF5" s="1505"/>
      <c r="BJG5" s="1505"/>
      <c r="BJH5" s="1505"/>
      <c r="BJI5" s="1505"/>
      <c r="BKA5" s="221" t="s">
        <v>4751</v>
      </c>
      <c r="BKB5" s="230" t="s">
        <v>4752</v>
      </c>
      <c r="BKC5" s="1511" t="s">
        <v>4757</v>
      </c>
      <c r="BKD5" s="157">
        <v>1</v>
      </c>
      <c r="BKE5" s="1504" t="s">
        <v>4750</v>
      </c>
      <c r="BKF5" s="1505"/>
      <c r="BKG5" s="1505"/>
      <c r="BKH5" s="1505"/>
      <c r="BKI5" s="1505"/>
      <c r="BLA5" s="1534" t="s">
        <v>5471</v>
      </c>
      <c r="BLB5" s="1535"/>
      <c r="BLC5" s="1511" t="s">
        <v>5878</v>
      </c>
      <c r="BLD5" s="157"/>
      <c r="BMA5" s="1534" t="s">
        <v>5472</v>
      </c>
      <c r="BMB5" s="1535"/>
      <c r="BMC5" s="1511" t="s">
        <v>4808</v>
      </c>
      <c r="BMD5" s="1018"/>
      <c r="BME5" s="1021"/>
      <c r="BMF5" s="1021"/>
      <c r="BNA5" s="1534" t="s">
        <v>5473</v>
      </c>
      <c r="BNB5" s="1535"/>
      <c r="BNC5" s="1511" t="s">
        <v>4839</v>
      </c>
      <c r="BND5" s="1022"/>
      <c r="BNE5" s="1564"/>
      <c r="BNF5" s="1565"/>
      <c r="BNG5" s="1565"/>
      <c r="BNH5" s="1565"/>
      <c r="BNI5" s="1565"/>
      <c r="BNJ5" s="1565"/>
      <c r="BNK5" s="1565"/>
      <c r="BOA5" s="1534" t="s">
        <v>4876</v>
      </c>
      <c r="BOB5" s="1535"/>
      <c r="BOC5" s="1511" t="s">
        <v>4734</v>
      </c>
      <c r="BOD5" s="1018"/>
      <c r="BPA5" s="1534" t="s">
        <v>4897</v>
      </c>
      <c r="BPB5" s="1535"/>
      <c r="BPC5" s="1508" t="s">
        <v>4920</v>
      </c>
      <c r="BPD5" s="186"/>
      <c r="BQA5" s="1534" t="s">
        <v>4981</v>
      </c>
      <c r="BQB5" s="1535"/>
      <c r="BQC5" s="1511" t="s">
        <v>4734</v>
      </c>
      <c r="BQD5" s="1018"/>
      <c r="BRA5" s="1534" t="s">
        <v>4982</v>
      </c>
      <c r="BRB5" s="1535"/>
      <c r="BRC5" s="1511" t="s">
        <v>5394</v>
      </c>
      <c r="BRD5" s="1018"/>
      <c r="BWA5" s="1176" t="s">
        <v>6364</v>
      </c>
      <c r="BWB5" s="1183" t="s">
        <v>4553</v>
      </c>
      <c r="BWC5" s="1183" t="s">
        <v>153</v>
      </c>
      <c r="BWD5" s="1183" t="s">
        <v>151</v>
      </c>
      <c r="BWE5" s="1183" t="s">
        <v>4547</v>
      </c>
      <c r="BWF5" s="1183" t="s">
        <v>4548</v>
      </c>
      <c r="BWG5" s="1183" t="s">
        <v>154</v>
      </c>
      <c r="BWH5" s="1183" t="s">
        <v>6346</v>
      </c>
      <c r="BWI5" s="1183" t="s">
        <v>6347</v>
      </c>
      <c r="BWJ5" s="235">
        <v>1</v>
      </c>
      <c r="BWK5" s="1178" t="s">
        <v>6344</v>
      </c>
      <c r="BXA5" s="989" t="s">
        <v>4570</v>
      </c>
      <c r="BXB5" s="1098" t="s">
        <v>4575</v>
      </c>
      <c r="BXC5" s="1497" t="s">
        <v>6371</v>
      </c>
      <c r="BXD5" s="157">
        <v>1</v>
      </c>
      <c r="BXE5" s="831"/>
      <c r="BYA5" s="221" t="s">
        <v>6385</v>
      </c>
      <c r="BYB5" s="1220" t="s">
        <v>6563</v>
      </c>
      <c r="BYC5" s="1519" t="s">
        <v>6581</v>
      </c>
      <c r="BYD5" s="157">
        <v>1</v>
      </c>
      <c r="BYE5" s="1526" t="s">
        <v>6564</v>
      </c>
      <c r="BYF5" s="1527"/>
      <c r="BYG5" s="1527"/>
      <c r="DBA5" s="170" t="s">
        <v>6315</v>
      </c>
      <c r="DBB5" s="170" t="s">
        <v>1051</v>
      </c>
      <c r="DBC5" s="170"/>
      <c r="DBD5" s="170">
        <v>2</v>
      </c>
      <c r="DBE5" s="170"/>
      <c r="DCA5" t="s">
        <v>7123</v>
      </c>
      <c r="DCB5" t="s">
        <v>7124</v>
      </c>
      <c r="DDA5" s="221" t="s">
        <v>6385</v>
      </c>
      <c r="DDB5" s="1168" t="s">
        <v>7346</v>
      </c>
      <c r="DDC5" s="1519" t="s">
        <v>6551</v>
      </c>
      <c r="DDD5" s="157">
        <v>1</v>
      </c>
    </row>
    <row r="6" spans="1:2814" ht="30" customHeight="1">
      <c r="A6" s="1323" t="s">
        <v>1261</v>
      </c>
      <c r="B6" s="1305">
        <v>68</v>
      </c>
      <c r="C6" s="1306" t="s">
        <v>6340</v>
      </c>
      <c r="D6" s="317" t="s">
        <v>4625</v>
      </c>
      <c r="E6" s="1310" t="s">
        <v>6341</v>
      </c>
      <c r="F6" s="1311" t="s">
        <v>233</v>
      </c>
      <c r="G6" s="1312"/>
      <c r="H6" s="1312"/>
      <c r="I6" s="1312"/>
      <c r="J6" s="1312"/>
      <c r="K6" s="416"/>
      <c r="L6" s="2506">
        <f>MATCH(C6, $A$1:$DZG$1,0)</f>
        <v>1951</v>
      </c>
      <c r="M6" t="str">
        <f t="shared" si="0"/>
        <v>BWA</v>
      </c>
      <c r="N6" s="416"/>
      <c r="O6" s="416"/>
      <c r="P6" s="416"/>
      <c r="Q6" s="416"/>
      <c r="R6" s="416"/>
      <c r="S6" s="416"/>
      <c r="T6" s="416"/>
      <c r="U6" s="416"/>
      <c r="V6" s="416"/>
      <c r="W6" s="416"/>
      <c r="AA6" s="1596" t="s">
        <v>360</v>
      </c>
      <c r="AB6" s="1534"/>
      <c r="AC6" s="1512"/>
      <c r="AE6" s="133"/>
      <c r="AF6" s="133"/>
      <c r="AG6" s="133"/>
      <c r="AH6" s="133"/>
      <c r="AI6" s="133"/>
      <c r="AJ6" s="133"/>
      <c r="AK6" s="133"/>
      <c r="AL6" s="133"/>
      <c r="AM6" s="133"/>
      <c r="AN6" s="133"/>
      <c r="AO6" s="133"/>
      <c r="AP6" s="133"/>
      <c r="AQ6" s="133"/>
      <c r="AR6" s="133"/>
      <c r="AS6" s="133"/>
      <c r="AT6" s="133"/>
      <c r="AU6" s="133"/>
      <c r="AV6" s="133"/>
      <c r="AW6" s="133"/>
      <c r="AX6" s="133"/>
      <c r="AY6" s="133"/>
      <c r="AZ6" s="133"/>
      <c r="BA6" s="221" t="s">
        <v>388</v>
      </c>
      <c r="BB6" s="230" t="s">
        <v>389</v>
      </c>
      <c r="BC6" s="1509"/>
      <c r="BD6" s="157">
        <v>2</v>
      </c>
      <c r="BE6" s="244" t="s">
        <v>390</v>
      </c>
      <c r="BF6" s="133"/>
      <c r="BG6" s="133"/>
      <c r="BH6" s="133"/>
      <c r="BI6" s="133"/>
      <c r="BJ6" s="133"/>
      <c r="BK6" s="133"/>
      <c r="BL6" s="133"/>
      <c r="BM6" s="133"/>
      <c r="BN6" s="133"/>
      <c r="BO6" s="133"/>
      <c r="BP6" s="133"/>
      <c r="BQ6" s="133"/>
      <c r="BR6" s="133"/>
      <c r="BS6" s="133"/>
      <c r="BT6" s="133"/>
      <c r="BU6" s="133"/>
      <c r="BV6" s="133"/>
      <c r="BW6" s="133"/>
      <c r="BX6" s="133"/>
      <c r="BY6" s="133"/>
      <c r="BZ6" s="133"/>
      <c r="CA6" s="221" t="s">
        <v>3</v>
      </c>
      <c r="CB6" s="165" t="s">
        <v>362</v>
      </c>
      <c r="CC6" s="1639"/>
      <c r="CD6" s="225">
        <v>1</v>
      </c>
      <c r="CE6" s="133"/>
      <c r="CF6" s="133"/>
      <c r="CG6" s="133"/>
      <c r="CH6" s="133"/>
      <c r="CI6" s="133"/>
      <c r="CJ6" s="133"/>
      <c r="CK6" s="133"/>
      <c r="CL6" s="133"/>
      <c r="CM6" s="133"/>
      <c r="CN6" s="133"/>
      <c r="CO6" s="133"/>
      <c r="CP6" s="133"/>
      <c r="CQ6" s="133"/>
      <c r="CR6" s="133"/>
      <c r="CS6" s="133"/>
      <c r="CT6" s="133"/>
      <c r="CU6" s="133"/>
      <c r="CV6" s="133"/>
      <c r="CW6" s="133"/>
      <c r="CX6" s="133"/>
      <c r="CY6" s="133"/>
      <c r="CZ6" s="133"/>
      <c r="DA6" s="221" t="s">
        <v>3</v>
      </c>
      <c r="DB6" s="230" t="s">
        <v>362</v>
      </c>
      <c r="DC6" s="1626"/>
      <c r="DD6" s="157">
        <v>1</v>
      </c>
      <c r="DE6" s="133" t="s">
        <v>4129</v>
      </c>
      <c r="EA6" s="221" t="s">
        <v>391</v>
      </c>
      <c r="EB6" s="165" t="s">
        <v>385</v>
      </c>
      <c r="EC6" s="1626"/>
      <c r="ED6" s="225">
        <v>2</v>
      </c>
      <c r="EE6" s="133" t="s">
        <v>4258</v>
      </c>
      <c r="FA6" s="438" t="s">
        <v>3</v>
      </c>
      <c r="FB6" s="1581" t="s">
        <v>6921</v>
      </c>
      <c r="FC6" s="1582"/>
      <c r="FD6" s="935">
        <v>1</v>
      </c>
      <c r="FE6" s="1650"/>
      <c r="FF6" s="1651"/>
      <c r="FG6" s="442"/>
      <c r="FH6" s="442"/>
      <c r="GA6" s="60" t="s">
        <v>6903</v>
      </c>
      <c r="GB6" s="1329">
        <v>1</v>
      </c>
      <c r="GC6" s="1332"/>
      <c r="GD6" s="934">
        <v>1</v>
      </c>
      <c r="GE6" s="1594" t="s">
        <v>6908</v>
      </c>
      <c r="GF6" s="1594"/>
      <c r="HA6" s="60" t="s">
        <v>3</v>
      </c>
      <c r="HB6" s="165" t="s">
        <v>362</v>
      </c>
      <c r="HC6" s="1597" t="s">
        <v>4283</v>
      </c>
      <c r="HD6" s="934">
        <v>1</v>
      </c>
      <c r="HE6" s="1585" t="s">
        <v>4716</v>
      </c>
      <c r="HF6" s="1585"/>
      <c r="KA6" s="221" t="s">
        <v>393</v>
      </c>
      <c r="KB6" s="165" t="s">
        <v>362</v>
      </c>
      <c r="KD6" s="157">
        <v>1</v>
      </c>
      <c r="KE6" s="1579"/>
      <c r="KF6" s="951"/>
      <c r="KG6" s="951"/>
      <c r="KH6" s="951"/>
      <c r="KI6" s="951"/>
      <c r="KJ6" s="951"/>
      <c r="KK6" s="951"/>
      <c r="KL6" s="951"/>
      <c r="KM6" s="951"/>
      <c r="KN6" s="951"/>
      <c r="KO6" s="951"/>
      <c r="KP6" s="951"/>
      <c r="KQ6" s="951"/>
      <c r="KR6" s="951"/>
      <c r="KS6" s="951"/>
      <c r="KT6" s="951"/>
      <c r="KU6" s="951"/>
      <c r="KV6" s="951"/>
      <c r="LA6" s="221" t="s">
        <v>3</v>
      </c>
      <c r="LB6" s="254" t="s">
        <v>362</v>
      </c>
      <c r="LC6" s="1577"/>
      <c r="LD6" s="985">
        <v>1</v>
      </c>
      <c r="LE6" s="1015"/>
      <c r="MA6" s="221" t="s">
        <v>3</v>
      </c>
      <c r="MB6" s="254" t="s">
        <v>362</v>
      </c>
      <c r="MD6" s="157">
        <v>1</v>
      </c>
      <c r="ME6" s="1512"/>
      <c r="NA6" s="221" t="s">
        <v>394</v>
      </c>
      <c r="NB6" s="165" t="s">
        <v>362</v>
      </c>
      <c r="ND6" s="345">
        <v>1</v>
      </c>
      <c r="NE6" s="1512"/>
      <c r="OA6" s="221" t="s">
        <v>394</v>
      </c>
      <c r="OB6" s="254" t="s">
        <v>362</v>
      </c>
      <c r="OC6" s="952"/>
      <c r="OD6" s="225">
        <v>1</v>
      </c>
      <c r="OE6" s="1512"/>
      <c r="PA6" s="221" t="s">
        <v>394</v>
      </c>
      <c r="PB6" s="165" t="s">
        <v>362</v>
      </c>
      <c r="PC6" s="951"/>
      <c r="PD6" s="225">
        <v>1</v>
      </c>
      <c r="PE6" s="1630"/>
      <c r="PF6" s="133"/>
      <c r="PG6" s="133"/>
      <c r="PH6" s="133"/>
      <c r="PI6" s="133"/>
      <c r="PJ6" s="133"/>
      <c r="PK6" s="133"/>
      <c r="PL6" s="133"/>
      <c r="PM6" s="133"/>
      <c r="PN6" s="133"/>
      <c r="PO6" s="133"/>
      <c r="PP6" s="133"/>
      <c r="PQ6" s="133"/>
      <c r="PR6" s="133"/>
      <c r="PS6" s="133"/>
      <c r="PT6" s="133"/>
      <c r="PU6" s="133"/>
      <c r="PV6" s="133"/>
      <c r="PW6" s="133"/>
      <c r="PX6" s="133"/>
      <c r="PY6" s="133"/>
      <c r="PZ6" s="133"/>
      <c r="QA6" s="221" t="s">
        <v>394</v>
      </c>
      <c r="QB6" s="254" t="s">
        <v>362</v>
      </c>
      <c r="QC6" s="952"/>
      <c r="QD6" s="225">
        <v>1</v>
      </c>
      <c r="QE6" s="1579"/>
      <c r="QF6" s="133"/>
      <c r="QG6" s="133"/>
      <c r="QH6" s="133"/>
      <c r="QI6" s="133"/>
      <c r="QJ6" s="133"/>
      <c r="QK6" s="133"/>
      <c r="QL6" s="133"/>
      <c r="QM6" s="133"/>
      <c r="QN6" s="133"/>
      <c r="QO6" s="133"/>
      <c r="QP6" s="133"/>
      <c r="QQ6" s="133"/>
      <c r="QR6" s="133"/>
      <c r="QS6" s="133"/>
      <c r="QT6" s="133"/>
      <c r="QU6" s="133"/>
      <c r="QV6" s="133"/>
      <c r="QW6" s="133"/>
      <c r="QX6" s="133"/>
      <c r="QY6" s="133"/>
      <c r="QZ6" s="133"/>
      <c r="RA6" s="221" t="s">
        <v>395</v>
      </c>
      <c r="RB6" s="165" t="s">
        <v>396</v>
      </c>
      <c r="RC6" s="951"/>
      <c r="RD6" s="962">
        <v>1</v>
      </c>
      <c r="RE6" s="1512"/>
      <c r="RF6" s="442"/>
      <c r="RG6" s="442"/>
      <c r="RH6" s="133"/>
      <c r="RI6" s="133"/>
      <c r="RJ6" s="133"/>
      <c r="RK6" s="133"/>
      <c r="RL6" s="133"/>
      <c r="RM6" s="133"/>
      <c r="RN6" s="133"/>
      <c r="RO6" s="133"/>
      <c r="RP6" s="133"/>
      <c r="RQ6" s="133"/>
      <c r="RR6" s="133"/>
      <c r="RS6" s="133"/>
      <c r="RT6" s="133"/>
      <c r="RU6" s="133"/>
      <c r="RV6" s="133"/>
      <c r="RW6" s="133"/>
      <c r="RX6" s="133"/>
      <c r="RY6" s="133"/>
      <c r="RZ6" s="133"/>
      <c r="SA6" s="221" t="s">
        <v>395</v>
      </c>
      <c r="SB6" s="165" t="s">
        <v>396</v>
      </c>
      <c r="SC6" s="951"/>
      <c r="SD6" s="934">
        <v>1</v>
      </c>
      <c r="SE6" s="1621"/>
      <c r="SF6" s="1577"/>
      <c r="SG6" s="1577"/>
      <c r="SH6" s="133"/>
      <c r="SI6" s="133"/>
      <c r="SJ6" s="133"/>
      <c r="SK6" s="133"/>
      <c r="SL6" s="133"/>
      <c r="SM6" s="133"/>
      <c r="SN6" s="133"/>
      <c r="SO6" s="133"/>
      <c r="SP6" s="133"/>
      <c r="SQ6" s="133"/>
      <c r="SR6" s="133"/>
      <c r="SS6" s="133"/>
      <c r="ST6" s="133"/>
      <c r="SU6" s="133"/>
      <c r="SV6" s="133"/>
      <c r="SW6" s="133"/>
      <c r="SX6" s="133"/>
      <c r="SY6" s="133"/>
      <c r="TA6" s="828" t="s">
        <v>397</v>
      </c>
      <c r="TB6" s="829" t="s">
        <v>398</v>
      </c>
      <c r="TC6" s="829" t="s">
        <v>1818</v>
      </c>
      <c r="TD6" s="830" t="s">
        <v>1819</v>
      </c>
      <c r="TE6" s="830" t="s">
        <v>401</v>
      </c>
      <c r="TF6" s="10"/>
      <c r="UA6" s="221" t="s">
        <v>4256</v>
      </c>
      <c r="UB6" s="447" t="s">
        <v>385</v>
      </c>
      <c r="UC6" s="1512"/>
      <c r="UD6" s="157">
        <v>2</v>
      </c>
      <c r="UE6" s="1641" t="s">
        <v>4257</v>
      </c>
      <c r="UF6" s="1513"/>
      <c r="UG6" s="1513"/>
      <c r="UH6" s="1513"/>
      <c r="VA6" s="221" t="s">
        <v>3</v>
      </c>
      <c r="VB6" s="165" t="s">
        <v>362</v>
      </c>
      <c r="VC6" s="1512"/>
      <c r="VD6" s="157">
        <v>1</v>
      </c>
      <c r="VE6" s="133"/>
      <c r="WA6" s="221" t="s">
        <v>3</v>
      </c>
      <c r="WB6" s="254" t="s">
        <v>362</v>
      </c>
      <c r="WC6" s="1512"/>
      <c r="WD6" s="225">
        <v>1</v>
      </c>
      <c r="WE6" s="133"/>
      <c r="XA6" s="221" t="s">
        <v>3</v>
      </c>
      <c r="XB6" s="165" t="s">
        <v>362</v>
      </c>
      <c r="XC6" s="1512"/>
      <c r="XD6" s="157">
        <v>2</v>
      </c>
      <c r="XE6" s="1504" t="s">
        <v>7640</v>
      </c>
      <c r="XF6" s="1505"/>
      <c r="XG6" s="133"/>
      <c r="XH6" s="133"/>
      <c r="XI6" s="133"/>
      <c r="XJ6" s="133"/>
      <c r="XK6" s="133"/>
      <c r="XL6" s="221" t="s">
        <v>7620</v>
      </c>
      <c r="XM6" s="165" t="s">
        <v>362</v>
      </c>
      <c r="XN6" s="221" t="s">
        <v>7621</v>
      </c>
      <c r="XO6" s="165" t="s">
        <v>362</v>
      </c>
      <c r="YA6" s="346" t="s">
        <v>378</v>
      </c>
      <c r="YB6" s="254" t="s">
        <v>7613</v>
      </c>
      <c r="YC6" s="1258"/>
      <c r="YD6" s="157">
        <v>2</v>
      </c>
      <c r="YE6" s="1746" t="s">
        <v>7589</v>
      </c>
      <c r="YF6" s="1747"/>
      <c r="YJ6" s="346" t="s">
        <v>378</v>
      </c>
      <c r="YK6" s="1462" t="s">
        <v>7600</v>
      </c>
      <c r="YL6" s="171"/>
      <c r="YM6" s="221" t="s">
        <v>405</v>
      </c>
      <c r="YN6" s="1462" t="s">
        <v>7600</v>
      </c>
      <c r="ZB6" s="221" t="s">
        <v>3</v>
      </c>
      <c r="ZC6" s="230" t="s">
        <v>362</v>
      </c>
      <c r="ZD6" s="1512"/>
      <c r="ZE6" s="157">
        <v>1</v>
      </c>
      <c r="ZF6" s="1618" t="s">
        <v>4791</v>
      </c>
      <c r="ZG6" s="1618"/>
      <c r="AAB6" s="221" t="s">
        <v>3</v>
      </c>
      <c r="AAC6" s="230" t="s">
        <v>362</v>
      </c>
      <c r="AAD6" s="1512"/>
      <c r="AAE6" s="157">
        <v>1</v>
      </c>
      <c r="AAF6" s="1618" t="s">
        <v>4791</v>
      </c>
      <c r="AAG6" s="1618"/>
      <c r="ABB6" s="221" t="s">
        <v>3</v>
      </c>
      <c r="ABC6" s="165" t="s">
        <v>362</v>
      </c>
      <c r="ABD6" s="1693"/>
      <c r="ABE6" s="157">
        <v>1</v>
      </c>
      <c r="ABF6" s="133"/>
      <c r="ACB6" s="221" t="s">
        <v>3</v>
      </c>
      <c r="ACC6" s="165" t="s">
        <v>362</v>
      </c>
      <c r="ACD6" s="1693"/>
      <c r="ACE6" s="225">
        <v>1</v>
      </c>
      <c r="ACF6" s="178"/>
      <c r="ADB6" s="221" t="s">
        <v>3</v>
      </c>
      <c r="ADC6" s="165" t="s">
        <v>362</v>
      </c>
      <c r="ADD6" s="1695"/>
      <c r="ADE6" s="225">
        <v>1</v>
      </c>
      <c r="ADF6" s="178"/>
      <c r="AEB6" s="221" t="s">
        <v>4333</v>
      </c>
      <c r="AEC6" s="230" t="s">
        <v>377</v>
      </c>
      <c r="AED6" s="1520"/>
      <c r="AEE6" s="157">
        <v>1</v>
      </c>
      <c r="AEF6" s="133"/>
      <c r="AEG6" s="133"/>
      <c r="AEH6" s="133"/>
      <c r="AEI6" s="133"/>
      <c r="AEJ6" s="133"/>
      <c r="AEK6" s="133"/>
      <c r="AEL6" s="133"/>
      <c r="AEM6" s="133"/>
      <c r="AEN6" s="133"/>
      <c r="AEO6" s="133"/>
      <c r="AEP6" s="133"/>
      <c r="AEQ6" s="133"/>
      <c r="AER6" s="133"/>
      <c r="AES6" s="133"/>
      <c r="AET6" s="133"/>
      <c r="AEU6" s="133"/>
      <c r="AEV6" s="133"/>
      <c r="AEW6" s="133"/>
      <c r="AEX6" s="133"/>
      <c r="AFB6" s="221" t="s">
        <v>3</v>
      </c>
      <c r="AFC6" s="230" t="s">
        <v>362</v>
      </c>
      <c r="AFD6" s="1512"/>
      <c r="AFE6" s="157">
        <v>1</v>
      </c>
      <c r="AFF6" s="133"/>
      <c r="AGB6" s="221" t="s">
        <v>3</v>
      </c>
      <c r="AGC6" s="230" t="s">
        <v>362</v>
      </c>
      <c r="AGD6" s="1512"/>
      <c r="AGE6" s="157">
        <v>1</v>
      </c>
      <c r="AGF6" s="133"/>
      <c r="AHB6" s="221" t="s">
        <v>3</v>
      </c>
      <c r="AHC6" s="230" t="s">
        <v>362</v>
      </c>
      <c r="AHD6" s="1512"/>
      <c r="AHE6" s="157">
        <v>1</v>
      </c>
      <c r="AHF6" s="133"/>
      <c r="AIB6" s="221" t="s">
        <v>3</v>
      </c>
      <c r="AIC6" s="230" t="s">
        <v>362</v>
      </c>
      <c r="AID6" s="1512"/>
      <c r="AIE6" s="157">
        <v>1</v>
      </c>
      <c r="AIF6" s="133"/>
      <c r="AJB6" s="221" t="s">
        <v>3</v>
      </c>
      <c r="AJC6" s="230" t="s">
        <v>362</v>
      </c>
      <c r="AJD6" s="1512"/>
      <c r="AJE6" s="157">
        <v>1</v>
      </c>
      <c r="AJF6" s="133"/>
      <c r="AKB6" s="221" t="s">
        <v>3</v>
      </c>
      <c r="AKC6" s="230" t="s">
        <v>362</v>
      </c>
      <c r="AKD6" s="1512"/>
      <c r="AKE6" s="157">
        <v>1</v>
      </c>
      <c r="AKF6" s="133"/>
      <c r="ALB6" s="221" t="s">
        <v>3</v>
      </c>
      <c r="ALC6" s="230" t="s">
        <v>362</v>
      </c>
      <c r="ALD6" s="1512"/>
      <c r="ALE6" s="157">
        <v>1</v>
      </c>
      <c r="ALF6" s="133"/>
      <c r="AMB6" s="221" t="s">
        <v>3</v>
      </c>
      <c r="AMC6" s="230" t="s">
        <v>362</v>
      </c>
      <c r="AMD6" s="1512"/>
      <c r="AME6" s="157">
        <v>1</v>
      </c>
      <c r="AMF6" s="133"/>
      <c r="ANB6" s="221" t="s">
        <v>3</v>
      </c>
      <c r="ANC6" s="230" t="s">
        <v>362</v>
      </c>
      <c r="AND6" s="1512"/>
      <c r="ANE6" s="157">
        <v>1</v>
      </c>
      <c r="ANF6" s="133"/>
      <c r="ANG6" s="133"/>
      <c r="ANH6" s="133"/>
      <c r="ANI6" s="133"/>
      <c r="ANJ6" s="133"/>
      <c r="ANK6" s="133"/>
      <c r="ANL6" s="133"/>
      <c r="ANM6" s="133"/>
      <c r="ANN6" s="133"/>
      <c r="ANO6" s="133"/>
      <c r="ANP6" s="133"/>
      <c r="ANQ6" s="133"/>
      <c r="ANR6" s="133"/>
      <c r="ANS6" s="133"/>
      <c r="ANT6" s="133"/>
      <c r="ANU6" s="133"/>
      <c r="ANV6" s="133"/>
      <c r="ANW6" s="133"/>
      <c r="ANX6" s="133"/>
      <c r="ANY6" s="133"/>
      <c r="ANZ6" s="133"/>
      <c r="AOB6" s="2534"/>
      <c r="AOC6" s="2549"/>
      <c r="AOD6" s="2533"/>
      <c r="AOE6" s="2551"/>
      <c r="AOF6" s="2551"/>
      <c r="AOG6" s="1178"/>
      <c r="AOH6" s="133"/>
      <c r="AOI6" s="133"/>
      <c r="AOJ6" s="133"/>
      <c r="AOK6" s="133"/>
      <c r="AOL6" s="133"/>
      <c r="AOM6" s="133"/>
      <c r="AON6" s="133"/>
      <c r="AOO6" s="133"/>
      <c r="AOP6" s="133"/>
      <c r="AOQ6" s="133"/>
      <c r="AOR6" s="133"/>
      <c r="AOS6" s="133"/>
      <c r="AOT6" s="133"/>
      <c r="AOU6" s="133"/>
      <c r="AOV6" s="133"/>
      <c r="AOW6" s="133"/>
      <c r="AOX6" s="133"/>
      <c r="AOY6" s="133"/>
      <c r="AOZ6" s="133"/>
      <c r="APB6" s="2534"/>
      <c r="APC6" s="2549"/>
      <c r="APD6" s="2533"/>
      <c r="APE6" s="2546"/>
      <c r="APF6" s="2546"/>
      <c r="APG6" s="2546"/>
      <c r="AQA6" s="221" t="s">
        <v>383</v>
      </c>
      <c r="AQB6" s="230" t="s">
        <v>4491</v>
      </c>
      <c r="AQC6" s="1511" t="s">
        <v>4504</v>
      </c>
      <c r="AQD6" s="985">
        <v>1</v>
      </c>
      <c r="AQE6" s="1505" t="s">
        <v>4497</v>
      </c>
      <c r="AQF6" s="1505"/>
      <c r="AQG6" s="1505"/>
      <c r="AQZ6" s="1109" t="s">
        <v>7744</v>
      </c>
      <c r="ARA6" s="2481" t="s">
        <v>7745</v>
      </c>
      <c r="ARB6" s="2484"/>
      <c r="ARC6" s="2483"/>
      <c r="ARD6" s="1152" t="s">
        <v>7746</v>
      </c>
      <c r="ARE6" s="1684" t="s">
        <v>7775</v>
      </c>
      <c r="ARF6" s="1594"/>
      <c r="ATA6" s="221" t="s">
        <v>6058</v>
      </c>
      <c r="ATB6" s="230" t="s">
        <v>4543</v>
      </c>
      <c r="ATC6" s="1512"/>
      <c r="ATD6" s="985">
        <v>2</v>
      </c>
      <c r="ATE6" s="1711" t="s">
        <v>6878</v>
      </c>
      <c r="ATF6" s="1711"/>
      <c r="ATG6" s="1711"/>
      <c r="ATH6" s="1711"/>
      <c r="AUA6" s="989" t="s">
        <v>6407</v>
      </c>
      <c r="AUB6" s="1033" t="s">
        <v>1133</v>
      </c>
      <c r="AUC6" s="1498"/>
      <c r="AUD6" s="985">
        <v>2</v>
      </c>
      <c r="AUE6" s="1679" t="s">
        <v>6896</v>
      </c>
      <c r="AUF6" s="1679"/>
      <c r="AUG6" s="1679"/>
      <c r="AUH6" s="1679"/>
      <c r="AVA6" s="1173" t="s">
        <v>3</v>
      </c>
      <c r="AVB6" s="1033" t="s">
        <v>1133</v>
      </c>
      <c r="AVC6" s="1511" t="s">
        <v>6622</v>
      </c>
      <c r="AVD6" s="157">
        <v>2</v>
      </c>
      <c r="AVE6" s="1671" t="s">
        <v>6620</v>
      </c>
      <c r="AVF6" s="1671"/>
      <c r="AWA6" s="252"/>
      <c r="AWC6" s="237"/>
      <c r="AWD6" s="133"/>
      <c r="AWE6" s="133"/>
      <c r="AXA6" s="1031" t="s">
        <v>3304</v>
      </c>
      <c r="AXB6" s="1537" t="s">
        <v>5412</v>
      </c>
      <c r="AXC6" s="1538"/>
      <c r="AXE6" s="1512"/>
      <c r="AXF6" s="157">
        <v>2</v>
      </c>
      <c r="AXG6" s="831" t="s">
        <v>4556</v>
      </c>
      <c r="AYA6" s="221" t="s">
        <v>4</v>
      </c>
      <c r="AYB6" s="230" t="s">
        <v>362</v>
      </c>
      <c r="AYC6" s="1512"/>
      <c r="AYD6" s="157">
        <v>2</v>
      </c>
      <c r="AYE6" s="133"/>
      <c r="AZA6" s="221" t="s">
        <v>4</v>
      </c>
      <c r="AZB6" s="230" t="s">
        <v>362</v>
      </c>
      <c r="AZC6" s="1577"/>
      <c r="AZD6" s="157">
        <v>2</v>
      </c>
      <c r="AZE6" s="133"/>
      <c r="BAA6" s="221" t="s">
        <v>975</v>
      </c>
      <c r="BAB6" s="1248" t="s">
        <v>5825</v>
      </c>
      <c r="BAC6" s="1729"/>
      <c r="BAD6" s="157" t="s">
        <v>6004</v>
      </c>
      <c r="BAE6" s="1545" t="s">
        <v>6671</v>
      </c>
      <c r="BAF6" s="1546"/>
      <c r="BBA6" s="221" t="s">
        <v>6691</v>
      </c>
      <c r="BBB6" s="1256" t="s">
        <v>6723</v>
      </c>
      <c r="BBC6" s="1512"/>
      <c r="BBD6" s="157">
        <v>2</v>
      </c>
      <c r="BBE6" s="1667" t="s">
        <v>6730</v>
      </c>
      <c r="BBF6" s="1668"/>
      <c r="BCA6" s="221" t="s">
        <v>36</v>
      </c>
      <c r="BCB6" s="1111" t="s">
        <v>6737</v>
      </c>
      <c r="BCC6" s="1262"/>
      <c r="BCD6" s="1577"/>
      <c r="BCE6" s="1706"/>
      <c r="BCF6" s="934">
        <v>2</v>
      </c>
      <c r="BCG6" s="1547" t="s">
        <v>6740</v>
      </c>
      <c r="BCH6" s="1548"/>
      <c r="BDE6" s="221" t="s">
        <v>36</v>
      </c>
      <c r="BDF6" s="1067" t="s">
        <v>6737</v>
      </c>
      <c r="BDG6" s="1512"/>
      <c r="BDH6" s="1238"/>
      <c r="BDI6" s="943">
        <v>2</v>
      </c>
      <c r="BDJ6" s="1547" t="s">
        <v>6757</v>
      </c>
      <c r="BDK6" s="1548"/>
      <c r="BEA6" s="221" t="s">
        <v>36</v>
      </c>
      <c r="BEB6" s="1067" t="s">
        <v>6737</v>
      </c>
      <c r="BEC6" s="1512"/>
      <c r="BED6" s="157">
        <v>2</v>
      </c>
      <c r="BEE6" s="1550" t="s">
        <v>4663</v>
      </c>
      <c r="BEF6" s="1551"/>
      <c r="BFA6" s="221" t="s">
        <v>4671</v>
      </c>
      <c r="BFB6" s="230" t="s">
        <v>4674</v>
      </c>
      <c r="BFC6" s="1258"/>
      <c r="BFD6" s="157">
        <v>2</v>
      </c>
      <c r="BFE6" s="1707" t="s">
        <v>6699</v>
      </c>
      <c r="BFF6" s="1707"/>
      <c r="BFG6" s="1707"/>
      <c r="BFH6" s="1707"/>
      <c r="BFI6" s="1707"/>
      <c r="BGA6" s="346" t="s">
        <v>36</v>
      </c>
      <c r="BGB6" s="1275" t="s">
        <v>6794</v>
      </c>
      <c r="BGC6" s="1512"/>
      <c r="BGD6" s="157">
        <v>2</v>
      </c>
      <c r="BGE6" s="1707" t="s">
        <v>6796</v>
      </c>
      <c r="BGF6" s="1707"/>
      <c r="BGG6" s="1707"/>
      <c r="BGH6" s="1707"/>
      <c r="BGI6" s="1707"/>
      <c r="BHA6" s="989" t="s">
        <v>6815</v>
      </c>
      <c r="BHB6" s="993" t="s">
        <v>4572</v>
      </c>
      <c r="BHC6" s="996"/>
      <c r="BHD6" s="225">
        <v>2</v>
      </c>
      <c r="BHE6" s="831"/>
      <c r="BIA6" s="989" t="s">
        <v>6810</v>
      </c>
      <c r="BIB6" s="992" t="s">
        <v>1133</v>
      </c>
      <c r="BIC6" s="1509"/>
      <c r="BID6" s="225">
        <v>2</v>
      </c>
      <c r="BIE6" s="178"/>
      <c r="BJA6" s="221" t="s">
        <v>4566</v>
      </c>
      <c r="BJB6" s="230" t="s">
        <v>4674</v>
      </c>
      <c r="BJC6" s="1512"/>
      <c r="BJD6" s="157">
        <v>2</v>
      </c>
      <c r="BJE6" s="1504" t="s">
        <v>4708</v>
      </c>
      <c r="BJF6" s="1505"/>
      <c r="BJG6" s="1505"/>
      <c r="BJH6" s="1505"/>
      <c r="BJI6" s="1505"/>
      <c r="BKA6" s="221" t="s">
        <v>4746</v>
      </c>
      <c r="BKB6" s="230" t="s">
        <v>396</v>
      </c>
      <c r="BKC6" s="1512"/>
      <c r="BKD6" s="157">
        <v>2</v>
      </c>
      <c r="BKE6" s="1504" t="s">
        <v>4711</v>
      </c>
      <c r="BKF6" s="1505"/>
      <c r="BKG6" s="1505"/>
      <c r="BKH6" s="1505"/>
      <c r="BKI6" s="1505"/>
      <c r="BLA6" s="221" t="s">
        <v>3</v>
      </c>
      <c r="BLB6" s="230" t="s">
        <v>362</v>
      </c>
      <c r="BLC6" s="1512"/>
      <c r="BLD6" s="157">
        <v>1</v>
      </c>
      <c r="BLE6" t="s">
        <v>5848</v>
      </c>
      <c r="BMA6" s="239" t="s">
        <v>4821</v>
      </c>
      <c r="BMB6" s="1019" t="s">
        <v>365</v>
      </c>
      <c r="BMC6" s="1512"/>
      <c r="BMD6" s="1020">
        <v>1</v>
      </c>
      <c r="BME6" s="133"/>
      <c r="BNA6" s="239" t="s">
        <v>4821</v>
      </c>
      <c r="BNB6" s="1019" t="s">
        <v>365</v>
      </c>
      <c r="BNC6" s="1512"/>
      <c r="BND6" s="1022">
        <v>1</v>
      </c>
      <c r="BNE6" s="171"/>
      <c r="BNF6" s="170"/>
      <c r="BNG6" s="170"/>
      <c r="BNH6" s="170"/>
      <c r="BNI6" s="170"/>
      <c r="BNJ6" s="170"/>
      <c r="BNK6" s="170"/>
      <c r="BOA6" s="221" t="s">
        <v>3</v>
      </c>
      <c r="BOB6" s="230" t="s">
        <v>362</v>
      </c>
      <c r="BOC6" s="1512"/>
      <c r="BOD6" s="186">
        <v>1</v>
      </c>
      <c r="BPA6" s="221" t="s">
        <v>3</v>
      </c>
      <c r="BPB6" s="230" t="s">
        <v>362</v>
      </c>
      <c r="BPC6" s="1509"/>
      <c r="BPD6" s="186">
        <v>1</v>
      </c>
      <c r="BQA6" s="221" t="s">
        <v>3</v>
      </c>
      <c r="BQB6" s="230" t="s">
        <v>362</v>
      </c>
      <c r="BQC6" s="1512"/>
      <c r="BQD6" s="186">
        <v>1</v>
      </c>
      <c r="BRA6" s="239" t="s">
        <v>4983</v>
      </c>
      <c r="BRB6" s="230" t="s">
        <v>365</v>
      </c>
      <c r="BRC6" s="1512"/>
      <c r="BRD6" s="1020">
        <v>1</v>
      </c>
      <c r="BRE6" t="s">
        <v>5027</v>
      </c>
      <c r="BWA6" s="1175" t="s">
        <v>6365</v>
      </c>
      <c r="BWB6" s="1183" t="s">
        <v>6348</v>
      </c>
      <c r="BWC6" s="1183" t="s">
        <v>4549</v>
      </c>
      <c r="BWD6" s="1183" t="s">
        <v>4550</v>
      </c>
      <c r="BWE6" s="1183" t="s">
        <v>4551</v>
      </c>
      <c r="BWF6" s="1183" t="s">
        <v>4552</v>
      </c>
      <c r="BWG6" s="1183" t="s">
        <v>6349</v>
      </c>
      <c r="BWH6" s="1183" t="s">
        <v>6350</v>
      </c>
      <c r="BWI6" s="1183" t="s">
        <v>6351</v>
      </c>
      <c r="BWJ6" s="235">
        <v>2</v>
      </c>
      <c r="BWK6" s="1178" t="s">
        <v>6344</v>
      </c>
      <c r="BXA6" s="989" t="s">
        <v>4571</v>
      </c>
      <c r="BXB6" s="1098" t="s">
        <v>4572</v>
      </c>
      <c r="BXC6" s="1498"/>
      <c r="BXD6" s="157">
        <v>2</v>
      </c>
      <c r="BXE6" s="831"/>
      <c r="BXX6" s="170"/>
      <c r="BXY6" s="170"/>
      <c r="BXZ6" s="170"/>
      <c r="BYA6" s="221" t="s">
        <v>5812</v>
      </c>
      <c r="BYB6" s="1119" t="s">
        <v>6439</v>
      </c>
      <c r="BYC6" s="1520"/>
      <c r="BYD6" s="157">
        <v>2</v>
      </c>
      <c r="BYE6" s="1526" t="s">
        <v>6391</v>
      </c>
      <c r="BYF6" s="1527"/>
      <c r="BYG6" s="1527"/>
      <c r="BYH6" s="170"/>
      <c r="BYI6" s="170"/>
      <c r="BYJ6" s="170"/>
      <c r="BYK6" s="170"/>
      <c r="BYL6" s="170"/>
      <c r="BYM6" s="170"/>
      <c r="BYN6" s="170"/>
      <c r="BYO6" s="170"/>
      <c r="BYP6" s="170"/>
      <c r="BYQ6" s="170"/>
      <c r="BYR6" s="170"/>
      <c r="BYS6" s="170"/>
      <c r="BYT6" s="170"/>
      <c r="BYU6" s="170"/>
      <c r="BYV6" s="170"/>
      <c r="BYW6" s="170"/>
      <c r="BYX6" s="170"/>
      <c r="BYY6" s="170"/>
      <c r="BYZ6" s="170"/>
      <c r="BZA6" s="170"/>
      <c r="BZB6" s="170"/>
      <c r="BZC6" s="170"/>
      <c r="BZD6" s="170"/>
      <c r="BZE6" s="170"/>
      <c r="BZF6" s="170"/>
      <c r="BZG6" s="170"/>
      <c r="BZH6" s="170"/>
      <c r="BZI6" s="170"/>
      <c r="BZJ6" s="170"/>
      <c r="BZK6" s="170"/>
      <c r="BZL6" s="170"/>
      <c r="BZM6" s="170"/>
      <c r="BZN6" s="170"/>
      <c r="BZO6" s="170"/>
      <c r="BZP6" s="170"/>
      <c r="BZQ6" s="170"/>
      <c r="BZR6" s="170"/>
      <c r="BZS6" s="170"/>
      <c r="BZT6" s="170"/>
      <c r="BZU6" s="170"/>
      <c r="BZV6" s="170"/>
      <c r="BZW6" s="170"/>
      <c r="BZX6" s="170"/>
      <c r="BZY6" s="170"/>
      <c r="BZZ6" s="170"/>
      <c r="CAA6" s="170"/>
      <c r="CAB6" s="170"/>
      <c r="CAC6" s="170"/>
      <c r="CAD6" s="170"/>
      <c r="CAE6" s="170"/>
      <c r="CAF6" s="170"/>
      <c r="CAG6" s="170"/>
      <c r="CAH6" s="170"/>
      <c r="CAI6" s="170"/>
      <c r="CAJ6" s="170"/>
      <c r="CAK6" s="170"/>
      <c r="CAL6" s="170"/>
      <c r="CAM6" s="170"/>
      <c r="CAN6" s="170"/>
      <c r="CAO6" s="170"/>
      <c r="CAP6" s="170"/>
      <c r="CAQ6" s="170"/>
      <c r="CAR6" s="170"/>
      <c r="CAS6" s="170"/>
      <c r="CAT6" s="170"/>
      <c r="CAU6" s="170"/>
      <c r="CAV6" s="170"/>
      <c r="CAW6" s="170"/>
      <c r="CAX6" s="170"/>
      <c r="CAY6" s="170"/>
      <c r="CAZ6" s="170"/>
      <c r="CBA6" s="170"/>
      <c r="CBB6" s="170"/>
      <c r="CBC6" s="170"/>
      <c r="CBD6" s="170"/>
      <c r="CBE6" s="170"/>
      <c r="CBF6" s="170"/>
      <c r="CBG6" s="170"/>
      <c r="CBH6" s="170"/>
      <c r="CBI6" s="170"/>
      <c r="CBJ6" s="170"/>
      <c r="CBK6" s="170"/>
      <c r="CBL6" s="170"/>
      <c r="CBM6" s="170"/>
      <c r="CBN6" s="170"/>
      <c r="CBO6" s="170"/>
      <c r="CBP6" s="170"/>
      <c r="CBQ6" s="170"/>
      <c r="CBR6" s="170"/>
      <c r="CBS6" s="170"/>
      <c r="CBT6" s="170"/>
      <c r="CBU6" s="170"/>
      <c r="CBV6" s="170"/>
      <c r="CBW6" s="170"/>
      <c r="CBX6" s="170"/>
      <c r="CBY6" s="170"/>
      <c r="CBZ6" s="170"/>
      <c r="CCA6" s="170"/>
      <c r="CCB6" s="170"/>
      <c r="CCC6" s="170"/>
      <c r="CCD6" s="170"/>
      <c r="CCE6" s="170"/>
      <c r="CCF6" s="170"/>
      <c r="CCG6" s="170"/>
      <c r="CCH6" s="170"/>
      <c r="CCI6" s="170"/>
      <c r="CCJ6" s="170"/>
      <c r="CCK6" s="170"/>
      <c r="CCL6" s="170"/>
      <c r="CCM6" s="170"/>
      <c r="CCN6" s="170"/>
      <c r="CCO6" s="170"/>
      <c r="CCP6" s="170"/>
      <c r="CCQ6" s="170"/>
      <c r="CCR6" s="170"/>
      <c r="CCS6" s="170"/>
      <c r="CCT6" s="170"/>
      <c r="CCU6" s="170"/>
      <c r="CCV6" s="170"/>
      <c r="CCW6" s="170"/>
      <c r="CCX6" s="170"/>
      <c r="CCY6" s="170"/>
      <c r="CCZ6" s="170"/>
      <c r="CDA6" s="170"/>
      <c r="CDB6" s="170"/>
      <c r="CDC6" s="170"/>
      <c r="CDD6" s="170"/>
      <c r="CDE6" s="170"/>
      <c r="CDF6" s="170"/>
      <c r="CDG6" s="170"/>
      <c r="CDH6" s="170"/>
      <c r="CDI6" s="170"/>
      <c r="CDJ6" s="170"/>
      <c r="CDK6" s="170"/>
      <c r="CDL6" s="170"/>
      <c r="CDM6" s="170"/>
      <c r="CDN6" s="170"/>
      <c r="CDO6" s="170"/>
      <c r="CDP6" s="170"/>
      <c r="CDQ6" s="170"/>
      <c r="CDR6" s="170"/>
      <c r="CDS6" s="170"/>
      <c r="CDT6" s="170"/>
      <c r="CDU6" s="170"/>
      <c r="CDV6" s="170"/>
      <c r="CDW6" s="170"/>
      <c r="CDX6" s="170"/>
      <c r="CDY6" s="170"/>
      <c r="CDZ6" s="170"/>
      <c r="CEA6" s="170"/>
      <c r="CEB6" s="170"/>
      <c r="CEC6" s="170"/>
      <c r="CED6" s="170"/>
      <c r="CEE6" s="170"/>
      <c r="CEF6" s="170"/>
      <c r="CEG6" s="170"/>
      <c r="CEH6" s="170"/>
      <c r="CEI6" s="170"/>
      <c r="CEJ6" s="170"/>
      <c r="CEK6" s="170"/>
      <c r="CEL6" s="170"/>
      <c r="CEM6" s="170"/>
      <c r="CEN6" s="170"/>
      <c r="CEO6" s="170"/>
      <c r="CEP6" s="170"/>
      <c r="CEQ6" s="170"/>
      <c r="CER6" s="170"/>
      <c r="CES6" s="170"/>
      <c r="CET6" s="170"/>
      <c r="CEU6" s="170"/>
      <c r="CEV6" s="170"/>
      <c r="CEW6" s="170"/>
      <c r="CEX6" s="170"/>
      <c r="CEY6" s="170"/>
      <c r="CEZ6" s="170"/>
      <c r="CFA6" s="170"/>
      <c r="CFB6" s="170"/>
      <c r="CFC6" s="170"/>
      <c r="CFD6" s="170"/>
      <c r="CFE6" s="170"/>
      <c r="CFF6" s="170"/>
      <c r="CFG6" s="170"/>
      <c r="CFH6" s="170"/>
      <c r="CFI6" s="170"/>
      <c r="CFJ6" s="170"/>
      <c r="CFK6" s="170"/>
      <c r="CFL6" s="170"/>
      <c r="CFM6" s="170"/>
      <c r="CFN6" s="170"/>
      <c r="CFO6" s="170"/>
      <c r="CFP6" s="170"/>
      <c r="CFQ6" s="170"/>
      <c r="CFR6" s="170"/>
      <c r="CFS6" s="170"/>
      <c r="CFT6" s="170"/>
      <c r="CFU6" s="170"/>
      <c r="CFV6" s="170"/>
      <c r="CFW6" s="170"/>
      <c r="CFX6" s="170"/>
      <c r="CFY6" s="170"/>
      <c r="CFZ6" s="170"/>
      <c r="CGA6" s="170"/>
      <c r="CGB6" s="170"/>
      <c r="CGC6" s="170"/>
      <c r="CGD6" s="170"/>
      <c r="CGE6" s="170"/>
      <c r="CGF6" s="170"/>
      <c r="CGG6" s="170"/>
      <c r="CGH6" s="170"/>
      <c r="CGI6" s="170"/>
      <c r="CGJ6" s="170"/>
      <c r="CGK6" s="170"/>
      <c r="CGL6" s="170"/>
      <c r="CGM6" s="170"/>
      <c r="CGN6" s="170"/>
      <c r="CGO6" s="170"/>
      <c r="CGP6" s="170"/>
      <c r="CGQ6" s="170"/>
      <c r="CGR6" s="170"/>
      <c r="CGS6" s="170"/>
      <c r="CGT6" s="170"/>
      <c r="CGU6" s="170"/>
      <c r="CGV6" s="170"/>
      <c r="CGW6" s="170"/>
      <c r="CGX6" s="170"/>
      <c r="CGY6" s="170"/>
      <c r="CGZ6" s="170"/>
      <c r="CHA6" s="170"/>
      <c r="CHB6" s="170"/>
      <c r="CHC6" s="170"/>
      <c r="CHD6" s="170"/>
      <c r="CHE6" s="170"/>
      <c r="CHF6" s="170"/>
      <c r="CHG6" s="170"/>
      <c r="CHH6" s="170"/>
      <c r="CHI6" s="170"/>
      <c r="CHJ6" s="170"/>
      <c r="CHK6" s="170"/>
      <c r="CHL6" s="170"/>
      <c r="CHM6" s="170"/>
      <c r="CHN6" s="170"/>
      <c r="CHO6" s="170"/>
      <c r="CHP6" s="170"/>
      <c r="CHQ6" s="170"/>
      <c r="CHR6" s="170"/>
      <c r="CHS6" s="170"/>
      <c r="CHT6" s="170"/>
      <c r="CHU6" s="170"/>
      <c r="CHV6" s="170"/>
      <c r="CHW6" s="170"/>
      <c r="CHX6" s="170"/>
      <c r="CHY6" s="170"/>
      <c r="CHZ6" s="170"/>
      <c r="CIA6" s="170"/>
      <c r="CIB6" s="170"/>
      <c r="CIC6" s="170"/>
      <c r="CID6" s="170"/>
      <c r="CIE6" s="170"/>
      <c r="CIF6" s="170"/>
      <c r="CIG6" s="170"/>
      <c r="CIH6" s="170"/>
      <c r="CII6" s="170"/>
      <c r="CIJ6" s="170"/>
      <c r="CIK6" s="170"/>
      <c r="CIL6" s="170"/>
      <c r="CIM6" s="170"/>
      <c r="CIN6" s="170"/>
      <c r="CIO6" s="170"/>
      <c r="CIP6" s="170"/>
      <c r="CIQ6" s="170"/>
      <c r="CIR6" s="170"/>
      <c r="CIS6" s="170"/>
      <c r="CIT6" s="170"/>
      <c r="CIU6" s="170"/>
      <c r="CIV6" s="170"/>
      <c r="CIW6" s="170"/>
      <c r="CIX6" s="170"/>
      <c r="CIY6" s="170"/>
      <c r="CIZ6" s="170"/>
      <c r="CJA6" s="170"/>
      <c r="CJB6" s="170"/>
      <c r="CJC6" s="170"/>
      <c r="CJD6" s="170"/>
      <c r="CJE6" s="170"/>
      <c r="CJF6" s="170"/>
      <c r="CJG6" s="170"/>
      <c r="CJH6" s="170"/>
      <c r="CJI6" s="170"/>
      <c r="CJJ6" s="170"/>
      <c r="CJK6" s="170"/>
      <c r="CJL6" s="170"/>
      <c r="CJM6" s="170"/>
      <c r="CJN6" s="170"/>
      <c r="CJO6" s="170"/>
      <c r="CJP6" s="170"/>
      <c r="CJQ6" s="170"/>
      <c r="CJR6" s="170"/>
      <c r="CJS6" s="170"/>
      <c r="CJT6" s="170"/>
      <c r="CJU6" s="170"/>
      <c r="CJV6" s="170"/>
      <c r="CJW6" s="170"/>
      <c r="CJX6" s="170"/>
      <c r="CJY6" s="170"/>
      <c r="CJZ6" s="170"/>
      <c r="CKA6" s="170"/>
      <c r="CKB6" s="170"/>
      <c r="CKC6" s="170"/>
      <c r="CKD6" s="170"/>
      <c r="CKE6" s="170"/>
      <c r="CKF6" s="170"/>
      <c r="CKG6" s="170"/>
      <c r="CKH6" s="170"/>
      <c r="CKI6" s="170"/>
      <c r="CKJ6" s="170"/>
      <c r="CKK6" s="170"/>
      <c r="CKL6" s="170"/>
      <c r="CKM6" s="170"/>
      <c r="CKN6" s="170"/>
      <c r="CKO6" s="170"/>
      <c r="CKP6" s="170"/>
      <c r="CKQ6" s="170"/>
      <c r="CKR6" s="170"/>
      <c r="CKS6" s="170"/>
      <c r="CKT6" s="170"/>
      <c r="CKU6" s="170"/>
      <c r="CKV6" s="170"/>
      <c r="CKW6" s="170"/>
      <c r="CKX6" s="170"/>
      <c r="CKY6" s="170"/>
      <c r="CKZ6" s="170"/>
      <c r="CLA6" s="170"/>
      <c r="CLB6" s="170"/>
      <c r="CLC6" s="170"/>
      <c r="CLD6" s="170"/>
      <c r="CLE6" s="170"/>
      <c r="CLF6" s="170"/>
      <c r="CLG6" s="170"/>
      <c r="CLH6" s="170"/>
      <c r="CLI6" s="170"/>
      <c r="CLJ6" s="170"/>
      <c r="CLK6" s="170"/>
      <c r="CLL6" s="170"/>
      <c r="CLM6" s="170"/>
      <c r="CLN6" s="170"/>
      <c r="CLO6" s="170"/>
      <c r="CLP6" s="170"/>
      <c r="CLQ6" s="170"/>
      <c r="CLR6" s="170"/>
      <c r="CLS6" s="170"/>
      <c r="CLT6" s="170"/>
      <c r="CLU6" s="170"/>
      <c r="CLV6" s="170"/>
      <c r="CLW6" s="170"/>
      <c r="CLX6" s="170"/>
      <c r="CLY6" s="170"/>
      <c r="CLZ6" s="170"/>
      <c r="CMA6" s="170"/>
      <c r="CMB6" s="170"/>
      <c r="CMC6" s="170"/>
      <c r="CMD6" s="170"/>
      <c r="CME6" s="170"/>
      <c r="CMF6" s="170"/>
      <c r="CMG6" s="170"/>
      <c r="CMH6" s="170"/>
      <c r="CMI6" s="170"/>
      <c r="CMJ6" s="170"/>
      <c r="CMK6" s="170"/>
      <c r="CML6" s="170"/>
      <c r="CMM6" s="170"/>
      <c r="CMN6" s="170"/>
      <c r="CMO6" s="170"/>
      <c r="CMP6" s="170"/>
      <c r="CMQ6" s="170"/>
      <c r="CMR6" s="170"/>
      <c r="CMS6" s="170"/>
      <c r="CMT6" s="170"/>
      <c r="CMU6" s="170"/>
      <c r="CMV6" s="170"/>
      <c r="CMW6" s="170"/>
      <c r="CMX6" s="170"/>
      <c r="CMY6" s="170"/>
      <c r="CMZ6" s="170"/>
      <c r="CNA6" s="170"/>
      <c r="CNB6" s="170"/>
      <c r="CNC6" s="170"/>
      <c r="CND6" s="170"/>
      <c r="CNE6" s="170"/>
      <c r="CNF6" s="170"/>
      <c r="CNG6" s="170"/>
      <c r="CNH6" s="170"/>
      <c r="CNI6" s="170"/>
      <c r="CNJ6" s="170"/>
      <c r="CNK6" s="170"/>
      <c r="CNL6" s="170"/>
      <c r="CNM6" s="170"/>
      <c r="CNN6" s="170"/>
      <c r="CNO6" s="170"/>
      <c r="CNP6" s="170"/>
      <c r="CNQ6" s="170"/>
      <c r="CNR6" s="170"/>
      <c r="CNS6" s="170"/>
      <c r="CNT6" s="170"/>
      <c r="CNU6" s="170"/>
      <c r="CNV6" s="170"/>
      <c r="CNW6" s="170"/>
      <c r="CNX6" s="170"/>
      <c r="CNY6" s="170"/>
      <c r="CNZ6" s="170"/>
      <c r="COA6" s="170"/>
      <c r="COB6" s="170"/>
      <c r="COC6" s="170"/>
      <c r="COD6" s="170"/>
      <c r="COE6" s="170"/>
      <c r="COF6" s="170"/>
      <c r="COG6" s="170"/>
      <c r="COH6" s="170"/>
      <c r="COI6" s="170"/>
      <c r="COJ6" s="170"/>
      <c r="COK6" s="170"/>
      <c r="COL6" s="170"/>
      <c r="COM6" s="170"/>
      <c r="CON6" s="170"/>
      <c r="COO6" s="170"/>
      <c r="COP6" s="170"/>
      <c r="COQ6" s="170"/>
      <c r="COR6" s="170"/>
      <c r="COS6" s="170"/>
      <c r="COT6" s="170"/>
      <c r="COU6" s="170"/>
      <c r="COV6" s="170"/>
      <c r="COW6" s="170"/>
      <c r="COX6" s="170"/>
      <c r="COY6" s="170"/>
      <c r="COZ6" s="170"/>
      <c r="CPA6" s="170"/>
      <c r="CPB6" s="170"/>
      <c r="CPC6" s="170"/>
      <c r="CPD6" s="170"/>
      <c r="CPE6" s="170"/>
      <c r="CPF6" s="170"/>
      <c r="CPG6" s="170"/>
      <c r="CPH6" s="170"/>
      <c r="CPI6" s="170"/>
      <c r="CPJ6" s="170"/>
      <c r="CPK6" s="170"/>
      <c r="CPL6" s="170"/>
      <c r="CPM6" s="170"/>
      <c r="CPN6" s="170"/>
      <c r="CPO6" s="170"/>
      <c r="CPP6" s="170"/>
      <c r="CPQ6" s="170"/>
      <c r="CPR6" s="170"/>
      <c r="CPS6" s="170"/>
      <c r="CPT6" s="170"/>
      <c r="CPU6" s="170"/>
      <c r="CPV6" s="170"/>
      <c r="CPW6" s="170"/>
      <c r="CPX6" s="170"/>
      <c r="CPY6" s="170"/>
      <c r="CPZ6" s="170"/>
      <c r="CQA6" s="170"/>
      <c r="CQB6" s="170"/>
      <c r="CQC6" s="170"/>
      <c r="CQD6" s="170"/>
      <c r="CQE6" s="170"/>
      <c r="CQF6" s="170"/>
      <c r="CQG6" s="170"/>
      <c r="CQH6" s="170"/>
      <c r="CQI6" s="170"/>
      <c r="CQJ6" s="170"/>
      <c r="CQK6" s="170"/>
      <c r="CQL6" s="170"/>
      <c r="CQM6" s="170"/>
      <c r="CQN6" s="170"/>
      <c r="CQO6" s="170"/>
      <c r="CQP6" s="170"/>
      <c r="CQQ6" s="170"/>
      <c r="CQR6" s="170"/>
      <c r="CQS6" s="170"/>
      <c r="CQT6" s="170"/>
      <c r="CQU6" s="170"/>
      <c r="CQV6" s="170"/>
      <c r="CQW6" s="170"/>
      <c r="CQX6" s="170"/>
      <c r="CQY6" s="170"/>
      <c r="CQZ6" s="170"/>
      <c r="CRA6" s="170"/>
      <c r="CRB6" s="170"/>
      <c r="CRC6" s="170"/>
      <c r="CRD6" s="170"/>
      <c r="CRE6" s="170"/>
      <c r="CRF6" s="170"/>
      <c r="CRG6" s="170"/>
      <c r="CRH6" s="170"/>
      <c r="CRI6" s="170"/>
      <c r="CRJ6" s="170"/>
      <c r="CRK6" s="170"/>
      <c r="CRL6" s="170"/>
      <c r="CRM6" s="170"/>
      <c r="CRN6" s="170"/>
      <c r="CRO6" s="170"/>
      <c r="CRP6" s="170"/>
      <c r="CRQ6" s="170"/>
      <c r="CRR6" s="170"/>
      <c r="CRS6" s="170"/>
      <c r="CRT6" s="170"/>
      <c r="CRU6" s="170"/>
      <c r="CRV6" s="170"/>
      <c r="CRW6" s="170"/>
      <c r="CRX6" s="170"/>
      <c r="CRY6" s="170"/>
      <c r="CRZ6" s="170"/>
      <c r="CSA6" s="170"/>
      <c r="CSB6" s="170"/>
      <c r="CSC6" s="170"/>
      <c r="CSD6" s="170"/>
      <c r="CSE6" s="170"/>
      <c r="CSF6" s="170"/>
      <c r="CSG6" s="170"/>
      <c r="CSH6" s="170"/>
      <c r="CSI6" s="170"/>
      <c r="CSJ6" s="170"/>
      <c r="CSK6" s="170"/>
      <c r="CSL6" s="170"/>
      <c r="CSM6" s="170"/>
      <c r="CSN6" s="170"/>
      <c r="CSO6" s="170"/>
      <c r="CSP6" s="170"/>
      <c r="CSQ6" s="170"/>
      <c r="CSR6" s="170"/>
      <c r="CSS6" s="170"/>
      <c r="CST6" s="170"/>
      <c r="CSU6" s="170"/>
      <c r="CSV6" s="170"/>
      <c r="CSW6" s="170"/>
      <c r="CSX6" s="170"/>
      <c r="CSY6" s="170"/>
      <c r="CSZ6" s="170"/>
      <c r="CTA6" s="170"/>
      <c r="CTB6" s="170"/>
      <c r="CTC6" s="170"/>
      <c r="CTD6" s="170"/>
      <c r="CTE6" s="170"/>
      <c r="CTF6" s="170"/>
      <c r="CTG6" s="170"/>
      <c r="CTH6" s="170"/>
      <c r="CTI6" s="170"/>
      <c r="CTJ6" s="170"/>
      <c r="CTK6" s="170"/>
      <c r="CTL6" s="170"/>
      <c r="CTM6" s="170"/>
      <c r="CTN6" s="170"/>
      <c r="CTO6" s="170"/>
      <c r="CTP6" s="170"/>
      <c r="CTQ6" s="170"/>
      <c r="CTR6" s="170"/>
      <c r="CTS6" s="170"/>
      <c r="CTT6" s="170"/>
      <c r="CTU6" s="170"/>
      <c r="CTV6" s="170"/>
      <c r="CTW6" s="170"/>
      <c r="CTX6" s="170"/>
      <c r="CTY6" s="170"/>
      <c r="CTZ6" s="170"/>
      <c r="CUA6" s="170"/>
      <c r="CUB6" s="170"/>
      <c r="CUC6" s="170"/>
      <c r="CUD6" s="170"/>
      <c r="CUE6" s="170"/>
      <c r="CUF6" s="170"/>
      <c r="CUG6" s="170"/>
      <c r="CUH6" s="170"/>
      <c r="CUI6" s="170"/>
      <c r="CUJ6" s="170"/>
      <c r="CUK6" s="170"/>
      <c r="CUL6" s="170"/>
      <c r="CUM6" s="170"/>
      <c r="CUN6" s="170"/>
      <c r="CUO6" s="170"/>
      <c r="CUP6" s="170"/>
      <c r="CUQ6" s="170"/>
      <c r="CUR6" s="170"/>
      <c r="CUS6" s="170"/>
      <c r="CUT6" s="170"/>
      <c r="CUU6" s="170"/>
      <c r="CUV6" s="170"/>
      <c r="CUW6" s="170"/>
      <c r="CUX6" s="170"/>
      <c r="CUY6" s="170"/>
      <c r="CUZ6" s="170"/>
      <c r="CVA6" s="170"/>
      <c r="CVB6" s="170"/>
      <c r="CVC6" s="170"/>
      <c r="CVD6" s="170"/>
      <c r="CVE6" s="170"/>
      <c r="CVF6" s="170"/>
      <c r="CVG6" s="170"/>
      <c r="CVH6" s="170"/>
      <c r="CVI6" s="170"/>
      <c r="CVJ6" s="170"/>
      <c r="CVK6" s="170"/>
      <c r="CVL6" s="170"/>
      <c r="CVM6" s="170"/>
      <c r="CVN6" s="170"/>
      <c r="CVO6" s="170"/>
      <c r="CVP6" s="170"/>
      <c r="CVQ6" s="170"/>
      <c r="CVR6" s="170"/>
      <c r="CVS6" s="170"/>
      <c r="CVT6" s="170"/>
      <c r="CVU6" s="170"/>
      <c r="CVV6" s="170"/>
      <c r="CVW6" s="170"/>
      <c r="CVX6" s="170"/>
      <c r="CVY6" s="170"/>
      <c r="CVZ6" s="170"/>
      <c r="CWA6" s="170"/>
      <c r="CWB6" s="170"/>
      <c r="CWC6" s="170"/>
      <c r="CWD6" s="170"/>
      <c r="CWE6" s="170"/>
      <c r="CWF6" s="170"/>
      <c r="CWG6" s="170"/>
      <c r="CWH6" s="170"/>
      <c r="CWI6" s="170"/>
      <c r="CWJ6" s="170"/>
      <c r="CWK6" s="170"/>
      <c r="CWL6" s="170"/>
      <c r="CWM6" s="170"/>
      <c r="CWN6" s="170"/>
      <c r="CWO6" s="170"/>
      <c r="CWP6" s="170"/>
      <c r="CWQ6" s="170"/>
      <c r="CWR6" s="170"/>
      <c r="CWS6" s="170"/>
      <c r="CWT6" s="170"/>
      <c r="CWU6" s="170"/>
      <c r="CWV6" s="170"/>
      <c r="CWW6" s="170"/>
      <c r="CWX6" s="170"/>
      <c r="CWY6" s="170"/>
      <c r="CWZ6" s="170"/>
      <c r="CXA6" s="170"/>
      <c r="CXB6" s="170"/>
      <c r="CXC6" s="170"/>
      <c r="CXD6" s="170"/>
      <c r="CXE6" s="170"/>
      <c r="CXF6" s="170"/>
      <c r="CXG6" s="170"/>
      <c r="CXH6" s="170"/>
      <c r="CXI6" s="170"/>
      <c r="CXJ6" s="170"/>
      <c r="CXK6" s="170"/>
      <c r="CXL6" s="170"/>
      <c r="CXM6" s="170"/>
      <c r="CXN6" s="170"/>
      <c r="CXO6" s="170"/>
      <c r="CXP6" s="170"/>
      <c r="CXQ6" s="170"/>
      <c r="CXR6" s="170"/>
      <c r="CXS6" s="170"/>
      <c r="CXT6" s="170"/>
      <c r="CXU6" s="170"/>
      <c r="CXV6" s="170"/>
      <c r="CXW6" s="170"/>
      <c r="CXX6" s="170"/>
      <c r="CXY6" s="170"/>
      <c r="CXZ6" s="170"/>
      <c r="CYA6" s="170"/>
      <c r="CYB6" s="170"/>
      <c r="CYC6" s="170"/>
      <c r="CYD6" s="170"/>
      <c r="CYE6" s="170"/>
      <c r="CYF6" s="170"/>
      <c r="CYG6" s="170"/>
      <c r="CYH6" s="170"/>
      <c r="CYI6" s="170"/>
      <c r="CYJ6" s="170"/>
      <c r="CYK6" s="170"/>
      <c r="CYL6" s="170"/>
      <c r="CYM6" s="170"/>
      <c r="CYN6" s="170"/>
      <c r="CYO6" s="170"/>
      <c r="CYP6" s="170"/>
      <c r="CYQ6" s="170"/>
      <c r="CYR6" s="170"/>
      <c r="CYS6" s="170"/>
      <c r="CYT6" s="170"/>
      <c r="CYU6" s="170"/>
      <c r="CYV6" s="170"/>
      <c r="CYW6" s="170"/>
      <c r="CYX6" s="170"/>
      <c r="CYY6" s="170"/>
      <c r="CYZ6" s="170"/>
      <c r="CZA6" s="170"/>
      <c r="CZB6" s="170"/>
      <c r="CZC6" s="170"/>
      <c r="CZD6" s="170"/>
      <c r="CZE6" s="170"/>
      <c r="CZF6" s="170"/>
      <c r="CZG6" s="170"/>
      <c r="CZH6" s="170"/>
      <c r="CZI6" s="170"/>
      <c r="CZJ6" s="170"/>
      <c r="CZK6" s="170"/>
      <c r="CZL6" s="170"/>
      <c r="CZM6" s="170"/>
      <c r="CZN6" s="170"/>
      <c r="CZO6" s="170"/>
      <c r="CZP6" s="170"/>
      <c r="CZQ6" s="170"/>
      <c r="CZR6" s="170"/>
      <c r="CZS6" s="170"/>
      <c r="CZT6" s="170"/>
      <c r="CZU6" s="170"/>
      <c r="CZV6" s="170"/>
      <c r="CZW6" s="170"/>
      <c r="CZX6" s="170"/>
      <c r="CZY6" s="170"/>
      <c r="CZZ6" s="170"/>
      <c r="DAA6" s="170"/>
      <c r="DAB6" s="170"/>
      <c r="DAC6" s="170"/>
      <c r="DAD6" s="170"/>
      <c r="DAE6" s="170"/>
      <c r="DAF6" s="170"/>
      <c r="DAG6" s="170"/>
      <c r="DAH6" s="170"/>
      <c r="DAI6" s="170"/>
      <c r="DAJ6" s="170"/>
      <c r="DAK6" s="170"/>
      <c r="DAL6" s="170"/>
      <c r="DAM6" s="170"/>
      <c r="DAN6" s="170"/>
      <c r="DAO6" s="170"/>
      <c r="DAP6" s="170"/>
      <c r="DAQ6" s="170"/>
      <c r="DAR6" s="170"/>
      <c r="DAS6" s="170"/>
      <c r="DAT6" s="170"/>
      <c r="DAU6" s="170"/>
      <c r="DAV6" s="170"/>
      <c r="DAW6" s="170"/>
      <c r="DAX6" s="170"/>
      <c r="DAY6" s="170"/>
      <c r="DAZ6" s="170"/>
      <c r="DBA6" s="170"/>
      <c r="DBB6" s="170"/>
      <c r="DCA6" t="s">
        <v>7125</v>
      </c>
      <c r="DCB6" t="s">
        <v>7126</v>
      </c>
      <c r="DDA6" s="221" t="s">
        <v>5812</v>
      </c>
      <c r="DDB6" s="1119" t="s">
        <v>6439</v>
      </c>
      <c r="DDC6" s="1520"/>
      <c r="DDD6" s="157">
        <v>2</v>
      </c>
    </row>
    <row r="7" spans="1:2814" ht="30" thickBot="1">
      <c r="A7" s="1323" t="s">
        <v>1261</v>
      </c>
      <c r="B7" s="1305">
        <v>3</v>
      </c>
      <c r="C7" s="1306" t="s">
        <v>4540</v>
      </c>
      <c r="D7" s="672" t="s">
        <v>3789</v>
      </c>
      <c r="E7" s="1313" t="s">
        <v>4532</v>
      </c>
      <c r="F7" s="1307" t="s">
        <v>233</v>
      </c>
      <c r="G7" s="1308"/>
      <c r="H7" s="1308"/>
      <c r="I7" s="1308"/>
      <c r="J7" s="1308"/>
      <c r="K7" s="416"/>
      <c r="L7" s="2506">
        <f>MATCH(C7, $A$1:$DZG$1,0)</f>
        <v>1197</v>
      </c>
      <c r="M7" t="str">
        <f t="shared" si="0"/>
        <v>ATA</v>
      </c>
      <c r="N7" s="416"/>
      <c r="O7" s="416"/>
      <c r="P7" s="416"/>
      <c r="Q7" s="416"/>
      <c r="R7" s="416"/>
      <c r="S7" s="416"/>
      <c r="T7" s="416"/>
      <c r="U7" s="416"/>
      <c r="V7" s="416"/>
      <c r="W7" s="416"/>
      <c r="AA7" s="221" t="s">
        <v>3</v>
      </c>
      <c r="AB7" s="230" t="s">
        <v>408</v>
      </c>
      <c r="AC7" s="1512"/>
      <c r="AD7" s="157">
        <v>2</v>
      </c>
      <c r="AE7" s="133"/>
      <c r="AF7" s="133"/>
      <c r="AG7" s="133"/>
      <c r="AH7" s="133"/>
      <c r="AI7" s="133"/>
      <c r="AJ7" s="133"/>
      <c r="AK7" s="133"/>
      <c r="AL7" s="133"/>
      <c r="AM7" s="133"/>
      <c r="AN7" s="133"/>
      <c r="AO7" s="133"/>
      <c r="AP7" s="133"/>
      <c r="AQ7" s="133"/>
      <c r="AR7" s="133"/>
      <c r="AS7" s="133"/>
      <c r="AT7" s="133"/>
      <c r="AU7" s="133"/>
      <c r="AV7" s="133"/>
      <c r="AW7" s="133"/>
      <c r="AX7" s="133"/>
      <c r="AY7" s="133"/>
      <c r="AZ7" s="133"/>
      <c r="BA7" s="221" t="s">
        <v>409</v>
      </c>
      <c r="BB7" s="230" t="s">
        <v>410</v>
      </c>
      <c r="BC7" s="1510"/>
      <c r="BD7" s="157">
        <v>3</v>
      </c>
      <c r="BE7" s="244" t="s">
        <v>411</v>
      </c>
      <c r="BF7" s="133"/>
      <c r="BG7" s="133"/>
      <c r="BH7" s="133"/>
      <c r="BI7" s="133"/>
      <c r="BJ7" s="133"/>
      <c r="BK7" s="133"/>
      <c r="BL7" s="133"/>
      <c r="BM7" s="133"/>
      <c r="BN7" s="133"/>
      <c r="BO7" s="133"/>
      <c r="BP7" s="133"/>
      <c r="BQ7" s="133"/>
      <c r="BR7" s="133"/>
      <c r="BS7" s="133"/>
      <c r="BT7" s="133"/>
      <c r="BU7" s="133"/>
      <c r="BV7" s="133"/>
      <c r="BW7" s="133"/>
      <c r="BX7" s="133"/>
      <c r="BY7" s="133"/>
      <c r="BZ7" s="133"/>
      <c r="CA7" s="221" t="s">
        <v>4</v>
      </c>
      <c r="CB7" s="165" t="s">
        <v>362</v>
      </c>
      <c r="CC7" s="1639"/>
      <c r="CD7" s="157">
        <v>2</v>
      </c>
      <c r="CF7" s="133"/>
      <c r="CG7" s="133"/>
      <c r="CH7" s="133"/>
      <c r="CI7" s="133"/>
      <c r="CJ7" s="133"/>
      <c r="CK7" s="133"/>
      <c r="CL7" s="133"/>
      <c r="CM7" s="133"/>
      <c r="CN7" s="133"/>
      <c r="CO7" s="133"/>
      <c r="CP7" s="133"/>
      <c r="CQ7" s="133"/>
      <c r="CR7" s="133"/>
      <c r="CS7" s="133"/>
      <c r="CT7" s="133"/>
      <c r="CU7" s="133"/>
      <c r="CV7" s="133"/>
      <c r="CW7" s="133"/>
      <c r="CX7" s="133"/>
      <c r="CY7" s="133"/>
      <c r="CZ7" s="133"/>
      <c r="DA7" s="221" t="s">
        <v>4</v>
      </c>
      <c r="DB7" s="230" t="s">
        <v>362</v>
      </c>
      <c r="DC7" s="1627"/>
      <c r="DD7" s="157">
        <v>2</v>
      </c>
      <c r="EA7" s="221" t="s">
        <v>412</v>
      </c>
      <c r="EB7" s="165" t="s">
        <v>413</v>
      </c>
      <c r="EC7" s="1627"/>
      <c r="ED7" s="225">
        <v>3</v>
      </c>
      <c r="EE7" s="133" t="s">
        <v>4136</v>
      </c>
      <c r="FA7" s="432" t="s">
        <v>4</v>
      </c>
      <c r="FB7" s="1581" t="s">
        <v>6922</v>
      </c>
      <c r="FC7" s="1582"/>
      <c r="FD7" s="935">
        <v>2</v>
      </c>
      <c r="FE7" s="1652"/>
      <c r="FF7" s="1653"/>
      <c r="FG7" s="442"/>
      <c r="FH7" s="442"/>
      <c r="GA7" s="60" t="s">
        <v>6906</v>
      </c>
      <c r="GB7" s="1329">
        <v>10</v>
      </c>
      <c r="GC7" s="1333"/>
      <c r="GD7" s="934">
        <v>2</v>
      </c>
      <c r="GE7" s="1170"/>
      <c r="GF7" s="1170"/>
      <c r="HA7" s="432" t="s">
        <v>4</v>
      </c>
      <c r="HB7" s="165" t="s">
        <v>362</v>
      </c>
      <c r="HC7" s="1509"/>
      <c r="HD7" s="934">
        <v>2</v>
      </c>
      <c r="HE7" s="1585" t="s">
        <v>4716</v>
      </c>
      <c r="HF7" s="1585"/>
      <c r="KA7" s="221" t="s">
        <v>415</v>
      </c>
      <c r="KB7" s="165" t="s">
        <v>362</v>
      </c>
      <c r="KD7" s="434">
        <v>2</v>
      </c>
      <c r="KE7" s="1595"/>
      <c r="KF7" s="951"/>
      <c r="KG7" s="951"/>
      <c r="KH7" s="951"/>
      <c r="KI7" s="951"/>
      <c r="KJ7" s="951"/>
      <c r="KK7" s="951"/>
      <c r="KL7" s="951"/>
      <c r="KM7" s="951"/>
      <c r="KN7" s="951"/>
      <c r="KO7" s="951"/>
      <c r="KP7" s="951"/>
      <c r="KQ7" s="951"/>
      <c r="KR7" s="951"/>
      <c r="KS7" s="951"/>
      <c r="KT7" s="951"/>
      <c r="KU7" s="951"/>
      <c r="KV7" s="951"/>
      <c r="LA7" s="221" t="s">
        <v>416</v>
      </c>
      <c r="LB7" s="254" t="s">
        <v>362</v>
      </c>
      <c r="LC7" s="1577"/>
      <c r="LD7" s="985">
        <v>2</v>
      </c>
      <c r="LE7" s="1015"/>
      <c r="MA7" s="221" t="s">
        <v>416</v>
      </c>
      <c r="MB7" s="230" t="s">
        <v>362</v>
      </c>
      <c r="MD7" s="157">
        <v>2</v>
      </c>
      <c r="ME7" s="1628"/>
      <c r="NA7" s="221" t="s">
        <v>416</v>
      </c>
      <c r="NB7" s="165" t="s">
        <v>362</v>
      </c>
      <c r="ND7" s="157">
        <v>2</v>
      </c>
      <c r="NE7" s="1628"/>
      <c r="OA7" s="221" t="s">
        <v>416</v>
      </c>
      <c r="OB7" s="230" t="s">
        <v>362</v>
      </c>
      <c r="OC7" s="953"/>
      <c r="OD7" s="225">
        <v>2</v>
      </c>
      <c r="OE7" s="1628"/>
      <c r="PA7" s="221" t="s">
        <v>416</v>
      </c>
      <c r="PB7" s="165" t="s">
        <v>362</v>
      </c>
      <c r="PC7" s="951"/>
      <c r="PD7" s="225">
        <v>2</v>
      </c>
      <c r="PE7" s="1630"/>
      <c r="PF7" s="133"/>
      <c r="PG7" s="133"/>
      <c r="PH7" s="133"/>
      <c r="PI7" s="133"/>
      <c r="PJ7" s="133"/>
      <c r="PK7" s="133"/>
      <c r="PL7" s="133"/>
      <c r="PM7" s="133"/>
      <c r="PN7" s="133"/>
      <c r="PO7" s="133"/>
      <c r="PP7" s="133"/>
      <c r="PQ7" s="133"/>
      <c r="PR7" s="133"/>
      <c r="PS7" s="133"/>
      <c r="PT7" s="133"/>
      <c r="PU7" s="133"/>
      <c r="PV7" s="133"/>
      <c r="PW7" s="133"/>
      <c r="PX7" s="133"/>
      <c r="PY7" s="133"/>
      <c r="PZ7" s="133"/>
      <c r="QA7" s="221" t="s">
        <v>416</v>
      </c>
      <c r="QB7" s="230" t="s">
        <v>362</v>
      </c>
      <c r="QC7" s="953"/>
      <c r="QD7" s="225">
        <v>2</v>
      </c>
      <c r="QE7" s="1580"/>
      <c r="QF7" s="133"/>
      <c r="QG7" s="133"/>
      <c r="QH7" s="133"/>
      <c r="QI7" s="133"/>
      <c r="QJ7" s="133"/>
      <c r="QK7" s="133"/>
      <c r="QL7" s="133"/>
      <c r="QM7" s="133"/>
      <c r="QN7" s="133"/>
      <c r="QO7" s="133"/>
      <c r="QP7" s="133"/>
      <c r="QQ7" s="133"/>
      <c r="QR7" s="133"/>
      <c r="QS7" s="133"/>
      <c r="QT7" s="133"/>
      <c r="QU7" s="133"/>
      <c r="QV7" s="133"/>
      <c r="QW7" s="133"/>
      <c r="QX7" s="133"/>
      <c r="QY7" s="133"/>
      <c r="QZ7" s="133"/>
      <c r="RA7" s="221" t="s">
        <v>4</v>
      </c>
      <c r="RB7" s="165" t="s">
        <v>396</v>
      </c>
      <c r="RD7" s="962">
        <v>2</v>
      </c>
      <c r="RE7" s="1512"/>
      <c r="RF7" s="442"/>
      <c r="RG7" s="442"/>
      <c r="RH7" s="133"/>
      <c r="RI7" s="133"/>
      <c r="RJ7" s="133"/>
      <c r="RK7" s="133"/>
      <c r="RL7" s="133"/>
      <c r="RM7" s="133"/>
      <c r="RN7" s="133"/>
      <c r="RO7" s="133"/>
      <c r="RP7" s="133"/>
      <c r="RQ7" s="133"/>
      <c r="RR7" s="133"/>
      <c r="RS7" s="133"/>
      <c r="RT7" s="133"/>
      <c r="RU7" s="133"/>
      <c r="RV7" s="133"/>
      <c r="RW7" s="133"/>
      <c r="RX7" s="133"/>
      <c r="RY7" s="133"/>
      <c r="RZ7" s="133"/>
      <c r="SA7" s="221" t="s">
        <v>4</v>
      </c>
      <c r="SB7" s="165" t="s">
        <v>396</v>
      </c>
      <c r="SC7" s="951"/>
      <c r="SD7" s="934">
        <v>2</v>
      </c>
      <c r="SE7" s="1621"/>
      <c r="SF7" s="1577"/>
      <c r="SG7" s="1577"/>
      <c r="SH7" s="133"/>
      <c r="SI7" s="133"/>
      <c r="SJ7" s="133"/>
      <c r="SK7" s="133"/>
      <c r="SL7" s="133"/>
      <c r="SM7" s="133"/>
      <c r="SN7" s="133"/>
      <c r="SO7" s="133"/>
      <c r="SP7" s="133"/>
      <c r="SQ7" s="133"/>
      <c r="SR7" s="133"/>
      <c r="SS7" s="133"/>
      <c r="ST7" s="133"/>
      <c r="SU7" s="133"/>
      <c r="SV7" s="133"/>
      <c r="SW7" s="133"/>
      <c r="SX7" s="133"/>
      <c r="SY7" s="133"/>
      <c r="TA7" s="827" t="s">
        <v>417</v>
      </c>
      <c r="TB7" s="165" t="s">
        <v>385</v>
      </c>
      <c r="TC7" s="165" t="s">
        <v>4236</v>
      </c>
      <c r="TD7" s="165" t="s">
        <v>4236</v>
      </c>
      <c r="TE7" s="230" t="s">
        <v>418</v>
      </c>
      <c r="TF7" s="114">
        <v>2</v>
      </c>
      <c r="TG7" s="171" t="s">
        <v>4247</v>
      </c>
      <c r="UA7" s="221" t="s">
        <v>419</v>
      </c>
      <c r="UB7" s="447" t="s">
        <v>385</v>
      </c>
      <c r="UC7" s="1512"/>
      <c r="UD7" s="157">
        <v>3</v>
      </c>
      <c r="UE7" s="1641" t="s">
        <v>4259</v>
      </c>
      <c r="UF7" s="1513"/>
      <c r="UG7" s="1513"/>
      <c r="UH7" s="1513"/>
      <c r="VA7" s="221" t="s">
        <v>4</v>
      </c>
      <c r="VB7" s="963" t="s">
        <v>362</v>
      </c>
      <c r="VC7" s="1539"/>
      <c r="VD7" s="434">
        <v>2</v>
      </c>
      <c r="VE7" s="133"/>
      <c r="WA7" s="221" t="s">
        <v>4</v>
      </c>
      <c r="WB7" s="230" t="s">
        <v>362</v>
      </c>
      <c r="WC7" s="1539"/>
      <c r="WD7" s="225">
        <v>2</v>
      </c>
      <c r="WE7" s="133"/>
      <c r="XA7" s="221" t="s">
        <v>4</v>
      </c>
      <c r="XB7" s="165" t="s">
        <v>362</v>
      </c>
      <c r="XC7" s="1512"/>
      <c r="XD7" s="157">
        <v>3</v>
      </c>
      <c r="XE7" s="1504" t="s">
        <v>7641</v>
      </c>
      <c r="XF7" s="1505"/>
      <c r="XG7" s="133"/>
      <c r="XH7" s="133"/>
      <c r="XI7" s="133"/>
      <c r="XJ7" s="133"/>
      <c r="XK7" s="133"/>
      <c r="XL7" s="827" t="s">
        <v>404</v>
      </c>
      <c r="XM7" s="165" t="s">
        <v>362</v>
      </c>
      <c r="YA7" s="346" t="s">
        <v>7596</v>
      </c>
      <c r="YB7" s="254" t="s">
        <v>5412</v>
      </c>
      <c r="YC7" s="1258"/>
      <c r="YD7" s="157">
        <v>3</v>
      </c>
      <c r="YE7" s="1744" t="s">
        <v>7591</v>
      </c>
      <c r="YF7" s="1745"/>
      <c r="ZB7" s="221" t="s">
        <v>4</v>
      </c>
      <c r="ZC7" s="230" t="s">
        <v>362</v>
      </c>
      <c r="ZD7" s="1539"/>
      <c r="ZE7" s="157">
        <v>2</v>
      </c>
      <c r="ZF7" s="1618" t="s">
        <v>4792</v>
      </c>
      <c r="ZG7" s="1618"/>
      <c r="AAB7" s="221" t="s">
        <v>4</v>
      </c>
      <c r="AAC7" s="230" t="s">
        <v>362</v>
      </c>
      <c r="AAD7" s="1539"/>
      <c r="AAE7" s="157">
        <v>2</v>
      </c>
      <c r="AAF7" s="1618" t="s">
        <v>4792</v>
      </c>
      <c r="AAG7" s="1618"/>
      <c r="ABB7" s="221" t="s">
        <v>4</v>
      </c>
      <c r="ABC7" s="165" t="s">
        <v>362</v>
      </c>
      <c r="ABD7" s="1694"/>
      <c r="ABE7" s="157">
        <v>2</v>
      </c>
      <c r="ABF7" s="133"/>
      <c r="ACB7" s="221" t="s">
        <v>4</v>
      </c>
      <c r="ACC7" s="165" t="s">
        <v>362</v>
      </c>
      <c r="ACD7" s="1694"/>
      <c r="ACE7" s="225">
        <v>2</v>
      </c>
      <c r="ACF7" s="178"/>
      <c r="ADB7" s="221" t="s">
        <v>4</v>
      </c>
      <c r="ADC7" s="165" t="s">
        <v>362</v>
      </c>
      <c r="ADD7" s="1695"/>
      <c r="ADE7" s="225">
        <v>2</v>
      </c>
      <c r="ADF7" s="178"/>
      <c r="AEB7" s="221" t="s">
        <v>3</v>
      </c>
      <c r="AEC7" s="230" t="s">
        <v>406</v>
      </c>
      <c r="AED7" s="1520"/>
      <c r="AEE7" s="157">
        <v>2</v>
      </c>
      <c r="AEF7" s="133"/>
      <c r="AEG7" s="133"/>
      <c r="AEH7" s="133"/>
      <c r="AEI7" s="133"/>
      <c r="AEJ7" s="133"/>
      <c r="AEK7" s="133"/>
      <c r="AEL7" s="133"/>
      <c r="AEM7" s="133"/>
      <c r="AEN7" s="133"/>
      <c r="AEO7" s="133"/>
      <c r="AEP7" s="133"/>
      <c r="AEQ7" s="133"/>
      <c r="AER7" s="133"/>
      <c r="AES7" s="133"/>
      <c r="AET7" s="133"/>
      <c r="AEU7" s="133"/>
      <c r="AEV7" s="133"/>
      <c r="AEW7" s="133"/>
      <c r="AEX7" s="133"/>
      <c r="AFB7" s="221" t="s">
        <v>4</v>
      </c>
      <c r="AFC7" s="230" t="s">
        <v>362</v>
      </c>
      <c r="AFD7" s="1512"/>
      <c r="AFE7" s="157">
        <v>2</v>
      </c>
      <c r="AGB7" s="221" t="s">
        <v>4</v>
      </c>
      <c r="AGC7" s="230" t="s">
        <v>362</v>
      </c>
      <c r="AGD7" s="1512"/>
      <c r="AGE7" s="157">
        <v>2</v>
      </c>
      <c r="AHB7" s="221" t="s">
        <v>4</v>
      </c>
      <c r="AHC7" s="230" t="s">
        <v>362</v>
      </c>
      <c r="AHD7" s="1512"/>
      <c r="AHE7" s="157">
        <v>2</v>
      </c>
      <c r="AIB7" s="221" t="s">
        <v>4</v>
      </c>
      <c r="AIC7" s="230" t="s">
        <v>362</v>
      </c>
      <c r="AID7" s="1512"/>
      <c r="AIE7" s="157">
        <v>2</v>
      </c>
      <c r="AJB7" s="221" t="s">
        <v>4</v>
      </c>
      <c r="AJC7" s="230" t="s">
        <v>362</v>
      </c>
      <c r="AJD7" s="1512"/>
      <c r="AJE7" s="157">
        <v>2</v>
      </c>
      <c r="AKB7" s="221" t="s">
        <v>4</v>
      </c>
      <c r="AKC7" s="230" t="s">
        <v>362</v>
      </c>
      <c r="AKD7" s="1512"/>
      <c r="AKE7" s="157">
        <v>2</v>
      </c>
      <c r="ALB7" s="221" t="s">
        <v>4</v>
      </c>
      <c r="ALC7" s="230" t="s">
        <v>362</v>
      </c>
      <c r="ALD7" s="1512"/>
      <c r="ALE7" s="157">
        <v>2</v>
      </c>
      <c r="AMB7" s="221" t="s">
        <v>4</v>
      </c>
      <c r="AMC7" s="230" t="s">
        <v>362</v>
      </c>
      <c r="AMD7" s="1512"/>
      <c r="AME7" s="157">
        <v>2</v>
      </c>
      <c r="ANB7" s="221" t="s">
        <v>4</v>
      </c>
      <c r="ANC7" s="230" t="s">
        <v>362</v>
      </c>
      <c r="AND7" s="1512"/>
      <c r="ANE7" s="157">
        <v>2</v>
      </c>
      <c r="AOB7" s="2532"/>
      <c r="AOC7" s="2549"/>
      <c r="AOD7" s="2533"/>
      <c r="AOE7" s="2551"/>
      <c r="AOF7" s="2551"/>
      <c r="AOG7" s="1194"/>
      <c r="APB7" s="2532"/>
      <c r="APC7" s="2549"/>
      <c r="APD7" s="2533"/>
      <c r="APE7" s="2546"/>
      <c r="APF7" s="2546"/>
      <c r="APG7" s="2546"/>
      <c r="AQA7" s="221" t="s">
        <v>4490</v>
      </c>
      <c r="AQB7" s="230" t="s">
        <v>362</v>
      </c>
      <c r="AQC7" s="1512"/>
      <c r="AQD7" s="985">
        <v>2</v>
      </c>
      <c r="AQE7" s="1505" t="s">
        <v>4518</v>
      </c>
      <c r="AQF7" s="1505"/>
      <c r="AQG7" s="1505"/>
      <c r="AQZ7" s="221" t="s">
        <v>5812</v>
      </c>
      <c r="ARA7" s="2481" t="s">
        <v>7747</v>
      </c>
      <c r="ARB7" s="2485"/>
      <c r="ARC7" s="2483"/>
      <c r="ARD7" s="434">
        <v>3</v>
      </c>
      <c r="ARE7" s="1684" t="s">
        <v>7748</v>
      </c>
      <c r="ARF7" s="1594"/>
      <c r="ATA7" s="1690" t="s">
        <v>6879</v>
      </c>
      <c r="ATB7" s="1691"/>
      <c r="ATC7" s="1539"/>
      <c r="ATD7" s="985"/>
      <c r="ATE7" s="1714"/>
      <c r="ATF7" s="1715"/>
      <c r="ATG7" s="1715"/>
      <c r="ATH7" s="1716"/>
      <c r="AUA7" s="989" t="s">
        <v>6408</v>
      </c>
      <c r="AUB7" s="1099" t="s">
        <v>1133</v>
      </c>
      <c r="AUC7" s="1498"/>
      <c r="AUD7" s="985">
        <v>3</v>
      </c>
      <c r="AUE7" s="1679" t="s">
        <v>6897</v>
      </c>
      <c r="AUF7" s="1679"/>
      <c r="AUG7" s="1679"/>
      <c r="AUH7" s="1679"/>
      <c r="AVA7" s="1174" t="s">
        <v>4</v>
      </c>
      <c r="AVB7" s="1099" t="s">
        <v>1133</v>
      </c>
      <c r="AVC7" s="1512"/>
      <c r="AVD7" s="157">
        <v>3</v>
      </c>
      <c r="AVE7" s="1671" t="s">
        <v>6620</v>
      </c>
      <c r="AVF7" s="1671"/>
      <c r="AWA7" s="252"/>
      <c r="AWC7" s="442"/>
      <c r="AWD7" s="133"/>
      <c r="AWE7" s="133"/>
      <c r="AWG7" s="1"/>
      <c r="AXA7" s="1031" t="s">
        <v>5403</v>
      </c>
      <c r="AXB7" s="1537" t="s">
        <v>4542</v>
      </c>
      <c r="AXC7" s="1538"/>
      <c r="AXE7" s="1512"/>
      <c r="AXF7" s="157">
        <v>3</v>
      </c>
      <c r="AXG7" s="831" t="s">
        <v>4557</v>
      </c>
      <c r="AYA7" s="221" t="s">
        <v>384</v>
      </c>
      <c r="AYB7" s="230" t="s">
        <v>4593</v>
      </c>
      <c r="AYC7" s="1512"/>
      <c r="AYD7" s="244">
        <v>3</v>
      </c>
      <c r="AYE7" s="133" t="s">
        <v>386</v>
      </c>
      <c r="AZA7" s="221" t="s">
        <v>428</v>
      </c>
      <c r="AZB7" s="230" t="s">
        <v>362</v>
      </c>
      <c r="AZC7" s="1577"/>
      <c r="AZD7" s="157">
        <v>3</v>
      </c>
      <c r="AZE7" t="s">
        <v>4709</v>
      </c>
      <c r="BAA7" s="1251" t="s">
        <v>6669</v>
      </c>
      <c r="BAB7" s="1111" t="s">
        <v>362</v>
      </c>
      <c r="BAC7" s="1729"/>
      <c r="BAD7" s="157">
        <v>2</v>
      </c>
      <c r="BAE7" s="1545" t="s">
        <v>6672</v>
      </c>
      <c r="BAF7" s="1546"/>
      <c r="BBA7" s="221" t="s">
        <v>6692</v>
      </c>
      <c r="BBB7" s="1254" t="s">
        <v>6693</v>
      </c>
      <c r="BBC7" s="1512"/>
      <c r="BBD7" s="157">
        <v>3</v>
      </c>
      <c r="BBE7" s="1667" t="s">
        <v>6731</v>
      </c>
      <c r="BBF7" s="1668"/>
      <c r="BCA7" s="221" t="s">
        <v>4662</v>
      </c>
      <c r="BCB7" s="1272" t="s">
        <v>6742</v>
      </c>
      <c r="BCC7" s="1262"/>
      <c r="BCD7" s="1577"/>
      <c r="BCE7" s="1706"/>
      <c r="BCF7" s="934">
        <v>3</v>
      </c>
      <c r="BCG7" s="1547" t="s">
        <v>6741</v>
      </c>
      <c r="BCH7" s="1548"/>
      <c r="BDE7" s="221" t="s">
        <v>4662</v>
      </c>
      <c r="BDF7" s="1292" t="s">
        <v>6863</v>
      </c>
      <c r="BDG7" s="1512"/>
      <c r="BDH7" s="1238"/>
      <c r="BDI7" s="943">
        <v>3</v>
      </c>
      <c r="BDJ7" s="1547" t="s">
        <v>6758</v>
      </c>
      <c r="BDK7" s="1548"/>
      <c r="BEA7" s="221" t="s">
        <v>4662</v>
      </c>
      <c r="BEB7" s="1067" t="s">
        <v>6847</v>
      </c>
      <c r="BEC7" s="1512"/>
      <c r="BED7" s="157">
        <v>3</v>
      </c>
      <c r="BEE7" s="1550" t="s">
        <v>4664</v>
      </c>
      <c r="BEF7" s="1551"/>
      <c r="BFA7" s="221" t="s">
        <v>4672</v>
      </c>
      <c r="BFB7" s="230" t="s">
        <v>6705</v>
      </c>
      <c r="BFC7" s="1259"/>
      <c r="BFD7" s="157">
        <v>3</v>
      </c>
      <c r="BFE7" s="1707" t="s">
        <v>6700</v>
      </c>
      <c r="BFF7" s="1707"/>
      <c r="BFG7" s="1707"/>
      <c r="BFH7" s="1707"/>
      <c r="BFI7" s="1707"/>
      <c r="BGA7" s="221" t="s">
        <v>6795</v>
      </c>
      <c r="BGB7" s="1275" t="s">
        <v>6766</v>
      </c>
      <c r="BGC7" s="1512"/>
      <c r="BGD7" s="434">
        <v>3</v>
      </c>
      <c r="BGE7" s="1707" t="s">
        <v>6699</v>
      </c>
      <c r="BGF7" s="1707"/>
      <c r="BGG7" s="1707"/>
      <c r="BGH7" s="1707"/>
      <c r="BGI7" s="1707"/>
      <c r="BHA7" s="990" t="s">
        <v>436</v>
      </c>
      <c r="BHB7" s="993" t="s">
        <v>4576</v>
      </c>
      <c r="BHC7" s="994"/>
      <c r="BHD7" s="225">
        <v>3</v>
      </c>
      <c r="BHE7" s="831"/>
      <c r="BIA7" s="989" t="s">
        <v>6811</v>
      </c>
      <c r="BIB7" s="992" t="s">
        <v>1133</v>
      </c>
      <c r="BIC7" s="1509"/>
      <c r="BID7" s="225">
        <v>3</v>
      </c>
      <c r="BIE7" s="178"/>
      <c r="BJA7" s="221" t="s">
        <v>4687</v>
      </c>
      <c r="BJB7" s="230" t="s">
        <v>396</v>
      </c>
      <c r="BJC7" s="1512"/>
      <c r="BJD7" s="157">
        <v>3</v>
      </c>
      <c r="BJE7" s="1504" t="s">
        <v>4711</v>
      </c>
      <c r="BJF7" s="1505"/>
      <c r="BJG7" s="1505"/>
      <c r="BJH7" s="1505"/>
      <c r="BJI7" s="1505"/>
      <c r="BKA7" s="221" t="s">
        <v>4747</v>
      </c>
      <c r="BKB7" s="230" t="s">
        <v>396</v>
      </c>
      <c r="BKC7" s="1512"/>
      <c r="BKD7" s="157">
        <v>3</v>
      </c>
      <c r="BKE7" s="1504" t="s">
        <v>4712</v>
      </c>
      <c r="BKF7" s="1505"/>
      <c r="BKG7" s="1505"/>
      <c r="BKH7" s="1505"/>
      <c r="BKI7" s="1505"/>
      <c r="BLA7" s="221" t="s">
        <v>4</v>
      </c>
      <c r="BLB7" s="230" t="s">
        <v>362</v>
      </c>
      <c r="BLC7" s="1512"/>
      <c r="BLD7" s="157">
        <v>2</v>
      </c>
      <c r="BLE7" t="s">
        <v>5848</v>
      </c>
      <c r="BMA7" s="221" t="s">
        <v>3</v>
      </c>
      <c r="BMB7" s="230" t="s">
        <v>362</v>
      </c>
      <c r="BMC7" s="1512"/>
      <c r="BMD7" s="186">
        <v>2</v>
      </c>
      <c r="BME7" s="133"/>
      <c r="BNA7" s="239" t="s">
        <v>4822</v>
      </c>
      <c r="BNB7" s="1019" t="s">
        <v>365</v>
      </c>
      <c r="BNC7" s="1512"/>
      <c r="BND7" s="1022">
        <v>2</v>
      </c>
      <c r="BNE7" s="171"/>
      <c r="BNF7" s="170"/>
      <c r="BNG7" s="170"/>
      <c r="BNH7" s="170"/>
      <c r="BNI7" s="170"/>
      <c r="BNJ7" s="170"/>
      <c r="BNK7" s="170"/>
      <c r="BOA7" s="221" t="s">
        <v>4</v>
      </c>
      <c r="BOB7" s="230" t="s">
        <v>362</v>
      </c>
      <c r="BOC7" s="1512"/>
      <c r="BOD7" s="1020">
        <v>2</v>
      </c>
      <c r="BPA7" s="221" t="s">
        <v>4</v>
      </c>
      <c r="BPB7" s="230" t="s">
        <v>362</v>
      </c>
      <c r="BPC7" s="1509"/>
      <c r="BPD7" s="186">
        <v>2</v>
      </c>
      <c r="BQA7" s="221" t="s">
        <v>4</v>
      </c>
      <c r="BQB7" s="230" t="s">
        <v>362</v>
      </c>
      <c r="BQC7" s="1512"/>
      <c r="BQD7" s="186">
        <v>2</v>
      </c>
      <c r="BRA7" s="221" t="s">
        <v>3</v>
      </c>
      <c r="BRB7" s="230" t="s">
        <v>362</v>
      </c>
      <c r="BRC7" s="1512"/>
      <c r="BRD7" s="186">
        <v>2</v>
      </c>
      <c r="BWA7" s="1175" t="s">
        <v>6352</v>
      </c>
      <c r="BWB7" s="1183" t="s">
        <v>574</v>
      </c>
      <c r="BWC7" s="1180" t="s">
        <v>574</v>
      </c>
      <c r="BWD7" s="1181" t="s">
        <v>599</v>
      </c>
      <c r="BWE7" s="1181" t="s">
        <v>599</v>
      </c>
      <c r="BWF7" s="1181" t="s">
        <v>599</v>
      </c>
      <c r="BWG7" s="1181" t="s">
        <v>599</v>
      </c>
      <c r="BWH7" s="1181" t="s">
        <v>599</v>
      </c>
      <c r="BWI7" s="1181" t="s">
        <v>599</v>
      </c>
      <c r="BWJ7" s="1182">
        <v>3</v>
      </c>
      <c r="BWK7" s="1177" t="s">
        <v>6366</v>
      </c>
      <c r="BXA7" s="990" t="s">
        <v>436</v>
      </c>
      <c r="BXB7" s="1098" t="s">
        <v>4576</v>
      </c>
      <c r="BXC7" s="1499"/>
      <c r="BXD7" s="157">
        <v>3</v>
      </c>
      <c r="BXE7" s="831"/>
      <c r="BXX7" s="170"/>
      <c r="BXY7" s="170"/>
      <c r="BXZ7" s="170"/>
      <c r="BYA7" s="221" t="s">
        <v>6436</v>
      </c>
      <c r="BYB7" s="1231" t="s">
        <v>6437</v>
      </c>
      <c r="BYC7" s="1521"/>
      <c r="BYD7" s="434">
        <v>3</v>
      </c>
      <c r="BYE7" s="1526"/>
      <c r="BYF7" s="1527"/>
      <c r="BYG7" s="1527"/>
      <c r="BYH7" s="170"/>
      <c r="BYI7" s="170"/>
      <c r="BYJ7" s="170"/>
      <c r="BYK7" s="170"/>
      <c r="BYL7" s="170"/>
      <c r="BYM7" s="170"/>
      <c r="BYN7" s="170"/>
      <c r="BYO7" s="170"/>
      <c r="BYP7" s="170"/>
      <c r="BYQ7" s="170"/>
      <c r="BYR7" s="170"/>
      <c r="BYS7" s="170"/>
      <c r="BYT7" s="170"/>
      <c r="BYU7" s="170"/>
      <c r="BYV7" s="170"/>
      <c r="BYW7" s="170"/>
      <c r="BYX7" s="170"/>
      <c r="BYY7" s="170"/>
      <c r="BYZ7" s="170"/>
      <c r="BZA7" s="170"/>
      <c r="BZB7" s="170"/>
      <c r="BZC7" s="170"/>
      <c r="BZD7" s="170"/>
      <c r="BZE7" s="170"/>
      <c r="BZF7" s="170"/>
      <c r="BZG7" s="170"/>
      <c r="BZH7" s="170"/>
      <c r="BZI7" s="170"/>
      <c r="BZJ7" s="170"/>
      <c r="BZK7" s="170"/>
      <c r="BZL7" s="170"/>
      <c r="BZM7" s="170"/>
      <c r="BZN7" s="170"/>
      <c r="BZO7" s="170"/>
      <c r="BZP7" s="170"/>
      <c r="BZQ7" s="170"/>
      <c r="BZR7" s="170"/>
      <c r="BZS7" s="170"/>
      <c r="BZT7" s="170"/>
      <c r="BZU7" s="170"/>
      <c r="BZV7" s="170"/>
      <c r="BZW7" s="170"/>
      <c r="BZX7" s="170"/>
      <c r="BZY7" s="170"/>
      <c r="BZZ7" s="170"/>
      <c r="CAA7" s="170"/>
      <c r="CAB7" s="170"/>
      <c r="CAC7" s="170"/>
      <c r="CAD7" s="170"/>
      <c r="CAE7" s="170"/>
      <c r="CAF7" s="170"/>
      <c r="CAG7" s="170"/>
      <c r="CAH7" s="170"/>
      <c r="CAI7" s="170"/>
      <c r="CAJ7" s="170"/>
      <c r="CAK7" s="170"/>
      <c r="CAL7" s="170"/>
      <c r="CAM7" s="170"/>
      <c r="CAN7" s="170"/>
      <c r="CAO7" s="170"/>
      <c r="CAP7" s="170"/>
      <c r="CAQ7" s="170"/>
      <c r="CAR7" s="170"/>
      <c r="CAS7" s="170"/>
      <c r="CAT7" s="170"/>
      <c r="CAU7" s="170"/>
      <c r="CAV7" s="170"/>
      <c r="CAW7" s="170"/>
      <c r="CAX7" s="170"/>
      <c r="CAY7" s="170"/>
      <c r="CAZ7" s="170"/>
      <c r="CBA7" s="170"/>
      <c r="CBB7" s="170"/>
      <c r="CBC7" s="170"/>
      <c r="CBD7" s="170"/>
      <c r="CBE7" s="170"/>
      <c r="CBF7" s="170"/>
      <c r="CBG7" s="170"/>
      <c r="CBH7" s="170"/>
      <c r="CBI7" s="170"/>
      <c r="CBJ7" s="170"/>
      <c r="CBK7" s="170"/>
      <c r="CBL7" s="170"/>
      <c r="CBM7" s="170"/>
      <c r="CBN7" s="170"/>
      <c r="CBO7" s="170"/>
      <c r="CBP7" s="170"/>
      <c r="CBQ7" s="170"/>
      <c r="CBR7" s="170"/>
      <c r="CBS7" s="170"/>
      <c r="CBT7" s="170"/>
      <c r="CBU7" s="170"/>
      <c r="CBV7" s="170"/>
      <c r="CBW7" s="170"/>
      <c r="CBX7" s="170"/>
      <c r="CBY7" s="170"/>
      <c r="CBZ7" s="170"/>
      <c r="CCA7" s="170"/>
      <c r="CCB7" s="170"/>
      <c r="CCC7" s="170"/>
      <c r="CCD7" s="170"/>
      <c r="CCE7" s="170"/>
      <c r="CCF7" s="170"/>
      <c r="CCG7" s="170"/>
      <c r="CCH7" s="170"/>
      <c r="CCI7" s="170"/>
      <c r="CCJ7" s="170"/>
      <c r="CCK7" s="170"/>
      <c r="CCL7" s="170"/>
      <c r="CCM7" s="170"/>
      <c r="CCN7" s="170"/>
      <c r="CCO7" s="170"/>
      <c r="CCP7" s="170"/>
      <c r="CCQ7" s="170"/>
      <c r="CCR7" s="170"/>
      <c r="CCS7" s="170"/>
      <c r="CCT7" s="170"/>
      <c r="CCU7" s="170"/>
      <c r="CCV7" s="170"/>
      <c r="CCW7" s="170"/>
      <c r="CCX7" s="170"/>
      <c r="CCY7" s="170"/>
      <c r="CCZ7" s="170"/>
      <c r="CDA7" s="170"/>
      <c r="CDB7" s="170"/>
      <c r="CDC7" s="170"/>
      <c r="CDD7" s="170"/>
      <c r="CDE7" s="170"/>
      <c r="CDF7" s="170"/>
      <c r="CDG7" s="170"/>
      <c r="CDH7" s="170"/>
      <c r="CDI7" s="170"/>
      <c r="CDJ7" s="170"/>
      <c r="CDK7" s="170"/>
      <c r="CDL7" s="170"/>
      <c r="CDM7" s="170"/>
      <c r="CDN7" s="170"/>
      <c r="CDO7" s="170"/>
      <c r="CDP7" s="170"/>
      <c r="CDQ7" s="170"/>
      <c r="CDR7" s="170"/>
      <c r="CDS7" s="170"/>
      <c r="CDT7" s="170"/>
      <c r="CDU7" s="170"/>
      <c r="CDV7" s="170"/>
      <c r="CDW7" s="170"/>
      <c r="CDX7" s="170"/>
      <c r="CDY7" s="170"/>
      <c r="CDZ7" s="170"/>
      <c r="CEA7" s="170"/>
      <c r="CEB7" s="170"/>
      <c r="CEC7" s="170"/>
      <c r="CED7" s="170"/>
      <c r="CEE7" s="170"/>
      <c r="CEF7" s="170"/>
      <c r="CEG7" s="170"/>
      <c r="CEH7" s="170"/>
      <c r="CEI7" s="170"/>
      <c r="CEJ7" s="170"/>
      <c r="CEK7" s="170"/>
      <c r="CEL7" s="170"/>
      <c r="CEM7" s="170"/>
      <c r="CEN7" s="170"/>
      <c r="CEO7" s="170"/>
      <c r="CEP7" s="170"/>
      <c r="CEQ7" s="170"/>
      <c r="CER7" s="170"/>
      <c r="CES7" s="170"/>
      <c r="CET7" s="170"/>
      <c r="CEU7" s="170"/>
      <c r="CEV7" s="170"/>
      <c r="CEW7" s="170"/>
      <c r="CEX7" s="170"/>
      <c r="CEY7" s="170"/>
      <c r="CEZ7" s="170"/>
      <c r="CFA7" s="170"/>
      <c r="CFB7" s="170"/>
      <c r="CFC7" s="170"/>
      <c r="CFD7" s="170"/>
      <c r="CFE7" s="170"/>
      <c r="CFF7" s="170"/>
      <c r="CFG7" s="170"/>
      <c r="CFH7" s="170"/>
      <c r="CFI7" s="170"/>
      <c r="CFJ7" s="170"/>
      <c r="CFK7" s="170"/>
      <c r="CFL7" s="170"/>
      <c r="CFM7" s="170"/>
      <c r="CFN7" s="170"/>
      <c r="CFO7" s="170"/>
      <c r="CFP7" s="170"/>
      <c r="CFQ7" s="170"/>
      <c r="CFR7" s="170"/>
      <c r="CFS7" s="170"/>
      <c r="CFT7" s="170"/>
      <c r="CFU7" s="170"/>
      <c r="CFV7" s="170"/>
      <c r="CFW7" s="170"/>
      <c r="CFX7" s="170"/>
      <c r="CFY7" s="170"/>
      <c r="CFZ7" s="170"/>
      <c r="CGA7" s="170"/>
      <c r="CGB7" s="170"/>
      <c r="CGC7" s="170"/>
      <c r="CGD7" s="170"/>
      <c r="CGE7" s="170"/>
      <c r="CGF7" s="170"/>
      <c r="CGG7" s="170"/>
      <c r="CGH7" s="170"/>
      <c r="CGI7" s="170"/>
      <c r="CGJ7" s="170"/>
      <c r="CGK7" s="170"/>
      <c r="CGL7" s="170"/>
      <c r="CGM7" s="170"/>
      <c r="CGN7" s="170"/>
      <c r="CGO7" s="170"/>
      <c r="CGP7" s="170"/>
      <c r="CGQ7" s="170"/>
      <c r="CGR7" s="170"/>
      <c r="CGS7" s="170"/>
      <c r="CGT7" s="170"/>
      <c r="CGU7" s="170"/>
      <c r="CGV7" s="170"/>
      <c r="CGW7" s="170"/>
      <c r="CGX7" s="170"/>
      <c r="CGY7" s="170"/>
      <c r="CGZ7" s="170"/>
      <c r="CHA7" s="170"/>
      <c r="CHB7" s="170"/>
      <c r="CHC7" s="170"/>
      <c r="CHD7" s="170"/>
      <c r="CHE7" s="170"/>
      <c r="CHF7" s="170"/>
      <c r="CHG7" s="170"/>
      <c r="CHH7" s="170"/>
      <c r="CHI7" s="170"/>
      <c r="CHJ7" s="170"/>
      <c r="CHK7" s="170"/>
      <c r="CHL7" s="170"/>
      <c r="CHM7" s="170"/>
      <c r="CHN7" s="170"/>
      <c r="CHO7" s="170"/>
      <c r="CHP7" s="170"/>
      <c r="CHQ7" s="170"/>
      <c r="CHR7" s="170"/>
      <c r="CHS7" s="170"/>
      <c r="CHT7" s="170"/>
      <c r="CHU7" s="170"/>
      <c r="CHV7" s="170"/>
      <c r="CHW7" s="170"/>
      <c r="CHX7" s="170"/>
      <c r="CHY7" s="170"/>
      <c r="CHZ7" s="170"/>
      <c r="CIA7" s="170"/>
      <c r="CIB7" s="170"/>
      <c r="CIC7" s="170"/>
      <c r="CID7" s="170"/>
      <c r="CIE7" s="170"/>
      <c r="CIF7" s="170"/>
      <c r="CIG7" s="170"/>
      <c r="CIH7" s="170"/>
      <c r="CII7" s="170"/>
      <c r="CIJ7" s="170"/>
      <c r="CIK7" s="170"/>
      <c r="CIL7" s="170"/>
      <c r="CIM7" s="170"/>
      <c r="CIN7" s="170"/>
      <c r="CIO7" s="170"/>
      <c r="CIP7" s="170"/>
      <c r="CIQ7" s="170"/>
      <c r="CIR7" s="170"/>
      <c r="CIS7" s="170"/>
      <c r="CIT7" s="170"/>
      <c r="CIU7" s="170"/>
      <c r="CIV7" s="170"/>
      <c r="CIW7" s="170"/>
      <c r="CIX7" s="170"/>
      <c r="CIY7" s="170"/>
      <c r="CIZ7" s="170"/>
      <c r="CJA7" s="170"/>
      <c r="CJB7" s="170"/>
      <c r="CJC7" s="170"/>
      <c r="CJD7" s="170"/>
      <c r="CJE7" s="170"/>
      <c r="CJF7" s="170"/>
      <c r="CJG7" s="170"/>
      <c r="CJH7" s="170"/>
      <c r="CJI7" s="170"/>
      <c r="CJJ7" s="170"/>
      <c r="CJK7" s="170"/>
      <c r="CJL7" s="170"/>
      <c r="CJM7" s="170"/>
      <c r="CJN7" s="170"/>
      <c r="CJO7" s="170"/>
      <c r="CJP7" s="170"/>
      <c r="CJQ7" s="170"/>
      <c r="CJR7" s="170"/>
      <c r="CJS7" s="170"/>
      <c r="CJT7" s="170"/>
      <c r="CJU7" s="170"/>
      <c r="CJV7" s="170"/>
      <c r="CJW7" s="170"/>
      <c r="CJX7" s="170"/>
      <c r="CJY7" s="170"/>
      <c r="CJZ7" s="170"/>
      <c r="CKA7" s="170"/>
      <c r="CKB7" s="170"/>
      <c r="CKC7" s="170"/>
      <c r="CKD7" s="170"/>
      <c r="CKE7" s="170"/>
      <c r="CKF7" s="170"/>
      <c r="CKG7" s="170"/>
      <c r="CKH7" s="170"/>
      <c r="CKI7" s="170"/>
      <c r="CKJ7" s="170"/>
      <c r="CKK7" s="170"/>
      <c r="CKL7" s="170"/>
      <c r="CKM7" s="170"/>
      <c r="CKN7" s="170"/>
      <c r="CKO7" s="170"/>
      <c r="CKP7" s="170"/>
      <c r="CKQ7" s="170"/>
      <c r="CKR7" s="170"/>
      <c r="CKS7" s="170"/>
      <c r="CKT7" s="170"/>
      <c r="CKU7" s="170"/>
      <c r="CKV7" s="170"/>
      <c r="CKW7" s="170"/>
      <c r="CKX7" s="170"/>
      <c r="CKY7" s="170"/>
      <c r="CKZ7" s="170"/>
      <c r="CLA7" s="170"/>
      <c r="CLB7" s="170"/>
      <c r="CLC7" s="170"/>
      <c r="CLD7" s="170"/>
      <c r="CLE7" s="170"/>
      <c r="CLF7" s="170"/>
      <c r="CLG7" s="170"/>
      <c r="CLH7" s="170"/>
      <c r="CLI7" s="170"/>
      <c r="CLJ7" s="170"/>
      <c r="CLK7" s="170"/>
      <c r="CLL7" s="170"/>
      <c r="CLM7" s="170"/>
      <c r="CLN7" s="170"/>
      <c r="CLO7" s="170"/>
      <c r="CLP7" s="170"/>
      <c r="CLQ7" s="170"/>
      <c r="CLR7" s="170"/>
      <c r="CLS7" s="170"/>
      <c r="CLT7" s="170"/>
      <c r="CLU7" s="170"/>
      <c r="CLV7" s="170"/>
      <c r="CLW7" s="170"/>
      <c r="CLX7" s="170"/>
      <c r="CLY7" s="170"/>
      <c r="CLZ7" s="170"/>
      <c r="CMA7" s="170"/>
      <c r="CMB7" s="170"/>
      <c r="CMC7" s="170"/>
      <c r="CMD7" s="170"/>
      <c r="CME7" s="170"/>
      <c r="CMF7" s="170"/>
      <c r="CMG7" s="170"/>
      <c r="CMH7" s="170"/>
      <c r="CMI7" s="170"/>
      <c r="CMJ7" s="170"/>
      <c r="CMK7" s="170"/>
      <c r="CML7" s="170"/>
      <c r="CMM7" s="170"/>
      <c r="CMN7" s="170"/>
      <c r="CMO7" s="170"/>
      <c r="CMP7" s="170"/>
      <c r="CMQ7" s="170"/>
      <c r="CMR7" s="170"/>
      <c r="CMS7" s="170"/>
      <c r="CMT7" s="170"/>
      <c r="CMU7" s="170"/>
      <c r="CMV7" s="170"/>
      <c r="CMW7" s="170"/>
      <c r="CMX7" s="170"/>
      <c r="CMY7" s="170"/>
      <c r="CMZ7" s="170"/>
      <c r="CNA7" s="170"/>
      <c r="CNB7" s="170"/>
      <c r="CNC7" s="170"/>
      <c r="CND7" s="170"/>
      <c r="CNE7" s="170"/>
      <c r="CNF7" s="170"/>
      <c r="CNG7" s="170"/>
      <c r="CNH7" s="170"/>
      <c r="CNI7" s="170"/>
      <c r="CNJ7" s="170"/>
      <c r="CNK7" s="170"/>
      <c r="CNL7" s="170"/>
      <c r="CNM7" s="170"/>
      <c r="CNN7" s="170"/>
      <c r="CNO7" s="170"/>
      <c r="CNP7" s="170"/>
      <c r="CNQ7" s="170"/>
      <c r="CNR7" s="170"/>
      <c r="CNS7" s="170"/>
      <c r="CNT7" s="170"/>
      <c r="CNU7" s="170"/>
      <c r="CNV7" s="170"/>
      <c r="CNW7" s="170"/>
      <c r="CNX7" s="170"/>
      <c r="CNY7" s="170"/>
      <c r="CNZ7" s="170"/>
      <c r="COA7" s="170"/>
      <c r="COB7" s="170"/>
      <c r="COC7" s="170"/>
      <c r="COD7" s="170"/>
      <c r="COE7" s="170"/>
      <c r="COF7" s="170"/>
      <c r="COG7" s="170"/>
      <c r="COH7" s="170"/>
      <c r="COI7" s="170"/>
      <c r="COJ7" s="170"/>
      <c r="COK7" s="170"/>
      <c r="COL7" s="170"/>
      <c r="COM7" s="170"/>
      <c r="CON7" s="170"/>
      <c r="COO7" s="170"/>
      <c r="COP7" s="170"/>
      <c r="COQ7" s="170"/>
      <c r="COR7" s="170"/>
      <c r="COS7" s="170"/>
      <c r="COT7" s="170"/>
      <c r="COU7" s="170"/>
      <c r="COV7" s="170"/>
      <c r="COW7" s="170"/>
      <c r="COX7" s="170"/>
      <c r="COY7" s="170"/>
      <c r="COZ7" s="170"/>
      <c r="CPA7" s="170"/>
      <c r="CPB7" s="170"/>
      <c r="CPC7" s="170"/>
      <c r="CPD7" s="170"/>
      <c r="CPE7" s="170"/>
      <c r="CPF7" s="170"/>
      <c r="CPG7" s="170"/>
      <c r="CPH7" s="170"/>
      <c r="CPI7" s="170"/>
      <c r="CPJ7" s="170"/>
      <c r="CPK7" s="170"/>
      <c r="CPL7" s="170"/>
      <c r="CPM7" s="170"/>
      <c r="CPN7" s="170"/>
      <c r="CPO7" s="170"/>
      <c r="CPP7" s="170"/>
      <c r="CPQ7" s="170"/>
      <c r="CPR7" s="170"/>
      <c r="CPS7" s="170"/>
      <c r="CPT7" s="170"/>
      <c r="CPU7" s="170"/>
      <c r="CPV7" s="170"/>
      <c r="CPW7" s="170"/>
      <c r="CPX7" s="170"/>
      <c r="CPY7" s="170"/>
      <c r="CPZ7" s="170"/>
      <c r="CQA7" s="170"/>
      <c r="CQB7" s="170"/>
      <c r="CQC7" s="170"/>
      <c r="CQD7" s="170"/>
      <c r="CQE7" s="170"/>
      <c r="CQF7" s="170"/>
      <c r="CQG7" s="170"/>
      <c r="CQH7" s="170"/>
      <c r="CQI7" s="170"/>
      <c r="CQJ7" s="170"/>
      <c r="CQK7" s="170"/>
      <c r="CQL7" s="170"/>
      <c r="CQM7" s="170"/>
      <c r="CQN7" s="170"/>
      <c r="CQO7" s="170"/>
      <c r="CQP7" s="170"/>
      <c r="CQQ7" s="170"/>
      <c r="CQR7" s="170"/>
      <c r="CQS7" s="170"/>
      <c r="CQT7" s="170"/>
      <c r="CQU7" s="170"/>
      <c r="CQV7" s="170"/>
      <c r="CQW7" s="170"/>
      <c r="CQX7" s="170"/>
      <c r="CQY7" s="170"/>
      <c r="CQZ7" s="170"/>
      <c r="CRA7" s="170"/>
      <c r="CRB7" s="170"/>
      <c r="CRC7" s="170"/>
      <c r="CRD7" s="170"/>
      <c r="CRE7" s="170"/>
      <c r="CRF7" s="170"/>
      <c r="CRG7" s="170"/>
      <c r="CRH7" s="170"/>
      <c r="CRI7" s="170"/>
      <c r="CRJ7" s="170"/>
      <c r="CRK7" s="170"/>
      <c r="CRL7" s="170"/>
      <c r="CRM7" s="170"/>
      <c r="CRN7" s="170"/>
      <c r="CRO7" s="170"/>
      <c r="CRP7" s="170"/>
      <c r="CRQ7" s="170"/>
      <c r="CRR7" s="170"/>
      <c r="CRS7" s="170"/>
      <c r="CRT7" s="170"/>
      <c r="CRU7" s="170"/>
      <c r="CRV7" s="170"/>
      <c r="CRW7" s="170"/>
      <c r="CRX7" s="170"/>
      <c r="CRY7" s="170"/>
      <c r="CRZ7" s="170"/>
      <c r="CSA7" s="170"/>
      <c r="CSB7" s="170"/>
      <c r="CSC7" s="170"/>
      <c r="CSD7" s="170"/>
      <c r="CSE7" s="170"/>
      <c r="CSF7" s="170"/>
      <c r="CSG7" s="170"/>
      <c r="CSH7" s="170"/>
      <c r="CSI7" s="170"/>
      <c r="CSJ7" s="170"/>
      <c r="CSK7" s="170"/>
      <c r="CSL7" s="170"/>
      <c r="CSM7" s="170"/>
      <c r="CSN7" s="170"/>
      <c r="CSO7" s="170"/>
      <c r="CSP7" s="170"/>
      <c r="CSQ7" s="170"/>
      <c r="CSR7" s="170"/>
      <c r="CSS7" s="170"/>
      <c r="CST7" s="170"/>
      <c r="CSU7" s="170"/>
      <c r="CSV7" s="170"/>
      <c r="CSW7" s="170"/>
      <c r="CSX7" s="170"/>
      <c r="CSY7" s="170"/>
      <c r="CSZ7" s="170"/>
      <c r="CTA7" s="170"/>
      <c r="CTB7" s="170"/>
      <c r="CTC7" s="170"/>
      <c r="CTD7" s="170"/>
      <c r="CTE7" s="170"/>
      <c r="CTF7" s="170"/>
      <c r="CTG7" s="170"/>
      <c r="CTH7" s="170"/>
      <c r="CTI7" s="170"/>
      <c r="CTJ7" s="170"/>
      <c r="CTK7" s="170"/>
      <c r="CTL7" s="170"/>
      <c r="CTM7" s="170"/>
      <c r="CTN7" s="170"/>
      <c r="CTO7" s="170"/>
      <c r="CTP7" s="170"/>
      <c r="CTQ7" s="170"/>
      <c r="CTR7" s="170"/>
      <c r="CTS7" s="170"/>
      <c r="CTT7" s="170"/>
      <c r="CTU7" s="170"/>
      <c r="CTV7" s="170"/>
      <c r="CTW7" s="170"/>
      <c r="CTX7" s="170"/>
      <c r="CTY7" s="170"/>
      <c r="CTZ7" s="170"/>
      <c r="CUA7" s="170"/>
      <c r="CUB7" s="170"/>
      <c r="CUC7" s="170"/>
      <c r="CUD7" s="170"/>
      <c r="CUE7" s="170"/>
      <c r="CUF7" s="170"/>
      <c r="CUG7" s="170"/>
      <c r="CUH7" s="170"/>
      <c r="CUI7" s="170"/>
      <c r="CUJ7" s="170"/>
      <c r="CUK7" s="170"/>
      <c r="CUL7" s="170"/>
      <c r="CUM7" s="170"/>
      <c r="CUN7" s="170"/>
      <c r="CUO7" s="170"/>
      <c r="CUP7" s="170"/>
      <c r="CUQ7" s="170"/>
      <c r="CUR7" s="170"/>
      <c r="CUS7" s="170"/>
      <c r="CUT7" s="170"/>
      <c r="CUU7" s="170"/>
      <c r="CUV7" s="170"/>
      <c r="CUW7" s="170"/>
      <c r="CUX7" s="170"/>
      <c r="CUY7" s="170"/>
      <c r="CUZ7" s="170"/>
      <c r="CVA7" s="170"/>
      <c r="CVB7" s="170"/>
      <c r="CVC7" s="170"/>
      <c r="CVD7" s="170"/>
      <c r="CVE7" s="170"/>
      <c r="CVF7" s="170"/>
      <c r="CVG7" s="170"/>
      <c r="CVH7" s="170"/>
      <c r="CVI7" s="170"/>
      <c r="CVJ7" s="170"/>
      <c r="CVK7" s="170"/>
      <c r="CVL7" s="170"/>
      <c r="CVM7" s="170"/>
      <c r="CVN7" s="170"/>
      <c r="CVO7" s="170"/>
      <c r="CVP7" s="170"/>
      <c r="CVQ7" s="170"/>
      <c r="CVR7" s="170"/>
      <c r="CVS7" s="170"/>
      <c r="CVT7" s="170"/>
      <c r="CVU7" s="170"/>
      <c r="CVV7" s="170"/>
      <c r="CVW7" s="170"/>
      <c r="CVX7" s="170"/>
      <c r="CVY7" s="170"/>
      <c r="CVZ7" s="170"/>
      <c r="CWA7" s="170"/>
      <c r="CWB7" s="170"/>
      <c r="CWC7" s="170"/>
      <c r="CWD7" s="170"/>
      <c r="CWE7" s="170"/>
      <c r="CWF7" s="170"/>
      <c r="CWG7" s="170"/>
      <c r="CWH7" s="170"/>
      <c r="CWI7" s="170"/>
      <c r="CWJ7" s="170"/>
      <c r="CWK7" s="170"/>
      <c r="CWL7" s="170"/>
      <c r="CWM7" s="170"/>
      <c r="CWN7" s="170"/>
      <c r="CWO7" s="170"/>
      <c r="CWP7" s="170"/>
      <c r="CWQ7" s="170"/>
      <c r="CWR7" s="170"/>
      <c r="CWS7" s="170"/>
      <c r="CWT7" s="170"/>
      <c r="CWU7" s="170"/>
      <c r="CWV7" s="170"/>
      <c r="CWW7" s="170"/>
      <c r="CWX7" s="170"/>
      <c r="CWY7" s="170"/>
      <c r="CWZ7" s="170"/>
      <c r="CXA7" s="170"/>
      <c r="CXB7" s="170"/>
      <c r="CXC7" s="170"/>
      <c r="CXD7" s="170"/>
      <c r="CXE7" s="170"/>
      <c r="CXF7" s="170"/>
      <c r="CXG7" s="170"/>
      <c r="CXH7" s="170"/>
      <c r="CXI7" s="170"/>
      <c r="CXJ7" s="170"/>
      <c r="CXK7" s="170"/>
      <c r="CXL7" s="170"/>
      <c r="CXM7" s="170"/>
      <c r="CXN7" s="170"/>
      <c r="CXO7" s="170"/>
      <c r="CXP7" s="170"/>
      <c r="CXQ7" s="170"/>
      <c r="CXR7" s="170"/>
      <c r="CXS7" s="170"/>
      <c r="CXT7" s="170"/>
      <c r="CXU7" s="170"/>
      <c r="CXV7" s="170"/>
      <c r="CXW7" s="170"/>
      <c r="CXX7" s="170"/>
      <c r="CXY7" s="170"/>
      <c r="CXZ7" s="170"/>
      <c r="CYA7" s="170"/>
      <c r="CYB7" s="170"/>
      <c r="CYC7" s="170"/>
      <c r="CYD7" s="170"/>
      <c r="CYE7" s="170"/>
      <c r="CYF7" s="170"/>
      <c r="CYG7" s="170"/>
      <c r="CYH7" s="170"/>
      <c r="CYI7" s="170"/>
      <c r="CYJ7" s="170"/>
      <c r="CYK7" s="170"/>
      <c r="CYL7" s="170"/>
      <c r="CYM7" s="170"/>
      <c r="CYN7" s="170"/>
      <c r="CYO7" s="170"/>
      <c r="CYP7" s="170"/>
      <c r="CYQ7" s="170"/>
      <c r="CYR7" s="170"/>
      <c r="CYS7" s="170"/>
      <c r="CYT7" s="170"/>
      <c r="CYU7" s="170"/>
      <c r="CYV7" s="170"/>
      <c r="CYW7" s="170"/>
      <c r="CYX7" s="170"/>
      <c r="CYY7" s="170"/>
      <c r="CYZ7" s="170"/>
      <c r="CZA7" s="170"/>
      <c r="CZB7" s="170"/>
      <c r="CZC7" s="170"/>
      <c r="CZD7" s="170"/>
      <c r="CZE7" s="170"/>
      <c r="CZF7" s="170"/>
      <c r="CZG7" s="170"/>
      <c r="CZH7" s="170"/>
      <c r="CZI7" s="170"/>
      <c r="CZJ7" s="170"/>
      <c r="CZK7" s="170"/>
      <c r="CZL7" s="170"/>
      <c r="CZM7" s="170"/>
      <c r="CZN7" s="170"/>
      <c r="CZO7" s="170"/>
      <c r="CZP7" s="170"/>
      <c r="CZQ7" s="170"/>
      <c r="CZR7" s="170"/>
      <c r="CZS7" s="170"/>
      <c r="CZT7" s="170"/>
      <c r="CZU7" s="170"/>
      <c r="CZV7" s="170"/>
      <c r="CZW7" s="170"/>
      <c r="CZX7" s="170"/>
      <c r="CZY7" s="170"/>
      <c r="CZZ7" s="170"/>
      <c r="DAA7" s="170"/>
      <c r="DAB7" s="170"/>
      <c r="DAC7" s="170"/>
      <c r="DAD7" s="170"/>
      <c r="DAE7" s="170"/>
      <c r="DAF7" s="170"/>
      <c r="DAG7" s="170"/>
      <c r="DAH7" s="170"/>
      <c r="DAI7" s="170"/>
      <c r="DAJ7" s="170"/>
      <c r="DAK7" s="170"/>
      <c r="DAL7" s="170"/>
      <c r="DAM7" s="170"/>
      <c r="DAN7" s="170"/>
      <c r="DAO7" s="170"/>
      <c r="DAP7" s="170"/>
      <c r="DAQ7" s="170"/>
      <c r="DAR7" s="170"/>
      <c r="DAS7" s="170"/>
      <c r="DAT7" s="170"/>
      <c r="DAU7" s="170"/>
      <c r="DAV7" s="170"/>
      <c r="DAW7" s="170"/>
      <c r="DAX7" s="170"/>
      <c r="DAY7" s="170"/>
      <c r="DAZ7" s="170"/>
      <c r="DBA7" s="170"/>
      <c r="DBB7" s="170"/>
      <c r="DCA7" t="s">
        <v>7127</v>
      </c>
      <c r="DCB7" t="s">
        <v>7128</v>
      </c>
      <c r="DDA7" s="221" t="s">
        <v>6436</v>
      </c>
      <c r="DDB7" s="1168" t="s">
        <v>6437</v>
      </c>
      <c r="DDC7" s="1521"/>
      <c r="DDD7" s="434">
        <v>3</v>
      </c>
    </row>
    <row r="8" spans="1:2814" ht="30" customHeight="1" thickBot="1">
      <c r="A8" s="1323" t="s">
        <v>1261</v>
      </c>
      <c r="B8" s="1309">
        <v>5</v>
      </c>
      <c r="C8" s="1306" t="s">
        <v>6900</v>
      </c>
      <c r="D8" s="317" t="s">
        <v>3791</v>
      </c>
      <c r="E8" s="1310" t="s">
        <v>3760</v>
      </c>
      <c r="F8" s="1311" t="s">
        <v>233</v>
      </c>
      <c r="G8" s="1312"/>
      <c r="H8" s="1312"/>
      <c r="I8" s="1312"/>
      <c r="J8" s="1312"/>
      <c r="K8" s="433"/>
      <c r="L8" s="2506">
        <f>MATCH(C8, $A$1:$DZG$1,0)</f>
        <v>157</v>
      </c>
      <c r="M8" t="str">
        <f t="shared" si="0"/>
        <v>FA</v>
      </c>
      <c r="N8" s="433"/>
      <c r="O8" s="433"/>
      <c r="P8" s="433"/>
      <c r="Q8" s="433"/>
      <c r="R8" s="433"/>
      <c r="S8" s="433"/>
      <c r="T8" s="433"/>
      <c r="U8" s="433"/>
      <c r="V8" s="433"/>
      <c r="W8" s="433"/>
      <c r="AA8" s="221" t="s">
        <v>4</v>
      </c>
      <c r="AB8" s="230" t="s">
        <v>408</v>
      </c>
      <c r="AC8" s="1539"/>
      <c r="AD8" s="157">
        <v>3</v>
      </c>
      <c r="AW8" s="133"/>
      <c r="AX8" s="133"/>
      <c r="AY8" s="133"/>
      <c r="AZ8" s="133"/>
      <c r="BX8" s="133"/>
      <c r="BY8" s="133"/>
      <c r="BZ8" s="133"/>
      <c r="CA8" s="221" t="s">
        <v>422</v>
      </c>
      <c r="CB8" s="165" t="s">
        <v>362</v>
      </c>
      <c r="CC8" s="1640"/>
      <c r="CD8" s="157">
        <v>3</v>
      </c>
      <c r="CE8" t="s">
        <v>4117</v>
      </c>
      <c r="CF8" s="133"/>
      <c r="CG8" s="133"/>
      <c r="CH8" s="133"/>
      <c r="CI8" s="133"/>
      <c r="CJ8" s="133"/>
      <c r="CK8" s="133"/>
      <c r="CL8" s="133"/>
      <c r="CM8" s="133"/>
      <c r="CN8" s="133"/>
      <c r="CO8" s="133"/>
      <c r="CP8" s="133"/>
      <c r="CQ8" s="133"/>
      <c r="CR8" s="133"/>
      <c r="CS8" s="133"/>
      <c r="CT8" s="133"/>
      <c r="CU8" s="133"/>
      <c r="CV8" s="133"/>
      <c r="CW8" s="133"/>
      <c r="CX8" s="133"/>
      <c r="CY8" s="133"/>
      <c r="CZ8" s="133"/>
      <c r="EB8" s="171"/>
      <c r="EC8" s="947"/>
      <c r="ED8" s="133"/>
      <c r="EE8" s="133" t="s">
        <v>4128</v>
      </c>
      <c r="FA8" s="1596" t="s">
        <v>6662</v>
      </c>
      <c r="FB8" s="1596"/>
      <c r="FC8" s="1596"/>
      <c r="FD8" s="948"/>
      <c r="GA8" s="60" t="s">
        <v>6905</v>
      </c>
      <c r="GB8" s="1329">
        <v>100</v>
      </c>
      <c r="GC8" s="1333"/>
      <c r="GD8" s="934">
        <v>3</v>
      </c>
      <c r="GE8" s="1170"/>
      <c r="GF8" s="1170"/>
      <c r="HA8" s="432" t="s">
        <v>6061</v>
      </c>
      <c r="HB8" s="165" t="s">
        <v>6062</v>
      </c>
      <c r="HC8" s="1509"/>
      <c r="HD8" s="934">
        <v>3</v>
      </c>
      <c r="HE8" s="1088"/>
      <c r="HF8" s="1088"/>
      <c r="KC8" s="171"/>
      <c r="PA8" s="221" t="s">
        <v>424</v>
      </c>
      <c r="PB8" s="165" t="s">
        <v>425</v>
      </c>
      <c r="PD8" s="225">
        <v>3</v>
      </c>
      <c r="PE8" s="1630"/>
      <c r="PF8" s="133"/>
      <c r="PG8" s="133"/>
      <c r="PH8" s="133"/>
      <c r="PI8" s="133"/>
      <c r="PJ8" s="133"/>
      <c r="PK8" s="133"/>
      <c r="PL8" s="133"/>
      <c r="PM8" s="133"/>
      <c r="PN8" s="133"/>
      <c r="PO8" s="133"/>
      <c r="PP8" s="133"/>
      <c r="PQ8" s="133"/>
      <c r="PR8" s="133"/>
      <c r="PS8" s="133"/>
      <c r="PT8" s="133"/>
      <c r="PU8" s="133"/>
      <c r="PV8" s="133"/>
      <c r="PW8" s="133"/>
      <c r="PX8" s="133"/>
      <c r="PY8" s="133"/>
      <c r="PZ8" s="133"/>
      <c r="QF8" s="133"/>
      <c r="QG8" s="133"/>
      <c r="QH8" s="133"/>
      <c r="QI8" s="133"/>
      <c r="QJ8" s="133"/>
      <c r="QK8" s="133"/>
      <c r="QL8" s="133"/>
      <c r="QM8" s="133"/>
      <c r="QN8" s="133"/>
      <c r="QO8" s="133"/>
      <c r="QP8" s="133"/>
      <c r="QQ8" s="133"/>
      <c r="QR8" s="133"/>
      <c r="QS8" s="133"/>
      <c r="QT8" s="133"/>
      <c r="QU8" s="133"/>
      <c r="QV8" s="133"/>
      <c r="QW8" s="133"/>
      <c r="QX8" s="133"/>
      <c r="QY8" s="133"/>
      <c r="QZ8" s="133"/>
      <c r="RA8" s="1603" t="s">
        <v>4190</v>
      </c>
      <c r="RB8" s="1603"/>
      <c r="RC8" s="957"/>
      <c r="RD8" s="962"/>
      <c r="RE8" s="1539"/>
      <c r="RF8" s="442"/>
      <c r="RG8" s="442"/>
      <c r="RH8" s="133"/>
      <c r="RI8" s="133"/>
      <c r="RJ8" s="133"/>
      <c r="RK8" s="133"/>
      <c r="RL8" s="133"/>
      <c r="RM8" s="133"/>
      <c r="RN8" s="133"/>
      <c r="RO8" s="133"/>
      <c r="RP8" s="133"/>
      <c r="RQ8" s="133"/>
      <c r="RR8" s="133"/>
      <c r="RS8" s="133"/>
      <c r="RT8" s="133"/>
      <c r="RU8" s="133"/>
      <c r="RV8" s="133"/>
      <c r="RW8" s="133"/>
      <c r="RX8" s="133"/>
      <c r="RY8" s="133"/>
      <c r="RZ8" s="133"/>
      <c r="SA8" s="221" t="s">
        <v>4218</v>
      </c>
      <c r="SB8" s="963" t="s">
        <v>385</v>
      </c>
      <c r="SC8" s="951"/>
      <c r="SD8" s="934">
        <v>3</v>
      </c>
      <c r="SE8" s="1598" t="s">
        <v>5566</v>
      </c>
      <c r="SF8" s="1585"/>
      <c r="SG8" s="1585"/>
      <c r="SH8" s="133"/>
      <c r="SI8" s="133"/>
      <c r="SJ8" s="133"/>
      <c r="SK8" s="133"/>
      <c r="SL8" s="133"/>
      <c r="SM8" s="133"/>
      <c r="SN8" s="133"/>
      <c r="SO8" s="133"/>
      <c r="SP8" s="133"/>
      <c r="SQ8" s="133"/>
      <c r="SR8" s="133"/>
      <c r="SS8" s="133"/>
      <c r="ST8" s="133"/>
      <c r="SU8" s="133"/>
      <c r="SV8" s="133"/>
      <c r="SW8" s="133"/>
      <c r="SX8" s="133"/>
      <c r="SY8" s="133"/>
      <c r="TA8" s="827" t="s">
        <v>426</v>
      </c>
      <c r="TB8" s="165" t="s">
        <v>385</v>
      </c>
      <c r="TC8" s="165" t="s">
        <v>4237</v>
      </c>
      <c r="TD8" s="165" t="s">
        <v>4237</v>
      </c>
      <c r="TE8" s="230" t="s">
        <v>418</v>
      </c>
      <c r="TF8" s="114">
        <v>3</v>
      </c>
      <c r="TG8" s="171" t="s">
        <v>4247</v>
      </c>
      <c r="UA8" s="221" t="s">
        <v>427</v>
      </c>
      <c r="UB8" s="230" t="s">
        <v>385</v>
      </c>
      <c r="UC8" s="1512"/>
      <c r="UD8" s="157">
        <v>4</v>
      </c>
      <c r="UE8" s="1641" t="s">
        <v>4260</v>
      </c>
      <c r="UF8" s="1513"/>
      <c r="UG8" s="1513"/>
      <c r="UH8" s="1513"/>
      <c r="VA8" s="221" t="s">
        <v>428</v>
      </c>
      <c r="VB8" s="1515" t="s">
        <v>4294</v>
      </c>
      <c r="VC8" s="1593"/>
      <c r="VD8" s="157">
        <v>3</v>
      </c>
      <c r="WA8" s="221" t="s">
        <v>428</v>
      </c>
      <c r="WB8" s="1515" t="s">
        <v>4294</v>
      </c>
      <c r="WC8" s="1593"/>
      <c r="WD8" s="225">
        <v>3</v>
      </c>
      <c r="XA8" s="827" t="s">
        <v>404</v>
      </c>
      <c r="XB8" s="165" t="s">
        <v>362</v>
      </c>
      <c r="XC8" s="1539"/>
      <c r="XD8" s="157">
        <v>4</v>
      </c>
      <c r="XE8" s="1504" t="s">
        <v>7642</v>
      </c>
      <c r="XF8" s="1505"/>
      <c r="XL8" s="221" t="s">
        <v>428</v>
      </c>
      <c r="XM8" s="1753" t="s">
        <v>4294</v>
      </c>
      <c r="XN8" s="1754"/>
      <c r="XO8" s="1754"/>
      <c r="YA8" s="221" t="s">
        <v>405</v>
      </c>
      <c r="YB8" s="254" t="s">
        <v>7613</v>
      </c>
      <c r="YC8" s="1258"/>
      <c r="YD8" s="157">
        <v>4</v>
      </c>
      <c r="YE8" s="1746" t="s">
        <v>7592</v>
      </c>
      <c r="YF8" s="1747"/>
      <c r="YJ8" s="221" t="s">
        <v>420</v>
      </c>
      <c r="YK8" s="1462" t="s">
        <v>7602</v>
      </c>
      <c r="ZB8" s="221" t="s">
        <v>428</v>
      </c>
      <c r="ZC8" s="968" t="s">
        <v>4294</v>
      </c>
      <c r="ZD8" s="285"/>
      <c r="ZE8" s="157">
        <v>3</v>
      </c>
      <c r="ZF8" s="1618"/>
      <c r="ZG8" s="1618"/>
      <c r="AAB8" s="221" t="s">
        <v>428</v>
      </c>
      <c r="AAC8" s="968" t="s">
        <v>4294</v>
      </c>
      <c r="AAD8" s="285"/>
      <c r="AAE8" s="157">
        <v>3</v>
      </c>
      <c r="AAF8" s="1618"/>
      <c r="AAG8" s="1618"/>
      <c r="ADB8" s="221" t="s">
        <v>441</v>
      </c>
      <c r="ADC8" s="165" t="s">
        <v>4334</v>
      </c>
      <c r="ADD8" s="1696"/>
      <c r="ADE8" s="225">
        <v>3</v>
      </c>
      <c r="ADF8" s="10" t="s">
        <v>4336</v>
      </c>
      <c r="AEB8" s="221" t="s">
        <v>4</v>
      </c>
      <c r="AEC8" s="230" t="s">
        <v>406</v>
      </c>
      <c r="AED8" s="1520"/>
      <c r="AEE8" s="157">
        <v>3</v>
      </c>
      <c r="AFB8" s="221" t="s">
        <v>441</v>
      </c>
      <c r="AFC8" s="230" t="s">
        <v>4355</v>
      </c>
      <c r="AFD8" s="1539"/>
      <c r="AFE8" s="158">
        <v>3</v>
      </c>
      <c r="AGB8" s="221" t="s">
        <v>441</v>
      </c>
      <c r="AGC8" s="230" t="s">
        <v>4355</v>
      </c>
      <c r="AGD8" s="1539"/>
      <c r="AGE8" s="158">
        <v>3</v>
      </c>
      <c r="AHB8" s="221" t="s">
        <v>441</v>
      </c>
      <c r="AHC8" s="230" t="s">
        <v>4355</v>
      </c>
      <c r="AHD8" s="1539"/>
      <c r="AHE8" s="158">
        <v>3</v>
      </c>
      <c r="AIB8" s="221" t="s">
        <v>441</v>
      </c>
      <c r="AIC8" s="230" t="s">
        <v>4355</v>
      </c>
      <c r="AID8" s="1539"/>
      <c r="AIE8" s="158">
        <v>3</v>
      </c>
      <c r="AJB8" s="221" t="s">
        <v>441</v>
      </c>
      <c r="AJC8" s="230" t="s">
        <v>4355</v>
      </c>
      <c r="AJD8" s="1539"/>
      <c r="AJE8" s="158">
        <v>3</v>
      </c>
      <c r="AKB8" s="221" t="s">
        <v>441</v>
      </c>
      <c r="AKC8" s="230" t="s">
        <v>4355</v>
      </c>
      <c r="AKD8" s="1539"/>
      <c r="AKE8" s="158">
        <v>3</v>
      </c>
      <c r="ALB8" s="221" t="s">
        <v>441</v>
      </c>
      <c r="ALC8" s="230" t="s">
        <v>4355</v>
      </c>
      <c r="ALD8" s="1539"/>
      <c r="ALE8" s="158">
        <v>3</v>
      </c>
      <c r="AMB8" s="221" t="s">
        <v>441</v>
      </c>
      <c r="AMC8" s="230" t="s">
        <v>4355</v>
      </c>
      <c r="AMD8" s="1539"/>
      <c r="AME8" s="158">
        <v>3</v>
      </c>
      <c r="ANB8" s="221" t="s">
        <v>441</v>
      </c>
      <c r="ANC8" s="230" t="s">
        <v>4355</v>
      </c>
      <c r="AND8" s="1539"/>
      <c r="ANE8" s="158">
        <v>3</v>
      </c>
      <c r="AOA8" s="2542"/>
      <c r="AOB8" s="2542"/>
      <c r="AOC8" s="2535"/>
      <c r="AOD8" s="2533"/>
      <c r="AOE8" s="2551"/>
      <c r="AOF8" s="2551"/>
      <c r="AOG8" s="1021"/>
      <c r="APA8" s="2542"/>
      <c r="APB8" s="2542"/>
      <c r="APC8" s="2535"/>
      <c r="APD8" s="2533"/>
      <c r="APE8" s="2546"/>
      <c r="APF8" s="2546"/>
      <c r="APG8" s="2546"/>
      <c r="AQA8" s="221" t="s">
        <v>370</v>
      </c>
      <c r="AQB8" s="230" t="s">
        <v>4513</v>
      </c>
      <c r="AQC8" s="1512"/>
      <c r="AQD8" s="985">
        <v>3</v>
      </c>
      <c r="AQE8" s="1505" t="s">
        <v>4498</v>
      </c>
      <c r="AQF8" s="1505"/>
      <c r="AQG8" s="1505"/>
      <c r="AQZ8" s="221" t="s">
        <v>6436</v>
      </c>
      <c r="ARA8" s="2481" t="s">
        <v>7749</v>
      </c>
      <c r="ARB8" s="2486"/>
      <c r="ARC8" s="2483"/>
      <c r="ARD8" s="434">
        <v>4</v>
      </c>
      <c r="ARE8" s="1684" t="s">
        <v>7750</v>
      </c>
      <c r="ARF8" s="1594"/>
      <c r="ATA8" s="221" t="s">
        <v>4524</v>
      </c>
      <c r="ATB8" s="165" t="s">
        <v>5825</v>
      </c>
      <c r="ATC8" s="442"/>
      <c r="ATD8" s="452">
        <v>3</v>
      </c>
      <c r="ATE8" s="1658" t="s">
        <v>6882</v>
      </c>
      <c r="ATF8" s="1659"/>
      <c r="ATG8" s="1659"/>
      <c r="ATH8" s="1660"/>
      <c r="AUA8" s="989" t="s">
        <v>6892</v>
      </c>
      <c r="AUB8" s="1198" t="s">
        <v>1051</v>
      </c>
      <c r="AUC8" s="1498"/>
      <c r="AUD8" s="985">
        <v>4</v>
      </c>
      <c r="AUE8" s="1682" t="s">
        <v>6893</v>
      </c>
      <c r="AUF8" s="1683"/>
      <c r="AUG8" s="7"/>
      <c r="AUH8" s="7"/>
      <c r="AVA8" s="1174" t="s">
        <v>5811</v>
      </c>
      <c r="AVB8" s="1198" t="s">
        <v>6577</v>
      </c>
      <c r="AVC8" s="1539"/>
      <c r="AVD8" s="157">
        <v>4</v>
      </c>
      <c r="AVE8" s="1670" t="s">
        <v>6623</v>
      </c>
      <c r="AVF8" s="1671"/>
      <c r="AWA8" s="252"/>
      <c r="AWB8" s="1475"/>
      <c r="AWC8" s="442"/>
      <c r="AWD8" s="133"/>
      <c r="AWE8" s="133"/>
      <c r="AXA8" s="1031" t="s">
        <v>5424</v>
      </c>
      <c r="AXB8" s="1537" t="s">
        <v>5425</v>
      </c>
      <c r="AXC8" s="1538"/>
      <c r="AXE8" s="1512"/>
      <c r="AXF8" s="157"/>
      <c r="AXG8" s="831"/>
      <c r="AYA8" s="221" t="s">
        <v>4592</v>
      </c>
      <c r="AYB8" s="230" t="s">
        <v>4593</v>
      </c>
      <c r="AYC8" s="1539"/>
      <c r="AYD8" s="244">
        <v>4</v>
      </c>
      <c r="AYE8" s="133"/>
      <c r="BAA8" s="221" t="s">
        <v>409</v>
      </c>
      <c r="BAB8" s="1111" t="s">
        <v>362</v>
      </c>
      <c r="BAC8" s="1729"/>
      <c r="BAD8" s="157">
        <v>3</v>
      </c>
      <c r="BAE8" s="1545" t="s">
        <v>6327</v>
      </c>
      <c r="BAF8" s="1546"/>
      <c r="BBA8" s="221" t="s">
        <v>4493</v>
      </c>
      <c r="BBB8" s="1067" t="s">
        <v>1763</v>
      </c>
      <c r="BBC8" s="1512"/>
      <c r="BBD8" s="225">
        <v>4</v>
      </c>
      <c r="BBE8" s="1543" t="s">
        <v>6724</v>
      </c>
      <c r="BBF8" s="1544"/>
      <c r="BCA8" s="221" t="s">
        <v>4493</v>
      </c>
      <c r="BCB8" s="1111" t="s">
        <v>1763</v>
      </c>
      <c r="BCC8" s="1262"/>
      <c r="BCD8" s="1577"/>
      <c r="BCE8" s="1706"/>
      <c r="BCF8" s="934">
        <v>4</v>
      </c>
      <c r="BCG8" s="1547" t="s">
        <v>4658</v>
      </c>
      <c r="BCH8" s="1548"/>
      <c r="BDE8" s="221" t="s">
        <v>6751</v>
      </c>
      <c r="BDF8" s="1269" t="s">
        <v>6742</v>
      </c>
      <c r="BDG8" s="1539"/>
      <c r="BDH8" s="1238"/>
      <c r="BDI8" s="943">
        <v>4</v>
      </c>
      <c r="BDJ8" s="1547" t="s">
        <v>6864</v>
      </c>
      <c r="BDK8" s="1548"/>
      <c r="BEA8" s="221" t="s">
        <v>6751</v>
      </c>
      <c r="BEB8" s="1269" t="s">
        <v>6848</v>
      </c>
      <c r="BEC8" s="1539"/>
      <c r="BED8" s="157">
        <v>4</v>
      </c>
      <c r="BEE8" s="1543" t="s">
        <v>6873</v>
      </c>
      <c r="BEF8" s="1544"/>
      <c r="BFA8" s="221" t="s">
        <v>6703</v>
      </c>
      <c r="BFB8" s="230" t="s">
        <v>6706</v>
      </c>
      <c r="BFC8" s="952"/>
      <c r="BFD8" s="157">
        <v>4</v>
      </c>
      <c r="BFE8" s="1707" t="s">
        <v>6704</v>
      </c>
      <c r="BFF8" s="1707"/>
      <c r="BFG8" s="1707"/>
      <c r="BFH8" s="1707"/>
      <c r="BFI8" s="1707"/>
      <c r="BGA8" s="1109" t="s">
        <v>4673</v>
      </c>
      <c r="BGB8" s="1275" t="s">
        <v>6767</v>
      </c>
      <c r="BGC8" s="1258"/>
      <c r="BGD8" s="225">
        <v>4</v>
      </c>
      <c r="BGE8" s="1707" t="s">
        <v>6768</v>
      </c>
      <c r="BGF8" s="1707"/>
      <c r="BGG8" s="1707"/>
      <c r="BGH8" s="1707"/>
      <c r="BGI8" s="1707"/>
      <c r="BIA8" s="990" t="s">
        <v>436</v>
      </c>
      <c r="BIB8" s="5" t="s">
        <v>4576</v>
      </c>
      <c r="BID8" s="225">
        <v>4</v>
      </c>
      <c r="BIE8" s="10"/>
      <c r="BJA8" s="221" t="s">
        <v>4688</v>
      </c>
      <c r="BJB8" s="230" t="s">
        <v>396</v>
      </c>
      <c r="BJC8" s="1512"/>
      <c r="BJD8" s="157">
        <v>4</v>
      </c>
      <c r="BJE8" s="1504" t="s">
        <v>4712</v>
      </c>
      <c r="BJF8" s="1505"/>
      <c r="BJG8" s="1505"/>
      <c r="BJH8" s="1505"/>
      <c r="BJI8" s="1505"/>
      <c r="BKA8" s="221" t="s">
        <v>4686</v>
      </c>
      <c r="BKB8" s="230" t="s">
        <v>1369</v>
      </c>
      <c r="BKC8" s="1512"/>
      <c r="BKD8" s="157">
        <v>4</v>
      </c>
      <c r="BKE8" s="1504" t="s">
        <v>4707</v>
      </c>
      <c r="BKF8" s="1505"/>
      <c r="BKG8" s="1505"/>
      <c r="BKH8" s="1505"/>
      <c r="BKI8" s="1505"/>
      <c r="BLA8" s="221" t="s">
        <v>428</v>
      </c>
      <c r="BLB8" s="230" t="s">
        <v>362</v>
      </c>
      <c r="BLC8" s="1539"/>
      <c r="BLD8" s="157">
        <v>3</v>
      </c>
      <c r="BLE8" t="s">
        <v>4709</v>
      </c>
      <c r="BMA8" s="221" t="s">
        <v>4</v>
      </c>
      <c r="BMB8" s="230" t="s">
        <v>362</v>
      </c>
      <c r="BMC8" s="1512"/>
      <c r="BMD8" s="1020">
        <v>3</v>
      </c>
      <c r="BNA8" s="221" t="s">
        <v>3</v>
      </c>
      <c r="BNB8" s="230" t="s">
        <v>362</v>
      </c>
      <c r="BNC8" s="1512"/>
      <c r="BND8" s="1022">
        <v>3</v>
      </c>
      <c r="BNE8" s="170"/>
      <c r="BNF8" s="170"/>
      <c r="BNG8" s="170"/>
      <c r="BNH8" s="170"/>
      <c r="BNI8" s="170"/>
      <c r="BNJ8" s="170"/>
      <c r="BNK8" s="170"/>
      <c r="BOA8" s="221" t="s">
        <v>428</v>
      </c>
      <c r="BOB8" s="230" t="s">
        <v>362</v>
      </c>
      <c r="BOC8" s="1539"/>
      <c r="BOD8" s="186">
        <v>3</v>
      </c>
      <c r="BPA8" s="1506" t="s">
        <v>4898</v>
      </c>
      <c r="BPB8" s="1507"/>
      <c r="BPC8" s="1509"/>
      <c r="BPD8" s="186"/>
      <c r="BQA8" s="221" t="s">
        <v>5021</v>
      </c>
      <c r="BQB8" s="230" t="s">
        <v>4642</v>
      </c>
      <c r="BQC8" s="1512"/>
      <c r="BQD8" s="186">
        <v>3</v>
      </c>
      <c r="BQE8" t="s">
        <v>5022</v>
      </c>
      <c r="BRA8" s="221" t="s">
        <v>4</v>
      </c>
      <c r="BRB8" s="230" t="s">
        <v>362</v>
      </c>
      <c r="BRC8" s="1512"/>
      <c r="BRD8" s="1020">
        <v>3</v>
      </c>
      <c r="BWA8" s="1175" t="s">
        <v>430</v>
      </c>
      <c r="BWB8" s="1183" t="s">
        <v>6353</v>
      </c>
      <c r="BWC8" s="1180" t="s">
        <v>6354</v>
      </c>
      <c r="BWD8" s="1181" t="s">
        <v>6355</v>
      </c>
      <c r="BWE8" s="1181" t="s">
        <v>6356</v>
      </c>
      <c r="BWF8" s="1181" t="s">
        <v>6357</v>
      </c>
      <c r="BWG8" s="1184" t="s">
        <v>6358</v>
      </c>
      <c r="BWH8" s="1184" t="s">
        <v>6360</v>
      </c>
      <c r="BWI8" s="1184" t="s">
        <v>6359</v>
      </c>
      <c r="BWJ8" s="235">
        <v>4</v>
      </c>
      <c r="BWK8" s="1179"/>
      <c r="BXX8" s="170"/>
      <c r="BXY8" s="170"/>
      <c r="BXZ8" s="170"/>
      <c r="BYA8" s="1688" t="s">
        <v>6060</v>
      </c>
      <c r="BYB8" s="1689"/>
      <c r="BYC8" s="971"/>
      <c r="BYD8" s="133"/>
      <c r="BYE8" s="1526"/>
      <c r="BYF8" s="1527"/>
      <c r="BYG8" s="1527"/>
      <c r="BYH8" s="170"/>
      <c r="BYI8" s="170"/>
      <c r="BYJ8" s="170"/>
      <c r="BYK8" s="170"/>
      <c r="BYL8" s="170"/>
      <c r="BYM8" s="170"/>
      <c r="BYN8" s="170"/>
      <c r="BYO8" s="170"/>
      <c r="BYP8" s="170"/>
      <c r="BYQ8" s="170"/>
      <c r="BYR8" s="170"/>
      <c r="BYS8" s="170"/>
      <c r="BYT8" s="170"/>
      <c r="BYU8" s="170"/>
      <c r="BYV8" s="170"/>
      <c r="BYW8" s="170"/>
      <c r="BYX8" s="170"/>
      <c r="BYY8" s="170"/>
      <c r="BYZ8" s="170"/>
      <c r="BZA8" s="170"/>
      <c r="BZB8" s="170"/>
      <c r="BZC8" s="170"/>
      <c r="BZD8" s="170"/>
      <c r="BZE8" s="170"/>
      <c r="BZF8" s="170"/>
      <c r="BZG8" s="170"/>
      <c r="BZH8" s="170"/>
      <c r="BZI8" s="170"/>
      <c r="BZJ8" s="170"/>
      <c r="BZK8" s="170"/>
      <c r="BZL8" s="170"/>
      <c r="BZM8" s="170"/>
      <c r="BZN8" s="170"/>
      <c r="BZO8" s="170"/>
      <c r="BZP8" s="170"/>
      <c r="BZQ8" s="170"/>
      <c r="BZR8" s="170"/>
      <c r="BZS8" s="170"/>
      <c r="BZT8" s="170"/>
      <c r="BZU8" s="170"/>
      <c r="BZV8" s="170"/>
      <c r="BZW8" s="170"/>
      <c r="BZX8" s="170"/>
      <c r="BZY8" s="170"/>
      <c r="BZZ8" s="170"/>
      <c r="CAA8" s="170"/>
      <c r="CAB8" s="170"/>
      <c r="CAC8" s="170"/>
      <c r="CAD8" s="170"/>
      <c r="CAE8" s="170"/>
      <c r="CAF8" s="170"/>
      <c r="CAG8" s="170"/>
      <c r="CAH8" s="170"/>
      <c r="CAI8" s="170"/>
      <c r="CAJ8" s="170"/>
      <c r="CAK8" s="170"/>
      <c r="CAL8" s="170"/>
      <c r="CAM8" s="170"/>
      <c r="CAN8" s="170"/>
      <c r="CAO8" s="170"/>
      <c r="CAP8" s="170"/>
      <c r="CAQ8" s="170"/>
      <c r="CAR8" s="170"/>
      <c r="CAS8" s="170"/>
      <c r="CAT8" s="170"/>
      <c r="CAU8" s="170"/>
      <c r="CAV8" s="170"/>
      <c r="CAW8" s="170"/>
      <c r="CAX8" s="170"/>
      <c r="CAY8" s="170"/>
      <c r="CAZ8" s="170"/>
      <c r="CBA8" s="170"/>
      <c r="CBB8" s="170"/>
      <c r="CBC8" s="170"/>
      <c r="CBD8" s="170"/>
      <c r="CBE8" s="170"/>
      <c r="CBF8" s="170"/>
      <c r="CBG8" s="170"/>
      <c r="CBH8" s="170"/>
      <c r="CBI8" s="170"/>
      <c r="CBJ8" s="170"/>
      <c r="CBK8" s="170"/>
      <c r="CBL8" s="170"/>
      <c r="CBM8" s="170"/>
      <c r="CBN8" s="170"/>
      <c r="CBO8" s="170"/>
      <c r="CBP8" s="170"/>
      <c r="CBQ8" s="170"/>
      <c r="CBR8" s="170"/>
      <c r="CBS8" s="170"/>
      <c r="CBT8" s="170"/>
      <c r="CBU8" s="170"/>
      <c r="CBV8" s="170"/>
      <c r="CBW8" s="170"/>
      <c r="CBX8" s="170"/>
      <c r="CBY8" s="170"/>
      <c r="CBZ8" s="170"/>
      <c r="CCA8" s="170"/>
      <c r="CCB8" s="170"/>
      <c r="CCC8" s="170"/>
      <c r="CCD8" s="170"/>
      <c r="CCE8" s="170"/>
      <c r="CCF8" s="170"/>
      <c r="CCG8" s="170"/>
      <c r="CCH8" s="170"/>
      <c r="CCI8" s="170"/>
      <c r="CCJ8" s="170"/>
      <c r="CCK8" s="170"/>
      <c r="CCL8" s="170"/>
      <c r="CCM8" s="170"/>
      <c r="CCN8" s="170"/>
      <c r="CCO8" s="170"/>
      <c r="CCP8" s="170"/>
      <c r="CCQ8" s="170"/>
      <c r="CCR8" s="170"/>
      <c r="CCS8" s="170"/>
      <c r="CCT8" s="170"/>
      <c r="CCU8" s="170"/>
      <c r="CCV8" s="170"/>
      <c r="CCW8" s="170"/>
      <c r="CCX8" s="170"/>
      <c r="CCY8" s="170"/>
      <c r="CCZ8" s="170"/>
      <c r="CDA8" s="170"/>
      <c r="CDB8" s="170"/>
      <c r="CDC8" s="170"/>
      <c r="CDD8" s="170"/>
      <c r="CDE8" s="170"/>
      <c r="CDF8" s="170"/>
      <c r="CDG8" s="170"/>
      <c r="CDH8" s="170"/>
      <c r="CDI8" s="170"/>
      <c r="CDJ8" s="170"/>
      <c r="CDK8" s="170"/>
      <c r="CDL8" s="170"/>
      <c r="CDM8" s="170"/>
      <c r="CDN8" s="170"/>
      <c r="CDO8" s="170"/>
      <c r="CDP8" s="170"/>
      <c r="CDQ8" s="170"/>
      <c r="CDR8" s="170"/>
      <c r="CDS8" s="170"/>
      <c r="CDT8" s="170"/>
      <c r="CDU8" s="170"/>
      <c r="CDV8" s="170"/>
      <c r="CDW8" s="170"/>
      <c r="CDX8" s="170"/>
      <c r="CDY8" s="170"/>
      <c r="CDZ8" s="170"/>
      <c r="CEA8" s="170"/>
      <c r="CEB8" s="170"/>
      <c r="CEC8" s="170"/>
      <c r="CED8" s="170"/>
      <c r="CEE8" s="170"/>
      <c r="CEF8" s="170"/>
      <c r="CEG8" s="170"/>
      <c r="CEH8" s="170"/>
      <c r="CEI8" s="170"/>
      <c r="CEJ8" s="170"/>
      <c r="CEK8" s="170"/>
      <c r="CEL8" s="170"/>
      <c r="CEM8" s="170"/>
      <c r="CEN8" s="170"/>
      <c r="CEO8" s="170"/>
      <c r="CEP8" s="170"/>
      <c r="CEQ8" s="170"/>
      <c r="CER8" s="170"/>
      <c r="CES8" s="170"/>
      <c r="CET8" s="170"/>
      <c r="CEU8" s="170"/>
      <c r="CEV8" s="170"/>
      <c r="CEW8" s="170"/>
      <c r="CEX8" s="170"/>
      <c r="CEY8" s="170"/>
      <c r="CEZ8" s="170"/>
      <c r="CFA8" s="170"/>
      <c r="CFB8" s="170"/>
      <c r="CFC8" s="170"/>
      <c r="CFD8" s="170"/>
      <c r="CFE8" s="170"/>
      <c r="CFF8" s="170"/>
      <c r="CFG8" s="170"/>
      <c r="CFH8" s="170"/>
      <c r="CFI8" s="170"/>
      <c r="CFJ8" s="170"/>
      <c r="CFK8" s="170"/>
      <c r="CFL8" s="170"/>
      <c r="CFM8" s="170"/>
      <c r="CFN8" s="170"/>
      <c r="CFO8" s="170"/>
      <c r="CFP8" s="170"/>
      <c r="CFQ8" s="170"/>
      <c r="CFR8" s="170"/>
      <c r="CFS8" s="170"/>
      <c r="CFT8" s="170"/>
      <c r="CFU8" s="170"/>
      <c r="CFV8" s="170"/>
      <c r="CFW8" s="170"/>
      <c r="CFX8" s="170"/>
      <c r="CFY8" s="170"/>
      <c r="CFZ8" s="170"/>
      <c r="CGA8" s="170"/>
      <c r="CGB8" s="170"/>
      <c r="CGC8" s="170"/>
      <c r="CGD8" s="170"/>
      <c r="CGE8" s="170"/>
      <c r="CGF8" s="170"/>
      <c r="CGG8" s="170"/>
      <c r="CGH8" s="170"/>
      <c r="CGI8" s="170"/>
      <c r="CGJ8" s="170"/>
      <c r="CGK8" s="170"/>
      <c r="CGL8" s="170"/>
      <c r="CGM8" s="170"/>
      <c r="CGN8" s="170"/>
      <c r="CGO8" s="170"/>
      <c r="CGP8" s="170"/>
      <c r="CGQ8" s="170"/>
      <c r="CGR8" s="170"/>
      <c r="CGS8" s="170"/>
      <c r="CGT8" s="170"/>
      <c r="CGU8" s="170"/>
      <c r="CGV8" s="170"/>
      <c r="CGW8" s="170"/>
      <c r="CGX8" s="170"/>
      <c r="CGY8" s="170"/>
      <c r="CGZ8" s="170"/>
      <c r="CHA8" s="170"/>
      <c r="CHB8" s="170"/>
      <c r="CHC8" s="170"/>
      <c r="CHD8" s="170"/>
      <c r="CHE8" s="170"/>
      <c r="CHF8" s="170"/>
      <c r="CHG8" s="170"/>
      <c r="CHH8" s="170"/>
      <c r="CHI8" s="170"/>
      <c r="CHJ8" s="170"/>
      <c r="CHK8" s="170"/>
      <c r="CHL8" s="170"/>
      <c r="CHM8" s="170"/>
      <c r="CHN8" s="170"/>
      <c r="CHO8" s="170"/>
      <c r="CHP8" s="170"/>
      <c r="CHQ8" s="170"/>
      <c r="CHR8" s="170"/>
      <c r="CHS8" s="170"/>
      <c r="CHT8" s="170"/>
      <c r="CHU8" s="170"/>
      <c r="CHV8" s="170"/>
      <c r="CHW8" s="170"/>
      <c r="CHX8" s="170"/>
      <c r="CHY8" s="170"/>
      <c r="CHZ8" s="170"/>
      <c r="CIA8" s="170"/>
      <c r="CIB8" s="170"/>
      <c r="CIC8" s="170"/>
      <c r="CID8" s="170"/>
      <c r="CIE8" s="170"/>
      <c r="CIF8" s="170"/>
      <c r="CIG8" s="170"/>
      <c r="CIH8" s="170"/>
      <c r="CII8" s="170"/>
      <c r="CIJ8" s="170"/>
      <c r="CIK8" s="170"/>
      <c r="CIL8" s="170"/>
      <c r="CIM8" s="170"/>
      <c r="CIN8" s="170"/>
      <c r="CIO8" s="170"/>
      <c r="CIP8" s="170"/>
      <c r="CIQ8" s="170"/>
      <c r="CIR8" s="170"/>
      <c r="CIS8" s="170"/>
      <c r="CIT8" s="170"/>
      <c r="CIU8" s="170"/>
      <c r="CIV8" s="170"/>
      <c r="CIW8" s="170"/>
      <c r="CIX8" s="170"/>
      <c r="CIY8" s="170"/>
      <c r="CIZ8" s="170"/>
      <c r="CJA8" s="170"/>
      <c r="CJB8" s="170"/>
      <c r="CJC8" s="170"/>
      <c r="CJD8" s="170"/>
      <c r="CJE8" s="170"/>
      <c r="CJF8" s="170"/>
      <c r="CJG8" s="170"/>
      <c r="CJH8" s="170"/>
      <c r="CJI8" s="170"/>
      <c r="CJJ8" s="170"/>
      <c r="CJK8" s="170"/>
      <c r="CJL8" s="170"/>
      <c r="CJM8" s="170"/>
      <c r="CJN8" s="170"/>
      <c r="CJO8" s="170"/>
      <c r="CJP8" s="170"/>
      <c r="CJQ8" s="170"/>
      <c r="CJR8" s="170"/>
      <c r="CJS8" s="170"/>
      <c r="CJT8" s="170"/>
      <c r="CJU8" s="170"/>
      <c r="CJV8" s="170"/>
      <c r="CJW8" s="170"/>
      <c r="CJX8" s="170"/>
      <c r="CJY8" s="170"/>
      <c r="CJZ8" s="170"/>
      <c r="CKA8" s="170"/>
      <c r="CKB8" s="170"/>
      <c r="CKC8" s="170"/>
      <c r="CKD8" s="170"/>
      <c r="CKE8" s="170"/>
      <c r="CKF8" s="170"/>
      <c r="CKG8" s="170"/>
      <c r="CKH8" s="170"/>
      <c r="CKI8" s="170"/>
      <c r="CKJ8" s="170"/>
      <c r="CKK8" s="170"/>
      <c r="CKL8" s="170"/>
      <c r="CKM8" s="170"/>
      <c r="CKN8" s="170"/>
      <c r="CKO8" s="170"/>
      <c r="CKP8" s="170"/>
      <c r="CKQ8" s="170"/>
      <c r="CKR8" s="170"/>
      <c r="CKS8" s="170"/>
      <c r="CKT8" s="170"/>
      <c r="CKU8" s="170"/>
      <c r="CKV8" s="170"/>
      <c r="CKW8" s="170"/>
      <c r="CKX8" s="170"/>
      <c r="CKY8" s="170"/>
      <c r="CKZ8" s="170"/>
      <c r="CLA8" s="170"/>
      <c r="CLB8" s="170"/>
      <c r="CLC8" s="170"/>
      <c r="CLD8" s="170"/>
      <c r="CLE8" s="170"/>
      <c r="CLF8" s="170"/>
      <c r="CLG8" s="170"/>
      <c r="CLH8" s="170"/>
      <c r="CLI8" s="170"/>
      <c r="CLJ8" s="170"/>
      <c r="CLK8" s="170"/>
      <c r="CLL8" s="170"/>
      <c r="CLM8" s="170"/>
      <c r="CLN8" s="170"/>
      <c r="CLO8" s="170"/>
      <c r="CLP8" s="170"/>
      <c r="CLQ8" s="170"/>
      <c r="CLR8" s="170"/>
      <c r="CLS8" s="170"/>
      <c r="CLT8" s="170"/>
      <c r="CLU8" s="170"/>
      <c r="CLV8" s="170"/>
      <c r="CLW8" s="170"/>
      <c r="CLX8" s="170"/>
      <c r="CLY8" s="170"/>
      <c r="CLZ8" s="170"/>
      <c r="CMA8" s="170"/>
      <c r="CMB8" s="170"/>
      <c r="CMC8" s="170"/>
      <c r="CMD8" s="170"/>
      <c r="CME8" s="170"/>
      <c r="CMF8" s="170"/>
      <c r="CMG8" s="170"/>
      <c r="CMH8" s="170"/>
      <c r="CMI8" s="170"/>
      <c r="CMJ8" s="170"/>
      <c r="CMK8" s="170"/>
      <c r="CML8" s="170"/>
      <c r="CMM8" s="170"/>
      <c r="CMN8" s="170"/>
      <c r="CMO8" s="170"/>
      <c r="CMP8" s="170"/>
      <c r="CMQ8" s="170"/>
      <c r="CMR8" s="170"/>
      <c r="CMS8" s="170"/>
      <c r="CMT8" s="170"/>
      <c r="CMU8" s="170"/>
      <c r="CMV8" s="170"/>
      <c r="CMW8" s="170"/>
      <c r="CMX8" s="170"/>
      <c r="CMY8" s="170"/>
      <c r="CMZ8" s="170"/>
      <c r="CNA8" s="170"/>
      <c r="CNB8" s="170"/>
      <c r="CNC8" s="170"/>
      <c r="CND8" s="170"/>
      <c r="CNE8" s="170"/>
      <c r="CNF8" s="170"/>
      <c r="CNG8" s="170"/>
      <c r="CNH8" s="170"/>
      <c r="CNI8" s="170"/>
      <c r="CNJ8" s="170"/>
      <c r="CNK8" s="170"/>
      <c r="CNL8" s="170"/>
      <c r="CNM8" s="170"/>
      <c r="CNN8" s="170"/>
      <c r="CNO8" s="170"/>
      <c r="CNP8" s="170"/>
      <c r="CNQ8" s="170"/>
      <c r="CNR8" s="170"/>
      <c r="CNS8" s="170"/>
      <c r="CNT8" s="170"/>
      <c r="CNU8" s="170"/>
      <c r="CNV8" s="170"/>
      <c r="CNW8" s="170"/>
      <c r="CNX8" s="170"/>
      <c r="CNY8" s="170"/>
      <c r="CNZ8" s="170"/>
      <c r="COA8" s="170"/>
      <c r="COB8" s="170"/>
      <c r="COC8" s="170"/>
      <c r="COD8" s="170"/>
      <c r="COE8" s="170"/>
      <c r="COF8" s="170"/>
      <c r="COG8" s="170"/>
      <c r="COH8" s="170"/>
      <c r="COI8" s="170"/>
      <c r="COJ8" s="170"/>
      <c r="COK8" s="170"/>
      <c r="COL8" s="170"/>
      <c r="COM8" s="170"/>
      <c r="CON8" s="170"/>
      <c r="COO8" s="170"/>
      <c r="COP8" s="170"/>
      <c r="COQ8" s="170"/>
      <c r="COR8" s="170"/>
      <c r="COS8" s="170"/>
      <c r="COT8" s="170"/>
      <c r="COU8" s="170"/>
      <c r="COV8" s="170"/>
      <c r="COW8" s="170"/>
      <c r="COX8" s="170"/>
      <c r="COY8" s="170"/>
      <c r="COZ8" s="170"/>
      <c r="CPA8" s="170"/>
      <c r="CPB8" s="170"/>
      <c r="CPC8" s="170"/>
      <c r="CPD8" s="170"/>
      <c r="CPE8" s="170"/>
      <c r="CPF8" s="170"/>
      <c r="CPG8" s="170"/>
      <c r="CPH8" s="170"/>
      <c r="CPI8" s="170"/>
      <c r="CPJ8" s="170"/>
      <c r="CPK8" s="170"/>
      <c r="CPL8" s="170"/>
      <c r="CPM8" s="170"/>
      <c r="CPN8" s="170"/>
      <c r="CPO8" s="170"/>
      <c r="CPP8" s="170"/>
      <c r="CPQ8" s="170"/>
      <c r="CPR8" s="170"/>
      <c r="CPS8" s="170"/>
      <c r="CPT8" s="170"/>
      <c r="CPU8" s="170"/>
      <c r="CPV8" s="170"/>
      <c r="CPW8" s="170"/>
      <c r="CPX8" s="170"/>
      <c r="CPY8" s="170"/>
      <c r="CPZ8" s="170"/>
      <c r="CQA8" s="170"/>
      <c r="CQB8" s="170"/>
      <c r="CQC8" s="170"/>
      <c r="CQD8" s="170"/>
      <c r="CQE8" s="170"/>
      <c r="CQF8" s="170"/>
      <c r="CQG8" s="170"/>
      <c r="CQH8" s="170"/>
      <c r="CQI8" s="170"/>
      <c r="CQJ8" s="170"/>
      <c r="CQK8" s="170"/>
      <c r="CQL8" s="170"/>
      <c r="CQM8" s="170"/>
      <c r="CQN8" s="170"/>
      <c r="CQO8" s="170"/>
      <c r="CQP8" s="170"/>
      <c r="CQQ8" s="170"/>
      <c r="CQR8" s="170"/>
      <c r="CQS8" s="170"/>
      <c r="CQT8" s="170"/>
      <c r="CQU8" s="170"/>
      <c r="CQV8" s="170"/>
      <c r="CQW8" s="170"/>
      <c r="CQX8" s="170"/>
      <c r="CQY8" s="170"/>
      <c r="CQZ8" s="170"/>
      <c r="CRA8" s="170"/>
      <c r="CRB8" s="170"/>
      <c r="CRC8" s="170"/>
      <c r="CRD8" s="170"/>
      <c r="CRE8" s="170"/>
      <c r="CRF8" s="170"/>
      <c r="CRG8" s="170"/>
      <c r="CRH8" s="170"/>
      <c r="CRI8" s="170"/>
      <c r="CRJ8" s="170"/>
      <c r="CRK8" s="170"/>
      <c r="CRL8" s="170"/>
      <c r="CRM8" s="170"/>
      <c r="CRN8" s="170"/>
      <c r="CRO8" s="170"/>
      <c r="CRP8" s="170"/>
      <c r="CRQ8" s="170"/>
      <c r="CRR8" s="170"/>
      <c r="CRS8" s="170"/>
      <c r="CRT8" s="170"/>
      <c r="CRU8" s="170"/>
      <c r="CRV8" s="170"/>
      <c r="CRW8" s="170"/>
      <c r="CRX8" s="170"/>
      <c r="CRY8" s="170"/>
      <c r="CRZ8" s="170"/>
      <c r="CSA8" s="170"/>
      <c r="CSB8" s="170"/>
      <c r="CSC8" s="170"/>
      <c r="CSD8" s="170"/>
      <c r="CSE8" s="170"/>
      <c r="CSF8" s="170"/>
      <c r="CSG8" s="170"/>
      <c r="CSH8" s="170"/>
      <c r="CSI8" s="170"/>
      <c r="CSJ8" s="170"/>
      <c r="CSK8" s="170"/>
      <c r="CSL8" s="170"/>
      <c r="CSM8" s="170"/>
      <c r="CSN8" s="170"/>
      <c r="CSO8" s="170"/>
      <c r="CSP8" s="170"/>
      <c r="CSQ8" s="170"/>
      <c r="CSR8" s="170"/>
      <c r="CSS8" s="170"/>
      <c r="CST8" s="170"/>
      <c r="CSU8" s="170"/>
      <c r="CSV8" s="170"/>
      <c r="CSW8" s="170"/>
      <c r="CSX8" s="170"/>
      <c r="CSY8" s="170"/>
      <c r="CSZ8" s="170"/>
      <c r="CTA8" s="170"/>
      <c r="CTB8" s="170"/>
      <c r="CTC8" s="170"/>
      <c r="CTD8" s="170"/>
      <c r="CTE8" s="170"/>
      <c r="CTF8" s="170"/>
      <c r="CTG8" s="170"/>
      <c r="CTH8" s="170"/>
      <c r="CTI8" s="170"/>
      <c r="CTJ8" s="170"/>
      <c r="CTK8" s="170"/>
      <c r="CTL8" s="170"/>
      <c r="CTM8" s="170"/>
      <c r="CTN8" s="170"/>
      <c r="CTO8" s="170"/>
      <c r="CTP8" s="170"/>
      <c r="CTQ8" s="170"/>
      <c r="CTR8" s="170"/>
      <c r="CTS8" s="170"/>
      <c r="CTT8" s="170"/>
      <c r="CTU8" s="170"/>
      <c r="CTV8" s="170"/>
      <c r="CTW8" s="170"/>
      <c r="CTX8" s="170"/>
      <c r="CTY8" s="170"/>
      <c r="CTZ8" s="170"/>
      <c r="CUA8" s="170"/>
      <c r="CUB8" s="170"/>
      <c r="CUC8" s="170"/>
      <c r="CUD8" s="170"/>
      <c r="CUE8" s="170"/>
      <c r="CUF8" s="170"/>
      <c r="CUG8" s="170"/>
      <c r="CUH8" s="170"/>
      <c r="CUI8" s="170"/>
      <c r="CUJ8" s="170"/>
      <c r="CUK8" s="170"/>
      <c r="CUL8" s="170"/>
      <c r="CUM8" s="170"/>
      <c r="CUN8" s="170"/>
      <c r="CUO8" s="170"/>
      <c r="CUP8" s="170"/>
      <c r="CUQ8" s="170"/>
      <c r="CUR8" s="170"/>
      <c r="CUS8" s="170"/>
      <c r="CUT8" s="170"/>
      <c r="CUU8" s="170"/>
      <c r="CUV8" s="170"/>
      <c r="CUW8" s="170"/>
      <c r="CUX8" s="170"/>
      <c r="CUY8" s="170"/>
      <c r="CUZ8" s="170"/>
      <c r="CVA8" s="170"/>
      <c r="CVB8" s="170"/>
      <c r="CVC8" s="170"/>
      <c r="CVD8" s="170"/>
      <c r="CVE8" s="170"/>
      <c r="CVF8" s="170"/>
      <c r="CVG8" s="170"/>
      <c r="CVH8" s="170"/>
      <c r="CVI8" s="170"/>
      <c r="CVJ8" s="170"/>
      <c r="CVK8" s="170"/>
      <c r="CVL8" s="170"/>
      <c r="CVM8" s="170"/>
      <c r="CVN8" s="170"/>
      <c r="CVO8" s="170"/>
      <c r="CVP8" s="170"/>
      <c r="CVQ8" s="170"/>
      <c r="CVR8" s="170"/>
      <c r="CVS8" s="170"/>
      <c r="CVT8" s="170"/>
      <c r="CVU8" s="170"/>
      <c r="CVV8" s="170"/>
      <c r="CVW8" s="170"/>
      <c r="CVX8" s="170"/>
      <c r="CVY8" s="170"/>
      <c r="CVZ8" s="170"/>
      <c r="CWA8" s="170"/>
      <c r="CWB8" s="170"/>
      <c r="CWC8" s="170"/>
      <c r="CWD8" s="170"/>
      <c r="CWE8" s="170"/>
      <c r="CWF8" s="170"/>
      <c r="CWG8" s="170"/>
      <c r="CWH8" s="170"/>
      <c r="CWI8" s="170"/>
      <c r="CWJ8" s="170"/>
      <c r="CWK8" s="170"/>
      <c r="CWL8" s="170"/>
      <c r="CWM8" s="170"/>
      <c r="CWN8" s="170"/>
      <c r="CWO8" s="170"/>
      <c r="CWP8" s="170"/>
      <c r="CWQ8" s="170"/>
      <c r="CWR8" s="170"/>
      <c r="CWS8" s="170"/>
      <c r="CWT8" s="170"/>
      <c r="CWU8" s="170"/>
      <c r="CWV8" s="170"/>
      <c r="CWW8" s="170"/>
      <c r="CWX8" s="170"/>
      <c r="CWY8" s="170"/>
      <c r="CWZ8" s="170"/>
      <c r="CXA8" s="170"/>
      <c r="CXB8" s="170"/>
      <c r="CXC8" s="170"/>
      <c r="CXD8" s="170"/>
      <c r="CXE8" s="170"/>
      <c r="CXF8" s="170"/>
      <c r="CXG8" s="170"/>
      <c r="CXH8" s="170"/>
      <c r="CXI8" s="170"/>
      <c r="CXJ8" s="170"/>
      <c r="CXK8" s="170"/>
      <c r="CXL8" s="170"/>
      <c r="CXM8" s="170"/>
      <c r="CXN8" s="170"/>
      <c r="CXO8" s="170"/>
      <c r="CXP8" s="170"/>
      <c r="CXQ8" s="170"/>
      <c r="CXR8" s="170"/>
      <c r="CXS8" s="170"/>
      <c r="CXT8" s="170"/>
      <c r="CXU8" s="170"/>
      <c r="CXV8" s="170"/>
      <c r="CXW8" s="170"/>
      <c r="CXX8" s="170"/>
      <c r="CXY8" s="170"/>
      <c r="CXZ8" s="170"/>
      <c r="CYA8" s="170"/>
      <c r="CYB8" s="170"/>
      <c r="CYC8" s="170"/>
      <c r="CYD8" s="170"/>
      <c r="CYE8" s="170"/>
      <c r="CYF8" s="170"/>
      <c r="CYG8" s="170"/>
      <c r="CYH8" s="170"/>
      <c r="CYI8" s="170"/>
      <c r="CYJ8" s="170"/>
      <c r="CYK8" s="170"/>
      <c r="CYL8" s="170"/>
      <c r="CYM8" s="170"/>
      <c r="CYN8" s="170"/>
      <c r="CYO8" s="170"/>
      <c r="CYP8" s="170"/>
      <c r="CYQ8" s="170"/>
      <c r="CYR8" s="170"/>
      <c r="CYS8" s="170"/>
      <c r="CYT8" s="170"/>
      <c r="CYU8" s="170"/>
      <c r="CYV8" s="170"/>
      <c r="CYW8" s="170"/>
      <c r="CYX8" s="170"/>
      <c r="CYY8" s="170"/>
      <c r="CYZ8" s="170"/>
      <c r="CZA8" s="170"/>
      <c r="CZB8" s="170"/>
      <c r="CZC8" s="170"/>
      <c r="CZD8" s="170"/>
      <c r="CZE8" s="170"/>
      <c r="CZF8" s="170"/>
      <c r="CZG8" s="170"/>
      <c r="CZH8" s="170"/>
      <c r="CZI8" s="170"/>
      <c r="CZJ8" s="170"/>
      <c r="CZK8" s="170"/>
      <c r="CZL8" s="170"/>
      <c r="CZM8" s="170"/>
      <c r="CZN8" s="170"/>
      <c r="CZO8" s="170"/>
      <c r="CZP8" s="170"/>
      <c r="CZQ8" s="170"/>
      <c r="CZR8" s="170"/>
      <c r="CZS8" s="170"/>
      <c r="CZT8" s="170"/>
      <c r="CZU8" s="170"/>
      <c r="CZV8" s="170"/>
      <c r="CZW8" s="170"/>
      <c r="CZX8" s="170"/>
      <c r="CZY8" s="170"/>
      <c r="CZZ8" s="170"/>
      <c r="DAA8" s="170"/>
      <c r="DAB8" s="170"/>
      <c r="DAC8" s="170"/>
      <c r="DAD8" s="170"/>
      <c r="DAE8" s="170"/>
      <c r="DAF8" s="170"/>
      <c r="DAG8" s="170"/>
      <c r="DAH8" s="170"/>
      <c r="DAI8" s="170"/>
      <c r="DAJ8" s="170"/>
      <c r="DAK8" s="170"/>
      <c r="DAL8" s="170"/>
      <c r="DAM8" s="170"/>
      <c r="DAN8" s="170"/>
      <c r="DAO8" s="170"/>
      <c r="DAP8" s="170"/>
      <c r="DAQ8" s="170"/>
      <c r="DAR8" s="170"/>
      <c r="DAS8" s="170"/>
      <c r="DAT8" s="170"/>
      <c r="DAU8" s="170"/>
      <c r="DAV8" s="170"/>
      <c r="DAW8" s="170"/>
      <c r="DAX8" s="170"/>
      <c r="DAY8" s="170"/>
      <c r="DAZ8" s="170"/>
      <c r="DBA8" s="170"/>
      <c r="DBB8" s="170"/>
      <c r="DCA8" t="s">
        <v>4553</v>
      </c>
      <c r="DCB8" t="s">
        <v>7129</v>
      </c>
      <c r="DDA8" s="1688" t="s">
        <v>6899</v>
      </c>
      <c r="DDB8" s="1689"/>
      <c r="DDC8" s="971"/>
      <c r="DDD8" s="133"/>
    </row>
    <row r="9" spans="1:2814" ht="30" customHeight="1" thickBot="1">
      <c r="A9" s="1323" t="s">
        <v>1261</v>
      </c>
      <c r="B9" s="1305">
        <v>3</v>
      </c>
      <c r="C9" s="1306" t="s">
        <v>6901</v>
      </c>
      <c r="D9" s="317" t="s">
        <v>3789</v>
      </c>
      <c r="E9" s="1310" t="s">
        <v>4017</v>
      </c>
      <c r="F9" s="1327" t="s">
        <v>233</v>
      </c>
      <c r="G9" s="1328"/>
      <c r="H9" s="1328"/>
      <c r="I9" s="1328"/>
      <c r="J9" s="1328" t="s">
        <v>6902</v>
      </c>
      <c r="K9" s="416"/>
      <c r="L9" s="2506">
        <f>MATCH(C9, $A$1:$DZG$1,0)</f>
        <v>183</v>
      </c>
      <c r="M9" t="str">
        <f t="shared" si="0"/>
        <v>GA</v>
      </c>
      <c r="N9" s="416"/>
      <c r="O9" s="416"/>
      <c r="P9" s="416"/>
      <c r="Q9" s="416"/>
      <c r="R9" s="416"/>
      <c r="S9" s="416"/>
      <c r="T9" s="416"/>
      <c r="U9" s="416"/>
      <c r="V9" s="416"/>
      <c r="W9" s="416"/>
      <c r="BA9" s="246" t="s">
        <v>430</v>
      </c>
      <c r="BB9" t="s">
        <v>431</v>
      </c>
      <c r="EA9" s="246" t="s">
        <v>434</v>
      </c>
      <c r="EB9" s="1502" t="s">
        <v>4137</v>
      </c>
      <c r="EC9" s="1502"/>
      <c r="ED9" s="1502"/>
      <c r="EE9" t="s">
        <v>4129</v>
      </c>
      <c r="FA9" s="346" t="s">
        <v>432</v>
      </c>
      <c r="FB9" s="1581" t="s">
        <v>1369</v>
      </c>
      <c r="FC9" s="1582"/>
      <c r="FD9" s="948">
        <v>3</v>
      </c>
      <c r="FE9" s="1544" t="s">
        <v>6926</v>
      </c>
      <c r="FF9" s="1544"/>
      <c r="FG9" s="1167"/>
      <c r="FH9" s="1167"/>
      <c r="GA9" s="60" t="s">
        <v>6904</v>
      </c>
      <c r="GB9" s="1329">
        <v>10000</v>
      </c>
      <c r="GC9" s="1333"/>
      <c r="GD9" s="934">
        <v>4</v>
      </c>
      <c r="GE9" s="1170"/>
      <c r="GF9" s="1170"/>
      <c r="HA9" s="432" t="s">
        <v>428</v>
      </c>
      <c r="HB9" s="165" t="s">
        <v>362</v>
      </c>
      <c r="HC9" s="1510"/>
      <c r="HD9" s="934">
        <v>4</v>
      </c>
      <c r="HE9" s="1643" t="s">
        <v>4717</v>
      </c>
      <c r="HF9" s="1502"/>
      <c r="KA9" s="246" t="s">
        <v>434</v>
      </c>
      <c r="KB9" s="1502" t="s">
        <v>4161</v>
      </c>
      <c r="KC9" s="1502"/>
      <c r="KD9" s="1502"/>
      <c r="KE9" s="1502"/>
      <c r="KF9" s="7"/>
      <c r="KG9" s="7"/>
      <c r="KH9" s="7"/>
      <c r="KI9" s="7"/>
      <c r="KJ9" s="7"/>
      <c r="KK9" s="7"/>
      <c r="KL9" s="7"/>
      <c r="KM9" s="7"/>
      <c r="KN9" s="7"/>
      <c r="KO9" s="7"/>
      <c r="KP9" s="7"/>
      <c r="KQ9" s="7"/>
      <c r="KR9" s="7"/>
      <c r="KS9" s="7"/>
      <c r="KT9" s="7"/>
      <c r="KU9" s="7"/>
      <c r="KV9" s="7"/>
      <c r="LA9" s="246" t="s">
        <v>434</v>
      </c>
      <c r="LB9" t="s">
        <v>454</v>
      </c>
      <c r="MA9" s="246" t="s">
        <v>434</v>
      </c>
      <c r="MB9" s="1525" t="s">
        <v>4164</v>
      </c>
      <c r="MC9" s="1525"/>
      <c r="MD9" s="1525"/>
      <c r="ME9" s="1525"/>
      <c r="NA9" s="246" t="s">
        <v>434</v>
      </c>
      <c r="NB9" t="s">
        <v>4643</v>
      </c>
      <c r="PA9" s="955" t="s">
        <v>4172</v>
      </c>
      <c r="PB9" s="165" t="s">
        <v>385</v>
      </c>
      <c r="PD9" s="225">
        <v>4</v>
      </c>
      <c r="PE9" s="1631"/>
      <c r="PF9" s="133"/>
      <c r="PG9" s="133"/>
      <c r="PH9" s="133"/>
      <c r="PI9" s="133"/>
      <c r="PJ9" s="133"/>
      <c r="PK9" s="133"/>
      <c r="PL9" s="133"/>
      <c r="PM9" s="133"/>
      <c r="PN9" s="133"/>
      <c r="PO9" s="133"/>
      <c r="PP9" s="133"/>
      <c r="PQ9" s="133"/>
      <c r="PR9" s="133"/>
      <c r="PS9" s="133"/>
      <c r="PT9" s="133"/>
      <c r="PU9" s="133"/>
      <c r="PV9" s="133"/>
      <c r="PW9" s="133"/>
      <c r="PX9" s="133"/>
      <c r="PY9" s="133"/>
      <c r="PZ9" s="133"/>
      <c r="QA9" s="246" t="s">
        <v>434</v>
      </c>
      <c r="QB9" t="s">
        <v>4875</v>
      </c>
      <c r="QF9" s="133"/>
      <c r="QG9" s="133"/>
      <c r="QH9" s="133"/>
      <c r="QI9" s="133"/>
      <c r="QJ9" s="133"/>
      <c r="QK9" s="133"/>
      <c r="QL9" s="133"/>
      <c r="QM9" s="133"/>
      <c r="QN9" s="133"/>
      <c r="QO9" s="133"/>
      <c r="QP9" s="133"/>
      <c r="QQ9" s="133"/>
      <c r="QR9" s="133"/>
      <c r="QS9" s="133"/>
      <c r="QT9" s="133"/>
      <c r="QU9" s="133"/>
      <c r="QV9" s="133"/>
      <c r="QW9" s="133"/>
      <c r="QX9" s="133"/>
      <c r="QY9" s="133"/>
      <c r="QZ9" s="133"/>
      <c r="RA9" s="221" t="s">
        <v>370</v>
      </c>
      <c r="RB9" s="165" t="s">
        <v>4193</v>
      </c>
      <c r="RC9" s="957"/>
      <c r="RD9" s="345">
        <v>3</v>
      </c>
      <c r="RE9" s="133" t="s">
        <v>4194</v>
      </c>
      <c r="RF9" s="133"/>
      <c r="RG9" s="133"/>
      <c r="RH9" s="133"/>
      <c r="RI9" s="133"/>
      <c r="RJ9" s="133"/>
      <c r="RK9" s="133"/>
      <c r="RL9" s="133"/>
      <c r="RM9" s="133"/>
      <c r="RN9" s="133"/>
      <c r="RO9" s="133"/>
      <c r="RP9" s="133"/>
      <c r="RQ9" s="133"/>
      <c r="RR9" s="133"/>
      <c r="RS9" s="133"/>
      <c r="RT9" s="133"/>
      <c r="RU9" s="133"/>
      <c r="RV9" s="133"/>
      <c r="RW9" s="133"/>
      <c r="RX9" s="133"/>
      <c r="RY9" s="133"/>
      <c r="RZ9" s="133"/>
      <c r="SA9" s="221" t="s">
        <v>4224</v>
      </c>
      <c r="SB9" s="165" t="s">
        <v>385</v>
      </c>
      <c r="SD9" s="934">
        <v>4</v>
      </c>
      <c r="SE9" s="960" t="s">
        <v>4225</v>
      </c>
      <c r="SF9" s="133"/>
      <c r="SG9" s="133"/>
      <c r="SH9" s="133"/>
      <c r="SI9" s="133"/>
      <c r="SJ9" s="133"/>
      <c r="SK9" s="133"/>
      <c r="SL9" s="133"/>
      <c r="SM9" s="133"/>
      <c r="SN9" s="133"/>
      <c r="SO9" s="133"/>
      <c r="SP9" s="133"/>
      <c r="SQ9" s="133"/>
      <c r="SR9" s="133"/>
      <c r="SS9" s="133"/>
      <c r="ST9" s="133"/>
      <c r="SU9" s="133"/>
      <c r="SV9" s="133"/>
      <c r="SW9" s="133"/>
      <c r="SX9" s="133"/>
      <c r="SY9" s="133"/>
      <c r="TA9" s="827" t="s">
        <v>438</v>
      </c>
      <c r="TB9" s="165" t="s">
        <v>385</v>
      </c>
      <c r="TC9" s="165" t="s">
        <v>4238</v>
      </c>
      <c r="TD9" s="165" t="s">
        <v>4238</v>
      </c>
      <c r="TE9" s="230" t="s">
        <v>418</v>
      </c>
      <c r="TF9" s="114">
        <v>4</v>
      </c>
      <c r="TG9" s="171" t="s">
        <v>4247</v>
      </c>
      <c r="UA9" s="221" t="s">
        <v>439</v>
      </c>
      <c r="UB9" s="230" t="s">
        <v>440</v>
      </c>
      <c r="UC9" s="1512"/>
      <c r="UD9" s="157">
        <v>5</v>
      </c>
      <c r="UE9" s="1641" t="s">
        <v>4261</v>
      </c>
      <c r="UF9" s="1513"/>
      <c r="UG9" s="1513"/>
      <c r="UH9" s="1513"/>
      <c r="VC9" s="442"/>
      <c r="XA9" s="221" t="s">
        <v>428</v>
      </c>
      <c r="XB9" s="968" t="s">
        <v>4294</v>
      </c>
      <c r="XC9" s="285"/>
      <c r="XD9" s="157">
        <v>5</v>
      </c>
      <c r="XE9" s="1504" t="s">
        <v>7643</v>
      </c>
      <c r="XF9" s="1505"/>
      <c r="YA9" s="221" t="s">
        <v>420</v>
      </c>
      <c r="YB9" s="254" t="s">
        <v>4300</v>
      </c>
      <c r="YC9" s="1259"/>
      <c r="YD9" s="157">
        <v>5</v>
      </c>
      <c r="YE9" s="1748" t="s">
        <v>7593</v>
      </c>
      <c r="YF9" s="1749"/>
      <c r="ZF9" s="442"/>
      <c r="AAF9" s="442"/>
      <c r="ABB9" s="246" t="s">
        <v>434</v>
      </c>
      <c r="ABC9" t="s">
        <v>4303</v>
      </c>
      <c r="ADB9" s="221" t="s">
        <v>428</v>
      </c>
      <c r="ADC9" s="1515" t="s">
        <v>4294</v>
      </c>
      <c r="ADD9" s="1515"/>
      <c r="ADE9" s="225">
        <v>4</v>
      </c>
      <c r="ADF9" s="10" t="s">
        <v>4338</v>
      </c>
      <c r="AEB9" s="221" t="s">
        <v>441</v>
      </c>
      <c r="AEC9" s="972" t="s">
        <v>4334</v>
      </c>
      <c r="AED9" s="1520"/>
      <c r="AEE9" s="157">
        <v>4</v>
      </c>
      <c r="AEF9" t="s">
        <v>4335</v>
      </c>
      <c r="AOB9" s="2534"/>
      <c r="AOC9" s="2548"/>
      <c r="AOD9" s="2533"/>
      <c r="AOE9" s="2551"/>
      <c r="AOF9" s="2551"/>
      <c r="AOG9" s="1021"/>
      <c r="APB9" s="2534"/>
      <c r="APC9" s="2548"/>
      <c r="APD9" s="2533"/>
      <c r="APE9" s="2546"/>
      <c r="APF9" s="2546"/>
      <c r="APG9" s="2546"/>
      <c r="AQA9" s="221" t="s">
        <v>4492</v>
      </c>
      <c r="AQB9" s="230"/>
      <c r="AQC9" s="1512"/>
      <c r="AQD9" s="985">
        <v>4</v>
      </c>
      <c r="AQE9" s="1505" t="s">
        <v>4499</v>
      </c>
      <c r="AQF9" s="1505"/>
      <c r="AQG9" s="1505"/>
      <c r="AQZ9" s="2487" t="s">
        <v>7751</v>
      </c>
      <c r="ARA9" s="2488"/>
      <c r="ARB9" s="2488"/>
      <c r="ARC9" s="10"/>
      <c r="ARD9" s="2489">
        <v>5</v>
      </c>
      <c r="ARE9" s="1684" t="s">
        <v>7752</v>
      </c>
      <c r="ARF9" s="1594"/>
      <c r="ATA9" s="436" t="s">
        <v>4525</v>
      </c>
      <c r="ATB9" s="165" t="s">
        <v>5825</v>
      </c>
      <c r="ATC9" s="442"/>
      <c r="ATD9" s="452">
        <v>4</v>
      </c>
      <c r="ATE9" s="1658" t="s">
        <v>6883</v>
      </c>
      <c r="ATF9" s="1659"/>
      <c r="ATG9" s="1659"/>
      <c r="ATH9" s="1660"/>
      <c r="AUA9" s="990" t="s">
        <v>436</v>
      </c>
      <c r="AUB9" s="1098" t="s">
        <v>4576</v>
      </c>
      <c r="AUC9" s="1499"/>
      <c r="AUD9" s="985">
        <v>5</v>
      </c>
      <c r="AUE9" s="1731" t="s">
        <v>435</v>
      </c>
      <c r="AUF9" s="1732"/>
      <c r="AUG9" s="597"/>
      <c r="AUH9" s="7"/>
      <c r="AVA9" s="990" t="s">
        <v>6404</v>
      </c>
      <c r="AVB9" s="225" t="s">
        <v>6508</v>
      </c>
      <c r="AVC9" s="1497" t="s">
        <v>6624</v>
      </c>
      <c r="AVD9" s="434">
        <v>5</v>
      </c>
      <c r="AVE9" s="1551" t="s">
        <v>6403</v>
      </c>
      <c r="AVF9" s="1551"/>
      <c r="AWA9" s="252"/>
      <c r="AWB9" s="675"/>
      <c r="AWC9" s="442"/>
      <c r="AWD9" s="133"/>
      <c r="AWE9" s="133"/>
      <c r="AXA9" s="1032" t="s">
        <v>199</v>
      </c>
      <c r="AXB9" s="1032" t="s">
        <v>315</v>
      </c>
      <c r="AXC9" s="1032" t="s">
        <v>1147</v>
      </c>
      <c r="AXD9" s="1034" t="s">
        <v>1331</v>
      </c>
      <c r="AXE9" s="1539"/>
      <c r="AXF9" s="157"/>
      <c r="AXG9" s="831"/>
      <c r="AZA9" s="246" t="s">
        <v>434</v>
      </c>
      <c r="AZB9" t="s">
        <v>4733</v>
      </c>
      <c r="BAA9" s="221" t="s">
        <v>4656</v>
      </c>
      <c r="BAB9" s="1111" t="s">
        <v>6335</v>
      </c>
      <c r="BAC9" s="1729"/>
      <c r="BAD9" s="157">
        <v>4</v>
      </c>
      <c r="BAE9" s="1545" t="s">
        <v>931</v>
      </c>
      <c r="BAF9" s="1546"/>
      <c r="BBA9" s="221" t="s">
        <v>1025</v>
      </c>
      <c r="BBB9" s="1111" t="s">
        <v>4647</v>
      </c>
      <c r="BBC9" s="1169"/>
      <c r="BBD9" s="157">
        <v>5</v>
      </c>
      <c r="BBE9" s="1543" t="s">
        <v>6725</v>
      </c>
      <c r="BBF9" s="1544"/>
      <c r="BCA9" s="221" t="s">
        <v>1025</v>
      </c>
      <c r="BCB9" s="1111" t="s">
        <v>4647</v>
      </c>
      <c r="BCC9" s="1262"/>
      <c r="BCD9" s="1577"/>
      <c r="BCE9" s="1706"/>
      <c r="BCF9" s="934">
        <v>5</v>
      </c>
      <c r="BCG9" s="1547" t="s">
        <v>6744</v>
      </c>
      <c r="BCH9" s="1548"/>
      <c r="BDE9" s="221" t="s">
        <v>4638</v>
      </c>
      <c r="BDF9" s="165" t="s">
        <v>4665</v>
      </c>
      <c r="BDG9" s="994"/>
      <c r="BDH9" s="1253"/>
      <c r="BDI9" s="943">
        <v>5</v>
      </c>
      <c r="BDJ9" s="1547" t="s">
        <v>6761</v>
      </c>
      <c r="BDK9" s="1548"/>
      <c r="BEA9" s="221" t="s">
        <v>4638</v>
      </c>
      <c r="BEB9" s="165" t="s">
        <v>4665</v>
      </c>
      <c r="BEC9" s="1258"/>
      <c r="BED9" s="157">
        <v>5</v>
      </c>
      <c r="BEE9" s="1550" t="s">
        <v>6874</v>
      </c>
      <c r="BEF9" s="1551"/>
      <c r="BFA9" s="221" t="s">
        <v>4677</v>
      </c>
      <c r="BFB9" s="230" t="s">
        <v>6707</v>
      </c>
      <c r="BFC9" s="952"/>
      <c r="BFD9" s="157">
        <v>5</v>
      </c>
      <c r="BFE9" s="1707" t="s">
        <v>6702</v>
      </c>
      <c r="BFF9" s="1707"/>
      <c r="BFG9" s="1707"/>
      <c r="BFH9" s="1707"/>
      <c r="BFI9" s="1707"/>
      <c r="BGA9" s="221" t="s">
        <v>5401</v>
      </c>
      <c r="BGB9" s="1275" t="s">
        <v>6803</v>
      </c>
      <c r="BGC9" s="1508" t="s">
        <v>6809</v>
      </c>
      <c r="BGD9" s="225">
        <v>5</v>
      </c>
      <c r="BGE9" s="1568" t="s">
        <v>6807</v>
      </c>
      <c r="BGF9" s="1569"/>
      <c r="BGG9" s="1569"/>
      <c r="BGH9" s="1569"/>
      <c r="BGI9" s="1569"/>
      <c r="BHA9" s="246" t="s">
        <v>434</v>
      </c>
      <c r="BHB9" t="s">
        <v>4585</v>
      </c>
      <c r="BJA9" s="221" t="s">
        <v>4758</v>
      </c>
      <c r="BJB9" s="230" t="s">
        <v>1369</v>
      </c>
      <c r="BJC9" s="1512"/>
      <c r="BJD9" s="157">
        <v>5</v>
      </c>
      <c r="BJE9" s="1504" t="s">
        <v>4707</v>
      </c>
      <c r="BJF9" s="1505"/>
      <c r="BJG9" s="1505"/>
      <c r="BJH9" s="1505"/>
      <c r="BJI9" s="1505"/>
      <c r="BKA9" s="221" t="s">
        <v>428</v>
      </c>
      <c r="BKB9" s="230" t="s">
        <v>4709</v>
      </c>
      <c r="BKC9" s="1539"/>
      <c r="BKD9" s="157">
        <v>5</v>
      </c>
      <c r="BKE9" s="1504" t="s">
        <v>4709</v>
      </c>
      <c r="BKF9" s="1505"/>
      <c r="BKG9" s="1505"/>
      <c r="BKH9" s="1505"/>
      <c r="BKI9" s="1505"/>
      <c r="BMA9" s="221" t="s">
        <v>428</v>
      </c>
      <c r="BMB9" s="230" t="s">
        <v>362</v>
      </c>
      <c r="BMC9" s="1539"/>
      <c r="BMD9" s="186">
        <v>4</v>
      </c>
      <c r="BME9" t="s">
        <v>4709</v>
      </c>
      <c r="BNA9" s="221" t="s">
        <v>4</v>
      </c>
      <c r="BNB9" s="230" t="s">
        <v>362</v>
      </c>
      <c r="BNC9" s="1512"/>
      <c r="BND9" s="1022">
        <v>4</v>
      </c>
      <c r="BNE9" s="170"/>
      <c r="BNF9" s="170"/>
      <c r="BNG9" s="170"/>
      <c r="BNH9" s="170"/>
      <c r="BNI9" s="170"/>
      <c r="BNJ9" s="170"/>
      <c r="BNK9" s="170"/>
      <c r="BPA9" s="221" t="s">
        <v>4899</v>
      </c>
      <c r="BPB9" s="230" t="s">
        <v>362</v>
      </c>
      <c r="BPC9" s="1509"/>
      <c r="BPD9" s="186">
        <v>3</v>
      </c>
      <c r="BQA9" s="221" t="s">
        <v>5024</v>
      </c>
      <c r="BQB9" s="230" t="s">
        <v>4593</v>
      </c>
      <c r="BQC9" s="1512"/>
      <c r="BQD9" s="186">
        <v>4</v>
      </c>
      <c r="BQE9" t="s">
        <v>5023</v>
      </c>
      <c r="BRA9" s="221" t="s">
        <v>5392</v>
      </c>
      <c r="BRB9" s="230" t="s">
        <v>1133</v>
      </c>
      <c r="BRC9" s="1512"/>
      <c r="BRD9" s="1020">
        <v>4</v>
      </c>
      <c r="BRE9" t="s">
        <v>5393</v>
      </c>
      <c r="BWA9" s="1175" t="s">
        <v>6369</v>
      </c>
      <c r="BWB9" s="1183" t="s">
        <v>599</v>
      </c>
      <c r="BWC9" s="1180" t="s">
        <v>574</v>
      </c>
      <c r="BWD9" s="1181" t="s">
        <v>574</v>
      </c>
      <c r="BWE9" s="1181" t="s">
        <v>599</v>
      </c>
      <c r="BWF9" s="1181" t="s">
        <v>599</v>
      </c>
      <c r="BWG9" s="1181" t="s">
        <v>599</v>
      </c>
      <c r="BWH9" s="1181" t="s">
        <v>599</v>
      </c>
      <c r="BWI9" s="1181" t="s">
        <v>599</v>
      </c>
      <c r="BWJ9" s="235">
        <v>5</v>
      </c>
      <c r="BWK9" s="1179"/>
      <c r="BXA9" s="246" t="s">
        <v>434</v>
      </c>
      <c r="BXB9" t="s">
        <v>6370</v>
      </c>
      <c r="BXX9" s="170"/>
      <c r="BXY9" s="170"/>
      <c r="BXZ9" s="170"/>
      <c r="BYA9" s="221" t="s">
        <v>3</v>
      </c>
      <c r="BYB9" s="1119" t="s">
        <v>6565</v>
      </c>
      <c r="BYC9" s="1516" t="s">
        <v>6438</v>
      </c>
      <c r="BYD9" s="345">
        <v>4</v>
      </c>
      <c r="BYE9" s="1526" t="s">
        <v>6388</v>
      </c>
      <c r="BYF9" s="1527"/>
      <c r="BYG9" s="1527"/>
      <c r="BYH9" s="170"/>
      <c r="BYI9" s="170"/>
      <c r="BYJ9" s="170"/>
      <c r="BYK9" s="170"/>
      <c r="BYL9" s="170"/>
      <c r="BYM9" s="170"/>
      <c r="BYN9" s="170"/>
      <c r="BYO9" s="170"/>
      <c r="BYP9" s="170"/>
      <c r="BYQ9" s="170"/>
      <c r="BYR9" s="170"/>
      <c r="BYS9" s="170"/>
      <c r="BYT9" s="170"/>
      <c r="BYU9" s="170"/>
      <c r="BYV9" s="170"/>
      <c r="BYW9" s="170"/>
      <c r="BYX9" s="170"/>
      <c r="BYY9" s="170"/>
      <c r="BYZ9" s="170"/>
      <c r="BZA9" s="170"/>
      <c r="BZB9" s="170"/>
      <c r="BZC9" s="170"/>
      <c r="BZD9" s="170"/>
      <c r="BZE9" s="170"/>
      <c r="BZF9" s="170"/>
      <c r="BZG9" s="170"/>
      <c r="BZH9" s="170"/>
      <c r="BZI9" s="170"/>
      <c r="BZJ9" s="170"/>
      <c r="BZK9" s="170"/>
      <c r="BZL9" s="170"/>
      <c r="BZM9" s="170"/>
      <c r="BZN9" s="170"/>
      <c r="BZO9" s="170"/>
      <c r="BZP9" s="170"/>
      <c r="BZQ9" s="170"/>
      <c r="BZR9" s="170"/>
      <c r="BZS9" s="170"/>
      <c r="BZT9" s="170"/>
      <c r="BZU9" s="170"/>
      <c r="BZV9" s="170"/>
      <c r="BZW9" s="170"/>
      <c r="BZX9" s="170"/>
      <c r="BZY9" s="170"/>
      <c r="BZZ9" s="170"/>
      <c r="CAA9" s="170"/>
      <c r="CAB9" s="170"/>
      <c r="CAC9" s="170"/>
      <c r="CAD9" s="170"/>
      <c r="CAE9" s="170"/>
      <c r="CAF9" s="170"/>
      <c r="CAG9" s="170"/>
      <c r="CAH9" s="170"/>
      <c r="CAI9" s="170"/>
      <c r="CAJ9" s="170"/>
      <c r="CAK9" s="170"/>
      <c r="CAL9" s="170"/>
      <c r="CAM9" s="170"/>
      <c r="CAN9" s="170"/>
      <c r="CAO9" s="170"/>
      <c r="CAP9" s="170"/>
      <c r="CAQ9" s="170"/>
      <c r="CAR9" s="170"/>
      <c r="CAS9" s="170"/>
      <c r="CAT9" s="170"/>
      <c r="CAU9" s="170"/>
      <c r="CAV9" s="170"/>
      <c r="CAW9" s="170"/>
      <c r="CAX9" s="170"/>
      <c r="CAY9" s="170"/>
      <c r="CAZ9" s="170"/>
      <c r="CBA9" s="170"/>
      <c r="CBB9" s="170"/>
      <c r="CBC9" s="170"/>
      <c r="CBD9" s="170"/>
      <c r="CBE9" s="170"/>
      <c r="CBF9" s="170"/>
      <c r="CBG9" s="170"/>
      <c r="CBH9" s="170"/>
      <c r="CBI9" s="170"/>
      <c r="CBJ9" s="170"/>
      <c r="CBK9" s="170"/>
      <c r="CBL9" s="170"/>
      <c r="CBM9" s="170"/>
      <c r="CBN9" s="170"/>
      <c r="CBO9" s="170"/>
      <c r="CBP9" s="170"/>
      <c r="CBQ9" s="170"/>
      <c r="CBR9" s="170"/>
      <c r="CBS9" s="170"/>
      <c r="CBT9" s="170"/>
      <c r="CBU9" s="170"/>
      <c r="CBV9" s="170"/>
      <c r="CBW9" s="170"/>
      <c r="CBX9" s="170"/>
      <c r="CBY9" s="170"/>
      <c r="CBZ9" s="170"/>
      <c r="CCA9" s="170"/>
      <c r="CCB9" s="170"/>
      <c r="CCC9" s="170"/>
      <c r="CCD9" s="170"/>
      <c r="CCE9" s="170"/>
      <c r="CCF9" s="170"/>
      <c r="CCG9" s="170"/>
      <c r="CCH9" s="170"/>
      <c r="CCI9" s="170"/>
      <c r="CCJ9" s="170"/>
      <c r="CCK9" s="170"/>
      <c r="CCL9" s="170"/>
      <c r="CCM9" s="170"/>
      <c r="CCN9" s="170"/>
      <c r="CCO9" s="170"/>
      <c r="CCP9" s="170"/>
      <c r="CCQ9" s="170"/>
      <c r="CCR9" s="170"/>
      <c r="CCS9" s="170"/>
      <c r="CCT9" s="170"/>
      <c r="CCU9" s="170"/>
      <c r="CCV9" s="170"/>
      <c r="CCW9" s="170"/>
      <c r="CCX9" s="170"/>
      <c r="CCY9" s="170"/>
      <c r="CCZ9" s="170"/>
      <c r="CDA9" s="170"/>
      <c r="CDB9" s="170"/>
      <c r="CDC9" s="170"/>
      <c r="CDD9" s="170"/>
      <c r="CDE9" s="170"/>
      <c r="CDF9" s="170"/>
      <c r="CDG9" s="170"/>
      <c r="CDH9" s="170"/>
      <c r="CDI9" s="170"/>
      <c r="CDJ9" s="170"/>
      <c r="CDK9" s="170"/>
      <c r="CDL9" s="170"/>
      <c r="CDM9" s="170"/>
      <c r="CDN9" s="170"/>
      <c r="CDO9" s="170"/>
      <c r="CDP9" s="170"/>
      <c r="CDQ9" s="170"/>
      <c r="CDR9" s="170"/>
      <c r="CDS9" s="170"/>
      <c r="CDT9" s="170"/>
      <c r="CDU9" s="170"/>
      <c r="CDV9" s="170"/>
      <c r="CDW9" s="170"/>
      <c r="CDX9" s="170"/>
      <c r="CDY9" s="170"/>
      <c r="CDZ9" s="170"/>
      <c r="CEA9" s="170"/>
      <c r="CEB9" s="170"/>
      <c r="CEC9" s="170"/>
      <c r="CED9" s="170"/>
      <c r="CEE9" s="170"/>
      <c r="CEF9" s="170"/>
      <c r="CEG9" s="170"/>
      <c r="CEH9" s="170"/>
      <c r="CEI9" s="170"/>
      <c r="CEJ9" s="170"/>
      <c r="CEK9" s="170"/>
      <c r="CEL9" s="170"/>
      <c r="CEM9" s="170"/>
      <c r="CEN9" s="170"/>
      <c r="CEO9" s="170"/>
      <c r="CEP9" s="170"/>
      <c r="CEQ9" s="170"/>
      <c r="CER9" s="170"/>
      <c r="CES9" s="170"/>
      <c r="CET9" s="170"/>
      <c r="CEU9" s="170"/>
      <c r="CEV9" s="170"/>
      <c r="CEW9" s="170"/>
      <c r="CEX9" s="170"/>
      <c r="CEY9" s="170"/>
      <c r="CEZ9" s="170"/>
      <c r="CFA9" s="170"/>
      <c r="CFB9" s="170"/>
      <c r="CFC9" s="170"/>
      <c r="CFD9" s="170"/>
      <c r="CFE9" s="170"/>
      <c r="CFF9" s="170"/>
      <c r="CFG9" s="170"/>
      <c r="CFH9" s="170"/>
      <c r="CFI9" s="170"/>
      <c r="CFJ9" s="170"/>
      <c r="CFK9" s="170"/>
      <c r="CFL9" s="170"/>
      <c r="CFM9" s="170"/>
      <c r="CFN9" s="170"/>
      <c r="CFO9" s="170"/>
      <c r="CFP9" s="170"/>
      <c r="CFQ9" s="170"/>
      <c r="CFR9" s="170"/>
      <c r="CFS9" s="170"/>
      <c r="CFT9" s="170"/>
      <c r="CFU9" s="170"/>
      <c r="CFV9" s="170"/>
      <c r="CFW9" s="170"/>
      <c r="CFX9" s="170"/>
      <c r="CFY9" s="170"/>
      <c r="CFZ9" s="170"/>
      <c r="CGA9" s="170"/>
      <c r="CGB9" s="170"/>
      <c r="CGC9" s="170"/>
      <c r="CGD9" s="170"/>
      <c r="CGE9" s="170"/>
      <c r="CGF9" s="170"/>
      <c r="CGG9" s="170"/>
      <c r="CGH9" s="170"/>
      <c r="CGI9" s="170"/>
      <c r="CGJ9" s="170"/>
      <c r="CGK9" s="170"/>
      <c r="CGL9" s="170"/>
      <c r="CGM9" s="170"/>
      <c r="CGN9" s="170"/>
      <c r="CGO9" s="170"/>
      <c r="CGP9" s="170"/>
      <c r="CGQ9" s="170"/>
      <c r="CGR9" s="170"/>
      <c r="CGS9" s="170"/>
      <c r="CGT9" s="170"/>
      <c r="CGU9" s="170"/>
      <c r="CGV9" s="170"/>
      <c r="CGW9" s="170"/>
      <c r="CGX9" s="170"/>
      <c r="CGY9" s="170"/>
      <c r="CGZ9" s="170"/>
      <c r="CHA9" s="170"/>
      <c r="CHB9" s="170"/>
      <c r="CHC9" s="170"/>
      <c r="CHD9" s="170"/>
      <c r="CHE9" s="170"/>
      <c r="CHF9" s="170"/>
      <c r="CHG9" s="170"/>
      <c r="CHH9" s="170"/>
      <c r="CHI9" s="170"/>
      <c r="CHJ9" s="170"/>
      <c r="CHK9" s="170"/>
      <c r="CHL9" s="170"/>
      <c r="CHM9" s="170"/>
      <c r="CHN9" s="170"/>
      <c r="CHO9" s="170"/>
      <c r="CHP9" s="170"/>
      <c r="CHQ9" s="170"/>
      <c r="CHR9" s="170"/>
      <c r="CHS9" s="170"/>
      <c r="CHT9" s="170"/>
      <c r="CHU9" s="170"/>
      <c r="CHV9" s="170"/>
      <c r="CHW9" s="170"/>
      <c r="CHX9" s="170"/>
      <c r="CHY9" s="170"/>
      <c r="CHZ9" s="170"/>
      <c r="CIA9" s="170"/>
      <c r="CIB9" s="170"/>
      <c r="CIC9" s="170"/>
      <c r="CID9" s="170"/>
      <c r="CIE9" s="170"/>
      <c r="CIF9" s="170"/>
      <c r="CIG9" s="170"/>
      <c r="CIH9" s="170"/>
      <c r="CII9" s="170"/>
      <c r="CIJ9" s="170"/>
      <c r="CIK9" s="170"/>
      <c r="CIL9" s="170"/>
      <c r="CIM9" s="170"/>
      <c r="CIN9" s="170"/>
      <c r="CIO9" s="170"/>
      <c r="CIP9" s="170"/>
      <c r="CIQ9" s="170"/>
      <c r="CIR9" s="170"/>
      <c r="CIS9" s="170"/>
      <c r="CIT9" s="170"/>
      <c r="CIU9" s="170"/>
      <c r="CIV9" s="170"/>
      <c r="CIW9" s="170"/>
      <c r="CIX9" s="170"/>
      <c r="CIY9" s="170"/>
      <c r="CIZ9" s="170"/>
      <c r="CJA9" s="170"/>
      <c r="CJB9" s="170"/>
      <c r="CJC9" s="170"/>
      <c r="CJD9" s="170"/>
      <c r="CJE9" s="170"/>
      <c r="CJF9" s="170"/>
      <c r="CJG9" s="170"/>
      <c r="CJH9" s="170"/>
      <c r="CJI9" s="170"/>
      <c r="CJJ9" s="170"/>
      <c r="CJK9" s="170"/>
      <c r="CJL9" s="170"/>
      <c r="CJM9" s="170"/>
      <c r="CJN9" s="170"/>
      <c r="CJO9" s="170"/>
      <c r="CJP9" s="170"/>
      <c r="CJQ9" s="170"/>
      <c r="CJR9" s="170"/>
      <c r="CJS9" s="170"/>
      <c r="CJT9" s="170"/>
      <c r="CJU9" s="170"/>
      <c r="CJV9" s="170"/>
      <c r="CJW9" s="170"/>
      <c r="CJX9" s="170"/>
      <c r="CJY9" s="170"/>
      <c r="CJZ9" s="170"/>
      <c r="CKA9" s="170"/>
      <c r="CKB9" s="170"/>
      <c r="CKC9" s="170"/>
      <c r="CKD9" s="170"/>
      <c r="CKE9" s="170"/>
      <c r="CKF9" s="170"/>
      <c r="CKG9" s="170"/>
      <c r="CKH9" s="170"/>
      <c r="CKI9" s="170"/>
      <c r="CKJ9" s="170"/>
      <c r="CKK9" s="170"/>
      <c r="CKL9" s="170"/>
      <c r="CKM9" s="170"/>
      <c r="CKN9" s="170"/>
      <c r="CKO9" s="170"/>
      <c r="CKP9" s="170"/>
      <c r="CKQ9" s="170"/>
      <c r="CKR9" s="170"/>
      <c r="CKS9" s="170"/>
      <c r="CKT9" s="170"/>
      <c r="CKU9" s="170"/>
      <c r="CKV9" s="170"/>
      <c r="CKW9" s="170"/>
      <c r="CKX9" s="170"/>
      <c r="CKY9" s="170"/>
      <c r="CKZ9" s="170"/>
      <c r="CLA9" s="170"/>
      <c r="CLB9" s="170"/>
      <c r="CLC9" s="170"/>
      <c r="CLD9" s="170"/>
      <c r="CLE9" s="170"/>
      <c r="CLF9" s="170"/>
      <c r="CLG9" s="170"/>
      <c r="CLH9" s="170"/>
      <c r="CLI9" s="170"/>
      <c r="CLJ9" s="170"/>
      <c r="CLK9" s="170"/>
      <c r="CLL9" s="170"/>
      <c r="CLM9" s="170"/>
      <c r="CLN9" s="170"/>
      <c r="CLO9" s="170"/>
      <c r="CLP9" s="170"/>
      <c r="CLQ9" s="170"/>
      <c r="CLR9" s="170"/>
      <c r="CLS9" s="170"/>
      <c r="CLT9" s="170"/>
      <c r="CLU9" s="170"/>
      <c r="CLV9" s="170"/>
      <c r="CLW9" s="170"/>
      <c r="CLX9" s="170"/>
      <c r="CLY9" s="170"/>
      <c r="CLZ9" s="170"/>
      <c r="CMA9" s="170"/>
      <c r="CMB9" s="170"/>
      <c r="CMC9" s="170"/>
      <c r="CMD9" s="170"/>
      <c r="CME9" s="170"/>
      <c r="CMF9" s="170"/>
      <c r="CMG9" s="170"/>
      <c r="CMH9" s="170"/>
      <c r="CMI9" s="170"/>
      <c r="CMJ9" s="170"/>
      <c r="CMK9" s="170"/>
      <c r="CML9" s="170"/>
      <c r="CMM9" s="170"/>
      <c r="CMN9" s="170"/>
      <c r="CMO9" s="170"/>
      <c r="CMP9" s="170"/>
      <c r="CMQ9" s="170"/>
      <c r="CMR9" s="170"/>
      <c r="CMS9" s="170"/>
      <c r="CMT9" s="170"/>
      <c r="CMU9" s="170"/>
      <c r="CMV9" s="170"/>
      <c r="CMW9" s="170"/>
      <c r="CMX9" s="170"/>
      <c r="CMY9" s="170"/>
      <c r="CMZ9" s="170"/>
      <c r="CNA9" s="170"/>
      <c r="CNB9" s="170"/>
      <c r="CNC9" s="170"/>
      <c r="CND9" s="170"/>
      <c r="CNE9" s="170"/>
      <c r="CNF9" s="170"/>
      <c r="CNG9" s="170"/>
      <c r="CNH9" s="170"/>
      <c r="CNI9" s="170"/>
      <c r="CNJ9" s="170"/>
      <c r="CNK9" s="170"/>
      <c r="CNL9" s="170"/>
      <c r="CNM9" s="170"/>
      <c r="CNN9" s="170"/>
      <c r="CNO9" s="170"/>
      <c r="CNP9" s="170"/>
      <c r="CNQ9" s="170"/>
      <c r="CNR9" s="170"/>
      <c r="CNS9" s="170"/>
      <c r="CNT9" s="170"/>
      <c r="CNU9" s="170"/>
      <c r="CNV9" s="170"/>
      <c r="CNW9" s="170"/>
      <c r="CNX9" s="170"/>
      <c r="CNY9" s="170"/>
      <c r="CNZ9" s="170"/>
      <c r="COA9" s="170"/>
      <c r="COB9" s="170"/>
      <c r="COC9" s="170"/>
      <c r="COD9" s="170"/>
      <c r="COE9" s="170"/>
      <c r="COF9" s="170"/>
      <c r="COG9" s="170"/>
      <c r="COH9" s="170"/>
      <c r="COI9" s="170"/>
      <c r="COJ9" s="170"/>
      <c r="COK9" s="170"/>
      <c r="COL9" s="170"/>
      <c r="COM9" s="170"/>
      <c r="CON9" s="170"/>
      <c r="COO9" s="170"/>
      <c r="COP9" s="170"/>
      <c r="COQ9" s="170"/>
      <c r="COR9" s="170"/>
      <c r="COS9" s="170"/>
      <c r="COT9" s="170"/>
      <c r="COU9" s="170"/>
      <c r="COV9" s="170"/>
      <c r="COW9" s="170"/>
      <c r="COX9" s="170"/>
      <c r="COY9" s="170"/>
      <c r="COZ9" s="170"/>
      <c r="CPA9" s="170"/>
      <c r="CPB9" s="170"/>
      <c r="CPC9" s="170"/>
      <c r="CPD9" s="170"/>
      <c r="CPE9" s="170"/>
      <c r="CPF9" s="170"/>
      <c r="CPG9" s="170"/>
      <c r="CPH9" s="170"/>
      <c r="CPI9" s="170"/>
      <c r="CPJ9" s="170"/>
      <c r="CPK9" s="170"/>
      <c r="CPL9" s="170"/>
      <c r="CPM9" s="170"/>
      <c r="CPN9" s="170"/>
      <c r="CPO9" s="170"/>
      <c r="CPP9" s="170"/>
      <c r="CPQ9" s="170"/>
      <c r="CPR9" s="170"/>
      <c r="CPS9" s="170"/>
      <c r="CPT9" s="170"/>
      <c r="CPU9" s="170"/>
      <c r="CPV9" s="170"/>
      <c r="CPW9" s="170"/>
      <c r="CPX9" s="170"/>
      <c r="CPY9" s="170"/>
      <c r="CPZ9" s="170"/>
      <c r="CQA9" s="170"/>
      <c r="CQB9" s="170"/>
      <c r="CQC9" s="170"/>
      <c r="CQD9" s="170"/>
      <c r="CQE9" s="170"/>
      <c r="CQF9" s="170"/>
      <c r="CQG9" s="170"/>
      <c r="CQH9" s="170"/>
      <c r="CQI9" s="170"/>
      <c r="CQJ9" s="170"/>
      <c r="CQK9" s="170"/>
      <c r="CQL9" s="170"/>
      <c r="CQM9" s="170"/>
      <c r="CQN9" s="170"/>
      <c r="CQO9" s="170"/>
      <c r="CQP9" s="170"/>
      <c r="CQQ9" s="170"/>
      <c r="CQR9" s="170"/>
      <c r="CQS9" s="170"/>
      <c r="CQT9" s="170"/>
      <c r="CQU9" s="170"/>
      <c r="CQV9" s="170"/>
      <c r="CQW9" s="170"/>
      <c r="CQX9" s="170"/>
      <c r="CQY9" s="170"/>
      <c r="CQZ9" s="170"/>
      <c r="CRA9" s="170"/>
      <c r="CRB9" s="170"/>
      <c r="CRC9" s="170"/>
      <c r="CRD9" s="170"/>
      <c r="CRE9" s="170"/>
      <c r="CRF9" s="170"/>
      <c r="CRG9" s="170"/>
      <c r="CRH9" s="170"/>
      <c r="CRI9" s="170"/>
      <c r="CRJ9" s="170"/>
      <c r="CRK9" s="170"/>
      <c r="CRL9" s="170"/>
      <c r="CRM9" s="170"/>
      <c r="CRN9" s="170"/>
      <c r="CRO9" s="170"/>
      <c r="CRP9" s="170"/>
      <c r="CRQ9" s="170"/>
      <c r="CRR9" s="170"/>
      <c r="CRS9" s="170"/>
      <c r="CRT9" s="170"/>
      <c r="CRU9" s="170"/>
      <c r="CRV9" s="170"/>
      <c r="CRW9" s="170"/>
      <c r="CRX9" s="170"/>
      <c r="CRY9" s="170"/>
      <c r="CRZ9" s="170"/>
      <c r="CSA9" s="170"/>
      <c r="CSB9" s="170"/>
      <c r="CSC9" s="170"/>
      <c r="CSD9" s="170"/>
      <c r="CSE9" s="170"/>
      <c r="CSF9" s="170"/>
      <c r="CSG9" s="170"/>
      <c r="CSH9" s="170"/>
      <c r="CSI9" s="170"/>
      <c r="CSJ9" s="170"/>
      <c r="CSK9" s="170"/>
      <c r="CSL9" s="170"/>
      <c r="CSM9" s="170"/>
      <c r="CSN9" s="170"/>
      <c r="CSO9" s="170"/>
      <c r="CSP9" s="170"/>
      <c r="CSQ9" s="170"/>
      <c r="CSR9" s="170"/>
      <c r="CSS9" s="170"/>
      <c r="CST9" s="170"/>
      <c r="CSU9" s="170"/>
      <c r="CSV9" s="170"/>
      <c r="CSW9" s="170"/>
      <c r="CSX9" s="170"/>
      <c r="CSY9" s="170"/>
      <c r="CSZ9" s="170"/>
      <c r="CTA9" s="170"/>
      <c r="CTB9" s="170"/>
      <c r="CTC9" s="170"/>
      <c r="CTD9" s="170"/>
      <c r="CTE9" s="170"/>
      <c r="CTF9" s="170"/>
      <c r="CTG9" s="170"/>
      <c r="CTH9" s="170"/>
      <c r="CTI9" s="170"/>
      <c r="CTJ9" s="170"/>
      <c r="CTK9" s="170"/>
      <c r="CTL9" s="170"/>
      <c r="CTM9" s="170"/>
      <c r="CTN9" s="170"/>
      <c r="CTO9" s="170"/>
      <c r="CTP9" s="170"/>
      <c r="CTQ9" s="170"/>
      <c r="CTR9" s="170"/>
      <c r="CTS9" s="170"/>
      <c r="CTT9" s="170"/>
      <c r="CTU9" s="170"/>
      <c r="CTV9" s="170"/>
      <c r="CTW9" s="170"/>
      <c r="CTX9" s="170"/>
      <c r="CTY9" s="170"/>
      <c r="CTZ9" s="170"/>
      <c r="CUA9" s="170"/>
      <c r="CUB9" s="170"/>
      <c r="CUC9" s="170"/>
      <c r="CUD9" s="170"/>
      <c r="CUE9" s="170"/>
      <c r="CUF9" s="170"/>
      <c r="CUG9" s="170"/>
      <c r="CUH9" s="170"/>
      <c r="CUI9" s="170"/>
      <c r="CUJ9" s="170"/>
      <c r="CUK9" s="170"/>
      <c r="CUL9" s="170"/>
      <c r="CUM9" s="170"/>
      <c r="CUN9" s="170"/>
      <c r="CUO9" s="170"/>
      <c r="CUP9" s="170"/>
      <c r="CUQ9" s="170"/>
      <c r="CUR9" s="170"/>
      <c r="CUS9" s="170"/>
      <c r="CUT9" s="170"/>
      <c r="CUU9" s="170"/>
      <c r="CUV9" s="170"/>
      <c r="CUW9" s="170"/>
      <c r="CUX9" s="170"/>
      <c r="CUY9" s="170"/>
      <c r="CUZ9" s="170"/>
      <c r="CVA9" s="170"/>
      <c r="CVB9" s="170"/>
      <c r="CVC9" s="170"/>
      <c r="CVD9" s="170"/>
      <c r="CVE9" s="170"/>
      <c r="CVF9" s="170"/>
      <c r="CVG9" s="170"/>
      <c r="CVH9" s="170"/>
      <c r="CVI9" s="170"/>
      <c r="CVJ9" s="170"/>
      <c r="CVK9" s="170"/>
      <c r="CVL9" s="170"/>
      <c r="CVM9" s="170"/>
      <c r="CVN9" s="170"/>
      <c r="CVO9" s="170"/>
      <c r="CVP9" s="170"/>
      <c r="CVQ9" s="170"/>
      <c r="CVR9" s="170"/>
      <c r="CVS9" s="170"/>
      <c r="CVT9" s="170"/>
      <c r="CVU9" s="170"/>
      <c r="CVV9" s="170"/>
      <c r="CVW9" s="170"/>
      <c r="CVX9" s="170"/>
      <c r="CVY9" s="170"/>
      <c r="CVZ9" s="170"/>
      <c r="CWA9" s="170"/>
      <c r="CWB9" s="170"/>
      <c r="CWC9" s="170"/>
      <c r="CWD9" s="170"/>
      <c r="CWE9" s="170"/>
      <c r="CWF9" s="170"/>
      <c r="CWG9" s="170"/>
      <c r="CWH9" s="170"/>
      <c r="CWI9" s="170"/>
      <c r="CWJ9" s="170"/>
      <c r="CWK9" s="170"/>
      <c r="CWL9" s="170"/>
      <c r="CWM9" s="170"/>
      <c r="CWN9" s="170"/>
      <c r="CWO9" s="170"/>
      <c r="CWP9" s="170"/>
      <c r="CWQ9" s="170"/>
      <c r="CWR9" s="170"/>
      <c r="CWS9" s="170"/>
      <c r="CWT9" s="170"/>
      <c r="CWU9" s="170"/>
      <c r="CWV9" s="170"/>
      <c r="CWW9" s="170"/>
      <c r="CWX9" s="170"/>
      <c r="CWY9" s="170"/>
      <c r="CWZ9" s="170"/>
      <c r="CXA9" s="170"/>
      <c r="CXB9" s="170"/>
      <c r="CXC9" s="170"/>
      <c r="CXD9" s="170"/>
      <c r="CXE9" s="170"/>
      <c r="CXF9" s="170"/>
      <c r="CXG9" s="170"/>
      <c r="CXH9" s="170"/>
      <c r="CXI9" s="170"/>
      <c r="CXJ9" s="170"/>
      <c r="CXK9" s="170"/>
      <c r="CXL9" s="170"/>
      <c r="CXM9" s="170"/>
      <c r="CXN9" s="170"/>
      <c r="CXO9" s="170"/>
      <c r="CXP9" s="170"/>
      <c r="CXQ9" s="170"/>
      <c r="CXR9" s="170"/>
      <c r="CXS9" s="170"/>
      <c r="CXT9" s="170"/>
      <c r="CXU9" s="170"/>
      <c r="CXV9" s="170"/>
      <c r="CXW9" s="170"/>
      <c r="CXX9" s="170"/>
      <c r="CXY9" s="170"/>
      <c r="CXZ9" s="170"/>
      <c r="CYA9" s="170"/>
      <c r="CYB9" s="170"/>
      <c r="CYC9" s="170"/>
      <c r="CYD9" s="170"/>
      <c r="CYE9" s="170"/>
      <c r="CYF9" s="170"/>
      <c r="CYG9" s="170"/>
      <c r="CYH9" s="170"/>
      <c r="CYI9" s="170"/>
      <c r="CYJ9" s="170"/>
      <c r="CYK9" s="170"/>
      <c r="CYL9" s="170"/>
      <c r="CYM9" s="170"/>
      <c r="CYN9" s="170"/>
      <c r="CYO9" s="170"/>
      <c r="CYP9" s="170"/>
      <c r="CYQ9" s="170"/>
      <c r="CYR9" s="170"/>
      <c r="CYS9" s="170"/>
      <c r="CYT9" s="170"/>
      <c r="CYU9" s="170"/>
      <c r="CYV9" s="170"/>
      <c r="CYW9" s="170"/>
      <c r="CYX9" s="170"/>
      <c r="CYY9" s="170"/>
      <c r="CYZ9" s="170"/>
      <c r="CZA9" s="170"/>
      <c r="CZB9" s="170"/>
      <c r="CZC9" s="170"/>
      <c r="CZD9" s="170"/>
      <c r="CZE9" s="170"/>
      <c r="CZF9" s="170"/>
      <c r="CZG9" s="170"/>
      <c r="CZH9" s="170"/>
      <c r="CZI9" s="170"/>
      <c r="CZJ9" s="170"/>
      <c r="CZK9" s="170"/>
      <c r="CZL9" s="170"/>
      <c r="CZM9" s="170"/>
      <c r="CZN9" s="170"/>
      <c r="CZO9" s="170"/>
      <c r="CZP9" s="170"/>
      <c r="CZQ9" s="170"/>
      <c r="CZR9" s="170"/>
      <c r="CZS9" s="170"/>
      <c r="CZT9" s="170"/>
      <c r="CZU9" s="170"/>
      <c r="CZV9" s="170"/>
      <c r="CZW9" s="170"/>
      <c r="CZX9" s="170"/>
      <c r="CZY9" s="170"/>
      <c r="CZZ9" s="170"/>
      <c r="DAA9" s="170"/>
      <c r="DAB9" s="170"/>
      <c r="DAC9" s="170"/>
      <c r="DAD9" s="170"/>
      <c r="DAE9" s="170"/>
      <c r="DAF9" s="170"/>
      <c r="DAG9" s="170"/>
      <c r="DAH9" s="170"/>
      <c r="DAI9" s="170"/>
      <c r="DAJ9" s="170"/>
      <c r="DAK9" s="170"/>
      <c r="DAL9" s="170"/>
      <c r="DAM9" s="170"/>
      <c r="DAN9" s="170"/>
      <c r="DAO9" s="170"/>
      <c r="DAP9" s="170"/>
      <c r="DAQ9" s="170"/>
      <c r="DAR9" s="170"/>
      <c r="DAS9" s="170"/>
      <c r="DAT9" s="170"/>
      <c r="DAU9" s="170"/>
      <c r="DAV9" s="170"/>
      <c r="DAW9" s="170"/>
      <c r="DAX9" s="170"/>
      <c r="DAY9" s="170"/>
      <c r="DAZ9" s="170"/>
      <c r="DBA9" s="170"/>
      <c r="DBB9" s="170"/>
      <c r="DCA9" t="s">
        <v>7130</v>
      </c>
      <c r="DCB9" t="s">
        <v>7131</v>
      </c>
      <c r="DDA9" s="221" t="s">
        <v>3</v>
      </c>
      <c r="DDB9" s="1119" t="s">
        <v>6387</v>
      </c>
      <c r="DDC9" s="1516" t="s">
        <v>6438</v>
      </c>
      <c r="DDD9" s="345">
        <v>4</v>
      </c>
    </row>
    <row r="10" spans="1:2814" ht="30" customHeight="1" thickBot="1">
      <c r="A10" s="1323" t="s">
        <v>1261</v>
      </c>
      <c r="B10" s="1305">
        <v>4</v>
      </c>
      <c r="C10" s="1306" t="s">
        <v>4714</v>
      </c>
      <c r="D10" s="672" t="s">
        <v>3790</v>
      </c>
      <c r="E10" s="1313" t="s">
        <v>5604</v>
      </c>
      <c r="F10" s="1314" t="s">
        <v>233</v>
      </c>
      <c r="G10" s="1308"/>
      <c r="H10" s="1308"/>
      <c r="I10" s="1308"/>
      <c r="J10" s="1308"/>
      <c r="K10" s="416"/>
      <c r="L10" s="2506">
        <f>MATCH(C10, $A$1:$DZG$1,0)</f>
        <v>209</v>
      </c>
      <c r="M10" t="str">
        <f t="shared" si="0"/>
        <v>HA</v>
      </c>
      <c r="N10" s="416"/>
      <c r="O10" s="416"/>
      <c r="P10" s="416"/>
      <c r="Q10" s="416"/>
      <c r="R10" s="416"/>
      <c r="S10" s="416"/>
      <c r="T10" s="416"/>
      <c r="U10" s="416"/>
      <c r="V10" s="416"/>
      <c r="W10" s="416"/>
      <c r="AA10" s="246" t="s">
        <v>430</v>
      </c>
      <c r="AB10" t="s">
        <v>442</v>
      </c>
      <c r="DA10" s="246" t="s">
        <v>434</v>
      </c>
      <c r="DB10" s="1502" t="s">
        <v>4145</v>
      </c>
      <c r="DC10" s="1502"/>
      <c r="DD10" s="1502"/>
      <c r="DE10" s="1502"/>
      <c r="EB10" s="7"/>
      <c r="EC10" s="7"/>
      <c r="ED10" s="7"/>
      <c r="FA10" s="432" t="s">
        <v>6182</v>
      </c>
      <c r="FB10" s="1581" t="s">
        <v>4593</v>
      </c>
      <c r="FC10" s="1582"/>
      <c r="FD10" s="935">
        <v>4</v>
      </c>
      <c r="FE10" s="1644" t="s">
        <v>6912</v>
      </c>
      <c r="FF10" s="1644"/>
      <c r="FG10" s="1167"/>
      <c r="FH10" s="1167"/>
      <c r="FJ10" s="133"/>
      <c r="FK10" s="133"/>
      <c r="FL10" s="133"/>
      <c r="FM10" s="133"/>
      <c r="FN10" s="133"/>
      <c r="FO10" s="133"/>
      <c r="FP10" s="133"/>
      <c r="FQ10" s="133"/>
      <c r="FR10" s="133"/>
      <c r="FS10" s="133"/>
      <c r="FT10" s="133"/>
      <c r="FU10" s="133"/>
      <c r="FV10" s="133"/>
      <c r="FW10" s="133"/>
      <c r="GA10" s="60"/>
      <c r="GB10" s="165"/>
      <c r="GC10" s="1333"/>
      <c r="GD10" s="934">
        <v>5</v>
      </c>
      <c r="GE10" s="1545" t="s">
        <v>6909</v>
      </c>
      <c r="GF10" s="1546"/>
      <c r="LF10" s="133"/>
      <c r="LG10" s="133"/>
      <c r="LH10" s="133"/>
      <c r="LI10" s="133"/>
      <c r="LJ10" s="133"/>
      <c r="LK10" s="133"/>
      <c r="LL10" s="133"/>
      <c r="LM10" s="133"/>
      <c r="LN10" s="133"/>
      <c r="LO10" s="133"/>
      <c r="LP10" s="133"/>
      <c r="LQ10" s="133"/>
      <c r="LR10" s="133"/>
      <c r="LS10" s="133"/>
      <c r="LT10" s="133"/>
      <c r="LU10" s="133"/>
      <c r="LV10" s="133"/>
      <c r="LW10" s="133"/>
      <c r="ME10" s="442"/>
      <c r="OA10" s="246" t="s">
        <v>434</v>
      </c>
      <c r="OB10" t="s">
        <v>4165</v>
      </c>
      <c r="PA10" s="221" t="s">
        <v>436</v>
      </c>
      <c r="PB10" s="165" t="s">
        <v>4181</v>
      </c>
      <c r="PD10" s="225">
        <v>5</v>
      </c>
      <c r="RA10" s="1603" t="s">
        <v>4191</v>
      </c>
      <c r="RB10" s="1603"/>
      <c r="RC10" s="957"/>
      <c r="RD10" s="345"/>
      <c r="RE10" s="133"/>
      <c r="RF10" s="133"/>
      <c r="RG10" s="133"/>
      <c r="RH10" s="133"/>
      <c r="RI10" s="133"/>
      <c r="RJ10" s="133"/>
      <c r="RK10" s="133"/>
      <c r="RL10" s="133"/>
      <c r="RM10" s="133"/>
      <c r="RN10" s="133"/>
      <c r="RO10" s="133"/>
      <c r="RP10" s="133"/>
      <c r="RQ10" s="133"/>
      <c r="RR10" s="133"/>
      <c r="RS10" s="133"/>
      <c r="RT10" s="133"/>
      <c r="RU10" s="133"/>
      <c r="RV10" s="133"/>
      <c r="RW10" s="133"/>
      <c r="SA10" s="221" t="s">
        <v>4226</v>
      </c>
      <c r="SB10" s="165" t="s">
        <v>385</v>
      </c>
      <c r="SD10" s="934">
        <v>5</v>
      </c>
      <c r="SE10" s="960" t="s">
        <v>4644</v>
      </c>
      <c r="SF10" s="442"/>
      <c r="SG10" s="133"/>
      <c r="SH10" s="133"/>
      <c r="SI10" s="133"/>
      <c r="SJ10" s="133"/>
      <c r="SK10" s="133"/>
      <c r="SL10" s="133"/>
      <c r="SM10" s="133"/>
      <c r="SN10" s="133"/>
      <c r="SO10" s="133"/>
      <c r="SP10" s="133"/>
      <c r="SQ10" s="133"/>
      <c r="SR10" s="133"/>
      <c r="SS10" s="133"/>
      <c r="ST10" s="133"/>
      <c r="SU10" s="133"/>
      <c r="SV10" s="133"/>
      <c r="SW10" s="133"/>
      <c r="SX10" s="133"/>
      <c r="SY10" s="133"/>
      <c r="SZ10" s="133"/>
      <c r="TA10" s="827" t="s">
        <v>446</v>
      </c>
      <c r="TB10" s="165" t="s">
        <v>385</v>
      </c>
      <c r="TC10" s="165" t="s">
        <v>4239</v>
      </c>
      <c r="TD10" s="165" t="s">
        <v>4239</v>
      </c>
      <c r="TE10" s="230" t="s">
        <v>418</v>
      </c>
      <c r="TF10" s="114">
        <v>5</v>
      </c>
      <c r="TG10" s="171" t="s">
        <v>4247</v>
      </c>
      <c r="TX10" s="171"/>
      <c r="UA10" s="221" t="s">
        <v>447</v>
      </c>
      <c r="UB10" s="230" t="s">
        <v>448</v>
      </c>
      <c r="UC10" s="1539"/>
      <c r="UD10" s="157">
        <v>6</v>
      </c>
      <c r="UE10" s="1641" t="s">
        <v>4280</v>
      </c>
      <c r="UF10" s="1513"/>
      <c r="UG10" s="1513"/>
      <c r="UH10" s="1513"/>
      <c r="UI10" s="133"/>
      <c r="UJ10" s="133"/>
      <c r="UK10" s="133"/>
      <c r="UL10" s="133"/>
      <c r="UM10" s="133"/>
      <c r="UN10" s="133"/>
      <c r="UO10" s="133"/>
      <c r="UP10" s="133"/>
      <c r="UQ10" s="133"/>
      <c r="UR10" s="133"/>
      <c r="US10" s="133"/>
      <c r="UT10" s="133"/>
      <c r="UU10" s="133"/>
      <c r="UV10" s="133"/>
      <c r="UW10" s="133"/>
      <c r="VA10" s="246" t="s">
        <v>434</v>
      </c>
      <c r="VB10" t="s">
        <v>4281</v>
      </c>
      <c r="VC10" s="442"/>
      <c r="WA10" s="246" t="s">
        <v>434</v>
      </c>
      <c r="WB10" t="s">
        <v>4295</v>
      </c>
      <c r="XE10" s="442"/>
      <c r="XF10" s="442"/>
      <c r="XG10" s="442"/>
      <c r="XH10" s="442"/>
      <c r="XI10" s="442"/>
      <c r="XJ10" s="442"/>
      <c r="XK10" s="442"/>
      <c r="XL10" s="246" t="s">
        <v>7619</v>
      </c>
      <c r="XY10" s="133"/>
      <c r="YA10" s="1112" t="s">
        <v>428</v>
      </c>
      <c r="YB10" s="254" t="s">
        <v>7598</v>
      </c>
      <c r="YD10" s="158">
        <v>6</v>
      </c>
      <c r="YE10" s="1737"/>
      <c r="YF10" s="1738"/>
      <c r="YJ10" s="221" t="s">
        <v>7601</v>
      </c>
      <c r="YK10" s="1750"/>
      <c r="YL10" s="1751"/>
      <c r="YM10" s="1751"/>
      <c r="YN10" s="1752"/>
      <c r="YZ10" s="133"/>
      <c r="ZB10" s="246" t="s">
        <v>434</v>
      </c>
      <c r="ZC10" t="s">
        <v>4793</v>
      </c>
      <c r="AAB10" s="246" t="s">
        <v>434</v>
      </c>
      <c r="AAC10" t="s">
        <v>4795</v>
      </c>
      <c r="ACB10" s="246" t="s">
        <v>434</v>
      </c>
      <c r="ACC10" t="s">
        <v>4304</v>
      </c>
      <c r="ADG10" s="971"/>
      <c r="AEB10" s="221" t="s">
        <v>428</v>
      </c>
      <c r="AEC10" s="1515" t="s">
        <v>4353</v>
      </c>
      <c r="AED10" s="1515"/>
      <c r="AEE10" s="157">
        <v>5</v>
      </c>
      <c r="AFB10" s="246" t="s">
        <v>961</v>
      </c>
      <c r="AFC10" s="171" t="s">
        <v>4365</v>
      </c>
      <c r="AFD10" s="966"/>
      <c r="AFE10" s="966"/>
      <c r="AFF10" s="966"/>
      <c r="AGB10" s="246" t="s">
        <v>961</v>
      </c>
      <c r="AGC10" s="171" t="s">
        <v>4366</v>
      </c>
      <c r="AGD10" s="966"/>
      <c r="AGE10" s="966"/>
      <c r="AGF10" s="966"/>
      <c r="AHB10" s="246" t="s">
        <v>961</v>
      </c>
      <c r="AHC10" s="171" t="s">
        <v>4373</v>
      </c>
      <c r="AHD10" s="966"/>
      <c r="AHE10" s="966"/>
      <c r="AHF10" s="966"/>
      <c r="AIB10" s="246" t="s">
        <v>961</v>
      </c>
      <c r="AIC10" s="171" t="s">
        <v>4389</v>
      </c>
      <c r="AID10" s="966"/>
      <c r="AIE10" s="966"/>
      <c r="AIF10" s="966"/>
      <c r="AJB10" s="246" t="s">
        <v>961</v>
      </c>
      <c r="AJC10" s="171" t="s">
        <v>4397</v>
      </c>
      <c r="AJD10" s="966"/>
      <c r="AJE10" s="966"/>
      <c r="AJF10" s="966"/>
      <c r="AKB10" s="246" t="s">
        <v>961</v>
      </c>
      <c r="AKC10" s="171" t="s">
        <v>4406</v>
      </c>
      <c r="AKD10" s="966"/>
      <c r="AKE10" s="966"/>
      <c r="AKF10" s="966"/>
      <c r="ALB10" s="246" t="s">
        <v>961</v>
      </c>
      <c r="ALC10" s="171" t="s">
        <v>4417</v>
      </c>
      <c r="ALD10" s="966"/>
      <c r="ALE10" s="966"/>
      <c r="ALF10" s="966"/>
      <c r="AMB10" s="246" t="s">
        <v>961</v>
      </c>
      <c r="AMC10" s="171" t="s">
        <v>4429</v>
      </c>
      <c r="AMD10" s="966"/>
      <c r="AME10" s="966"/>
      <c r="AMF10" s="966"/>
      <c r="ANB10" s="246" t="s">
        <v>961</v>
      </c>
      <c r="ANC10" s="171" t="s">
        <v>4440</v>
      </c>
      <c r="AND10" s="966"/>
      <c r="ANE10" s="966"/>
      <c r="ANF10" s="966"/>
      <c r="ANG10" s="966"/>
      <c r="ANH10" s="966"/>
      <c r="ANI10" s="966"/>
      <c r="ANJ10" s="966"/>
      <c r="ANK10" s="966"/>
      <c r="ANL10" s="966"/>
      <c r="ANM10" s="966"/>
      <c r="ANN10" s="966"/>
      <c r="ANO10" s="966"/>
      <c r="ANP10" s="966"/>
      <c r="ANQ10" s="966"/>
      <c r="ANR10" s="966"/>
      <c r="ANS10" s="966"/>
      <c r="ANT10" s="966"/>
      <c r="ANU10" s="966"/>
      <c r="ANV10" s="966"/>
      <c r="ANW10" s="966"/>
      <c r="ANX10" s="966"/>
      <c r="ANY10" s="966"/>
      <c r="ANZ10" s="966"/>
      <c r="AOB10" s="2534"/>
      <c r="AOC10" s="2548"/>
      <c r="AOD10" s="2533"/>
      <c r="AOE10" s="2551"/>
      <c r="AOF10" s="2551"/>
      <c r="AOG10" s="1170"/>
      <c r="AOH10" s="966"/>
      <c r="AOI10" s="966"/>
      <c r="AOJ10" s="966"/>
      <c r="AOK10" s="966"/>
      <c r="AOL10" s="966"/>
      <c r="AOM10" s="966"/>
      <c r="AON10" s="966"/>
      <c r="AOO10" s="966"/>
      <c r="AOP10" s="966"/>
      <c r="AOQ10" s="966"/>
      <c r="AOR10" s="966"/>
      <c r="AOS10" s="966"/>
      <c r="AOT10" s="966"/>
      <c r="AOU10" s="966"/>
      <c r="AOV10" s="966"/>
      <c r="AOW10" s="966"/>
      <c r="AOX10" s="966"/>
      <c r="AOY10" s="966"/>
      <c r="AOZ10" s="966"/>
      <c r="APB10" s="2534"/>
      <c r="APC10" s="2548"/>
      <c r="APD10" s="2533"/>
      <c r="APE10" s="2546"/>
      <c r="APF10" s="2546"/>
      <c r="APG10" s="2546"/>
      <c r="AQA10" s="221" t="s">
        <v>4495</v>
      </c>
      <c r="AQB10" s="230"/>
      <c r="AQC10" s="1512"/>
      <c r="AQD10" s="985">
        <v>5</v>
      </c>
      <c r="AQE10" s="1505" t="s">
        <v>4519</v>
      </c>
      <c r="AQF10" s="1505"/>
      <c r="AQG10" s="1505"/>
      <c r="AQZ10" s="2490"/>
      <c r="ARA10" s="2491"/>
      <c r="ARB10" s="2491"/>
      <c r="ARC10" s="1492"/>
      <c r="ARD10" s="2492"/>
      <c r="ARE10" s="1684" t="s">
        <v>7753</v>
      </c>
      <c r="ARF10" s="1594"/>
      <c r="ATA10" s="221" t="s">
        <v>4526</v>
      </c>
      <c r="ATB10" s="165" t="s">
        <v>5825</v>
      </c>
      <c r="ATC10" s="442"/>
      <c r="ATD10" s="452">
        <v>5</v>
      </c>
      <c r="ATE10" s="1658" t="s">
        <v>6884</v>
      </c>
      <c r="ATF10" s="1659"/>
      <c r="ATG10" s="1659"/>
      <c r="ATH10" s="1660"/>
      <c r="AUA10" s="991"/>
      <c r="AUB10" s="966"/>
      <c r="AUF10" s="988"/>
      <c r="AUG10" s="988"/>
      <c r="AVA10" s="1727" t="s">
        <v>6618</v>
      </c>
      <c r="AVB10" s="1677"/>
      <c r="AVC10" s="1499"/>
      <c r="AVD10" s="133"/>
      <c r="AVE10" s="1673"/>
      <c r="AVF10" s="1673"/>
      <c r="AWA10" s="991"/>
      <c r="AWC10" s="442"/>
      <c r="AWD10" s="133"/>
      <c r="AWE10" s="133"/>
      <c r="AXA10" s="992" t="s">
        <v>5414</v>
      </c>
      <c r="AXB10" s="181" t="s">
        <v>5412</v>
      </c>
      <c r="AXC10" s="992" t="s">
        <v>5415</v>
      </c>
      <c r="AXD10" s="1033" t="s">
        <v>1712</v>
      </c>
      <c r="AXE10" s="1511" t="s">
        <v>5413</v>
      </c>
      <c r="AXF10" s="157" t="s">
        <v>5406</v>
      </c>
      <c r="AXG10" s="831"/>
      <c r="AYA10" s="246" t="s">
        <v>434</v>
      </c>
      <c r="AYB10" t="s">
        <v>4594</v>
      </c>
      <c r="AZA10" s="246"/>
      <c r="AZB10" s="7" t="s">
        <v>4743</v>
      </c>
      <c r="AZC10" s="171"/>
      <c r="BAA10" s="221" t="s">
        <v>370</v>
      </c>
      <c r="BAB10" s="1111" t="s">
        <v>6334</v>
      </c>
      <c r="BAC10" s="1729"/>
      <c r="BAD10" s="157">
        <v>5</v>
      </c>
      <c r="BAE10" s="1545" t="s">
        <v>6328</v>
      </c>
      <c r="BAF10" s="1546"/>
      <c r="BBA10" s="221" t="s">
        <v>4648</v>
      </c>
      <c r="BBB10" s="1111" t="s">
        <v>4649</v>
      </c>
      <c r="BBC10" s="1169"/>
      <c r="BBD10" s="157">
        <v>6</v>
      </c>
      <c r="BBE10" s="1543" t="s">
        <v>6726</v>
      </c>
      <c r="BBF10" s="1544"/>
      <c r="BCA10" s="221" t="s">
        <v>4648</v>
      </c>
      <c r="BCB10" s="1111" t="s">
        <v>4649</v>
      </c>
      <c r="BCC10" s="1262"/>
      <c r="BCD10" s="1262"/>
      <c r="BCE10" s="442"/>
      <c r="BCF10" s="934">
        <v>6</v>
      </c>
      <c r="BCG10" s="1543" t="s">
        <v>6745</v>
      </c>
      <c r="BCH10" s="1544"/>
      <c r="BDE10" s="1674" t="s">
        <v>4639</v>
      </c>
      <c r="BDF10" s="1675"/>
      <c r="BDG10" s="1675"/>
      <c r="BDH10" s="1676"/>
      <c r="BDI10" s="943"/>
      <c r="BDJ10" s="1266"/>
      <c r="BDK10" s="1267"/>
      <c r="BEA10" s="221" t="s">
        <v>4639</v>
      </c>
      <c r="BEB10" s="230" t="s">
        <v>6866</v>
      </c>
      <c r="BEC10" s="1259"/>
      <c r="BED10" s="157">
        <v>6</v>
      </c>
      <c r="BEE10" s="1550" t="s">
        <v>6867</v>
      </c>
      <c r="BEF10" s="1551"/>
      <c r="BFA10" s="221" t="s">
        <v>4678</v>
      </c>
      <c r="BFB10" s="230" t="s">
        <v>6708</v>
      </c>
      <c r="BFC10" s="952"/>
      <c r="BFD10" s="157">
        <v>6</v>
      </c>
      <c r="BFE10" s="1703" t="s">
        <v>6701</v>
      </c>
      <c r="BFF10" s="1704"/>
      <c r="BFG10" s="1704"/>
      <c r="BFH10" s="1704"/>
      <c r="BFI10" s="1705"/>
      <c r="BGA10" s="221" t="s">
        <v>6798</v>
      </c>
      <c r="BGB10" s="1276" t="s">
        <v>6802</v>
      </c>
      <c r="BGC10" s="1509"/>
      <c r="BGD10" s="225">
        <v>6</v>
      </c>
      <c r="BGE10" s="1568" t="s">
        <v>6808</v>
      </c>
      <c r="BGF10" s="1569"/>
      <c r="BGG10" s="1569"/>
      <c r="BGH10" s="1569"/>
      <c r="BGI10" s="1569"/>
      <c r="BHA10" s="7"/>
      <c r="BHB10" s="7"/>
      <c r="BHC10" s="7"/>
      <c r="BHD10" s="7"/>
      <c r="BIA10" s="246" t="s">
        <v>434</v>
      </c>
      <c r="BIB10" t="s">
        <v>4586</v>
      </c>
      <c r="BJA10" s="221" t="s">
        <v>428</v>
      </c>
      <c r="BJB10" s="230" t="s">
        <v>4709</v>
      </c>
      <c r="BJC10" s="1512"/>
      <c r="BJD10" s="157">
        <v>6</v>
      </c>
      <c r="BJE10" s="1504"/>
      <c r="BJF10" s="1505"/>
      <c r="BJG10" s="1505"/>
      <c r="BJH10" s="1505"/>
      <c r="BJI10" s="1505"/>
      <c r="BLA10" s="246" t="s">
        <v>434</v>
      </c>
      <c r="BLB10" t="s">
        <v>5849</v>
      </c>
      <c r="BNA10" s="358" t="s">
        <v>4837</v>
      </c>
      <c r="BNB10" s="230" t="s">
        <v>4593</v>
      </c>
      <c r="BNC10" s="1512"/>
      <c r="BND10" s="1022">
        <v>5</v>
      </c>
      <c r="BNE10" s="170" t="s">
        <v>4838</v>
      </c>
      <c r="BNF10" s="170"/>
      <c r="BNG10" s="170"/>
      <c r="BNH10" s="170"/>
      <c r="BNI10" s="170"/>
      <c r="BNJ10" s="170"/>
      <c r="BNK10" s="170"/>
      <c r="BOA10" s="246" t="s">
        <v>434</v>
      </c>
      <c r="BOB10" t="s">
        <v>5567</v>
      </c>
      <c r="BPA10" s="1506" t="s">
        <v>4918</v>
      </c>
      <c r="BPB10" s="1507"/>
      <c r="BPC10" s="1509"/>
      <c r="BPD10" s="186"/>
      <c r="BQA10" s="221" t="s">
        <v>428</v>
      </c>
      <c r="BQB10" s="230" t="s">
        <v>362</v>
      </c>
      <c r="BQC10" s="1539"/>
      <c r="BQD10" s="186">
        <v>5</v>
      </c>
      <c r="BRA10" s="221" t="s">
        <v>5021</v>
      </c>
      <c r="BRB10" s="230" t="s">
        <v>1133</v>
      </c>
      <c r="BRC10" s="1512"/>
      <c r="BRD10" s="186">
        <v>5</v>
      </c>
      <c r="BRE10" t="s">
        <v>5391</v>
      </c>
      <c r="BWA10" s="1503" t="s">
        <v>5811</v>
      </c>
      <c r="BWB10" s="1503"/>
      <c r="BWC10" s="1503"/>
      <c r="BWD10" s="1503"/>
      <c r="BWE10" s="1503"/>
      <c r="BWF10" s="1503"/>
      <c r="BWG10" s="1503"/>
      <c r="BWH10" s="1503"/>
      <c r="BWI10" s="1503"/>
      <c r="BWJ10" s="235"/>
      <c r="BWK10" s="1179"/>
      <c r="BXA10" s="7"/>
      <c r="BXB10" s="7"/>
      <c r="BXC10" s="7"/>
      <c r="BXD10" s="7"/>
      <c r="BXX10" s="170"/>
      <c r="BXY10" s="170"/>
      <c r="BXZ10" s="170"/>
      <c r="BYA10" s="221" t="s">
        <v>4</v>
      </c>
      <c r="BYB10" s="1119" t="s">
        <v>6566</v>
      </c>
      <c r="BYC10" s="1517"/>
      <c r="BYD10" s="157">
        <v>5</v>
      </c>
      <c r="BYE10" s="1526" t="s">
        <v>6388</v>
      </c>
      <c r="BYF10" s="1527"/>
      <c r="BYG10" s="1527"/>
      <c r="BYH10" s="170"/>
      <c r="BYI10" s="170"/>
      <c r="BYJ10" s="170"/>
      <c r="BYK10" s="170"/>
      <c r="BYL10" s="170"/>
      <c r="BYM10" s="170"/>
      <c r="BYN10" s="170"/>
      <c r="BYO10" s="170"/>
      <c r="BYP10" s="170"/>
      <c r="BYQ10" s="170"/>
      <c r="BYR10" s="170"/>
      <c r="BYS10" s="170"/>
      <c r="BYT10" s="170"/>
      <c r="BYU10" s="170"/>
      <c r="BYV10" s="170"/>
      <c r="BYW10" s="170"/>
      <c r="BYX10" s="170"/>
      <c r="BYY10" s="170"/>
      <c r="BYZ10" s="170"/>
      <c r="BZA10" s="170"/>
      <c r="BZB10" s="170"/>
      <c r="BZC10" s="170"/>
      <c r="BZD10" s="170"/>
      <c r="BZE10" s="170"/>
      <c r="BZF10" s="170"/>
      <c r="BZG10" s="170"/>
      <c r="BZH10" s="170"/>
      <c r="BZI10" s="170"/>
      <c r="BZJ10" s="170"/>
      <c r="BZK10" s="170"/>
      <c r="BZL10" s="170"/>
      <c r="BZM10" s="170"/>
      <c r="BZN10" s="170"/>
      <c r="BZO10" s="170"/>
      <c r="BZP10" s="170"/>
      <c r="BZQ10" s="170"/>
      <c r="BZR10" s="170"/>
      <c r="BZS10" s="170"/>
      <c r="BZT10" s="170"/>
      <c r="BZU10" s="170"/>
      <c r="BZV10" s="170"/>
      <c r="BZW10" s="170"/>
      <c r="BZX10" s="170"/>
      <c r="BZY10" s="170"/>
      <c r="BZZ10" s="170"/>
      <c r="CAA10" s="170"/>
      <c r="CAB10" s="170"/>
      <c r="CAC10" s="170"/>
      <c r="CAD10" s="170"/>
      <c r="CAE10" s="170"/>
      <c r="CAF10" s="170"/>
      <c r="CAG10" s="170"/>
      <c r="CAH10" s="170"/>
      <c r="CAI10" s="170"/>
      <c r="CAJ10" s="170"/>
      <c r="CAK10" s="170"/>
      <c r="CAL10" s="170"/>
      <c r="CAM10" s="170"/>
      <c r="CAN10" s="170"/>
      <c r="CAO10" s="170"/>
      <c r="CAP10" s="170"/>
      <c r="CAQ10" s="170"/>
      <c r="CAR10" s="170"/>
      <c r="CAS10" s="170"/>
      <c r="CAT10" s="170"/>
      <c r="CAU10" s="170"/>
      <c r="CAV10" s="170"/>
      <c r="CAW10" s="170"/>
      <c r="CAX10" s="170"/>
      <c r="CAY10" s="170"/>
      <c r="CAZ10" s="170"/>
      <c r="CBA10" s="170"/>
      <c r="CBB10" s="170"/>
      <c r="CBC10" s="170"/>
      <c r="CBD10" s="170"/>
      <c r="CBE10" s="170"/>
      <c r="CBF10" s="170"/>
      <c r="CBG10" s="170"/>
      <c r="CBH10" s="170"/>
      <c r="CBI10" s="170"/>
      <c r="CBJ10" s="170"/>
      <c r="CBK10" s="170"/>
      <c r="CBL10" s="170"/>
      <c r="CBM10" s="170"/>
      <c r="CBN10" s="170"/>
      <c r="CBO10" s="170"/>
      <c r="CBP10" s="170"/>
      <c r="CBQ10" s="170"/>
      <c r="CBR10" s="170"/>
      <c r="CBS10" s="170"/>
      <c r="CBT10" s="170"/>
      <c r="CBU10" s="170"/>
      <c r="CBV10" s="170"/>
      <c r="CBW10" s="170"/>
      <c r="CBX10" s="170"/>
      <c r="CBY10" s="170"/>
      <c r="CBZ10" s="170"/>
      <c r="CCA10" s="170"/>
      <c r="CCB10" s="170"/>
      <c r="CCC10" s="170"/>
      <c r="CCD10" s="170"/>
      <c r="CCE10" s="170"/>
      <c r="CCF10" s="170"/>
      <c r="CCG10" s="170"/>
      <c r="CCH10" s="170"/>
      <c r="CCI10" s="170"/>
      <c r="CCJ10" s="170"/>
      <c r="CCK10" s="170"/>
      <c r="CCL10" s="170"/>
      <c r="CCM10" s="170"/>
      <c r="CCN10" s="170"/>
      <c r="CCO10" s="170"/>
      <c r="CCP10" s="170"/>
      <c r="CCQ10" s="170"/>
      <c r="CCR10" s="170"/>
      <c r="CCS10" s="170"/>
      <c r="CCT10" s="170"/>
      <c r="CCU10" s="170"/>
      <c r="CCV10" s="170"/>
      <c r="CCW10" s="170"/>
      <c r="CCX10" s="170"/>
      <c r="CCY10" s="170"/>
      <c r="CCZ10" s="170"/>
      <c r="CDA10" s="170"/>
      <c r="CDB10" s="170"/>
      <c r="CDC10" s="170"/>
      <c r="CDD10" s="170"/>
      <c r="CDE10" s="170"/>
      <c r="CDF10" s="170"/>
      <c r="CDG10" s="170"/>
      <c r="CDH10" s="170"/>
      <c r="CDI10" s="170"/>
      <c r="CDJ10" s="170"/>
      <c r="CDK10" s="170"/>
      <c r="CDL10" s="170"/>
      <c r="CDM10" s="170"/>
      <c r="CDN10" s="170"/>
      <c r="CDO10" s="170"/>
      <c r="CDP10" s="170"/>
      <c r="CDQ10" s="170"/>
      <c r="CDR10" s="170"/>
      <c r="CDS10" s="170"/>
      <c r="CDT10" s="170"/>
      <c r="CDU10" s="170"/>
      <c r="CDV10" s="170"/>
      <c r="CDW10" s="170"/>
      <c r="CDX10" s="170"/>
      <c r="CDY10" s="170"/>
      <c r="CDZ10" s="170"/>
      <c r="CEA10" s="170"/>
      <c r="CEB10" s="170"/>
      <c r="CEC10" s="170"/>
      <c r="CED10" s="170"/>
      <c r="CEE10" s="170"/>
      <c r="CEF10" s="170"/>
      <c r="CEG10" s="170"/>
      <c r="CEH10" s="170"/>
      <c r="CEI10" s="170"/>
      <c r="CEJ10" s="170"/>
      <c r="CEK10" s="170"/>
      <c r="CEL10" s="170"/>
      <c r="CEM10" s="170"/>
      <c r="CEN10" s="170"/>
      <c r="CEO10" s="170"/>
      <c r="CEP10" s="170"/>
      <c r="CEQ10" s="170"/>
      <c r="CER10" s="170"/>
      <c r="CES10" s="170"/>
      <c r="CET10" s="170"/>
      <c r="CEU10" s="170"/>
      <c r="CEV10" s="170"/>
      <c r="CEW10" s="170"/>
      <c r="CEX10" s="170"/>
      <c r="CEY10" s="170"/>
      <c r="CEZ10" s="170"/>
      <c r="CFA10" s="170"/>
      <c r="CFB10" s="170"/>
      <c r="CFC10" s="170"/>
      <c r="CFD10" s="170"/>
      <c r="CFE10" s="170"/>
      <c r="CFF10" s="170"/>
      <c r="CFG10" s="170"/>
      <c r="CFH10" s="170"/>
      <c r="CFI10" s="170"/>
      <c r="CFJ10" s="170"/>
      <c r="CFK10" s="170"/>
      <c r="CFL10" s="170"/>
      <c r="CFM10" s="170"/>
      <c r="CFN10" s="170"/>
      <c r="CFO10" s="170"/>
      <c r="CFP10" s="170"/>
      <c r="CFQ10" s="170"/>
      <c r="CFR10" s="170"/>
      <c r="CFS10" s="170"/>
      <c r="CFT10" s="170"/>
      <c r="CFU10" s="170"/>
      <c r="CFV10" s="170"/>
      <c r="CFW10" s="170"/>
      <c r="CFX10" s="170"/>
      <c r="CFY10" s="170"/>
      <c r="CFZ10" s="170"/>
      <c r="CGA10" s="170"/>
      <c r="CGB10" s="170"/>
      <c r="CGC10" s="170"/>
      <c r="CGD10" s="170"/>
      <c r="CGE10" s="170"/>
      <c r="CGF10" s="170"/>
      <c r="CGG10" s="170"/>
      <c r="CGH10" s="170"/>
      <c r="CGI10" s="170"/>
      <c r="CGJ10" s="170"/>
      <c r="CGK10" s="170"/>
      <c r="CGL10" s="170"/>
      <c r="CGM10" s="170"/>
      <c r="CGN10" s="170"/>
      <c r="CGO10" s="170"/>
      <c r="CGP10" s="170"/>
      <c r="CGQ10" s="170"/>
      <c r="CGR10" s="170"/>
      <c r="CGS10" s="170"/>
      <c r="CGT10" s="170"/>
      <c r="CGU10" s="170"/>
      <c r="CGV10" s="170"/>
      <c r="CGW10" s="170"/>
      <c r="CGX10" s="170"/>
      <c r="CGY10" s="170"/>
      <c r="CGZ10" s="170"/>
      <c r="CHA10" s="170"/>
      <c r="CHB10" s="170"/>
      <c r="CHC10" s="170"/>
      <c r="CHD10" s="170"/>
      <c r="CHE10" s="170"/>
      <c r="CHF10" s="170"/>
      <c r="CHG10" s="170"/>
      <c r="CHH10" s="170"/>
      <c r="CHI10" s="170"/>
      <c r="CHJ10" s="170"/>
      <c r="CHK10" s="170"/>
      <c r="CHL10" s="170"/>
      <c r="CHM10" s="170"/>
      <c r="CHN10" s="170"/>
      <c r="CHO10" s="170"/>
      <c r="CHP10" s="170"/>
      <c r="CHQ10" s="170"/>
      <c r="CHR10" s="170"/>
      <c r="CHS10" s="170"/>
      <c r="CHT10" s="170"/>
      <c r="CHU10" s="170"/>
      <c r="CHV10" s="170"/>
      <c r="CHW10" s="170"/>
      <c r="CHX10" s="170"/>
      <c r="CHY10" s="170"/>
      <c r="CHZ10" s="170"/>
      <c r="CIA10" s="170"/>
      <c r="CIB10" s="170"/>
      <c r="CIC10" s="170"/>
      <c r="CID10" s="170"/>
      <c r="CIE10" s="170"/>
      <c r="CIF10" s="170"/>
      <c r="CIG10" s="170"/>
      <c r="CIH10" s="170"/>
      <c r="CII10" s="170"/>
      <c r="CIJ10" s="170"/>
      <c r="CIK10" s="170"/>
      <c r="CIL10" s="170"/>
      <c r="CIM10" s="170"/>
      <c r="CIN10" s="170"/>
      <c r="CIO10" s="170"/>
      <c r="CIP10" s="170"/>
      <c r="CIQ10" s="170"/>
      <c r="CIR10" s="170"/>
      <c r="CIS10" s="170"/>
      <c r="CIT10" s="170"/>
      <c r="CIU10" s="170"/>
      <c r="CIV10" s="170"/>
      <c r="CIW10" s="170"/>
      <c r="CIX10" s="170"/>
      <c r="CIY10" s="170"/>
      <c r="CIZ10" s="170"/>
      <c r="CJA10" s="170"/>
      <c r="CJB10" s="170"/>
      <c r="CJC10" s="170"/>
      <c r="CJD10" s="170"/>
      <c r="CJE10" s="170"/>
      <c r="CJF10" s="170"/>
      <c r="CJG10" s="170"/>
      <c r="CJH10" s="170"/>
      <c r="CJI10" s="170"/>
      <c r="CJJ10" s="170"/>
      <c r="CJK10" s="170"/>
      <c r="CJL10" s="170"/>
      <c r="CJM10" s="170"/>
      <c r="CJN10" s="170"/>
      <c r="CJO10" s="170"/>
      <c r="CJP10" s="170"/>
      <c r="CJQ10" s="170"/>
      <c r="CJR10" s="170"/>
      <c r="CJS10" s="170"/>
      <c r="CJT10" s="170"/>
      <c r="CJU10" s="170"/>
      <c r="CJV10" s="170"/>
      <c r="CJW10" s="170"/>
      <c r="CJX10" s="170"/>
      <c r="CJY10" s="170"/>
      <c r="CJZ10" s="170"/>
      <c r="CKA10" s="170"/>
      <c r="CKB10" s="170"/>
      <c r="CKC10" s="170"/>
      <c r="CKD10" s="170"/>
      <c r="CKE10" s="170"/>
      <c r="CKF10" s="170"/>
      <c r="CKG10" s="170"/>
      <c r="CKH10" s="170"/>
      <c r="CKI10" s="170"/>
      <c r="CKJ10" s="170"/>
      <c r="CKK10" s="170"/>
      <c r="CKL10" s="170"/>
      <c r="CKM10" s="170"/>
      <c r="CKN10" s="170"/>
      <c r="CKO10" s="170"/>
      <c r="CKP10" s="170"/>
      <c r="CKQ10" s="170"/>
      <c r="CKR10" s="170"/>
      <c r="CKS10" s="170"/>
      <c r="CKT10" s="170"/>
      <c r="CKU10" s="170"/>
      <c r="CKV10" s="170"/>
      <c r="CKW10" s="170"/>
      <c r="CKX10" s="170"/>
      <c r="CKY10" s="170"/>
      <c r="CKZ10" s="170"/>
      <c r="CLA10" s="170"/>
      <c r="CLB10" s="170"/>
      <c r="CLC10" s="170"/>
      <c r="CLD10" s="170"/>
      <c r="CLE10" s="170"/>
      <c r="CLF10" s="170"/>
      <c r="CLG10" s="170"/>
      <c r="CLH10" s="170"/>
      <c r="CLI10" s="170"/>
      <c r="CLJ10" s="170"/>
      <c r="CLK10" s="170"/>
      <c r="CLL10" s="170"/>
      <c r="CLM10" s="170"/>
      <c r="CLN10" s="170"/>
      <c r="CLO10" s="170"/>
      <c r="CLP10" s="170"/>
      <c r="CLQ10" s="170"/>
      <c r="CLR10" s="170"/>
      <c r="CLS10" s="170"/>
      <c r="CLT10" s="170"/>
      <c r="CLU10" s="170"/>
      <c r="CLV10" s="170"/>
      <c r="CLW10" s="170"/>
      <c r="CLX10" s="170"/>
      <c r="CLY10" s="170"/>
      <c r="CLZ10" s="170"/>
      <c r="CMA10" s="170"/>
      <c r="CMB10" s="170"/>
      <c r="CMC10" s="170"/>
      <c r="CMD10" s="170"/>
      <c r="CME10" s="170"/>
      <c r="CMF10" s="170"/>
      <c r="CMG10" s="170"/>
      <c r="CMH10" s="170"/>
      <c r="CMI10" s="170"/>
      <c r="CMJ10" s="170"/>
      <c r="CMK10" s="170"/>
      <c r="CML10" s="170"/>
      <c r="CMM10" s="170"/>
      <c r="CMN10" s="170"/>
      <c r="CMO10" s="170"/>
      <c r="CMP10" s="170"/>
      <c r="CMQ10" s="170"/>
      <c r="CMR10" s="170"/>
      <c r="CMS10" s="170"/>
      <c r="CMT10" s="170"/>
      <c r="CMU10" s="170"/>
      <c r="CMV10" s="170"/>
      <c r="CMW10" s="170"/>
      <c r="CMX10" s="170"/>
      <c r="CMY10" s="170"/>
      <c r="CMZ10" s="170"/>
      <c r="CNA10" s="170"/>
      <c r="CNB10" s="170"/>
      <c r="CNC10" s="170"/>
      <c r="CND10" s="170"/>
      <c r="CNE10" s="170"/>
      <c r="CNF10" s="170"/>
      <c r="CNG10" s="170"/>
      <c r="CNH10" s="170"/>
      <c r="CNI10" s="170"/>
      <c r="CNJ10" s="170"/>
      <c r="CNK10" s="170"/>
      <c r="CNL10" s="170"/>
      <c r="CNM10" s="170"/>
      <c r="CNN10" s="170"/>
      <c r="CNO10" s="170"/>
      <c r="CNP10" s="170"/>
      <c r="CNQ10" s="170"/>
      <c r="CNR10" s="170"/>
      <c r="CNS10" s="170"/>
      <c r="CNT10" s="170"/>
      <c r="CNU10" s="170"/>
      <c r="CNV10" s="170"/>
      <c r="CNW10" s="170"/>
      <c r="CNX10" s="170"/>
      <c r="CNY10" s="170"/>
      <c r="CNZ10" s="170"/>
      <c r="COA10" s="170"/>
      <c r="COB10" s="170"/>
      <c r="COC10" s="170"/>
      <c r="COD10" s="170"/>
      <c r="COE10" s="170"/>
      <c r="COF10" s="170"/>
      <c r="COG10" s="170"/>
      <c r="COH10" s="170"/>
      <c r="COI10" s="170"/>
      <c r="COJ10" s="170"/>
      <c r="COK10" s="170"/>
      <c r="COL10" s="170"/>
      <c r="COM10" s="170"/>
      <c r="CON10" s="170"/>
      <c r="COO10" s="170"/>
      <c r="COP10" s="170"/>
      <c r="COQ10" s="170"/>
      <c r="COR10" s="170"/>
      <c r="COS10" s="170"/>
      <c r="COT10" s="170"/>
      <c r="COU10" s="170"/>
      <c r="COV10" s="170"/>
      <c r="COW10" s="170"/>
      <c r="COX10" s="170"/>
      <c r="COY10" s="170"/>
      <c r="COZ10" s="170"/>
      <c r="CPA10" s="170"/>
      <c r="CPB10" s="170"/>
      <c r="CPC10" s="170"/>
      <c r="CPD10" s="170"/>
      <c r="CPE10" s="170"/>
      <c r="CPF10" s="170"/>
      <c r="CPG10" s="170"/>
      <c r="CPH10" s="170"/>
      <c r="CPI10" s="170"/>
      <c r="CPJ10" s="170"/>
      <c r="CPK10" s="170"/>
      <c r="CPL10" s="170"/>
      <c r="CPM10" s="170"/>
      <c r="CPN10" s="170"/>
      <c r="CPO10" s="170"/>
      <c r="CPP10" s="170"/>
      <c r="CPQ10" s="170"/>
      <c r="CPR10" s="170"/>
      <c r="CPS10" s="170"/>
      <c r="CPT10" s="170"/>
      <c r="CPU10" s="170"/>
      <c r="CPV10" s="170"/>
      <c r="CPW10" s="170"/>
      <c r="CPX10" s="170"/>
      <c r="CPY10" s="170"/>
      <c r="CPZ10" s="170"/>
      <c r="CQA10" s="170"/>
      <c r="CQB10" s="170"/>
      <c r="CQC10" s="170"/>
      <c r="CQD10" s="170"/>
      <c r="CQE10" s="170"/>
      <c r="CQF10" s="170"/>
      <c r="CQG10" s="170"/>
      <c r="CQH10" s="170"/>
      <c r="CQI10" s="170"/>
      <c r="CQJ10" s="170"/>
      <c r="CQK10" s="170"/>
      <c r="CQL10" s="170"/>
      <c r="CQM10" s="170"/>
      <c r="CQN10" s="170"/>
      <c r="CQO10" s="170"/>
      <c r="CQP10" s="170"/>
      <c r="CQQ10" s="170"/>
      <c r="CQR10" s="170"/>
      <c r="CQS10" s="170"/>
      <c r="CQT10" s="170"/>
      <c r="CQU10" s="170"/>
      <c r="CQV10" s="170"/>
      <c r="CQW10" s="170"/>
      <c r="CQX10" s="170"/>
      <c r="CQY10" s="170"/>
      <c r="CQZ10" s="170"/>
      <c r="CRA10" s="170"/>
      <c r="CRB10" s="170"/>
      <c r="CRC10" s="170"/>
      <c r="CRD10" s="170"/>
      <c r="CRE10" s="170"/>
      <c r="CRF10" s="170"/>
      <c r="CRG10" s="170"/>
      <c r="CRH10" s="170"/>
      <c r="CRI10" s="170"/>
      <c r="CRJ10" s="170"/>
      <c r="CRK10" s="170"/>
      <c r="CRL10" s="170"/>
      <c r="CRM10" s="170"/>
      <c r="CRN10" s="170"/>
      <c r="CRO10" s="170"/>
      <c r="CRP10" s="170"/>
      <c r="CRQ10" s="170"/>
      <c r="CRR10" s="170"/>
      <c r="CRS10" s="170"/>
      <c r="CRT10" s="170"/>
      <c r="CRU10" s="170"/>
      <c r="CRV10" s="170"/>
      <c r="CRW10" s="170"/>
      <c r="CRX10" s="170"/>
      <c r="CRY10" s="170"/>
      <c r="CRZ10" s="170"/>
      <c r="CSA10" s="170"/>
      <c r="CSB10" s="170"/>
      <c r="CSC10" s="170"/>
      <c r="CSD10" s="170"/>
      <c r="CSE10" s="170"/>
      <c r="CSF10" s="170"/>
      <c r="CSG10" s="170"/>
      <c r="CSH10" s="170"/>
      <c r="CSI10" s="170"/>
      <c r="CSJ10" s="170"/>
      <c r="CSK10" s="170"/>
      <c r="CSL10" s="170"/>
      <c r="CSM10" s="170"/>
      <c r="CSN10" s="170"/>
      <c r="CSO10" s="170"/>
      <c r="CSP10" s="170"/>
      <c r="CSQ10" s="170"/>
      <c r="CSR10" s="170"/>
      <c r="CSS10" s="170"/>
      <c r="CST10" s="170"/>
      <c r="CSU10" s="170"/>
      <c r="CSV10" s="170"/>
      <c r="CSW10" s="170"/>
      <c r="CSX10" s="170"/>
      <c r="CSY10" s="170"/>
      <c r="CSZ10" s="170"/>
      <c r="CTA10" s="170"/>
      <c r="CTB10" s="170"/>
      <c r="CTC10" s="170"/>
      <c r="CTD10" s="170"/>
      <c r="CTE10" s="170"/>
      <c r="CTF10" s="170"/>
      <c r="CTG10" s="170"/>
      <c r="CTH10" s="170"/>
      <c r="CTI10" s="170"/>
      <c r="CTJ10" s="170"/>
      <c r="CTK10" s="170"/>
      <c r="CTL10" s="170"/>
      <c r="CTM10" s="170"/>
      <c r="CTN10" s="170"/>
      <c r="CTO10" s="170"/>
      <c r="CTP10" s="170"/>
      <c r="CTQ10" s="170"/>
      <c r="CTR10" s="170"/>
      <c r="CTS10" s="170"/>
      <c r="CTT10" s="170"/>
      <c r="CTU10" s="170"/>
      <c r="CTV10" s="170"/>
      <c r="CTW10" s="170"/>
      <c r="CTX10" s="170"/>
      <c r="CTY10" s="170"/>
      <c r="CTZ10" s="170"/>
      <c r="CUA10" s="170"/>
      <c r="CUB10" s="170"/>
      <c r="CUC10" s="170"/>
      <c r="CUD10" s="170"/>
      <c r="CUE10" s="170"/>
      <c r="CUF10" s="170"/>
      <c r="CUG10" s="170"/>
      <c r="CUH10" s="170"/>
      <c r="CUI10" s="170"/>
      <c r="CUJ10" s="170"/>
      <c r="CUK10" s="170"/>
      <c r="CUL10" s="170"/>
      <c r="CUM10" s="170"/>
      <c r="CUN10" s="170"/>
      <c r="CUO10" s="170"/>
      <c r="CUP10" s="170"/>
      <c r="CUQ10" s="170"/>
      <c r="CUR10" s="170"/>
      <c r="CUS10" s="170"/>
      <c r="CUT10" s="170"/>
      <c r="CUU10" s="170"/>
      <c r="CUV10" s="170"/>
      <c r="CUW10" s="170"/>
      <c r="CUX10" s="170"/>
      <c r="CUY10" s="170"/>
      <c r="CUZ10" s="170"/>
      <c r="CVA10" s="170"/>
      <c r="CVB10" s="170"/>
      <c r="CVC10" s="170"/>
      <c r="CVD10" s="170"/>
      <c r="CVE10" s="170"/>
      <c r="CVF10" s="170"/>
      <c r="CVG10" s="170"/>
      <c r="CVH10" s="170"/>
      <c r="CVI10" s="170"/>
      <c r="CVJ10" s="170"/>
      <c r="CVK10" s="170"/>
      <c r="CVL10" s="170"/>
      <c r="CVM10" s="170"/>
      <c r="CVN10" s="170"/>
      <c r="CVO10" s="170"/>
      <c r="CVP10" s="170"/>
      <c r="CVQ10" s="170"/>
      <c r="CVR10" s="170"/>
      <c r="CVS10" s="170"/>
      <c r="CVT10" s="170"/>
      <c r="CVU10" s="170"/>
      <c r="CVV10" s="170"/>
      <c r="CVW10" s="170"/>
      <c r="CVX10" s="170"/>
      <c r="CVY10" s="170"/>
      <c r="CVZ10" s="170"/>
      <c r="CWA10" s="170"/>
      <c r="CWB10" s="170"/>
      <c r="CWC10" s="170"/>
      <c r="CWD10" s="170"/>
      <c r="CWE10" s="170"/>
      <c r="CWF10" s="170"/>
      <c r="CWG10" s="170"/>
      <c r="CWH10" s="170"/>
      <c r="CWI10" s="170"/>
      <c r="CWJ10" s="170"/>
      <c r="CWK10" s="170"/>
      <c r="CWL10" s="170"/>
      <c r="CWM10" s="170"/>
      <c r="CWN10" s="170"/>
      <c r="CWO10" s="170"/>
      <c r="CWP10" s="170"/>
      <c r="CWQ10" s="170"/>
      <c r="CWR10" s="170"/>
      <c r="CWS10" s="170"/>
      <c r="CWT10" s="170"/>
      <c r="CWU10" s="170"/>
      <c r="CWV10" s="170"/>
      <c r="CWW10" s="170"/>
      <c r="CWX10" s="170"/>
      <c r="CWY10" s="170"/>
      <c r="CWZ10" s="170"/>
      <c r="CXA10" s="170"/>
      <c r="CXB10" s="170"/>
      <c r="CXC10" s="170"/>
      <c r="CXD10" s="170"/>
      <c r="CXE10" s="170"/>
      <c r="CXF10" s="170"/>
      <c r="CXG10" s="170"/>
      <c r="CXH10" s="170"/>
      <c r="CXI10" s="170"/>
      <c r="CXJ10" s="170"/>
      <c r="CXK10" s="170"/>
      <c r="CXL10" s="170"/>
      <c r="CXM10" s="170"/>
      <c r="CXN10" s="170"/>
      <c r="CXO10" s="170"/>
      <c r="CXP10" s="170"/>
      <c r="CXQ10" s="170"/>
      <c r="CXR10" s="170"/>
      <c r="CXS10" s="170"/>
      <c r="CXT10" s="170"/>
      <c r="CXU10" s="170"/>
      <c r="CXV10" s="170"/>
      <c r="CXW10" s="170"/>
      <c r="CXX10" s="170"/>
      <c r="CXY10" s="170"/>
      <c r="CXZ10" s="170"/>
      <c r="CYA10" s="170"/>
      <c r="CYB10" s="170"/>
      <c r="CYC10" s="170"/>
      <c r="CYD10" s="170"/>
      <c r="CYE10" s="170"/>
      <c r="CYF10" s="170"/>
      <c r="CYG10" s="170"/>
      <c r="CYH10" s="170"/>
      <c r="CYI10" s="170"/>
      <c r="CYJ10" s="170"/>
      <c r="CYK10" s="170"/>
      <c r="CYL10" s="170"/>
      <c r="CYM10" s="170"/>
      <c r="CYN10" s="170"/>
      <c r="CYO10" s="170"/>
      <c r="CYP10" s="170"/>
      <c r="CYQ10" s="170"/>
      <c r="CYR10" s="170"/>
      <c r="CYS10" s="170"/>
      <c r="CYT10" s="170"/>
      <c r="CYU10" s="170"/>
      <c r="CYV10" s="170"/>
      <c r="CYW10" s="170"/>
      <c r="CYX10" s="170"/>
      <c r="CYY10" s="170"/>
      <c r="CYZ10" s="170"/>
      <c r="CZA10" s="170"/>
      <c r="CZB10" s="170"/>
      <c r="CZC10" s="170"/>
      <c r="CZD10" s="170"/>
      <c r="CZE10" s="170"/>
      <c r="CZF10" s="170"/>
      <c r="CZG10" s="170"/>
      <c r="CZH10" s="170"/>
      <c r="CZI10" s="170"/>
      <c r="CZJ10" s="170"/>
      <c r="CZK10" s="170"/>
      <c r="CZL10" s="170"/>
      <c r="CZM10" s="170"/>
      <c r="CZN10" s="170"/>
      <c r="CZO10" s="170"/>
      <c r="CZP10" s="170"/>
      <c r="CZQ10" s="170"/>
      <c r="CZR10" s="170"/>
      <c r="CZS10" s="170"/>
      <c r="CZT10" s="170"/>
      <c r="CZU10" s="170"/>
      <c r="CZV10" s="170"/>
      <c r="CZW10" s="170"/>
      <c r="CZX10" s="170"/>
      <c r="CZY10" s="170"/>
      <c r="CZZ10" s="170"/>
      <c r="DAA10" s="170"/>
      <c r="DAB10" s="170"/>
      <c r="DAC10" s="170"/>
      <c r="DAD10" s="170"/>
      <c r="DAE10" s="170"/>
      <c r="DAF10" s="170"/>
      <c r="DAG10" s="170"/>
      <c r="DAH10" s="170"/>
      <c r="DAI10" s="170"/>
      <c r="DAJ10" s="170"/>
      <c r="DAK10" s="170"/>
      <c r="DAL10" s="170"/>
      <c r="DAM10" s="170"/>
      <c r="DAN10" s="170"/>
      <c r="DAO10" s="170"/>
      <c r="DAP10" s="170"/>
      <c r="DAQ10" s="170"/>
      <c r="DAR10" s="170"/>
      <c r="DAS10" s="170"/>
      <c r="DAT10" s="170"/>
      <c r="DAU10" s="170"/>
      <c r="DAV10" s="170"/>
      <c r="DAW10" s="170"/>
      <c r="DAX10" s="170"/>
      <c r="DAY10" s="170"/>
      <c r="DAZ10" s="170"/>
      <c r="DBA10" s="170"/>
      <c r="DBB10" s="170"/>
      <c r="DCA10" t="s">
        <v>113</v>
      </c>
      <c r="DCB10" t="s">
        <v>7132</v>
      </c>
      <c r="DDA10" s="221" t="s">
        <v>4</v>
      </c>
      <c r="DDB10" s="1119" t="s">
        <v>6389</v>
      </c>
      <c r="DDC10" s="1517"/>
      <c r="DDD10" s="157">
        <v>5</v>
      </c>
    </row>
    <row r="11" spans="1:2814" ht="30" customHeight="1" thickBot="1">
      <c r="A11" s="1323" t="s">
        <v>1261</v>
      </c>
      <c r="B11" s="1305">
        <v>6</v>
      </c>
      <c r="C11" s="1306" t="s">
        <v>4523</v>
      </c>
      <c r="D11" s="317" t="s">
        <v>3792</v>
      </c>
      <c r="E11" s="1310" t="s">
        <v>4522</v>
      </c>
      <c r="F11" s="1311" t="s">
        <v>233</v>
      </c>
      <c r="G11" s="1312"/>
      <c r="H11" s="1312"/>
      <c r="I11" s="1312"/>
      <c r="J11" s="1312"/>
      <c r="K11" s="198"/>
      <c r="L11" s="2506">
        <f>MATCH(C11, $A$1:$DZG$1,0)</f>
        <v>1119</v>
      </c>
      <c r="M11" t="str">
        <f t="shared" si="0"/>
        <v>AQA</v>
      </c>
      <c r="N11" s="198"/>
      <c r="O11" s="198"/>
      <c r="P11" s="198"/>
      <c r="Q11" s="198"/>
      <c r="R11" s="198"/>
      <c r="S11" s="198"/>
      <c r="T11" s="198"/>
      <c r="U11" s="198"/>
      <c r="V11" s="198"/>
      <c r="W11" s="198"/>
      <c r="AB11" t="s">
        <v>451</v>
      </c>
      <c r="BA11" s="1646" t="s">
        <v>4110</v>
      </c>
      <c r="BB11" s="1646"/>
      <c r="BC11" s="1646"/>
      <c r="CA11" s="246" t="s">
        <v>434</v>
      </c>
      <c r="CB11" t="s">
        <v>4127</v>
      </c>
      <c r="CD11" t="s">
        <v>452</v>
      </c>
      <c r="DB11" s="7"/>
      <c r="DC11" s="7"/>
      <c r="EA11" s="1606" t="s">
        <v>4146</v>
      </c>
      <c r="EB11" s="1606"/>
      <c r="EC11" s="1606"/>
      <c r="FA11" s="432" t="s">
        <v>6913</v>
      </c>
      <c r="FB11" s="1581" t="s">
        <v>4593</v>
      </c>
      <c r="FC11" s="1582"/>
      <c r="FD11" s="935" t="s">
        <v>6660</v>
      </c>
      <c r="FE11" s="1644" t="s">
        <v>6924</v>
      </c>
      <c r="FF11" s="1644"/>
      <c r="FG11" s="1334"/>
      <c r="FH11" s="1334"/>
      <c r="FI11" s="133"/>
      <c r="FJ11" s="1294"/>
      <c r="HA11" s="949" t="s">
        <v>434</v>
      </c>
      <c r="HB11" s="1501" t="s">
        <v>5979</v>
      </c>
      <c r="HC11" s="1501"/>
      <c r="HD11" s="1501"/>
      <c r="HE11" s="1501"/>
      <c r="KA11" s="1606" t="s">
        <v>4146</v>
      </c>
      <c r="KB11" s="1606"/>
      <c r="KC11" s="448"/>
      <c r="KD11" s="448"/>
      <c r="KE11" s="448"/>
      <c r="KF11" s="448"/>
      <c r="KG11" s="448"/>
      <c r="KH11" s="448"/>
      <c r="KI11" s="448"/>
      <c r="KJ11" s="448"/>
      <c r="KK11" s="448"/>
      <c r="KL11" s="448"/>
      <c r="KM11" s="448"/>
      <c r="KN11" s="448"/>
      <c r="KO11" s="448"/>
      <c r="KP11" s="448"/>
      <c r="KQ11" s="448"/>
      <c r="KR11" s="448"/>
      <c r="KS11" s="448"/>
      <c r="KT11" s="448"/>
      <c r="KU11" s="448"/>
      <c r="KV11" s="448"/>
      <c r="LA11" s="1606" t="s">
        <v>4146</v>
      </c>
      <c r="LB11" s="1606"/>
      <c r="MA11" s="1606" t="s">
        <v>4146</v>
      </c>
      <c r="MB11" s="1606"/>
      <c r="ME11" s="442"/>
      <c r="NA11" s="1606" t="s">
        <v>4146</v>
      </c>
      <c r="NB11" s="1606"/>
      <c r="PF11" s="133"/>
      <c r="PG11" s="133"/>
      <c r="PH11" s="133"/>
      <c r="PI11" s="133"/>
      <c r="PJ11" s="133"/>
      <c r="PK11" s="133"/>
      <c r="PL11" s="133"/>
      <c r="PM11" s="133"/>
      <c r="PN11" s="133"/>
      <c r="PO11" s="133"/>
      <c r="PP11" s="133"/>
      <c r="PQ11" s="133"/>
      <c r="PR11" s="133"/>
      <c r="PS11" s="133"/>
      <c r="PT11" s="133"/>
      <c r="PU11" s="133"/>
      <c r="PV11" s="133"/>
      <c r="PW11" s="133"/>
      <c r="PX11" s="133"/>
      <c r="PY11" s="133"/>
      <c r="PZ11" s="133"/>
      <c r="QA11" s="1606" t="s">
        <v>4146</v>
      </c>
      <c r="QB11" s="1606"/>
      <c r="QF11" s="133"/>
      <c r="QG11" s="133"/>
      <c r="QH11" s="133"/>
      <c r="QI11" s="133"/>
      <c r="QJ11" s="133"/>
      <c r="QK11" s="133"/>
      <c r="QL11" s="133"/>
      <c r="QM11" s="133"/>
      <c r="QN11" s="133"/>
      <c r="QO11" s="133"/>
      <c r="QP11" s="133"/>
      <c r="QQ11" s="133"/>
      <c r="QR11" s="133"/>
      <c r="QS11" s="133"/>
      <c r="QT11" s="133"/>
      <c r="QU11" s="133"/>
      <c r="QV11" s="133"/>
      <c r="QW11" s="133"/>
      <c r="QX11" s="133"/>
      <c r="QY11" s="133"/>
      <c r="QZ11" s="133"/>
      <c r="RA11" s="359" t="s">
        <v>443</v>
      </c>
      <c r="RB11" s="958" t="s">
        <v>385</v>
      </c>
      <c r="RC11" s="951"/>
      <c r="RD11" s="345">
        <v>4</v>
      </c>
      <c r="RE11" t="s">
        <v>444</v>
      </c>
      <c r="SA11" s="221" t="s">
        <v>4216</v>
      </c>
      <c r="SB11" s="961" t="s">
        <v>4645</v>
      </c>
      <c r="SD11" s="934">
        <v>6</v>
      </c>
      <c r="SE11" s="960" t="s">
        <v>4227</v>
      </c>
      <c r="SF11" s="442"/>
      <c r="TA11" s="827" t="s">
        <v>456</v>
      </c>
      <c r="TB11" s="165" t="s">
        <v>385</v>
      </c>
      <c r="TC11" s="165" t="s">
        <v>4240</v>
      </c>
      <c r="TD11" s="165" t="s">
        <v>4240</v>
      </c>
      <c r="TE11" s="230" t="s">
        <v>418</v>
      </c>
      <c r="TF11" s="114">
        <v>6</v>
      </c>
      <c r="TG11" s="171" t="s">
        <v>4247</v>
      </c>
      <c r="UA11" s="221" t="s">
        <v>445</v>
      </c>
      <c r="UB11" s="1515" t="s">
        <v>4294</v>
      </c>
      <c r="UC11" s="1593"/>
      <c r="UD11" s="157">
        <v>7</v>
      </c>
      <c r="UE11" s="1641" t="s">
        <v>4262</v>
      </c>
      <c r="UF11" s="1513"/>
      <c r="UG11" s="1513"/>
      <c r="UH11" s="1513"/>
      <c r="UI11" s="133"/>
      <c r="UJ11" s="133"/>
      <c r="UK11" s="133"/>
      <c r="UL11" s="133"/>
      <c r="UM11" s="133"/>
      <c r="UN11" s="133"/>
      <c r="UO11" s="133"/>
      <c r="UP11" s="133"/>
      <c r="UQ11" s="133"/>
      <c r="UR11" s="133"/>
      <c r="US11" s="133"/>
      <c r="UT11" s="133"/>
      <c r="UU11" s="133"/>
      <c r="UV11" s="133"/>
      <c r="UW11" s="133"/>
      <c r="XA11" s="246" t="s">
        <v>434</v>
      </c>
      <c r="XB11" t="s">
        <v>449</v>
      </c>
      <c r="YA11" t="s">
        <v>434</v>
      </c>
      <c r="YB11" s="1502" t="s">
        <v>4301</v>
      </c>
      <c r="YC11" s="1502"/>
      <c r="YD11" s="1502"/>
      <c r="YE11" s="1502"/>
      <c r="YF11" s="1502"/>
      <c r="ZC11" t="s">
        <v>5568</v>
      </c>
      <c r="AAC11" t="s">
        <v>5569</v>
      </c>
      <c r="ABB11" s="1613" t="s">
        <v>4146</v>
      </c>
      <c r="ABC11" s="1614"/>
      <c r="ABD11" s="966"/>
      <c r="ABE11" s="966"/>
      <c r="ADB11" t="s">
        <v>434</v>
      </c>
      <c r="ADC11" t="s">
        <v>4323</v>
      </c>
      <c r="ADG11" s="133"/>
      <c r="AOB11" s="2536"/>
      <c r="AOC11" s="2548"/>
      <c r="AOD11" s="2533"/>
      <c r="AOE11" s="2551"/>
      <c r="AOF11" s="2551"/>
      <c r="APB11" s="2536"/>
      <c r="APC11" s="2548"/>
      <c r="APD11" s="2533"/>
      <c r="APE11" s="2546"/>
      <c r="APF11" s="2546"/>
      <c r="APG11" s="2546"/>
      <c r="AQA11" s="221" t="s">
        <v>4502</v>
      </c>
      <c r="AQB11" s="230" t="s">
        <v>4503</v>
      </c>
      <c r="AQC11" s="1512"/>
      <c r="AQD11" s="985">
        <v>6</v>
      </c>
      <c r="AQE11" s="1505" t="s">
        <v>4517</v>
      </c>
      <c r="AQF11" s="1505"/>
      <c r="AQG11" s="1505"/>
      <c r="AQZ11" s="2493"/>
      <c r="ARA11" s="2494"/>
      <c r="ARB11" s="2494"/>
      <c r="ARC11" s="10"/>
      <c r="ARD11" s="2495"/>
      <c r="ARE11" s="2496"/>
      <c r="ARF11" s="1335"/>
      <c r="ATA11" s="1690" t="s">
        <v>6885</v>
      </c>
      <c r="ATB11" s="1713"/>
      <c r="ATC11" s="1293"/>
      <c r="ATD11" s="985"/>
      <c r="AUA11" s="246" t="s">
        <v>434</v>
      </c>
      <c r="AUB11" s="1502" t="s">
        <v>6894</v>
      </c>
      <c r="AUC11" s="1502"/>
      <c r="AUD11" s="1502"/>
      <c r="AUE11" s="1502"/>
      <c r="AUF11" s="597"/>
      <c r="AUG11" s="597"/>
      <c r="AVA11" s="1225" t="s">
        <v>4546</v>
      </c>
      <c r="AVB11" s="1226" t="s">
        <v>5825</v>
      </c>
      <c r="AVC11" s="1661" t="s">
        <v>6625</v>
      </c>
      <c r="AVD11" s="345">
        <v>6</v>
      </c>
      <c r="AVE11" s="1669" t="s">
        <v>6510</v>
      </c>
      <c r="AVF11" s="1669"/>
      <c r="AWA11" s="991"/>
      <c r="AWC11" s="442"/>
      <c r="AWD11" s="133"/>
      <c r="AWE11" s="133"/>
      <c r="AXA11" s="992" t="s">
        <v>5414</v>
      </c>
      <c r="AXB11" s="181" t="s">
        <v>5412</v>
      </c>
      <c r="AXC11" s="992" t="s">
        <v>5415</v>
      </c>
      <c r="AXD11" s="1033" t="s">
        <v>1712</v>
      </c>
      <c r="AXE11" s="1512"/>
      <c r="AXF11" s="157" t="s">
        <v>5405</v>
      </c>
      <c r="AXG11" s="831" t="s">
        <v>4559</v>
      </c>
      <c r="AYB11" t="s">
        <v>459</v>
      </c>
      <c r="BAA11" s="221" t="s">
        <v>3296</v>
      </c>
      <c r="BAB11" s="1111" t="s">
        <v>4635</v>
      </c>
      <c r="BAC11" s="1730"/>
      <c r="BAD11" s="157">
        <v>6</v>
      </c>
      <c r="BAE11" s="1545" t="s">
        <v>6329</v>
      </c>
      <c r="BAF11" s="1546"/>
      <c r="BBA11" s="221" t="s">
        <v>4637</v>
      </c>
      <c r="BBB11" s="1111" t="s">
        <v>6719</v>
      </c>
      <c r="BBC11" s="1169"/>
      <c r="BBD11" s="157">
        <v>7</v>
      </c>
      <c r="BBE11" s="1543" t="s">
        <v>6727</v>
      </c>
      <c r="BBF11" s="1544"/>
      <c r="BCA11" s="221" t="s">
        <v>6748</v>
      </c>
      <c r="BCB11" s="1067" t="s">
        <v>6861</v>
      </c>
      <c r="BCC11" s="1262"/>
      <c r="BCD11" s="1262"/>
      <c r="BCE11" s="442"/>
      <c r="BCF11" s="943">
        <v>7</v>
      </c>
      <c r="BCG11" s="1570" t="s">
        <v>6853</v>
      </c>
      <c r="BCH11" s="1571"/>
      <c r="BDE11" s="1274" t="s">
        <v>4639</v>
      </c>
      <c r="BDF11" s="1274" t="s">
        <v>6703</v>
      </c>
      <c r="BDG11" s="1274" t="s">
        <v>6782</v>
      </c>
      <c r="BDH11" s="1274" t="s">
        <v>87</v>
      </c>
      <c r="BDI11" s="934"/>
      <c r="BDJ11" s="1547"/>
      <c r="BDK11" s="1548"/>
      <c r="BEA11" s="221" t="s">
        <v>6752</v>
      </c>
      <c r="BEB11" s="1111" t="s">
        <v>6722</v>
      </c>
      <c r="BED11" s="157">
        <v>7</v>
      </c>
      <c r="BEE11" s="110"/>
      <c r="BFA11" s="221" t="s">
        <v>4679</v>
      </c>
      <c r="BFB11" s="230" t="s">
        <v>6709</v>
      </c>
      <c r="BFC11" s="952"/>
      <c r="BFD11" s="157">
        <v>7</v>
      </c>
      <c r="BFE11" s="1703" t="s">
        <v>4731</v>
      </c>
      <c r="BFF11" s="1704"/>
      <c r="BFG11" s="1704"/>
      <c r="BFH11" s="1704"/>
      <c r="BFI11" s="1705"/>
      <c r="BGA11" s="221" t="s">
        <v>1147</v>
      </c>
      <c r="BGB11" s="1276" t="s">
        <v>6801</v>
      </c>
      <c r="BGC11" s="1509"/>
      <c r="BGD11" s="225">
        <v>7</v>
      </c>
      <c r="BGE11" s="91"/>
      <c r="BGF11" s="91"/>
      <c r="BGG11" s="91"/>
      <c r="BGH11" s="91"/>
      <c r="BGI11" s="91"/>
      <c r="BHA11" s="997" t="s">
        <v>4146</v>
      </c>
      <c r="BHB11" s="998"/>
      <c r="BHC11" s="998"/>
      <c r="BHD11" s="966"/>
      <c r="BHE11" s="966"/>
      <c r="BHF11" s="966"/>
      <c r="BIA11" s="7"/>
      <c r="BIB11" s="7"/>
      <c r="BIC11" s="7"/>
      <c r="BID11" s="7"/>
      <c r="BIE11" s="7"/>
      <c r="BKA11" s="246" t="s">
        <v>434</v>
      </c>
      <c r="BKB11" t="s">
        <v>4763</v>
      </c>
      <c r="BKE11" s="7" t="s">
        <v>4749</v>
      </c>
      <c r="BKF11" s="969"/>
      <c r="BLB11" s="7" t="s">
        <v>5850</v>
      </c>
      <c r="BLC11" s="171"/>
      <c r="BMA11" s="246" t="s">
        <v>434</v>
      </c>
      <c r="BMB11" t="s">
        <v>5567</v>
      </c>
      <c r="BNA11" s="358" t="s">
        <v>4835</v>
      </c>
      <c r="BNB11" s="230" t="s">
        <v>4593</v>
      </c>
      <c r="BNC11" s="1512"/>
      <c r="BND11" s="1022">
        <v>6</v>
      </c>
      <c r="BNE11" s="170" t="s">
        <v>4838</v>
      </c>
      <c r="BNF11" s="170"/>
      <c r="BNG11" s="170"/>
      <c r="BNH11" s="170"/>
      <c r="BNI11" s="170"/>
      <c r="BNJ11" s="170"/>
      <c r="BNK11" s="170"/>
      <c r="BPA11" s="230" t="s">
        <v>1795</v>
      </c>
      <c r="BPB11" s="230" t="s">
        <v>4649</v>
      </c>
      <c r="BPC11" s="1510"/>
      <c r="BPD11" s="1028" t="s">
        <v>4919</v>
      </c>
      <c r="BQE11" s="7"/>
      <c r="BRA11" s="221" t="s">
        <v>4985</v>
      </c>
      <c r="BRB11" s="230" t="s">
        <v>362</v>
      </c>
      <c r="BRC11" s="1512"/>
      <c r="BRD11" s="1020">
        <v>6</v>
      </c>
      <c r="BRE11" t="s">
        <v>5028</v>
      </c>
      <c r="BWA11" s="1175" t="s">
        <v>6295</v>
      </c>
      <c r="BWB11" s="1187"/>
      <c r="BWC11" s="1186" t="s">
        <v>6589</v>
      </c>
      <c r="BWD11" s="1186" t="s">
        <v>6582</v>
      </c>
      <c r="BWE11" s="1235"/>
      <c r="BWF11" s="1235"/>
      <c r="BWG11" s="1189" t="s">
        <v>6362</v>
      </c>
      <c r="BWH11" s="1189" t="s">
        <v>6362</v>
      </c>
      <c r="BWI11" s="1189" t="s">
        <v>6362</v>
      </c>
      <c r="BWJ11" s="235">
        <v>6</v>
      </c>
      <c r="BXA11" s="997" t="s">
        <v>4146</v>
      </c>
      <c r="BXB11" s="998"/>
      <c r="BXC11" s="998"/>
      <c r="BXD11" s="966"/>
      <c r="BXE11" s="966"/>
      <c r="BXX11" s="170"/>
      <c r="BXY11" s="170"/>
      <c r="BXZ11" s="170"/>
      <c r="BYA11" s="221" t="s">
        <v>441</v>
      </c>
      <c r="BYB11" s="1097" t="s">
        <v>6386</v>
      </c>
      <c r="BYC11" s="1518"/>
      <c r="BYD11" s="157">
        <v>6</v>
      </c>
      <c r="BYE11" s="1526" t="s">
        <v>6390</v>
      </c>
      <c r="BYF11" s="1527"/>
      <c r="BYG11" s="1527"/>
      <c r="BYH11" s="170"/>
      <c r="BYI11" s="170"/>
      <c r="BYJ11" s="170"/>
      <c r="BYK11" s="170"/>
      <c r="BYL11" s="170"/>
      <c r="BYM11" s="170"/>
      <c r="BYN11" s="170"/>
      <c r="BYO11" s="170"/>
      <c r="BYP11" s="170"/>
      <c r="BYQ11" s="170"/>
      <c r="BYR11" s="170"/>
      <c r="BYS11" s="170"/>
      <c r="BYT11" s="170"/>
      <c r="BYU11" s="170"/>
      <c r="BYV11" s="170"/>
      <c r="BYW11" s="170"/>
      <c r="BYX11" s="170"/>
      <c r="BYY11" s="170"/>
      <c r="BYZ11" s="170"/>
      <c r="BZA11" s="170"/>
      <c r="BZB11" s="170"/>
      <c r="BZC11" s="170"/>
      <c r="BZD11" s="170"/>
      <c r="BZE11" s="170"/>
      <c r="BZF11" s="170"/>
      <c r="BZG11" s="170"/>
      <c r="BZH11" s="170"/>
      <c r="BZI11" s="170"/>
      <c r="BZJ11" s="170"/>
      <c r="BZK11" s="170"/>
      <c r="BZL11" s="170"/>
      <c r="BZM11" s="170"/>
      <c r="BZN11" s="170"/>
      <c r="BZO11" s="170"/>
      <c r="BZP11" s="170"/>
      <c r="BZQ11" s="170"/>
      <c r="BZR11" s="170"/>
      <c r="BZS11" s="170"/>
      <c r="BZT11" s="170"/>
      <c r="BZU11" s="170"/>
      <c r="BZV11" s="170"/>
      <c r="BZW11" s="170"/>
      <c r="BZX11" s="170"/>
      <c r="BZY11" s="170"/>
      <c r="BZZ11" s="170"/>
      <c r="CAA11" s="170"/>
      <c r="CAB11" s="170"/>
      <c r="CAC11" s="170"/>
      <c r="CAD11" s="170"/>
      <c r="CAE11" s="170"/>
      <c r="CAF11" s="170"/>
      <c r="CAG11" s="170"/>
      <c r="CAH11" s="170"/>
      <c r="CAI11" s="170"/>
      <c r="CAJ11" s="170"/>
      <c r="CAK11" s="170"/>
      <c r="CAL11" s="170"/>
      <c r="CAM11" s="170"/>
      <c r="CAN11" s="170"/>
      <c r="CAO11" s="170"/>
      <c r="CAP11" s="170"/>
      <c r="CAQ11" s="170"/>
      <c r="CAR11" s="170"/>
      <c r="CAS11" s="170"/>
      <c r="CAT11" s="170"/>
      <c r="CAU11" s="170"/>
      <c r="CAV11" s="170"/>
      <c r="CAW11" s="170"/>
      <c r="CAX11" s="170"/>
      <c r="CAY11" s="170"/>
      <c r="CAZ11" s="170"/>
      <c r="CBA11" s="170"/>
      <c r="CBB11" s="170"/>
      <c r="CBC11" s="170"/>
      <c r="CBD11" s="170"/>
      <c r="CBE11" s="170"/>
      <c r="CBF11" s="170"/>
      <c r="CBG11" s="170"/>
      <c r="CBH11" s="170"/>
      <c r="CBI11" s="170"/>
      <c r="CBJ11" s="170"/>
      <c r="CBK11" s="170"/>
      <c r="CBL11" s="170"/>
      <c r="CBM11" s="170"/>
      <c r="CBN11" s="170"/>
      <c r="CBO11" s="170"/>
      <c r="CBP11" s="170"/>
      <c r="CBQ11" s="170"/>
      <c r="CBR11" s="170"/>
      <c r="CBS11" s="170"/>
      <c r="CBT11" s="170"/>
      <c r="CBU11" s="170"/>
      <c r="CBV11" s="170"/>
      <c r="CBW11" s="170"/>
      <c r="CBX11" s="170"/>
      <c r="CBY11" s="170"/>
      <c r="CBZ11" s="170"/>
      <c r="CCA11" s="170"/>
      <c r="CCB11" s="170"/>
      <c r="CCC11" s="170"/>
      <c r="CCD11" s="170"/>
      <c r="CCE11" s="170"/>
      <c r="CCF11" s="170"/>
      <c r="CCG11" s="170"/>
      <c r="CCH11" s="170"/>
      <c r="CCI11" s="170"/>
      <c r="CCJ11" s="170"/>
      <c r="CCK11" s="170"/>
      <c r="CCL11" s="170"/>
      <c r="CCM11" s="170"/>
      <c r="CCN11" s="170"/>
      <c r="CCO11" s="170"/>
      <c r="CCP11" s="170"/>
      <c r="CCQ11" s="170"/>
      <c r="CCR11" s="170"/>
      <c r="CCS11" s="170"/>
      <c r="CCT11" s="170"/>
      <c r="CCU11" s="170"/>
      <c r="CCV11" s="170"/>
      <c r="CCW11" s="170"/>
      <c r="CCX11" s="170"/>
      <c r="CCY11" s="170"/>
      <c r="CCZ11" s="170"/>
      <c r="CDA11" s="170"/>
      <c r="CDB11" s="170"/>
      <c r="CDC11" s="170"/>
      <c r="CDD11" s="170"/>
      <c r="CDE11" s="170"/>
      <c r="CDF11" s="170"/>
      <c r="CDG11" s="170"/>
      <c r="CDH11" s="170"/>
      <c r="CDI11" s="170"/>
      <c r="CDJ11" s="170"/>
      <c r="CDK11" s="170"/>
      <c r="CDL11" s="170"/>
      <c r="CDM11" s="170"/>
      <c r="CDN11" s="170"/>
      <c r="CDO11" s="170"/>
      <c r="CDP11" s="170"/>
      <c r="CDQ11" s="170"/>
      <c r="CDR11" s="170"/>
      <c r="CDS11" s="170"/>
      <c r="CDT11" s="170"/>
      <c r="CDU11" s="170"/>
      <c r="CDV11" s="170"/>
      <c r="CDW11" s="170"/>
      <c r="CDX11" s="170"/>
      <c r="CDY11" s="170"/>
      <c r="CDZ11" s="170"/>
      <c r="CEA11" s="170"/>
      <c r="CEB11" s="170"/>
      <c r="CEC11" s="170"/>
      <c r="CED11" s="170"/>
      <c r="CEE11" s="170"/>
      <c r="CEF11" s="170"/>
      <c r="CEG11" s="170"/>
      <c r="CEH11" s="170"/>
      <c r="CEI11" s="170"/>
      <c r="CEJ11" s="170"/>
      <c r="CEK11" s="170"/>
      <c r="CEL11" s="170"/>
      <c r="CEM11" s="170"/>
      <c r="CEN11" s="170"/>
      <c r="CEO11" s="170"/>
      <c r="CEP11" s="170"/>
      <c r="CEQ11" s="170"/>
      <c r="CER11" s="170"/>
      <c r="CES11" s="170"/>
      <c r="CET11" s="170"/>
      <c r="CEU11" s="170"/>
      <c r="CEV11" s="170"/>
      <c r="CEW11" s="170"/>
      <c r="CEX11" s="170"/>
      <c r="CEY11" s="170"/>
      <c r="CEZ11" s="170"/>
      <c r="CFA11" s="170"/>
      <c r="CFB11" s="170"/>
      <c r="CFC11" s="170"/>
      <c r="CFD11" s="170"/>
      <c r="CFE11" s="170"/>
      <c r="CFF11" s="170"/>
      <c r="CFG11" s="170"/>
      <c r="CFH11" s="170"/>
      <c r="CFI11" s="170"/>
      <c r="CFJ11" s="170"/>
      <c r="CFK11" s="170"/>
      <c r="CFL11" s="170"/>
      <c r="CFM11" s="170"/>
      <c r="CFN11" s="170"/>
      <c r="CFO11" s="170"/>
      <c r="CFP11" s="170"/>
      <c r="CFQ11" s="170"/>
      <c r="CFR11" s="170"/>
      <c r="CFS11" s="170"/>
      <c r="CFT11" s="170"/>
      <c r="CFU11" s="170"/>
      <c r="CFV11" s="170"/>
      <c r="CFW11" s="170"/>
      <c r="CFX11" s="170"/>
      <c r="CFY11" s="170"/>
      <c r="CFZ11" s="170"/>
      <c r="CGA11" s="170"/>
      <c r="CGB11" s="170"/>
      <c r="CGC11" s="170"/>
      <c r="CGD11" s="170"/>
      <c r="CGE11" s="170"/>
      <c r="CGF11" s="170"/>
      <c r="CGG11" s="170"/>
      <c r="CGH11" s="170"/>
      <c r="CGI11" s="170"/>
      <c r="CGJ11" s="170"/>
      <c r="CGK11" s="170"/>
      <c r="CGL11" s="170"/>
      <c r="CGM11" s="170"/>
      <c r="CGN11" s="170"/>
      <c r="CGO11" s="170"/>
      <c r="CGP11" s="170"/>
      <c r="CGQ11" s="170"/>
      <c r="CGR11" s="170"/>
      <c r="CGS11" s="170"/>
      <c r="CGT11" s="170"/>
      <c r="CGU11" s="170"/>
      <c r="CGV11" s="170"/>
      <c r="CGW11" s="170"/>
      <c r="CGX11" s="170"/>
      <c r="CGY11" s="170"/>
      <c r="CGZ11" s="170"/>
      <c r="CHA11" s="170"/>
      <c r="CHB11" s="170"/>
      <c r="CHC11" s="170"/>
      <c r="CHD11" s="170"/>
      <c r="CHE11" s="170"/>
      <c r="CHF11" s="170"/>
      <c r="CHG11" s="170"/>
      <c r="CHH11" s="170"/>
      <c r="CHI11" s="170"/>
      <c r="CHJ11" s="170"/>
      <c r="CHK11" s="170"/>
      <c r="CHL11" s="170"/>
      <c r="CHM11" s="170"/>
      <c r="CHN11" s="170"/>
      <c r="CHO11" s="170"/>
      <c r="CHP11" s="170"/>
      <c r="CHQ11" s="170"/>
      <c r="CHR11" s="170"/>
      <c r="CHS11" s="170"/>
      <c r="CHT11" s="170"/>
      <c r="CHU11" s="170"/>
      <c r="CHV11" s="170"/>
      <c r="CHW11" s="170"/>
      <c r="CHX11" s="170"/>
      <c r="CHY11" s="170"/>
      <c r="CHZ11" s="170"/>
      <c r="CIA11" s="170"/>
      <c r="CIB11" s="170"/>
      <c r="CIC11" s="170"/>
      <c r="CID11" s="170"/>
      <c r="CIE11" s="170"/>
      <c r="CIF11" s="170"/>
      <c r="CIG11" s="170"/>
      <c r="CIH11" s="170"/>
      <c r="CII11" s="170"/>
      <c r="CIJ11" s="170"/>
      <c r="CIK11" s="170"/>
      <c r="CIL11" s="170"/>
      <c r="CIM11" s="170"/>
      <c r="CIN11" s="170"/>
      <c r="CIO11" s="170"/>
      <c r="CIP11" s="170"/>
      <c r="CIQ11" s="170"/>
      <c r="CIR11" s="170"/>
      <c r="CIS11" s="170"/>
      <c r="CIT11" s="170"/>
      <c r="CIU11" s="170"/>
      <c r="CIV11" s="170"/>
      <c r="CIW11" s="170"/>
      <c r="CIX11" s="170"/>
      <c r="CIY11" s="170"/>
      <c r="CIZ11" s="170"/>
      <c r="CJA11" s="170"/>
      <c r="CJB11" s="170"/>
      <c r="CJC11" s="170"/>
      <c r="CJD11" s="170"/>
      <c r="CJE11" s="170"/>
      <c r="CJF11" s="170"/>
      <c r="CJG11" s="170"/>
      <c r="CJH11" s="170"/>
      <c r="CJI11" s="170"/>
      <c r="CJJ11" s="170"/>
      <c r="CJK11" s="170"/>
      <c r="CJL11" s="170"/>
      <c r="CJM11" s="170"/>
      <c r="CJN11" s="170"/>
      <c r="CJO11" s="170"/>
      <c r="CJP11" s="170"/>
      <c r="CJQ11" s="170"/>
      <c r="CJR11" s="170"/>
      <c r="CJS11" s="170"/>
      <c r="CJT11" s="170"/>
      <c r="CJU11" s="170"/>
      <c r="CJV11" s="170"/>
      <c r="CJW11" s="170"/>
      <c r="CJX11" s="170"/>
      <c r="CJY11" s="170"/>
      <c r="CJZ11" s="170"/>
      <c r="CKA11" s="170"/>
      <c r="CKB11" s="170"/>
      <c r="CKC11" s="170"/>
      <c r="CKD11" s="170"/>
      <c r="CKE11" s="170"/>
      <c r="CKF11" s="170"/>
      <c r="CKG11" s="170"/>
      <c r="CKH11" s="170"/>
      <c r="CKI11" s="170"/>
      <c r="CKJ11" s="170"/>
      <c r="CKK11" s="170"/>
      <c r="CKL11" s="170"/>
      <c r="CKM11" s="170"/>
      <c r="CKN11" s="170"/>
      <c r="CKO11" s="170"/>
      <c r="CKP11" s="170"/>
      <c r="CKQ11" s="170"/>
      <c r="CKR11" s="170"/>
      <c r="CKS11" s="170"/>
      <c r="CKT11" s="170"/>
      <c r="CKU11" s="170"/>
      <c r="CKV11" s="170"/>
      <c r="CKW11" s="170"/>
      <c r="CKX11" s="170"/>
      <c r="CKY11" s="170"/>
      <c r="CKZ11" s="170"/>
      <c r="CLA11" s="170"/>
      <c r="CLB11" s="170"/>
      <c r="CLC11" s="170"/>
      <c r="CLD11" s="170"/>
      <c r="CLE11" s="170"/>
      <c r="CLF11" s="170"/>
      <c r="CLG11" s="170"/>
      <c r="CLH11" s="170"/>
      <c r="CLI11" s="170"/>
      <c r="CLJ11" s="170"/>
      <c r="CLK11" s="170"/>
      <c r="CLL11" s="170"/>
      <c r="CLM11" s="170"/>
      <c r="CLN11" s="170"/>
      <c r="CLO11" s="170"/>
      <c r="CLP11" s="170"/>
      <c r="CLQ11" s="170"/>
      <c r="CLR11" s="170"/>
      <c r="CLS11" s="170"/>
      <c r="CLT11" s="170"/>
      <c r="CLU11" s="170"/>
      <c r="CLV11" s="170"/>
      <c r="CLW11" s="170"/>
      <c r="CLX11" s="170"/>
      <c r="CLY11" s="170"/>
      <c r="CLZ11" s="170"/>
      <c r="CMA11" s="170"/>
      <c r="CMB11" s="170"/>
      <c r="CMC11" s="170"/>
      <c r="CMD11" s="170"/>
      <c r="CME11" s="170"/>
      <c r="CMF11" s="170"/>
      <c r="CMG11" s="170"/>
      <c r="CMH11" s="170"/>
      <c r="CMI11" s="170"/>
      <c r="CMJ11" s="170"/>
      <c r="CMK11" s="170"/>
      <c r="CML11" s="170"/>
      <c r="CMM11" s="170"/>
      <c r="CMN11" s="170"/>
      <c r="CMO11" s="170"/>
      <c r="CMP11" s="170"/>
      <c r="CMQ11" s="170"/>
      <c r="CMR11" s="170"/>
      <c r="CMS11" s="170"/>
      <c r="CMT11" s="170"/>
      <c r="CMU11" s="170"/>
      <c r="CMV11" s="170"/>
      <c r="CMW11" s="170"/>
      <c r="CMX11" s="170"/>
      <c r="CMY11" s="170"/>
      <c r="CMZ11" s="170"/>
      <c r="CNA11" s="170"/>
      <c r="CNB11" s="170"/>
      <c r="CNC11" s="170"/>
      <c r="CND11" s="170"/>
      <c r="CNE11" s="170"/>
      <c r="CNF11" s="170"/>
      <c r="CNG11" s="170"/>
      <c r="CNH11" s="170"/>
      <c r="CNI11" s="170"/>
      <c r="CNJ11" s="170"/>
      <c r="CNK11" s="170"/>
      <c r="CNL11" s="170"/>
      <c r="CNM11" s="170"/>
      <c r="CNN11" s="170"/>
      <c r="CNO11" s="170"/>
      <c r="CNP11" s="170"/>
      <c r="CNQ11" s="170"/>
      <c r="CNR11" s="170"/>
      <c r="CNS11" s="170"/>
      <c r="CNT11" s="170"/>
      <c r="CNU11" s="170"/>
      <c r="CNV11" s="170"/>
      <c r="CNW11" s="170"/>
      <c r="CNX11" s="170"/>
      <c r="CNY11" s="170"/>
      <c r="CNZ11" s="170"/>
      <c r="COA11" s="170"/>
      <c r="COB11" s="170"/>
      <c r="COC11" s="170"/>
      <c r="COD11" s="170"/>
      <c r="COE11" s="170"/>
      <c r="COF11" s="170"/>
      <c r="COG11" s="170"/>
      <c r="COH11" s="170"/>
      <c r="COI11" s="170"/>
      <c r="COJ11" s="170"/>
      <c r="COK11" s="170"/>
      <c r="COL11" s="170"/>
      <c r="COM11" s="170"/>
      <c r="CON11" s="170"/>
      <c r="COO11" s="170"/>
      <c r="COP11" s="170"/>
      <c r="COQ11" s="170"/>
      <c r="COR11" s="170"/>
      <c r="COS11" s="170"/>
      <c r="COT11" s="170"/>
      <c r="COU11" s="170"/>
      <c r="COV11" s="170"/>
      <c r="COW11" s="170"/>
      <c r="COX11" s="170"/>
      <c r="COY11" s="170"/>
      <c r="COZ11" s="170"/>
      <c r="CPA11" s="170"/>
      <c r="CPB11" s="170"/>
      <c r="CPC11" s="170"/>
      <c r="CPD11" s="170"/>
      <c r="CPE11" s="170"/>
      <c r="CPF11" s="170"/>
      <c r="CPG11" s="170"/>
      <c r="CPH11" s="170"/>
      <c r="CPI11" s="170"/>
      <c r="CPJ11" s="170"/>
      <c r="CPK11" s="170"/>
      <c r="CPL11" s="170"/>
      <c r="CPM11" s="170"/>
      <c r="CPN11" s="170"/>
      <c r="CPO11" s="170"/>
      <c r="CPP11" s="170"/>
      <c r="CPQ11" s="170"/>
      <c r="CPR11" s="170"/>
      <c r="CPS11" s="170"/>
      <c r="CPT11" s="170"/>
      <c r="CPU11" s="170"/>
      <c r="CPV11" s="170"/>
      <c r="CPW11" s="170"/>
      <c r="CPX11" s="170"/>
      <c r="CPY11" s="170"/>
      <c r="CPZ11" s="170"/>
      <c r="CQA11" s="170"/>
      <c r="CQB11" s="170"/>
      <c r="CQC11" s="170"/>
      <c r="CQD11" s="170"/>
      <c r="CQE11" s="170"/>
      <c r="CQF11" s="170"/>
      <c r="CQG11" s="170"/>
      <c r="CQH11" s="170"/>
      <c r="CQI11" s="170"/>
      <c r="CQJ11" s="170"/>
      <c r="CQK11" s="170"/>
      <c r="CQL11" s="170"/>
      <c r="CQM11" s="170"/>
      <c r="CQN11" s="170"/>
      <c r="CQO11" s="170"/>
      <c r="CQP11" s="170"/>
      <c r="CQQ11" s="170"/>
      <c r="CQR11" s="170"/>
      <c r="CQS11" s="170"/>
      <c r="CQT11" s="170"/>
      <c r="CQU11" s="170"/>
      <c r="CQV11" s="170"/>
      <c r="CQW11" s="170"/>
      <c r="CQX11" s="170"/>
      <c r="CQY11" s="170"/>
      <c r="CQZ11" s="170"/>
      <c r="CRA11" s="170"/>
      <c r="CRB11" s="170"/>
      <c r="CRC11" s="170"/>
      <c r="CRD11" s="170"/>
      <c r="CRE11" s="170"/>
      <c r="CRF11" s="170"/>
      <c r="CRG11" s="170"/>
      <c r="CRH11" s="170"/>
      <c r="CRI11" s="170"/>
      <c r="CRJ11" s="170"/>
      <c r="CRK11" s="170"/>
      <c r="CRL11" s="170"/>
      <c r="CRM11" s="170"/>
      <c r="CRN11" s="170"/>
      <c r="CRO11" s="170"/>
      <c r="CRP11" s="170"/>
      <c r="CRQ11" s="170"/>
      <c r="CRR11" s="170"/>
      <c r="CRS11" s="170"/>
      <c r="CRT11" s="170"/>
      <c r="CRU11" s="170"/>
      <c r="CRV11" s="170"/>
      <c r="CRW11" s="170"/>
      <c r="CRX11" s="170"/>
      <c r="CRY11" s="170"/>
      <c r="CRZ11" s="170"/>
      <c r="CSA11" s="170"/>
      <c r="CSB11" s="170"/>
      <c r="CSC11" s="170"/>
      <c r="CSD11" s="170"/>
      <c r="CSE11" s="170"/>
      <c r="CSF11" s="170"/>
      <c r="CSG11" s="170"/>
      <c r="CSH11" s="170"/>
      <c r="CSI11" s="170"/>
      <c r="CSJ11" s="170"/>
      <c r="CSK11" s="170"/>
      <c r="CSL11" s="170"/>
      <c r="CSM11" s="170"/>
      <c r="CSN11" s="170"/>
      <c r="CSO11" s="170"/>
      <c r="CSP11" s="170"/>
      <c r="CSQ11" s="170"/>
      <c r="CSR11" s="170"/>
      <c r="CSS11" s="170"/>
      <c r="CST11" s="170"/>
      <c r="CSU11" s="170"/>
      <c r="CSV11" s="170"/>
      <c r="CSW11" s="170"/>
      <c r="CSX11" s="170"/>
      <c r="CSY11" s="170"/>
      <c r="CSZ11" s="170"/>
      <c r="CTA11" s="170"/>
      <c r="CTB11" s="170"/>
      <c r="CTC11" s="170"/>
      <c r="CTD11" s="170"/>
      <c r="CTE11" s="170"/>
      <c r="CTF11" s="170"/>
      <c r="CTG11" s="170"/>
      <c r="CTH11" s="170"/>
      <c r="CTI11" s="170"/>
      <c r="CTJ11" s="170"/>
      <c r="CTK11" s="170"/>
      <c r="CTL11" s="170"/>
      <c r="CTM11" s="170"/>
      <c r="CTN11" s="170"/>
      <c r="CTO11" s="170"/>
      <c r="CTP11" s="170"/>
      <c r="CTQ11" s="170"/>
      <c r="CTR11" s="170"/>
      <c r="CTS11" s="170"/>
      <c r="CTT11" s="170"/>
      <c r="CTU11" s="170"/>
      <c r="CTV11" s="170"/>
      <c r="CTW11" s="170"/>
      <c r="CTX11" s="170"/>
      <c r="CTY11" s="170"/>
      <c r="CTZ11" s="170"/>
      <c r="CUA11" s="170"/>
      <c r="CUB11" s="170"/>
      <c r="CUC11" s="170"/>
      <c r="CUD11" s="170"/>
      <c r="CUE11" s="170"/>
      <c r="CUF11" s="170"/>
      <c r="CUG11" s="170"/>
      <c r="CUH11" s="170"/>
      <c r="CUI11" s="170"/>
      <c r="CUJ11" s="170"/>
      <c r="CUK11" s="170"/>
      <c r="CUL11" s="170"/>
      <c r="CUM11" s="170"/>
      <c r="CUN11" s="170"/>
      <c r="CUO11" s="170"/>
      <c r="CUP11" s="170"/>
      <c r="CUQ11" s="170"/>
      <c r="CUR11" s="170"/>
      <c r="CUS11" s="170"/>
      <c r="CUT11" s="170"/>
      <c r="CUU11" s="170"/>
      <c r="CUV11" s="170"/>
      <c r="CUW11" s="170"/>
      <c r="CUX11" s="170"/>
      <c r="CUY11" s="170"/>
      <c r="CUZ11" s="170"/>
      <c r="CVA11" s="170"/>
      <c r="CVB11" s="170"/>
      <c r="CVC11" s="170"/>
      <c r="CVD11" s="170"/>
      <c r="CVE11" s="170"/>
      <c r="CVF11" s="170"/>
      <c r="CVG11" s="170"/>
      <c r="CVH11" s="170"/>
      <c r="CVI11" s="170"/>
      <c r="CVJ11" s="170"/>
      <c r="CVK11" s="170"/>
      <c r="CVL11" s="170"/>
      <c r="CVM11" s="170"/>
      <c r="CVN11" s="170"/>
      <c r="CVO11" s="170"/>
      <c r="CVP11" s="170"/>
      <c r="CVQ11" s="170"/>
      <c r="CVR11" s="170"/>
      <c r="CVS11" s="170"/>
      <c r="CVT11" s="170"/>
      <c r="CVU11" s="170"/>
      <c r="CVV11" s="170"/>
      <c r="CVW11" s="170"/>
      <c r="CVX11" s="170"/>
      <c r="CVY11" s="170"/>
      <c r="CVZ11" s="170"/>
      <c r="CWA11" s="170"/>
      <c r="CWB11" s="170"/>
      <c r="CWC11" s="170"/>
      <c r="CWD11" s="170"/>
      <c r="CWE11" s="170"/>
      <c r="CWF11" s="170"/>
      <c r="CWG11" s="170"/>
      <c r="CWH11" s="170"/>
      <c r="CWI11" s="170"/>
      <c r="CWJ11" s="170"/>
      <c r="CWK11" s="170"/>
      <c r="CWL11" s="170"/>
      <c r="CWM11" s="170"/>
      <c r="CWN11" s="170"/>
      <c r="CWO11" s="170"/>
      <c r="CWP11" s="170"/>
      <c r="CWQ11" s="170"/>
      <c r="CWR11" s="170"/>
      <c r="CWS11" s="170"/>
      <c r="CWT11" s="170"/>
      <c r="CWU11" s="170"/>
      <c r="CWV11" s="170"/>
      <c r="CWW11" s="170"/>
      <c r="CWX11" s="170"/>
      <c r="CWY11" s="170"/>
      <c r="CWZ11" s="170"/>
      <c r="CXA11" s="170"/>
      <c r="CXB11" s="170"/>
      <c r="CXC11" s="170"/>
      <c r="CXD11" s="170"/>
      <c r="CXE11" s="170"/>
      <c r="CXF11" s="170"/>
      <c r="CXG11" s="170"/>
      <c r="CXH11" s="170"/>
      <c r="CXI11" s="170"/>
      <c r="CXJ11" s="170"/>
      <c r="CXK11" s="170"/>
      <c r="CXL11" s="170"/>
      <c r="CXM11" s="170"/>
      <c r="CXN11" s="170"/>
      <c r="CXO11" s="170"/>
      <c r="CXP11" s="170"/>
      <c r="CXQ11" s="170"/>
      <c r="CXR11" s="170"/>
      <c r="CXS11" s="170"/>
      <c r="CXT11" s="170"/>
      <c r="CXU11" s="170"/>
      <c r="CXV11" s="170"/>
      <c r="CXW11" s="170"/>
      <c r="CXX11" s="170"/>
      <c r="CXY11" s="170"/>
      <c r="CXZ11" s="170"/>
      <c r="CYA11" s="170"/>
      <c r="CYB11" s="170"/>
      <c r="CYC11" s="170"/>
      <c r="CYD11" s="170"/>
      <c r="CYE11" s="170"/>
      <c r="CYF11" s="170"/>
      <c r="CYG11" s="170"/>
      <c r="CYH11" s="170"/>
      <c r="CYI11" s="170"/>
      <c r="CYJ11" s="170"/>
      <c r="CYK11" s="170"/>
      <c r="CYL11" s="170"/>
      <c r="CYM11" s="170"/>
      <c r="CYN11" s="170"/>
      <c r="CYO11" s="170"/>
      <c r="CYP11" s="170"/>
      <c r="CYQ11" s="170"/>
      <c r="CYR11" s="170"/>
      <c r="CYS11" s="170"/>
      <c r="CYT11" s="170"/>
      <c r="CYU11" s="170"/>
      <c r="CYV11" s="170"/>
      <c r="CYW11" s="170"/>
      <c r="CYX11" s="170"/>
      <c r="CYY11" s="170"/>
      <c r="CYZ11" s="170"/>
      <c r="CZA11" s="170"/>
      <c r="CZB11" s="170"/>
      <c r="CZC11" s="170"/>
      <c r="CZD11" s="170"/>
      <c r="CZE11" s="170"/>
      <c r="CZF11" s="170"/>
      <c r="CZG11" s="170"/>
      <c r="CZH11" s="170"/>
      <c r="CZI11" s="170"/>
      <c r="CZJ11" s="170"/>
      <c r="CZK11" s="170"/>
      <c r="CZL11" s="170"/>
      <c r="CZM11" s="170"/>
      <c r="CZN11" s="170"/>
      <c r="CZO11" s="170"/>
      <c r="CZP11" s="170"/>
      <c r="CZQ11" s="170"/>
      <c r="CZR11" s="170"/>
      <c r="CZS11" s="170"/>
      <c r="CZT11" s="170"/>
      <c r="CZU11" s="170"/>
      <c r="CZV11" s="170"/>
      <c r="CZW11" s="170"/>
      <c r="CZX11" s="170"/>
      <c r="CZY11" s="170"/>
      <c r="CZZ11" s="170"/>
      <c r="DAA11" s="170"/>
      <c r="DAB11" s="170"/>
      <c r="DAC11" s="170"/>
      <c r="DAD11" s="170"/>
      <c r="DAE11" s="170"/>
      <c r="DAF11" s="170"/>
      <c r="DAG11" s="170"/>
      <c r="DAH11" s="170"/>
      <c r="DAI11" s="170"/>
      <c r="DAJ11" s="170"/>
      <c r="DAK11" s="170"/>
      <c r="DAL11" s="170"/>
      <c r="DAM11" s="170"/>
      <c r="DAN11" s="170"/>
      <c r="DAO11" s="170"/>
      <c r="DAP11" s="170"/>
      <c r="DAQ11" s="170"/>
      <c r="DAR11" s="170"/>
      <c r="DAS11" s="170"/>
      <c r="DAT11" s="170"/>
      <c r="DAU11" s="170"/>
      <c r="DAV11" s="170"/>
      <c r="DAW11" s="170"/>
      <c r="DAX11" s="170"/>
      <c r="DAY11" s="170"/>
      <c r="DAZ11" s="170"/>
      <c r="DBA11" s="170"/>
      <c r="DBB11" s="170"/>
      <c r="DCA11" t="s">
        <v>6346</v>
      </c>
      <c r="DCB11" t="s">
        <v>7133</v>
      </c>
      <c r="DDA11" s="221" t="s">
        <v>441</v>
      </c>
      <c r="DDB11" s="1097" t="s">
        <v>6386</v>
      </c>
      <c r="DDC11" s="1518"/>
      <c r="DDD11" s="157">
        <v>6</v>
      </c>
    </row>
    <row r="12" spans="1:2814" ht="30" customHeight="1">
      <c r="A12" s="1323" t="s">
        <v>1261</v>
      </c>
      <c r="B12" s="1305">
        <v>38</v>
      </c>
      <c r="C12" s="1306" t="s">
        <v>7777</v>
      </c>
      <c r="D12" s="2507" t="s">
        <v>3824</v>
      </c>
      <c r="E12" s="1320" t="s">
        <v>7778</v>
      </c>
      <c r="F12" s="1307" t="s">
        <v>233</v>
      </c>
      <c r="G12" s="1315"/>
      <c r="H12" s="1315"/>
      <c r="I12" s="1315"/>
      <c r="J12" s="1315"/>
      <c r="K12" s="416"/>
      <c r="L12" s="2506">
        <f>MATCH(C13, $AA$1:$DZG$1,0)</f>
        <v>1457</v>
      </c>
      <c r="M12" t="str">
        <f>SUBSTITUTE(ADDRESS(1, L13, 4), "1", "")</f>
        <v>BEA</v>
      </c>
      <c r="N12" s="416"/>
      <c r="O12" s="416"/>
      <c r="P12" s="416"/>
      <c r="Q12" s="416"/>
      <c r="R12" s="416"/>
      <c r="S12" s="416"/>
      <c r="T12" s="416"/>
      <c r="U12" s="416"/>
      <c r="V12" s="416"/>
      <c r="W12" s="416"/>
      <c r="AB12" t="s">
        <v>460</v>
      </c>
      <c r="BA12" s="346" t="s">
        <v>356</v>
      </c>
      <c r="BB12" s="221" t="s">
        <v>388</v>
      </c>
      <c r="BC12" s="221" t="s">
        <v>409</v>
      </c>
      <c r="DA12" s="1642" t="s">
        <v>4110</v>
      </c>
      <c r="DB12" s="1642"/>
      <c r="DC12" s="912"/>
      <c r="EA12" s="946" t="s">
        <v>361</v>
      </c>
      <c r="EB12" s="946" t="s">
        <v>391</v>
      </c>
      <c r="EC12" s="1134" t="s">
        <v>6183</v>
      </c>
      <c r="FA12" s="432" t="s">
        <v>6915</v>
      </c>
      <c r="FB12" s="1581" t="s">
        <v>4593</v>
      </c>
      <c r="FC12" s="1582"/>
      <c r="FD12" s="935" t="s">
        <v>6661</v>
      </c>
      <c r="FE12" s="1546" t="s">
        <v>6916</v>
      </c>
      <c r="FF12" s="1546"/>
      <c r="FG12" s="1335"/>
      <c r="FH12" s="1335"/>
      <c r="FI12" s="1294"/>
      <c r="GA12" s="949" t="s">
        <v>434</v>
      </c>
      <c r="GB12" s="1501" t="s">
        <v>6910</v>
      </c>
      <c r="GC12" s="1501"/>
      <c r="GD12" s="1501"/>
      <c r="GE12" s="1501"/>
      <c r="GF12" s="1501"/>
      <c r="HA12" s="112"/>
      <c r="HB12" s="1501"/>
      <c r="HC12" s="1501"/>
      <c r="HD12" s="1501"/>
      <c r="HE12" s="1501"/>
      <c r="KA12" s="449" t="s">
        <v>3</v>
      </c>
      <c r="KB12" s="449" t="s">
        <v>4</v>
      </c>
      <c r="LA12" s="221" t="s">
        <v>3</v>
      </c>
      <c r="LB12" s="221" t="s">
        <v>4</v>
      </c>
      <c r="MA12" s="221" t="s">
        <v>3</v>
      </c>
      <c r="MB12" s="221" t="s">
        <v>4</v>
      </c>
      <c r="ME12" s="442"/>
      <c r="NA12" s="221" t="s">
        <v>3</v>
      </c>
      <c r="NB12" s="450" t="s">
        <v>4</v>
      </c>
      <c r="OA12" s="1606" t="s">
        <v>4146</v>
      </c>
      <c r="OB12" s="1606"/>
      <c r="PA12" s="246" t="s">
        <v>434</v>
      </c>
      <c r="PB12" t="s">
        <v>4171</v>
      </c>
      <c r="QA12" s="221" t="s">
        <v>3</v>
      </c>
      <c r="QB12" s="221" t="s">
        <v>4</v>
      </c>
      <c r="RA12" s="359" t="s">
        <v>455</v>
      </c>
      <c r="RB12" s="958" t="s">
        <v>385</v>
      </c>
      <c r="RC12" s="951"/>
      <c r="RD12" s="345">
        <v>5</v>
      </c>
      <c r="RE12" t="s">
        <v>444</v>
      </c>
      <c r="SA12" s="221" t="s">
        <v>437</v>
      </c>
      <c r="SB12" s="961" t="s">
        <v>4646</v>
      </c>
      <c r="SD12" s="934">
        <v>7</v>
      </c>
      <c r="SE12" s="960" t="s">
        <v>4227</v>
      </c>
      <c r="TA12" s="827" t="s">
        <v>466</v>
      </c>
      <c r="TB12" s="165" t="s">
        <v>385</v>
      </c>
      <c r="TC12" s="165" t="s">
        <v>4241</v>
      </c>
      <c r="TD12" s="165" t="s">
        <v>4241</v>
      </c>
      <c r="TE12" s="230" t="s">
        <v>418</v>
      </c>
      <c r="TF12" s="114">
        <v>7</v>
      </c>
      <c r="TG12" s="171" t="s">
        <v>4247</v>
      </c>
      <c r="UE12" s="133"/>
      <c r="VA12" s="1528" t="s">
        <v>4146</v>
      </c>
      <c r="VB12" s="1529"/>
      <c r="VC12" s="1529"/>
      <c r="VD12" s="966"/>
      <c r="VE12" s="966"/>
      <c r="VF12" s="966"/>
      <c r="VG12" s="966"/>
      <c r="VH12" s="966"/>
      <c r="VI12" s="966"/>
      <c r="VJ12" s="966"/>
      <c r="VK12" s="966"/>
      <c r="VL12" s="966"/>
      <c r="VM12" s="966"/>
      <c r="WA12" s="1528" t="s">
        <v>4146</v>
      </c>
      <c r="WB12" s="1529"/>
      <c r="WC12" s="1529"/>
      <c r="YB12" s="1502" t="s">
        <v>7594</v>
      </c>
      <c r="YC12" s="1502"/>
      <c r="YD12" s="1502"/>
      <c r="YE12" s="1502"/>
      <c r="YF12" s="1502"/>
      <c r="ABB12" s="444" t="s">
        <v>3</v>
      </c>
      <c r="ABC12" s="444" t="s">
        <v>4</v>
      </c>
      <c r="ACB12" s="1613" t="s">
        <v>4146</v>
      </c>
      <c r="ACC12" s="1614"/>
      <c r="AEB12" t="s">
        <v>434</v>
      </c>
      <c r="AEC12" t="s">
        <v>4352</v>
      </c>
      <c r="AFB12" s="1514" t="s">
        <v>4146</v>
      </c>
      <c r="AFC12" s="1514"/>
      <c r="AGB12" s="1514" t="s">
        <v>4146</v>
      </c>
      <c r="AGC12" s="1514"/>
      <c r="AHB12" s="1686" t="s">
        <v>4146</v>
      </c>
      <c r="AHC12" s="1687"/>
      <c r="AHD12" s="1687"/>
      <c r="AHE12" s="1687"/>
      <c r="AIB12" s="1514" t="s">
        <v>4146</v>
      </c>
      <c r="AIC12" s="1514"/>
      <c r="AJB12" s="1514" t="s">
        <v>4146</v>
      </c>
      <c r="AJC12" s="1514"/>
      <c r="AKB12" s="1514" t="s">
        <v>4146</v>
      </c>
      <c r="AKC12" s="1514"/>
      <c r="ALB12" s="1514" t="s">
        <v>4146</v>
      </c>
      <c r="ALC12" s="1514"/>
      <c r="AMB12" s="1514" t="s">
        <v>4146</v>
      </c>
      <c r="AMC12" s="1514"/>
      <c r="ANB12" s="1514" t="s">
        <v>4146</v>
      </c>
      <c r="ANC12" s="1514"/>
      <c r="AQA12" s="436" t="s">
        <v>4493</v>
      </c>
      <c r="AQB12" s="230"/>
      <c r="AQC12" s="1512"/>
      <c r="AQD12" s="985">
        <v>7</v>
      </c>
      <c r="AQE12" s="1505" t="s">
        <v>4501</v>
      </c>
      <c r="AQF12" s="1505"/>
      <c r="AQG12" s="1505"/>
      <c r="AQZ12" s="346" t="s">
        <v>7754</v>
      </c>
      <c r="ARA12" s="2497" t="s">
        <v>7755</v>
      </c>
      <c r="ARB12" s="2498"/>
      <c r="ARC12" s="10"/>
      <c r="ARD12" s="2499">
        <v>6</v>
      </c>
      <c r="ARE12" s="1526" t="s">
        <v>7755</v>
      </c>
      <c r="ARF12" s="1527"/>
      <c r="ATA12" s="221" t="s">
        <v>4536</v>
      </c>
      <c r="ATB12" s="230" t="s">
        <v>5825</v>
      </c>
      <c r="ATC12" s="1293"/>
      <c r="ATD12" s="985">
        <v>6</v>
      </c>
      <c r="ATE12" s="1718" t="s">
        <v>6316</v>
      </c>
      <c r="ATF12" s="1719"/>
      <c r="ATG12" s="1719"/>
      <c r="ATH12" s="1720"/>
      <c r="AUB12" s="1502" t="s">
        <v>6409</v>
      </c>
      <c r="AUC12" s="1502"/>
      <c r="AUD12" s="1502"/>
      <c r="AUE12" s="1502"/>
      <c r="AUF12" s="597"/>
      <c r="AUG12" s="597"/>
      <c r="AVA12" s="1227" t="s">
        <v>4545</v>
      </c>
      <c r="AVB12" s="1228" t="s">
        <v>5825</v>
      </c>
      <c r="AVC12" s="1662"/>
      <c r="AVD12" s="157">
        <v>7</v>
      </c>
      <c r="AVE12" s="1669" t="s">
        <v>6509</v>
      </c>
      <c r="AVF12" s="1669"/>
      <c r="AWA12" s="991"/>
      <c r="AWC12" s="442"/>
      <c r="AWD12" s="133"/>
      <c r="AWE12" s="133"/>
      <c r="AXA12" s="992" t="s">
        <v>5414</v>
      </c>
      <c r="AXB12" s="181" t="s">
        <v>5412</v>
      </c>
      <c r="AXC12" s="992" t="s">
        <v>5415</v>
      </c>
      <c r="AXD12" s="1033" t="s">
        <v>1712</v>
      </c>
      <c r="AXE12" s="1512"/>
      <c r="AXF12" s="157" t="s">
        <v>5407</v>
      </c>
      <c r="AXG12" s="831" t="s">
        <v>4560</v>
      </c>
      <c r="AYB12" t="s">
        <v>4595</v>
      </c>
      <c r="AZA12" s="1528" t="s">
        <v>4146</v>
      </c>
      <c r="AZB12" s="1529"/>
      <c r="AZC12" s="1529"/>
      <c r="AZD12" s="969"/>
      <c r="BAA12" s="221" t="s">
        <v>36</v>
      </c>
      <c r="BAB12" s="1111" t="s">
        <v>4636</v>
      </c>
      <c r="BAC12" s="1169"/>
      <c r="BAD12" s="225">
        <v>7</v>
      </c>
      <c r="BAE12" s="1545" t="s">
        <v>4642</v>
      </c>
      <c r="BAF12" s="1546"/>
      <c r="BBA12" s="221" t="s">
        <v>4638</v>
      </c>
      <c r="BBB12" s="1111" t="s">
        <v>6720</v>
      </c>
      <c r="BBC12" s="1169"/>
      <c r="BBD12" s="157">
        <v>8</v>
      </c>
      <c r="BBE12" s="1543" t="s">
        <v>6728</v>
      </c>
      <c r="BBF12" s="1544"/>
      <c r="BCA12" s="221" t="s">
        <v>6849</v>
      </c>
      <c r="BCB12" s="1290" t="s">
        <v>6854</v>
      </c>
      <c r="BCD12" s="1211"/>
      <c r="BCE12" s="1211"/>
      <c r="BCF12" s="943">
        <v>8</v>
      </c>
      <c r="BCG12" s="1570" t="s">
        <v>6859</v>
      </c>
      <c r="BCH12" s="1571"/>
      <c r="BDE12" s="1111" t="s">
        <v>6746</v>
      </c>
      <c r="BDF12" s="1111" t="s">
        <v>6783</v>
      </c>
      <c r="BDG12" s="1273" t="s">
        <v>6771</v>
      </c>
      <c r="BDH12" s="1273" t="s">
        <v>6784</v>
      </c>
      <c r="BDI12" s="934" t="s">
        <v>6785</v>
      </c>
      <c r="BDJ12" s="1547" t="s">
        <v>6868</v>
      </c>
      <c r="BDK12" s="1548"/>
      <c r="BEB12" s="1262"/>
      <c r="BED12" s="133"/>
      <c r="BEE12" s="110"/>
      <c r="BFA12" s="221" t="s">
        <v>4675</v>
      </c>
      <c r="BFB12" s="230" t="s">
        <v>6710</v>
      </c>
      <c r="BFC12" s="952"/>
      <c r="BFD12" s="157">
        <v>8</v>
      </c>
      <c r="BFE12" s="1707" t="s">
        <v>6712</v>
      </c>
      <c r="BFF12" s="1707"/>
      <c r="BFG12" s="1707"/>
      <c r="BFH12" s="1707"/>
      <c r="BFI12" s="1707"/>
      <c r="BGA12" s="221" t="s">
        <v>1331</v>
      </c>
      <c r="BGB12" s="1275" t="s">
        <v>1712</v>
      </c>
      <c r="BGC12" s="1509"/>
      <c r="BGD12" s="225">
        <v>8</v>
      </c>
      <c r="BGE12" s="91"/>
      <c r="BGF12" s="91"/>
      <c r="BGG12" s="91"/>
      <c r="BGH12" s="91"/>
      <c r="BGI12" s="91"/>
      <c r="BHA12" s="225">
        <v>1</v>
      </c>
      <c r="BHB12" s="225">
        <v>2</v>
      </c>
      <c r="BHC12" s="225">
        <v>3</v>
      </c>
      <c r="BIA12" s="983" t="s">
        <v>4146</v>
      </c>
      <c r="BIB12" s="984"/>
      <c r="BIC12" s="984"/>
      <c r="BID12" s="984"/>
      <c r="BJA12" s="246" t="s">
        <v>434</v>
      </c>
      <c r="BJB12" t="s">
        <v>4748</v>
      </c>
      <c r="BJE12" s="969"/>
      <c r="BJF12" s="969"/>
      <c r="BKB12" s="171" t="s">
        <v>4710</v>
      </c>
      <c r="BKE12" s="133"/>
      <c r="BKF12" s="133"/>
      <c r="BLB12" s="7" t="s">
        <v>5852</v>
      </c>
      <c r="BLC12" s="171"/>
      <c r="BNA12" s="221" t="s">
        <v>4836</v>
      </c>
      <c r="BNB12" s="968" t="s">
        <v>4593</v>
      </c>
      <c r="BNC12" s="1512"/>
      <c r="BND12" s="1022">
        <v>7</v>
      </c>
      <c r="BNE12" t="s">
        <v>4861</v>
      </c>
      <c r="BNF12" s="170"/>
      <c r="BNG12" s="170"/>
      <c r="BNH12" s="170"/>
      <c r="BNI12" s="170"/>
      <c r="BNJ12" s="170"/>
      <c r="BNK12" s="170"/>
      <c r="BOA12" s="1528" t="s">
        <v>4146</v>
      </c>
      <c r="BOB12" s="1529"/>
      <c r="BOC12" s="1529"/>
      <c r="BOD12" s="966"/>
      <c r="BQA12" s="246" t="s">
        <v>434</v>
      </c>
      <c r="BQB12" s="7" t="s">
        <v>4978</v>
      </c>
      <c r="BQC12" s="7"/>
      <c r="BQD12" s="7"/>
      <c r="BQE12" s="7"/>
      <c r="BRA12" s="221" t="s">
        <v>4984</v>
      </c>
      <c r="BRB12" s="230" t="s">
        <v>4593</v>
      </c>
      <c r="BRC12" s="1512"/>
      <c r="BRD12" s="1020">
        <v>7</v>
      </c>
      <c r="BRE12" t="s">
        <v>5029</v>
      </c>
      <c r="BWA12" s="1175" t="s">
        <v>5833</v>
      </c>
      <c r="BWB12" s="1187"/>
      <c r="BWC12" s="1186" t="s">
        <v>1221</v>
      </c>
      <c r="BWD12" s="1186" t="s">
        <v>6583</v>
      </c>
      <c r="BWE12" s="1235"/>
      <c r="BWF12" s="1235"/>
      <c r="BWG12" s="1189" t="s">
        <v>6362</v>
      </c>
      <c r="BWH12" s="1189" t="s">
        <v>6362</v>
      </c>
      <c r="BWI12" s="1189" t="s">
        <v>6362</v>
      </c>
      <c r="BWJ12" s="235">
        <v>7</v>
      </c>
      <c r="BXA12" s="225">
        <v>1</v>
      </c>
      <c r="BXB12" s="225">
        <v>2</v>
      </c>
      <c r="BXC12" s="225">
        <v>3</v>
      </c>
      <c r="BXX12" s="170"/>
      <c r="BXY12" s="170"/>
      <c r="BXZ12" s="170"/>
      <c r="BYH12" s="170"/>
      <c r="BYI12" s="170"/>
      <c r="BYJ12" s="170"/>
      <c r="BYK12" s="170"/>
      <c r="BYL12" s="170"/>
      <c r="BYM12" s="170"/>
      <c r="BYN12" s="170"/>
      <c r="BYO12" s="170"/>
      <c r="BYP12" s="170"/>
      <c r="BYQ12" s="170"/>
      <c r="BYR12" s="170"/>
      <c r="BYS12" s="170"/>
      <c r="BYT12" s="170"/>
      <c r="BYU12" s="170"/>
      <c r="BYV12" s="170"/>
      <c r="BYW12" s="170"/>
      <c r="BYX12" s="170"/>
      <c r="BYY12" s="170"/>
      <c r="BYZ12" s="170"/>
      <c r="BZA12" s="170"/>
      <c r="BZB12" s="170"/>
      <c r="BZC12" s="170"/>
      <c r="BZD12" s="170"/>
      <c r="BZE12" s="170"/>
      <c r="BZF12" s="170"/>
      <c r="BZG12" s="170"/>
      <c r="BZH12" s="170"/>
      <c r="BZI12" s="170"/>
      <c r="BZJ12" s="170"/>
      <c r="BZK12" s="170"/>
      <c r="BZL12" s="170"/>
      <c r="BZM12" s="170"/>
      <c r="BZN12" s="170"/>
      <c r="BZO12" s="170"/>
      <c r="BZP12" s="170"/>
      <c r="BZQ12" s="170"/>
      <c r="BZR12" s="170"/>
      <c r="BZS12" s="170"/>
      <c r="BZT12" s="170"/>
      <c r="BZU12" s="170"/>
      <c r="BZV12" s="170"/>
      <c r="BZW12" s="170"/>
      <c r="BZX12" s="170"/>
      <c r="BZY12" s="170"/>
      <c r="BZZ12" s="170"/>
      <c r="CAA12" s="170"/>
      <c r="CAB12" s="170"/>
      <c r="CAC12" s="170"/>
      <c r="CAD12" s="170"/>
      <c r="CAE12" s="170"/>
      <c r="CAF12" s="170"/>
      <c r="CAG12" s="170"/>
      <c r="CAH12" s="170"/>
      <c r="CAI12" s="170"/>
      <c r="CAJ12" s="170"/>
      <c r="CAK12" s="170"/>
      <c r="CAL12" s="170"/>
      <c r="CAM12" s="170"/>
      <c r="CAN12" s="170"/>
      <c r="CAO12" s="170"/>
      <c r="CAP12" s="170"/>
      <c r="CAQ12" s="170"/>
      <c r="CAR12" s="170"/>
      <c r="CAS12" s="170"/>
      <c r="CAT12" s="170"/>
      <c r="CAU12" s="170"/>
      <c r="CAV12" s="170"/>
      <c r="CAW12" s="170"/>
      <c r="CAX12" s="170"/>
      <c r="CAY12" s="170"/>
      <c r="CAZ12" s="170"/>
      <c r="CBA12" s="170"/>
      <c r="CBB12" s="170"/>
      <c r="CBC12" s="170"/>
      <c r="CBD12" s="170"/>
      <c r="CBE12" s="170"/>
      <c r="CBF12" s="170"/>
      <c r="CBG12" s="170"/>
      <c r="CBH12" s="170"/>
      <c r="CBI12" s="170"/>
      <c r="CBJ12" s="170"/>
      <c r="CBK12" s="170"/>
      <c r="CBL12" s="170"/>
      <c r="CBM12" s="170"/>
      <c r="CBN12" s="170"/>
      <c r="CBO12" s="170"/>
      <c r="CBP12" s="170"/>
      <c r="CBQ12" s="170"/>
      <c r="CBR12" s="170"/>
      <c r="CBS12" s="170"/>
      <c r="CBT12" s="170"/>
      <c r="CBU12" s="170"/>
      <c r="CBV12" s="170"/>
      <c r="CBW12" s="170"/>
      <c r="CBX12" s="170"/>
      <c r="CBY12" s="170"/>
      <c r="CBZ12" s="170"/>
      <c r="CCA12" s="170"/>
      <c r="CCB12" s="170"/>
      <c r="CCC12" s="170"/>
      <c r="CCD12" s="170"/>
      <c r="CCE12" s="170"/>
      <c r="CCF12" s="170"/>
      <c r="CCG12" s="170"/>
      <c r="CCH12" s="170"/>
      <c r="CCI12" s="170"/>
      <c r="CCJ12" s="170"/>
      <c r="CCK12" s="170"/>
      <c r="CCL12" s="170"/>
      <c r="CCM12" s="170"/>
      <c r="CCN12" s="170"/>
      <c r="CCO12" s="170"/>
      <c r="CCP12" s="170"/>
      <c r="CCQ12" s="170"/>
      <c r="CCR12" s="170"/>
      <c r="CCS12" s="170"/>
      <c r="CCT12" s="170"/>
      <c r="CCU12" s="170"/>
      <c r="CCV12" s="170"/>
      <c r="CCW12" s="170"/>
      <c r="CCX12" s="170"/>
      <c r="CCY12" s="170"/>
      <c r="CCZ12" s="170"/>
      <c r="CDA12" s="170"/>
      <c r="CDB12" s="170"/>
      <c r="CDC12" s="170"/>
      <c r="CDD12" s="170"/>
      <c r="CDE12" s="170"/>
      <c r="CDF12" s="170"/>
      <c r="CDG12" s="170"/>
      <c r="CDH12" s="170"/>
      <c r="CDI12" s="170"/>
      <c r="CDJ12" s="170"/>
      <c r="CDK12" s="170"/>
      <c r="CDL12" s="170"/>
      <c r="CDM12" s="170"/>
      <c r="CDN12" s="170"/>
      <c r="CDO12" s="170"/>
      <c r="CDP12" s="170"/>
      <c r="CDQ12" s="170"/>
      <c r="CDR12" s="170"/>
      <c r="CDS12" s="170"/>
      <c r="CDT12" s="170"/>
      <c r="CDU12" s="170"/>
      <c r="CDV12" s="170"/>
      <c r="CDW12" s="170"/>
      <c r="CDX12" s="170"/>
      <c r="CDY12" s="170"/>
      <c r="CDZ12" s="170"/>
      <c r="CEA12" s="170"/>
      <c r="CEB12" s="170"/>
      <c r="CEC12" s="170"/>
      <c r="CED12" s="170"/>
      <c r="CEE12" s="170"/>
      <c r="CEF12" s="170"/>
      <c r="CEG12" s="170"/>
      <c r="CEH12" s="170"/>
      <c r="CEI12" s="170"/>
      <c r="CEJ12" s="170"/>
      <c r="CEK12" s="170"/>
      <c r="CEL12" s="170"/>
      <c r="CEM12" s="170"/>
      <c r="CEN12" s="170"/>
      <c r="CEO12" s="170"/>
      <c r="CEP12" s="170"/>
      <c r="CEQ12" s="170"/>
      <c r="CER12" s="170"/>
      <c r="CES12" s="170"/>
      <c r="CET12" s="170"/>
      <c r="CEU12" s="170"/>
      <c r="CEV12" s="170"/>
      <c r="CEW12" s="170"/>
      <c r="CEX12" s="170"/>
      <c r="CEY12" s="170"/>
      <c r="CEZ12" s="170"/>
      <c r="CFA12" s="170"/>
      <c r="CFB12" s="170"/>
      <c r="CFC12" s="170"/>
      <c r="CFD12" s="170"/>
      <c r="CFE12" s="170"/>
      <c r="CFF12" s="170"/>
      <c r="CFG12" s="170"/>
      <c r="CFH12" s="170"/>
      <c r="CFI12" s="170"/>
      <c r="CFJ12" s="170"/>
      <c r="CFK12" s="170"/>
      <c r="CFL12" s="170"/>
      <c r="CFM12" s="170"/>
      <c r="CFN12" s="170"/>
      <c r="CFO12" s="170"/>
      <c r="CFP12" s="170"/>
      <c r="CFQ12" s="170"/>
      <c r="CFR12" s="170"/>
      <c r="CFS12" s="170"/>
      <c r="CFT12" s="170"/>
      <c r="CFU12" s="170"/>
      <c r="CFV12" s="170"/>
      <c r="CFW12" s="170"/>
      <c r="CFX12" s="170"/>
      <c r="CFY12" s="170"/>
      <c r="CFZ12" s="170"/>
      <c r="CGA12" s="170"/>
      <c r="CGB12" s="170"/>
      <c r="CGC12" s="170"/>
      <c r="CGD12" s="170"/>
      <c r="CGE12" s="170"/>
      <c r="CGF12" s="170"/>
      <c r="CGG12" s="170"/>
      <c r="CGH12" s="170"/>
      <c r="CGI12" s="170"/>
      <c r="CGJ12" s="170"/>
      <c r="CGK12" s="170"/>
      <c r="CGL12" s="170"/>
      <c r="CGM12" s="170"/>
      <c r="CGN12" s="170"/>
      <c r="CGO12" s="170"/>
      <c r="CGP12" s="170"/>
      <c r="CGQ12" s="170"/>
      <c r="CGR12" s="170"/>
      <c r="CGS12" s="170"/>
      <c r="CGT12" s="170"/>
      <c r="CGU12" s="170"/>
      <c r="CGV12" s="170"/>
      <c r="CGW12" s="170"/>
      <c r="CGX12" s="170"/>
      <c r="CGY12" s="170"/>
      <c r="CGZ12" s="170"/>
      <c r="CHA12" s="170"/>
      <c r="CHB12" s="170"/>
      <c r="CHC12" s="170"/>
      <c r="CHD12" s="170"/>
      <c r="CHE12" s="170"/>
      <c r="CHF12" s="170"/>
      <c r="CHG12" s="170"/>
      <c r="CHH12" s="170"/>
      <c r="CHI12" s="170"/>
      <c r="CHJ12" s="170"/>
      <c r="CHK12" s="170"/>
      <c r="CHL12" s="170"/>
      <c r="CHM12" s="170"/>
      <c r="CHN12" s="170"/>
      <c r="CHO12" s="170"/>
      <c r="CHP12" s="170"/>
      <c r="CHQ12" s="170"/>
      <c r="CHR12" s="170"/>
      <c r="CHS12" s="170"/>
      <c r="CHT12" s="170"/>
      <c r="CHU12" s="170"/>
      <c r="CHV12" s="170"/>
      <c r="CHW12" s="170"/>
      <c r="CHX12" s="170"/>
      <c r="CHY12" s="170"/>
      <c r="CHZ12" s="170"/>
      <c r="CIA12" s="170"/>
      <c r="CIB12" s="170"/>
      <c r="CIC12" s="170"/>
      <c r="CID12" s="170"/>
      <c r="CIE12" s="170"/>
      <c r="CIF12" s="170"/>
      <c r="CIG12" s="170"/>
      <c r="CIH12" s="170"/>
      <c r="CII12" s="170"/>
      <c r="CIJ12" s="170"/>
      <c r="CIK12" s="170"/>
      <c r="CIL12" s="170"/>
      <c r="CIM12" s="170"/>
      <c r="CIN12" s="170"/>
      <c r="CIO12" s="170"/>
      <c r="CIP12" s="170"/>
      <c r="CIQ12" s="170"/>
      <c r="CIR12" s="170"/>
      <c r="CIS12" s="170"/>
      <c r="CIT12" s="170"/>
      <c r="CIU12" s="170"/>
      <c r="CIV12" s="170"/>
      <c r="CIW12" s="170"/>
      <c r="CIX12" s="170"/>
      <c r="CIY12" s="170"/>
      <c r="CIZ12" s="170"/>
      <c r="CJA12" s="170"/>
      <c r="CJB12" s="170"/>
      <c r="CJC12" s="170"/>
      <c r="CJD12" s="170"/>
      <c r="CJE12" s="170"/>
      <c r="CJF12" s="170"/>
      <c r="CJG12" s="170"/>
      <c r="CJH12" s="170"/>
      <c r="CJI12" s="170"/>
      <c r="CJJ12" s="170"/>
      <c r="CJK12" s="170"/>
      <c r="CJL12" s="170"/>
      <c r="CJM12" s="170"/>
      <c r="CJN12" s="170"/>
      <c r="CJO12" s="170"/>
      <c r="CJP12" s="170"/>
      <c r="CJQ12" s="170"/>
      <c r="CJR12" s="170"/>
      <c r="CJS12" s="170"/>
      <c r="CJT12" s="170"/>
      <c r="CJU12" s="170"/>
      <c r="CJV12" s="170"/>
      <c r="CJW12" s="170"/>
      <c r="CJX12" s="170"/>
      <c r="CJY12" s="170"/>
      <c r="CJZ12" s="170"/>
      <c r="CKA12" s="170"/>
      <c r="CKB12" s="170"/>
      <c r="CKC12" s="170"/>
      <c r="CKD12" s="170"/>
      <c r="CKE12" s="170"/>
      <c r="CKF12" s="170"/>
      <c r="CKG12" s="170"/>
      <c r="CKH12" s="170"/>
      <c r="CKI12" s="170"/>
      <c r="CKJ12" s="170"/>
      <c r="CKK12" s="170"/>
      <c r="CKL12" s="170"/>
      <c r="CKM12" s="170"/>
      <c r="CKN12" s="170"/>
      <c r="CKO12" s="170"/>
      <c r="CKP12" s="170"/>
      <c r="CKQ12" s="170"/>
      <c r="CKR12" s="170"/>
      <c r="CKS12" s="170"/>
      <c r="CKT12" s="170"/>
      <c r="CKU12" s="170"/>
      <c r="CKV12" s="170"/>
      <c r="CKW12" s="170"/>
      <c r="CKX12" s="170"/>
      <c r="CKY12" s="170"/>
      <c r="CKZ12" s="170"/>
      <c r="CLA12" s="170"/>
      <c r="CLB12" s="170"/>
      <c r="CLC12" s="170"/>
      <c r="CLD12" s="170"/>
      <c r="CLE12" s="170"/>
      <c r="CLF12" s="170"/>
      <c r="CLG12" s="170"/>
      <c r="CLH12" s="170"/>
      <c r="CLI12" s="170"/>
      <c r="CLJ12" s="170"/>
      <c r="CLK12" s="170"/>
      <c r="CLL12" s="170"/>
      <c r="CLM12" s="170"/>
      <c r="CLN12" s="170"/>
      <c r="CLO12" s="170"/>
      <c r="CLP12" s="170"/>
      <c r="CLQ12" s="170"/>
      <c r="CLR12" s="170"/>
      <c r="CLS12" s="170"/>
      <c r="CLT12" s="170"/>
      <c r="CLU12" s="170"/>
      <c r="CLV12" s="170"/>
      <c r="CLW12" s="170"/>
      <c r="CLX12" s="170"/>
      <c r="CLY12" s="170"/>
      <c r="CLZ12" s="170"/>
      <c r="CMA12" s="170"/>
      <c r="CMB12" s="170"/>
      <c r="CMC12" s="170"/>
      <c r="CMD12" s="170"/>
      <c r="CME12" s="170"/>
      <c r="CMF12" s="170"/>
      <c r="CMG12" s="170"/>
      <c r="CMH12" s="170"/>
      <c r="CMI12" s="170"/>
      <c r="CMJ12" s="170"/>
      <c r="CMK12" s="170"/>
      <c r="CML12" s="170"/>
      <c r="CMM12" s="170"/>
      <c r="CMN12" s="170"/>
      <c r="CMO12" s="170"/>
      <c r="CMP12" s="170"/>
      <c r="CMQ12" s="170"/>
      <c r="CMR12" s="170"/>
      <c r="CMS12" s="170"/>
      <c r="CMT12" s="170"/>
      <c r="CMU12" s="170"/>
      <c r="CMV12" s="170"/>
      <c r="CMW12" s="170"/>
      <c r="CMX12" s="170"/>
      <c r="CMY12" s="170"/>
      <c r="CMZ12" s="170"/>
      <c r="CNA12" s="170"/>
      <c r="CNB12" s="170"/>
      <c r="CNC12" s="170"/>
      <c r="CND12" s="170"/>
      <c r="CNE12" s="170"/>
      <c r="CNF12" s="170"/>
      <c r="CNG12" s="170"/>
      <c r="CNH12" s="170"/>
      <c r="CNI12" s="170"/>
      <c r="CNJ12" s="170"/>
      <c r="CNK12" s="170"/>
      <c r="CNL12" s="170"/>
      <c r="CNM12" s="170"/>
      <c r="CNN12" s="170"/>
      <c r="CNO12" s="170"/>
      <c r="CNP12" s="170"/>
      <c r="CNQ12" s="170"/>
      <c r="CNR12" s="170"/>
      <c r="CNS12" s="170"/>
      <c r="CNT12" s="170"/>
      <c r="CNU12" s="170"/>
      <c r="CNV12" s="170"/>
      <c r="CNW12" s="170"/>
      <c r="CNX12" s="170"/>
      <c r="CNY12" s="170"/>
      <c r="CNZ12" s="170"/>
      <c r="COA12" s="170"/>
      <c r="COB12" s="170"/>
      <c r="COC12" s="170"/>
      <c r="COD12" s="170"/>
      <c r="COE12" s="170"/>
      <c r="COF12" s="170"/>
      <c r="COG12" s="170"/>
      <c r="COH12" s="170"/>
      <c r="COI12" s="170"/>
      <c r="COJ12" s="170"/>
      <c r="COK12" s="170"/>
      <c r="COL12" s="170"/>
      <c r="COM12" s="170"/>
      <c r="CON12" s="170"/>
      <c r="COO12" s="170"/>
      <c r="COP12" s="170"/>
      <c r="COQ12" s="170"/>
      <c r="COR12" s="170"/>
      <c r="COS12" s="170"/>
      <c r="COT12" s="170"/>
      <c r="COU12" s="170"/>
      <c r="COV12" s="170"/>
      <c r="COW12" s="170"/>
      <c r="COX12" s="170"/>
      <c r="COY12" s="170"/>
      <c r="COZ12" s="170"/>
      <c r="CPA12" s="170"/>
      <c r="CPB12" s="170"/>
      <c r="CPC12" s="170"/>
      <c r="CPD12" s="170"/>
      <c r="CPE12" s="170"/>
      <c r="CPF12" s="170"/>
      <c r="CPG12" s="170"/>
      <c r="CPH12" s="170"/>
      <c r="CPI12" s="170"/>
      <c r="CPJ12" s="170"/>
      <c r="CPK12" s="170"/>
      <c r="CPL12" s="170"/>
      <c r="CPM12" s="170"/>
      <c r="CPN12" s="170"/>
      <c r="CPO12" s="170"/>
      <c r="CPP12" s="170"/>
      <c r="CPQ12" s="170"/>
      <c r="CPR12" s="170"/>
      <c r="CPS12" s="170"/>
      <c r="CPT12" s="170"/>
      <c r="CPU12" s="170"/>
      <c r="CPV12" s="170"/>
      <c r="CPW12" s="170"/>
      <c r="CPX12" s="170"/>
      <c r="CPY12" s="170"/>
      <c r="CPZ12" s="170"/>
      <c r="CQA12" s="170"/>
      <c r="CQB12" s="170"/>
      <c r="CQC12" s="170"/>
      <c r="CQD12" s="170"/>
      <c r="CQE12" s="170"/>
      <c r="CQF12" s="170"/>
      <c r="CQG12" s="170"/>
      <c r="CQH12" s="170"/>
      <c r="CQI12" s="170"/>
      <c r="CQJ12" s="170"/>
      <c r="CQK12" s="170"/>
      <c r="CQL12" s="170"/>
      <c r="CQM12" s="170"/>
      <c r="CQN12" s="170"/>
      <c r="CQO12" s="170"/>
      <c r="CQP12" s="170"/>
      <c r="CQQ12" s="170"/>
      <c r="CQR12" s="170"/>
      <c r="CQS12" s="170"/>
      <c r="CQT12" s="170"/>
      <c r="CQU12" s="170"/>
      <c r="CQV12" s="170"/>
      <c r="CQW12" s="170"/>
      <c r="CQX12" s="170"/>
      <c r="CQY12" s="170"/>
      <c r="CQZ12" s="170"/>
      <c r="CRA12" s="170"/>
      <c r="CRB12" s="170"/>
      <c r="CRC12" s="170"/>
      <c r="CRD12" s="170"/>
      <c r="CRE12" s="170"/>
      <c r="CRF12" s="170"/>
      <c r="CRG12" s="170"/>
      <c r="CRH12" s="170"/>
      <c r="CRI12" s="170"/>
      <c r="CRJ12" s="170"/>
      <c r="CRK12" s="170"/>
      <c r="CRL12" s="170"/>
      <c r="CRM12" s="170"/>
      <c r="CRN12" s="170"/>
      <c r="CRO12" s="170"/>
      <c r="CRP12" s="170"/>
      <c r="CRQ12" s="170"/>
      <c r="CRR12" s="170"/>
      <c r="CRS12" s="170"/>
      <c r="CRT12" s="170"/>
      <c r="CRU12" s="170"/>
      <c r="CRV12" s="170"/>
      <c r="CRW12" s="170"/>
      <c r="CRX12" s="170"/>
      <c r="CRY12" s="170"/>
      <c r="CRZ12" s="170"/>
      <c r="CSA12" s="170"/>
      <c r="CSB12" s="170"/>
      <c r="CSC12" s="170"/>
      <c r="CSD12" s="170"/>
      <c r="CSE12" s="170"/>
      <c r="CSF12" s="170"/>
      <c r="CSG12" s="170"/>
      <c r="CSH12" s="170"/>
      <c r="CSI12" s="170"/>
      <c r="CSJ12" s="170"/>
      <c r="CSK12" s="170"/>
      <c r="CSL12" s="170"/>
      <c r="CSM12" s="170"/>
      <c r="CSN12" s="170"/>
      <c r="CSO12" s="170"/>
      <c r="CSP12" s="170"/>
      <c r="CSQ12" s="170"/>
      <c r="CSR12" s="170"/>
      <c r="CSS12" s="170"/>
      <c r="CST12" s="170"/>
      <c r="CSU12" s="170"/>
      <c r="CSV12" s="170"/>
      <c r="CSW12" s="170"/>
      <c r="CSX12" s="170"/>
      <c r="CSY12" s="170"/>
      <c r="CSZ12" s="170"/>
      <c r="CTA12" s="170"/>
      <c r="CTB12" s="170"/>
      <c r="CTC12" s="170"/>
      <c r="CTD12" s="170"/>
      <c r="CTE12" s="170"/>
      <c r="CTF12" s="170"/>
      <c r="CTG12" s="170"/>
      <c r="CTH12" s="170"/>
      <c r="CTI12" s="170"/>
      <c r="CTJ12" s="170"/>
      <c r="CTK12" s="170"/>
      <c r="CTL12" s="170"/>
      <c r="CTM12" s="170"/>
      <c r="CTN12" s="170"/>
      <c r="CTO12" s="170"/>
      <c r="CTP12" s="170"/>
      <c r="CTQ12" s="170"/>
      <c r="CTR12" s="170"/>
      <c r="CTS12" s="170"/>
      <c r="CTT12" s="170"/>
      <c r="CTU12" s="170"/>
      <c r="CTV12" s="170"/>
      <c r="CTW12" s="170"/>
      <c r="CTX12" s="170"/>
      <c r="CTY12" s="170"/>
      <c r="CTZ12" s="170"/>
      <c r="CUA12" s="170"/>
      <c r="CUB12" s="170"/>
      <c r="CUC12" s="170"/>
      <c r="CUD12" s="170"/>
      <c r="CUE12" s="170"/>
      <c r="CUF12" s="170"/>
      <c r="CUG12" s="170"/>
      <c r="CUH12" s="170"/>
      <c r="CUI12" s="170"/>
      <c r="CUJ12" s="170"/>
      <c r="CUK12" s="170"/>
      <c r="CUL12" s="170"/>
      <c r="CUM12" s="170"/>
      <c r="CUN12" s="170"/>
      <c r="CUO12" s="170"/>
      <c r="CUP12" s="170"/>
      <c r="CUQ12" s="170"/>
      <c r="CUR12" s="170"/>
      <c r="CUS12" s="170"/>
      <c r="CUT12" s="170"/>
      <c r="CUU12" s="170"/>
      <c r="CUV12" s="170"/>
      <c r="CUW12" s="170"/>
      <c r="CUX12" s="170"/>
      <c r="CUY12" s="170"/>
      <c r="CUZ12" s="170"/>
      <c r="CVA12" s="170"/>
      <c r="CVB12" s="170"/>
      <c r="CVC12" s="170"/>
      <c r="CVD12" s="170"/>
      <c r="CVE12" s="170"/>
      <c r="CVF12" s="170"/>
      <c r="CVG12" s="170"/>
      <c r="CVH12" s="170"/>
      <c r="CVI12" s="170"/>
      <c r="CVJ12" s="170"/>
      <c r="CVK12" s="170"/>
      <c r="CVL12" s="170"/>
      <c r="CVM12" s="170"/>
      <c r="CVN12" s="170"/>
      <c r="CVO12" s="170"/>
      <c r="CVP12" s="170"/>
      <c r="CVQ12" s="170"/>
      <c r="CVR12" s="170"/>
      <c r="CVS12" s="170"/>
      <c r="CVT12" s="170"/>
      <c r="CVU12" s="170"/>
      <c r="CVV12" s="170"/>
      <c r="CVW12" s="170"/>
      <c r="CVX12" s="170"/>
      <c r="CVY12" s="170"/>
      <c r="CVZ12" s="170"/>
      <c r="CWA12" s="170"/>
      <c r="CWB12" s="170"/>
      <c r="CWC12" s="170"/>
      <c r="CWD12" s="170"/>
      <c r="CWE12" s="170"/>
      <c r="CWF12" s="170"/>
      <c r="CWG12" s="170"/>
      <c r="CWH12" s="170"/>
      <c r="CWI12" s="170"/>
      <c r="CWJ12" s="170"/>
      <c r="CWK12" s="170"/>
      <c r="CWL12" s="170"/>
      <c r="CWM12" s="170"/>
      <c r="CWN12" s="170"/>
      <c r="CWO12" s="170"/>
      <c r="CWP12" s="170"/>
      <c r="CWQ12" s="170"/>
      <c r="CWR12" s="170"/>
      <c r="CWS12" s="170"/>
      <c r="CWT12" s="170"/>
      <c r="CWU12" s="170"/>
      <c r="CWV12" s="170"/>
      <c r="CWW12" s="170"/>
      <c r="CWX12" s="170"/>
      <c r="CWY12" s="170"/>
      <c r="CWZ12" s="170"/>
      <c r="CXA12" s="170"/>
      <c r="CXB12" s="170"/>
      <c r="CXC12" s="170"/>
      <c r="CXD12" s="170"/>
      <c r="CXE12" s="170"/>
      <c r="CXF12" s="170"/>
      <c r="CXG12" s="170"/>
      <c r="CXH12" s="170"/>
      <c r="CXI12" s="170"/>
      <c r="CXJ12" s="170"/>
      <c r="CXK12" s="170"/>
      <c r="CXL12" s="170"/>
      <c r="CXM12" s="170"/>
      <c r="CXN12" s="170"/>
      <c r="CXO12" s="170"/>
      <c r="CXP12" s="170"/>
      <c r="CXQ12" s="170"/>
      <c r="CXR12" s="170"/>
      <c r="CXS12" s="170"/>
      <c r="CXT12" s="170"/>
      <c r="CXU12" s="170"/>
      <c r="CXV12" s="170"/>
      <c r="CXW12" s="170"/>
      <c r="CXX12" s="170"/>
      <c r="CXY12" s="170"/>
      <c r="CXZ12" s="170"/>
      <c r="CYA12" s="170"/>
      <c r="CYB12" s="170"/>
      <c r="CYC12" s="170"/>
      <c r="CYD12" s="170"/>
      <c r="CYE12" s="170"/>
      <c r="CYF12" s="170"/>
      <c r="CYG12" s="170"/>
      <c r="CYH12" s="170"/>
      <c r="CYI12" s="170"/>
      <c r="CYJ12" s="170"/>
      <c r="CYK12" s="170"/>
      <c r="CYL12" s="170"/>
      <c r="CYM12" s="170"/>
      <c r="CYN12" s="170"/>
      <c r="CYO12" s="170"/>
      <c r="CYP12" s="170"/>
      <c r="CYQ12" s="170"/>
      <c r="CYR12" s="170"/>
      <c r="CYS12" s="170"/>
      <c r="CYT12" s="170"/>
      <c r="CYU12" s="170"/>
      <c r="CYV12" s="170"/>
      <c r="CYW12" s="170"/>
      <c r="CYX12" s="170"/>
      <c r="CYY12" s="170"/>
      <c r="CYZ12" s="170"/>
      <c r="CZA12" s="170"/>
      <c r="CZB12" s="170"/>
      <c r="CZC12" s="170"/>
      <c r="CZD12" s="170"/>
      <c r="CZE12" s="170"/>
      <c r="CZF12" s="170"/>
      <c r="CZG12" s="170"/>
      <c r="CZH12" s="170"/>
      <c r="CZI12" s="170"/>
      <c r="CZJ12" s="170"/>
      <c r="CZK12" s="170"/>
      <c r="CZL12" s="170"/>
      <c r="CZM12" s="170"/>
      <c r="CZN12" s="170"/>
      <c r="CZO12" s="170"/>
      <c r="CZP12" s="170"/>
      <c r="CZQ12" s="170"/>
      <c r="CZR12" s="170"/>
      <c r="CZS12" s="170"/>
      <c r="CZT12" s="170"/>
      <c r="CZU12" s="170"/>
      <c r="CZV12" s="170"/>
      <c r="CZW12" s="170"/>
      <c r="CZX12" s="170"/>
      <c r="CZY12" s="170"/>
      <c r="CZZ12" s="170"/>
      <c r="DAA12" s="170"/>
      <c r="DAB12" s="170"/>
      <c r="DAC12" s="170"/>
      <c r="DAD12" s="170"/>
      <c r="DAE12" s="170"/>
      <c r="DAF12" s="170"/>
      <c r="DAG12" s="170"/>
      <c r="DAH12" s="170"/>
      <c r="DAI12" s="170"/>
      <c r="DAJ12" s="170"/>
      <c r="DAK12" s="170"/>
      <c r="DAL12" s="170"/>
      <c r="DAM12" s="170"/>
      <c r="DAN12" s="170"/>
      <c r="DAO12" s="170"/>
      <c r="DAP12" s="170"/>
      <c r="DAQ12" s="170"/>
      <c r="DAR12" s="170"/>
      <c r="DAS12" s="170"/>
      <c r="DAT12" s="170"/>
      <c r="DAU12" s="170"/>
      <c r="DAV12" s="170"/>
      <c r="DAW12" s="170"/>
      <c r="DAX12" s="170"/>
      <c r="DAY12" s="170"/>
      <c r="DAZ12" s="170"/>
      <c r="DBA12" s="170"/>
      <c r="DBB12" s="170"/>
      <c r="DCA12" t="s">
        <v>7134</v>
      </c>
      <c r="DCB12" t="s">
        <v>7135</v>
      </c>
    </row>
    <row r="13" spans="1:2814" ht="30" customHeight="1" thickBot="1">
      <c r="A13" s="1323" t="s">
        <v>3768</v>
      </c>
      <c r="B13" s="1305">
        <v>37</v>
      </c>
      <c r="C13" s="312" t="s">
        <v>6865</v>
      </c>
      <c r="D13" s="317" t="s">
        <v>3823</v>
      </c>
      <c r="E13" s="317" t="s">
        <v>6343</v>
      </c>
      <c r="F13" s="1311" t="s">
        <v>233</v>
      </c>
      <c r="G13" s="1316"/>
      <c r="H13" s="1316"/>
      <c r="I13" s="1316"/>
      <c r="J13" s="1319" t="s">
        <v>6659</v>
      </c>
      <c r="K13" s="416"/>
      <c r="L13" s="2506">
        <f>MATCH(C13, $A$1:$DZG$1,0)</f>
        <v>1483</v>
      </c>
      <c r="M13" t="str">
        <f t="shared" si="0"/>
        <v>BEA</v>
      </c>
      <c r="N13" s="416"/>
      <c r="O13" s="416"/>
      <c r="P13" s="416"/>
      <c r="Q13" s="416"/>
      <c r="R13" s="416"/>
      <c r="S13" s="416"/>
      <c r="T13" s="416"/>
      <c r="U13" s="416"/>
      <c r="V13" s="416"/>
      <c r="W13" s="416"/>
      <c r="AB13" t="s">
        <v>4109</v>
      </c>
      <c r="BA13" t="s">
        <v>4140</v>
      </c>
      <c r="BB13" t="s">
        <v>4141</v>
      </c>
      <c r="BC13" s="457" t="s">
        <v>461</v>
      </c>
      <c r="CA13" s="1638" t="s">
        <v>4110</v>
      </c>
      <c r="CB13" s="1638"/>
      <c r="CC13" s="1638"/>
      <c r="DA13" s="1647"/>
      <c r="DB13" s="1648"/>
      <c r="EA13" s="848">
        <v>603</v>
      </c>
      <c r="EB13" s="10" t="s">
        <v>599</v>
      </c>
      <c r="EC13" s="10" t="s">
        <v>4135</v>
      </c>
      <c r="FA13" s="432" t="s">
        <v>6613</v>
      </c>
      <c r="FB13" s="1701" t="s">
        <v>6927</v>
      </c>
      <c r="FC13" s="1702"/>
      <c r="FD13" s="935">
        <v>6</v>
      </c>
      <c r="FE13" s="1645" t="s">
        <v>6925</v>
      </c>
      <c r="FF13" s="1645"/>
      <c r="FG13" s="81"/>
      <c r="FH13" s="81"/>
      <c r="GA13" s="112"/>
      <c r="GB13" s="1501" t="s">
        <v>6911</v>
      </c>
      <c r="GC13" s="1501"/>
      <c r="GD13" s="1501"/>
      <c r="GE13" s="1501"/>
      <c r="GF13" s="1501"/>
      <c r="HA13" s="1611" t="s">
        <v>4146</v>
      </c>
      <c r="HB13" s="1612"/>
      <c r="HC13" s="1612"/>
      <c r="HD13" s="1612"/>
      <c r="HE13" s="1612"/>
      <c r="HF13" s="1612"/>
      <c r="KA13" s="10" t="s">
        <v>475</v>
      </c>
      <c r="KB13" s="10" t="s">
        <v>476</v>
      </c>
      <c r="LA13" s="10" t="s">
        <v>532</v>
      </c>
      <c r="LB13" s="10" t="s">
        <v>533</v>
      </c>
      <c r="MA13" s="10" t="s">
        <v>477</v>
      </c>
      <c r="MB13" s="10" t="s">
        <v>477</v>
      </c>
      <c r="NA13" s="10" t="s">
        <v>464</v>
      </c>
      <c r="NB13" s="441" t="s">
        <v>464</v>
      </c>
      <c r="OA13" s="221" t="s">
        <v>3</v>
      </c>
      <c r="OB13" s="221" t="s">
        <v>4</v>
      </c>
      <c r="QA13" s="10" t="s">
        <v>4871</v>
      </c>
      <c r="QB13" s="10" t="s">
        <v>4873</v>
      </c>
      <c r="RA13" s="359" t="s">
        <v>465</v>
      </c>
      <c r="RB13" s="959" t="s">
        <v>385</v>
      </c>
      <c r="RC13" s="951"/>
      <c r="RD13" s="345">
        <v>6</v>
      </c>
      <c r="RE13" t="s">
        <v>444</v>
      </c>
      <c r="SA13" s="221" t="s">
        <v>445</v>
      </c>
      <c r="SB13" s="1619" t="s">
        <v>4217</v>
      </c>
      <c r="SC13" s="1620"/>
      <c r="SD13" s="934">
        <v>8</v>
      </c>
      <c r="SE13" s="442"/>
      <c r="TA13" s="827" t="s">
        <v>481</v>
      </c>
      <c r="TB13" s="165" t="s">
        <v>385</v>
      </c>
      <c r="TC13" s="963" t="s">
        <v>4242</v>
      </c>
      <c r="TD13" s="963" t="s">
        <v>4242</v>
      </c>
      <c r="TE13" s="230" t="s">
        <v>418</v>
      </c>
      <c r="TF13" s="114">
        <v>8</v>
      </c>
      <c r="TG13" s="171" t="s">
        <v>4247</v>
      </c>
      <c r="UA13" s="246" t="s">
        <v>434</v>
      </c>
      <c r="UB13" t="s">
        <v>509</v>
      </c>
      <c r="VA13" s="226" t="s">
        <v>3</v>
      </c>
      <c r="VB13" s="226" t="s">
        <v>4</v>
      </c>
      <c r="VC13" s="824" t="s">
        <v>234</v>
      </c>
      <c r="WA13" s="226" t="s">
        <v>3</v>
      </c>
      <c r="WB13" s="226" t="s">
        <v>4</v>
      </c>
      <c r="WC13" s="226" t="s">
        <v>428</v>
      </c>
      <c r="XA13" s="1601" t="s">
        <v>7638</v>
      </c>
      <c r="XB13" s="1602"/>
      <c r="XC13" s="1602"/>
      <c r="XD13" s="1602"/>
      <c r="XE13" s="1602"/>
      <c r="XF13" s="969"/>
      <c r="XG13" s="969"/>
      <c r="XH13" s="969"/>
      <c r="XI13" s="969"/>
      <c r="XJ13" s="969"/>
      <c r="XK13" s="969"/>
      <c r="YB13" s="7"/>
      <c r="YC13" s="7"/>
      <c r="YD13" s="7"/>
      <c r="YE13" s="7" t="s">
        <v>428</v>
      </c>
      <c r="YF13" s="43" t="s">
        <v>7609</v>
      </c>
      <c r="ZB13" s="1528" t="s">
        <v>4146</v>
      </c>
      <c r="ZC13" s="1529"/>
      <c r="ZD13" s="1529"/>
      <c r="ZE13" s="966"/>
      <c r="ZF13" s="966"/>
      <c r="AAB13" s="1528" t="s">
        <v>4146</v>
      </c>
      <c r="AAC13" s="1529"/>
      <c r="AAD13" s="1529"/>
      <c r="AAE13" s="966"/>
      <c r="AAF13" s="966"/>
      <c r="ABB13" s="10" t="s">
        <v>488</v>
      </c>
      <c r="ABC13" s="10" t="s">
        <v>489</v>
      </c>
      <c r="ACB13" s="444" t="s">
        <v>3</v>
      </c>
      <c r="ACC13" s="444" t="s">
        <v>4</v>
      </c>
      <c r="ADB13" s="1686" t="s">
        <v>4146</v>
      </c>
      <c r="ADC13" s="1687"/>
      <c r="ADD13" s="1687"/>
      <c r="ADE13" s="1687"/>
      <c r="ADF13" s="1687"/>
      <c r="AEG13" s="969"/>
      <c r="AEH13" s="969"/>
      <c r="AEI13" s="969"/>
      <c r="AEJ13" s="969"/>
      <c r="AEK13" s="969"/>
      <c r="AEL13" s="969"/>
      <c r="AEM13" s="969"/>
      <c r="AEN13" s="969"/>
      <c r="AEO13" s="969"/>
      <c r="AEP13" s="969"/>
      <c r="AEQ13" s="969"/>
      <c r="AER13" s="969"/>
      <c r="AES13" s="969"/>
      <c r="AET13" s="969"/>
      <c r="AEU13" s="969"/>
      <c r="AEV13" s="969"/>
      <c r="AEW13" s="969"/>
      <c r="AEX13" s="969"/>
      <c r="AFB13" s="226" t="s">
        <v>3</v>
      </c>
      <c r="AFC13" s="226" t="s">
        <v>4</v>
      </c>
      <c r="AGB13" s="226" t="s">
        <v>3</v>
      </c>
      <c r="AGC13" s="226" t="s">
        <v>4</v>
      </c>
      <c r="AHB13" s="1596" t="s">
        <v>3</v>
      </c>
      <c r="AHC13" s="1596"/>
      <c r="AHD13" s="1596" t="s">
        <v>4</v>
      </c>
      <c r="AHE13" s="1596"/>
      <c r="AIB13" s="226" t="s">
        <v>3</v>
      </c>
      <c r="AIC13" s="226" t="s">
        <v>4</v>
      </c>
      <c r="AJB13" s="226" t="s">
        <v>3</v>
      </c>
      <c r="AJC13" s="226" t="s">
        <v>4</v>
      </c>
      <c r="AKB13" s="226" t="s">
        <v>3</v>
      </c>
      <c r="AKC13" s="226" t="s">
        <v>4</v>
      </c>
      <c r="ALB13" s="226" t="s">
        <v>3</v>
      </c>
      <c r="ALC13" s="226" t="s">
        <v>4</v>
      </c>
      <c r="AMB13" s="226" t="s">
        <v>3</v>
      </c>
      <c r="AMC13" s="226" t="s">
        <v>4</v>
      </c>
      <c r="ANB13" s="226" t="s">
        <v>3</v>
      </c>
      <c r="ANC13" s="226" t="s">
        <v>4</v>
      </c>
      <c r="AOB13" s="2547"/>
      <c r="AOC13" s="2547"/>
      <c r="AOD13" s="2547"/>
      <c r="AOE13" s="2547"/>
      <c r="AOF13" s="2547"/>
      <c r="APB13" s="2544"/>
      <c r="APC13" s="2544"/>
      <c r="APD13" s="2544"/>
      <c r="APE13" s="2544"/>
      <c r="APF13" s="2544"/>
      <c r="AQA13" s="221" t="s">
        <v>4494</v>
      </c>
      <c r="AQB13" s="230"/>
      <c r="AQC13" s="1512"/>
      <c r="AQD13" s="985">
        <v>8</v>
      </c>
      <c r="AQE13" s="1505" t="s">
        <v>4500</v>
      </c>
      <c r="AQF13" s="1505"/>
      <c r="AQG13" s="1505"/>
      <c r="AQZ13" s="346" t="s">
        <v>7756</v>
      </c>
      <c r="ARA13" s="2497" t="s">
        <v>7757</v>
      </c>
      <c r="ARB13" s="2498"/>
      <c r="ARC13" s="10"/>
      <c r="ARD13" s="157">
        <v>7</v>
      </c>
      <c r="ARE13" s="1526" t="s">
        <v>7757</v>
      </c>
      <c r="ARF13" s="1527"/>
      <c r="ATA13" s="221" t="s">
        <v>4535</v>
      </c>
      <c r="ATB13" s="230" t="s">
        <v>5825</v>
      </c>
      <c r="ATC13" s="1293"/>
      <c r="ATD13" s="985">
        <v>7</v>
      </c>
      <c r="ATE13" s="1721"/>
      <c r="ATF13" s="1722"/>
      <c r="ATG13" s="1722"/>
      <c r="ATH13" s="1723"/>
      <c r="AUB13" s="1502" t="s">
        <v>6411</v>
      </c>
      <c r="AUC13" s="1502"/>
      <c r="AUD13" s="1502"/>
      <c r="AUE13" s="1502"/>
      <c r="AUF13" s="597"/>
      <c r="AUG13" s="597"/>
      <c r="AVA13" s="1227" t="s">
        <v>6338</v>
      </c>
      <c r="AVB13" s="1228" t="s">
        <v>5825</v>
      </c>
      <c r="AVC13" s="1662"/>
      <c r="AVD13" s="157">
        <v>8</v>
      </c>
      <c r="AVE13" s="1664" t="s">
        <v>6578</v>
      </c>
      <c r="AVF13" s="1664"/>
      <c r="AWA13" s="991"/>
      <c r="AWC13" s="442"/>
      <c r="AWD13" s="133"/>
      <c r="AWE13" s="133"/>
      <c r="AXA13" s="992" t="s">
        <v>5414</v>
      </c>
      <c r="AXB13" s="181" t="s">
        <v>5412</v>
      </c>
      <c r="AXC13" s="992" t="s">
        <v>5415</v>
      </c>
      <c r="AXD13" s="1033" t="s">
        <v>1712</v>
      </c>
      <c r="AXE13" s="1512"/>
      <c r="AXF13" s="157" t="s">
        <v>5408</v>
      </c>
      <c r="AXG13" s="831"/>
      <c r="AYG13" s="969"/>
      <c r="AYH13" s="969"/>
      <c r="AYI13" s="969"/>
      <c r="AZA13" s="493">
        <v>1</v>
      </c>
      <c r="AZB13" s="493">
        <v>2</v>
      </c>
      <c r="AZC13" s="894">
        <v>3</v>
      </c>
      <c r="AZD13" s="110"/>
      <c r="AZE13" s="110"/>
      <c r="BAA13" s="221" t="s">
        <v>4493</v>
      </c>
      <c r="BAB13" s="1111" t="s">
        <v>1763</v>
      </c>
      <c r="BAC13" s="1169"/>
      <c r="BAD13" s="225">
        <v>8</v>
      </c>
      <c r="BAE13" s="1545" t="s">
        <v>6330</v>
      </c>
      <c r="BAF13" s="1546"/>
      <c r="BBA13" s="221" t="s">
        <v>4640</v>
      </c>
      <c r="BBB13" s="1111" t="s">
        <v>4593</v>
      </c>
      <c r="BBC13" s="1169"/>
      <c r="BBD13" s="157">
        <v>9</v>
      </c>
      <c r="BBE13" s="1543" t="s">
        <v>6735</v>
      </c>
      <c r="BBF13" s="1544"/>
      <c r="BCA13" s="221" t="s">
        <v>6851</v>
      </c>
      <c r="BCB13" s="1111" t="s">
        <v>6850</v>
      </c>
      <c r="BCC13" s="1262"/>
      <c r="BCD13" s="1262"/>
      <c r="BCE13" s="442"/>
      <c r="BCF13" s="934">
        <v>9</v>
      </c>
      <c r="BCG13" s="1547" t="s">
        <v>6855</v>
      </c>
      <c r="BCH13" s="1548"/>
      <c r="BDE13" s="1111" t="s">
        <v>4659</v>
      </c>
      <c r="BDF13" s="1111" t="s">
        <v>6783</v>
      </c>
      <c r="BDG13" s="1111" t="s">
        <v>6771</v>
      </c>
      <c r="BDH13" s="1273" t="s">
        <v>6789</v>
      </c>
      <c r="BDI13" s="934" t="s">
        <v>6786</v>
      </c>
      <c r="BDJ13" s="1547" t="s">
        <v>6869</v>
      </c>
      <c r="BDK13" s="1548"/>
      <c r="BEA13" s="246" t="s">
        <v>434</v>
      </c>
      <c r="BEB13" s="1549" t="s">
        <v>6872</v>
      </c>
      <c r="BEC13" s="1549"/>
      <c r="BED13" s="1549"/>
      <c r="BEE13" s="1549"/>
      <c r="BEF13" s="1549"/>
      <c r="BFA13" s="221" t="s">
        <v>4676</v>
      </c>
      <c r="BFB13" s="230" t="s">
        <v>6711</v>
      </c>
      <c r="BFC13" s="952"/>
      <c r="BFD13" s="157">
        <v>9</v>
      </c>
      <c r="BFE13" s="1707" t="s">
        <v>6713</v>
      </c>
      <c r="BFF13" s="1707"/>
      <c r="BFG13" s="1707"/>
      <c r="BFH13" s="1707"/>
      <c r="BFI13" s="1707"/>
      <c r="BGA13" s="221" t="s">
        <v>6799</v>
      </c>
      <c r="BGB13" s="1275" t="s">
        <v>6804</v>
      </c>
      <c r="BGC13" s="1509"/>
      <c r="BGD13" s="225">
        <v>9</v>
      </c>
      <c r="BGE13" s="91"/>
      <c r="BGF13" s="91"/>
      <c r="BGG13" s="91"/>
      <c r="BGH13" s="91"/>
      <c r="BGI13" s="91"/>
      <c r="BHA13" s="999" t="s">
        <v>4567</v>
      </c>
      <c r="BHB13" s="999" t="s">
        <v>4573</v>
      </c>
      <c r="BHC13" s="7" t="s">
        <v>4577</v>
      </c>
      <c r="BIA13" s="493">
        <v>1</v>
      </c>
      <c r="BIB13" s="493">
        <v>2</v>
      </c>
      <c r="BIC13" s="493">
        <v>3</v>
      </c>
      <c r="BID13" s="493">
        <v>5</v>
      </c>
      <c r="BJB13" s="171" t="s">
        <v>4710</v>
      </c>
      <c r="BJE13" s="133"/>
      <c r="BJF13" s="133"/>
      <c r="BKB13" s="171" t="s">
        <v>4689</v>
      </c>
      <c r="BKC13" t="s">
        <v>4691</v>
      </c>
      <c r="BKD13" s="133" t="s">
        <v>4694</v>
      </c>
      <c r="BKF13" s="133"/>
      <c r="BLB13" s="7" t="s">
        <v>5851</v>
      </c>
      <c r="BMA13" s="1528" t="s">
        <v>4146</v>
      </c>
      <c r="BMB13" s="1529"/>
      <c r="BMC13" s="1529"/>
      <c r="BMD13" s="1529"/>
      <c r="BNA13" s="221" t="s">
        <v>1056</v>
      </c>
      <c r="BNB13" s="230" t="s">
        <v>4831</v>
      </c>
      <c r="BNC13" s="1539"/>
      <c r="BND13" s="1022">
        <v>8</v>
      </c>
      <c r="BNE13" s="170" t="s">
        <v>4828</v>
      </c>
      <c r="BNF13" s="170"/>
      <c r="BNG13" s="170"/>
      <c r="BNH13" s="170"/>
      <c r="BNI13" s="170"/>
      <c r="BNJ13" s="170"/>
      <c r="BNK13" s="170"/>
      <c r="BOA13" s="493">
        <v>1</v>
      </c>
      <c r="BOB13" s="493">
        <v>2</v>
      </c>
      <c r="BOC13" s="894">
        <v>3</v>
      </c>
      <c r="BOD13" s="110"/>
      <c r="BPA13" s="246" t="s">
        <v>434</v>
      </c>
      <c r="BPB13" s="1502" t="s">
        <v>4928</v>
      </c>
      <c r="BPC13" s="1502"/>
      <c r="BPD13" s="1502"/>
      <c r="BPE13" s="1502"/>
      <c r="BQB13" s="7" t="s">
        <v>4929</v>
      </c>
      <c r="BQC13" s="7"/>
      <c r="BQD13" s="7"/>
      <c r="BQE13" s="7"/>
      <c r="BRA13" s="221" t="s">
        <v>4993</v>
      </c>
      <c r="BRB13" s="230" t="s">
        <v>4986</v>
      </c>
      <c r="BRC13" s="1512"/>
      <c r="BRD13" s="186">
        <v>8</v>
      </c>
      <c r="BWA13" s="1175" t="s">
        <v>4796</v>
      </c>
      <c r="BWB13" s="1187"/>
      <c r="BWC13" s="1186" t="s">
        <v>6590</v>
      </c>
      <c r="BWD13" s="1186" t="s">
        <v>6584</v>
      </c>
      <c r="BWE13" s="1233"/>
      <c r="BWF13" s="1235"/>
      <c r="BWG13" s="1189" t="s">
        <v>6362</v>
      </c>
      <c r="BWH13" s="1189" t="s">
        <v>6362</v>
      </c>
      <c r="BWI13" s="1189" t="s">
        <v>6362</v>
      </c>
      <c r="BWJ13" s="235">
        <v>8</v>
      </c>
      <c r="BXA13" s="1192" t="s">
        <v>2090</v>
      </c>
      <c r="BXB13" s="999" t="s">
        <v>2090</v>
      </c>
      <c r="BXC13" s="7" t="s">
        <v>6419</v>
      </c>
      <c r="BXX13" s="170"/>
      <c r="BXY13" s="170"/>
      <c r="BXZ13" s="170"/>
      <c r="BYA13" s="246" t="s">
        <v>961</v>
      </c>
      <c r="BYB13" s="1672" t="s">
        <v>6567</v>
      </c>
      <c r="BYC13" s="1672"/>
      <c r="BYD13" s="1672"/>
      <c r="BYE13" s="1672"/>
      <c r="BYF13" s="1672"/>
      <c r="BYH13" s="170"/>
      <c r="BYI13" s="170"/>
      <c r="BYJ13" s="170"/>
      <c r="BYK13" s="170"/>
      <c r="BYL13" s="170"/>
      <c r="BYM13" s="170"/>
      <c r="BYN13" s="170"/>
      <c r="BYO13" s="170"/>
      <c r="BYP13" s="170"/>
      <c r="BYQ13" s="170"/>
      <c r="BYR13" s="170"/>
      <c r="BYS13" s="170"/>
      <c r="BYT13" s="170"/>
      <c r="BYU13" s="170"/>
      <c r="BYV13" s="170"/>
      <c r="BYW13" s="170"/>
      <c r="BYX13" s="170"/>
      <c r="BYY13" s="170"/>
      <c r="BYZ13" s="170"/>
      <c r="BZA13" s="170"/>
      <c r="BZB13" s="170"/>
      <c r="BZC13" s="170"/>
      <c r="BZD13" s="170"/>
      <c r="BZE13" s="170"/>
      <c r="BZF13" s="170"/>
      <c r="BZG13" s="170"/>
      <c r="BZH13" s="170"/>
      <c r="BZI13" s="170"/>
      <c r="BZJ13" s="170"/>
      <c r="BZK13" s="170"/>
      <c r="BZL13" s="170"/>
      <c r="BZM13" s="170"/>
      <c r="BZN13" s="170"/>
      <c r="BZO13" s="170"/>
      <c r="BZP13" s="170"/>
      <c r="BZQ13" s="170"/>
      <c r="BZR13" s="170"/>
      <c r="BZS13" s="170"/>
      <c r="BZT13" s="170"/>
      <c r="BZU13" s="170"/>
      <c r="BZV13" s="170"/>
      <c r="BZW13" s="170"/>
      <c r="BZX13" s="170"/>
      <c r="BZY13" s="170"/>
      <c r="BZZ13" s="170"/>
      <c r="CAA13" s="170"/>
      <c r="CAB13" s="170"/>
      <c r="CAC13" s="170"/>
      <c r="CAD13" s="170"/>
      <c r="CAE13" s="170"/>
      <c r="CAF13" s="170"/>
      <c r="CAG13" s="170"/>
      <c r="CAH13" s="170"/>
      <c r="CAI13" s="170"/>
      <c r="CAJ13" s="170"/>
      <c r="CAK13" s="170"/>
      <c r="CAL13" s="170"/>
      <c r="CAM13" s="170"/>
      <c r="CAN13" s="170"/>
      <c r="CAO13" s="170"/>
      <c r="CAP13" s="170"/>
      <c r="CAQ13" s="170"/>
      <c r="CAR13" s="170"/>
      <c r="CAS13" s="170"/>
      <c r="CAT13" s="170"/>
      <c r="CAU13" s="170"/>
      <c r="CAV13" s="170"/>
      <c r="CAW13" s="170"/>
      <c r="CAX13" s="170"/>
      <c r="CAY13" s="170"/>
      <c r="CAZ13" s="170"/>
      <c r="CBA13" s="170"/>
      <c r="CBB13" s="170"/>
      <c r="CBC13" s="170"/>
      <c r="CBD13" s="170"/>
      <c r="CBE13" s="170"/>
      <c r="CBF13" s="170"/>
      <c r="CBG13" s="170"/>
      <c r="CBH13" s="170"/>
      <c r="CBI13" s="170"/>
      <c r="CBJ13" s="170"/>
      <c r="CBK13" s="170"/>
      <c r="CBL13" s="170"/>
      <c r="CBM13" s="170"/>
      <c r="CBN13" s="170"/>
      <c r="CBO13" s="170"/>
      <c r="CBP13" s="170"/>
      <c r="CBQ13" s="170"/>
      <c r="CBR13" s="170"/>
      <c r="CBS13" s="170"/>
      <c r="CBT13" s="170"/>
      <c r="CBU13" s="170"/>
      <c r="CBV13" s="170"/>
      <c r="CBW13" s="170"/>
      <c r="CBX13" s="170"/>
      <c r="CBY13" s="170"/>
      <c r="CBZ13" s="170"/>
      <c r="CCA13" s="170"/>
      <c r="CCB13" s="170"/>
      <c r="CCC13" s="170"/>
      <c r="CCD13" s="170"/>
      <c r="CCE13" s="170"/>
      <c r="CCF13" s="170"/>
      <c r="CCG13" s="170"/>
      <c r="CCH13" s="170"/>
      <c r="CCI13" s="170"/>
      <c r="CCJ13" s="170"/>
      <c r="CCK13" s="170"/>
      <c r="CCL13" s="170"/>
      <c r="CCM13" s="170"/>
      <c r="CCN13" s="170"/>
      <c r="CCO13" s="170"/>
      <c r="CCP13" s="170"/>
      <c r="CCQ13" s="170"/>
      <c r="CCR13" s="170"/>
      <c r="CCS13" s="170"/>
      <c r="CCT13" s="170"/>
      <c r="CCU13" s="170"/>
      <c r="CCV13" s="170"/>
      <c r="CCW13" s="170"/>
      <c r="CCX13" s="170"/>
      <c r="CCY13" s="170"/>
      <c r="CCZ13" s="170"/>
      <c r="CDA13" s="170"/>
      <c r="CDB13" s="170"/>
      <c r="CDC13" s="170"/>
      <c r="CDD13" s="170"/>
      <c r="CDE13" s="170"/>
      <c r="CDF13" s="170"/>
      <c r="CDG13" s="170"/>
      <c r="CDH13" s="170"/>
      <c r="CDI13" s="170"/>
      <c r="CDJ13" s="170"/>
      <c r="CDK13" s="170"/>
      <c r="CDL13" s="170"/>
      <c r="CDM13" s="170"/>
      <c r="CDN13" s="170"/>
      <c r="CDO13" s="170"/>
      <c r="CDP13" s="170"/>
      <c r="CDQ13" s="170"/>
      <c r="CDR13" s="170"/>
      <c r="CDS13" s="170"/>
      <c r="CDT13" s="170"/>
      <c r="CDU13" s="170"/>
      <c r="CDV13" s="170"/>
      <c r="CDW13" s="170"/>
      <c r="CDX13" s="170"/>
      <c r="CDY13" s="170"/>
      <c r="CDZ13" s="170"/>
      <c r="CEA13" s="170"/>
      <c r="CEB13" s="170"/>
      <c r="CEC13" s="170"/>
      <c r="CED13" s="170"/>
      <c r="CEE13" s="170"/>
      <c r="CEF13" s="170"/>
      <c r="CEG13" s="170"/>
      <c r="CEH13" s="170"/>
      <c r="CEI13" s="170"/>
      <c r="CEJ13" s="170"/>
      <c r="CEK13" s="170"/>
      <c r="CEL13" s="170"/>
      <c r="CEM13" s="170"/>
      <c r="CEN13" s="170"/>
      <c r="CEO13" s="170"/>
      <c r="CEP13" s="170"/>
      <c r="CEQ13" s="170"/>
      <c r="CER13" s="170"/>
      <c r="CES13" s="170"/>
      <c r="CET13" s="170"/>
      <c r="CEU13" s="170"/>
      <c r="CEV13" s="170"/>
      <c r="CEW13" s="170"/>
      <c r="CEX13" s="170"/>
      <c r="CEY13" s="170"/>
      <c r="CEZ13" s="170"/>
      <c r="CFA13" s="170"/>
      <c r="CFB13" s="170"/>
      <c r="CFC13" s="170"/>
      <c r="CFD13" s="170"/>
      <c r="CFE13" s="170"/>
      <c r="CFF13" s="170"/>
      <c r="CFG13" s="170"/>
      <c r="CFH13" s="170"/>
      <c r="CFI13" s="170"/>
      <c r="CFJ13" s="170"/>
      <c r="CFK13" s="170"/>
      <c r="CFL13" s="170"/>
      <c r="CFM13" s="170"/>
      <c r="CFN13" s="170"/>
      <c r="CFO13" s="170"/>
      <c r="CFP13" s="170"/>
      <c r="CFQ13" s="170"/>
      <c r="CFR13" s="170"/>
      <c r="CFS13" s="170"/>
      <c r="CFT13" s="170"/>
      <c r="CFU13" s="170"/>
      <c r="CFV13" s="170"/>
      <c r="CFW13" s="170"/>
      <c r="CFX13" s="170"/>
      <c r="CFY13" s="170"/>
      <c r="CFZ13" s="170"/>
      <c r="CGA13" s="170"/>
      <c r="CGB13" s="170"/>
      <c r="CGC13" s="170"/>
      <c r="CGD13" s="170"/>
      <c r="CGE13" s="170"/>
      <c r="CGF13" s="170"/>
      <c r="CGG13" s="170"/>
      <c r="CGH13" s="170"/>
      <c r="CGI13" s="170"/>
      <c r="CGJ13" s="170"/>
      <c r="CGK13" s="170"/>
      <c r="CGL13" s="170"/>
      <c r="CGM13" s="170"/>
      <c r="CGN13" s="170"/>
      <c r="CGO13" s="170"/>
      <c r="CGP13" s="170"/>
      <c r="CGQ13" s="170"/>
      <c r="CGR13" s="170"/>
      <c r="CGS13" s="170"/>
      <c r="CGT13" s="170"/>
      <c r="CGU13" s="170"/>
      <c r="CGV13" s="170"/>
      <c r="CGW13" s="170"/>
      <c r="CGX13" s="170"/>
      <c r="CGY13" s="170"/>
      <c r="CGZ13" s="170"/>
      <c r="CHA13" s="170"/>
      <c r="CHB13" s="170"/>
      <c r="CHC13" s="170"/>
      <c r="CHD13" s="170"/>
      <c r="CHE13" s="170"/>
      <c r="CHF13" s="170"/>
      <c r="CHG13" s="170"/>
      <c r="CHH13" s="170"/>
      <c r="CHI13" s="170"/>
      <c r="CHJ13" s="170"/>
      <c r="CHK13" s="170"/>
      <c r="CHL13" s="170"/>
      <c r="CHM13" s="170"/>
      <c r="CHN13" s="170"/>
      <c r="CHO13" s="170"/>
      <c r="CHP13" s="170"/>
      <c r="CHQ13" s="170"/>
      <c r="CHR13" s="170"/>
      <c r="CHS13" s="170"/>
      <c r="CHT13" s="170"/>
      <c r="CHU13" s="170"/>
      <c r="CHV13" s="170"/>
      <c r="CHW13" s="170"/>
      <c r="CHX13" s="170"/>
      <c r="CHY13" s="170"/>
      <c r="CHZ13" s="170"/>
      <c r="CIA13" s="170"/>
      <c r="CIB13" s="170"/>
      <c r="CIC13" s="170"/>
      <c r="CID13" s="170"/>
      <c r="CIE13" s="170"/>
      <c r="CIF13" s="170"/>
      <c r="CIG13" s="170"/>
      <c r="CIH13" s="170"/>
      <c r="CII13" s="170"/>
      <c r="CIJ13" s="170"/>
      <c r="CIK13" s="170"/>
      <c r="CIL13" s="170"/>
      <c r="CIM13" s="170"/>
      <c r="CIN13" s="170"/>
      <c r="CIO13" s="170"/>
      <c r="CIP13" s="170"/>
      <c r="CIQ13" s="170"/>
      <c r="CIR13" s="170"/>
      <c r="CIS13" s="170"/>
      <c r="CIT13" s="170"/>
      <c r="CIU13" s="170"/>
      <c r="CIV13" s="170"/>
      <c r="CIW13" s="170"/>
      <c r="CIX13" s="170"/>
      <c r="CIY13" s="170"/>
      <c r="CIZ13" s="170"/>
      <c r="CJA13" s="170"/>
      <c r="CJB13" s="170"/>
      <c r="CJC13" s="170"/>
      <c r="CJD13" s="170"/>
      <c r="CJE13" s="170"/>
      <c r="CJF13" s="170"/>
      <c r="CJG13" s="170"/>
      <c r="CJH13" s="170"/>
      <c r="CJI13" s="170"/>
      <c r="CJJ13" s="170"/>
      <c r="CJK13" s="170"/>
      <c r="CJL13" s="170"/>
      <c r="CJM13" s="170"/>
      <c r="CJN13" s="170"/>
      <c r="CJO13" s="170"/>
      <c r="CJP13" s="170"/>
      <c r="CJQ13" s="170"/>
      <c r="CJR13" s="170"/>
      <c r="CJS13" s="170"/>
      <c r="CJT13" s="170"/>
      <c r="CJU13" s="170"/>
      <c r="CJV13" s="170"/>
      <c r="CJW13" s="170"/>
      <c r="CJX13" s="170"/>
      <c r="CJY13" s="170"/>
      <c r="CJZ13" s="170"/>
      <c r="CKA13" s="170"/>
      <c r="CKB13" s="170"/>
      <c r="CKC13" s="170"/>
      <c r="CKD13" s="170"/>
      <c r="CKE13" s="170"/>
      <c r="CKF13" s="170"/>
      <c r="CKG13" s="170"/>
      <c r="CKH13" s="170"/>
      <c r="CKI13" s="170"/>
      <c r="CKJ13" s="170"/>
      <c r="CKK13" s="170"/>
      <c r="CKL13" s="170"/>
      <c r="CKM13" s="170"/>
      <c r="CKN13" s="170"/>
      <c r="CKO13" s="170"/>
      <c r="CKP13" s="170"/>
      <c r="CKQ13" s="170"/>
      <c r="CKR13" s="170"/>
      <c r="CKS13" s="170"/>
      <c r="CKT13" s="170"/>
      <c r="CKU13" s="170"/>
      <c r="CKV13" s="170"/>
      <c r="CKW13" s="170"/>
      <c r="CKX13" s="170"/>
      <c r="CKY13" s="170"/>
      <c r="CKZ13" s="170"/>
      <c r="CLA13" s="170"/>
      <c r="CLB13" s="170"/>
      <c r="CLC13" s="170"/>
      <c r="CLD13" s="170"/>
      <c r="CLE13" s="170"/>
      <c r="CLF13" s="170"/>
      <c r="CLG13" s="170"/>
      <c r="CLH13" s="170"/>
      <c r="CLI13" s="170"/>
      <c r="CLJ13" s="170"/>
      <c r="CLK13" s="170"/>
      <c r="CLL13" s="170"/>
      <c r="CLM13" s="170"/>
      <c r="CLN13" s="170"/>
      <c r="CLO13" s="170"/>
      <c r="CLP13" s="170"/>
      <c r="CLQ13" s="170"/>
      <c r="CLR13" s="170"/>
      <c r="CLS13" s="170"/>
      <c r="CLT13" s="170"/>
      <c r="CLU13" s="170"/>
      <c r="CLV13" s="170"/>
      <c r="CLW13" s="170"/>
      <c r="CLX13" s="170"/>
      <c r="CLY13" s="170"/>
      <c r="CLZ13" s="170"/>
      <c r="CMA13" s="170"/>
      <c r="CMB13" s="170"/>
      <c r="CMC13" s="170"/>
      <c r="CMD13" s="170"/>
      <c r="CME13" s="170"/>
      <c r="CMF13" s="170"/>
      <c r="CMG13" s="170"/>
      <c r="CMH13" s="170"/>
      <c r="CMI13" s="170"/>
      <c r="CMJ13" s="170"/>
      <c r="CMK13" s="170"/>
      <c r="CML13" s="170"/>
      <c r="CMM13" s="170"/>
      <c r="CMN13" s="170"/>
      <c r="CMO13" s="170"/>
      <c r="CMP13" s="170"/>
      <c r="CMQ13" s="170"/>
      <c r="CMR13" s="170"/>
      <c r="CMS13" s="170"/>
      <c r="CMT13" s="170"/>
      <c r="CMU13" s="170"/>
      <c r="CMV13" s="170"/>
      <c r="CMW13" s="170"/>
      <c r="CMX13" s="170"/>
      <c r="CMY13" s="170"/>
      <c r="CMZ13" s="170"/>
      <c r="CNA13" s="170"/>
      <c r="CNB13" s="170"/>
      <c r="CNC13" s="170"/>
      <c r="CND13" s="170"/>
      <c r="CNE13" s="170"/>
      <c r="CNF13" s="170"/>
      <c r="CNG13" s="170"/>
      <c r="CNH13" s="170"/>
      <c r="CNI13" s="170"/>
      <c r="CNJ13" s="170"/>
      <c r="CNK13" s="170"/>
      <c r="CNL13" s="170"/>
      <c r="CNM13" s="170"/>
      <c r="CNN13" s="170"/>
      <c r="CNO13" s="170"/>
      <c r="CNP13" s="170"/>
      <c r="CNQ13" s="170"/>
      <c r="CNR13" s="170"/>
      <c r="CNS13" s="170"/>
      <c r="CNT13" s="170"/>
      <c r="CNU13" s="170"/>
      <c r="CNV13" s="170"/>
      <c r="CNW13" s="170"/>
      <c r="CNX13" s="170"/>
      <c r="CNY13" s="170"/>
      <c r="CNZ13" s="170"/>
      <c r="COA13" s="170"/>
      <c r="COB13" s="170"/>
      <c r="COC13" s="170"/>
      <c r="COD13" s="170"/>
      <c r="COE13" s="170"/>
      <c r="COF13" s="170"/>
      <c r="COG13" s="170"/>
      <c r="COH13" s="170"/>
      <c r="COI13" s="170"/>
      <c r="COJ13" s="170"/>
      <c r="COK13" s="170"/>
      <c r="COL13" s="170"/>
      <c r="COM13" s="170"/>
      <c r="CON13" s="170"/>
      <c r="COO13" s="170"/>
      <c r="COP13" s="170"/>
      <c r="COQ13" s="170"/>
      <c r="COR13" s="170"/>
      <c r="COS13" s="170"/>
      <c r="COT13" s="170"/>
      <c r="COU13" s="170"/>
      <c r="COV13" s="170"/>
      <c r="COW13" s="170"/>
      <c r="COX13" s="170"/>
      <c r="COY13" s="170"/>
      <c r="COZ13" s="170"/>
      <c r="CPA13" s="170"/>
      <c r="CPB13" s="170"/>
      <c r="CPC13" s="170"/>
      <c r="CPD13" s="170"/>
      <c r="CPE13" s="170"/>
      <c r="CPF13" s="170"/>
      <c r="CPG13" s="170"/>
      <c r="CPH13" s="170"/>
      <c r="CPI13" s="170"/>
      <c r="CPJ13" s="170"/>
      <c r="CPK13" s="170"/>
      <c r="CPL13" s="170"/>
      <c r="CPM13" s="170"/>
      <c r="CPN13" s="170"/>
      <c r="CPO13" s="170"/>
      <c r="CPP13" s="170"/>
      <c r="CPQ13" s="170"/>
      <c r="CPR13" s="170"/>
      <c r="CPS13" s="170"/>
      <c r="CPT13" s="170"/>
      <c r="CPU13" s="170"/>
      <c r="CPV13" s="170"/>
      <c r="CPW13" s="170"/>
      <c r="CPX13" s="170"/>
      <c r="CPY13" s="170"/>
      <c r="CPZ13" s="170"/>
      <c r="CQA13" s="170"/>
      <c r="CQB13" s="170"/>
      <c r="CQC13" s="170"/>
      <c r="CQD13" s="170"/>
      <c r="CQE13" s="170"/>
      <c r="CQF13" s="170"/>
      <c r="CQG13" s="170"/>
      <c r="CQH13" s="170"/>
      <c r="CQI13" s="170"/>
      <c r="CQJ13" s="170"/>
      <c r="CQK13" s="170"/>
      <c r="CQL13" s="170"/>
      <c r="CQM13" s="170"/>
      <c r="CQN13" s="170"/>
      <c r="CQO13" s="170"/>
      <c r="CQP13" s="170"/>
      <c r="CQQ13" s="170"/>
      <c r="CQR13" s="170"/>
      <c r="CQS13" s="170"/>
      <c r="CQT13" s="170"/>
      <c r="CQU13" s="170"/>
      <c r="CQV13" s="170"/>
      <c r="CQW13" s="170"/>
      <c r="CQX13" s="170"/>
      <c r="CQY13" s="170"/>
      <c r="CQZ13" s="170"/>
      <c r="CRA13" s="170"/>
      <c r="CRB13" s="170"/>
      <c r="CRC13" s="170"/>
      <c r="CRD13" s="170"/>
      <c r="CRE13" s="170"/>
      <c r="CRF13" s="170"/>
      <c r="CRG13" s="170"/>
      <c r="CRH13" s="170"/>
      <c r="CRI13" s="170"/>
      <c r="CRJ13" s="170"/>
      <c r="CRK13" s="170"/>
      <c r="CRL13" s="170"/>
      <c r="CRM13" s="170"/>
      <c r="CRN13" s="170"/>
      <c r="CRO13" s="170"/>
      <c r="CRP13" s="170"/>
      <c r="CRQ13" s="170"/>
      <c r="CRR13" s="170"/>
      <c r="CRS13" s="170"/>
      <c r="CRT13" s="170"/>
      <c r="CRU13" s="170"/>
      <c r="CRV13" s="170"/>
      <c r="CRW13" s="170"/>
      <c r="CRX13" s="170"/>
      <c r="CRY13" s="170"/>
      <c r="CRZ13" s="170"/>
      <c r="CSA13" s="170"/>
      <c r="CSB13" s="170"/>
      <c r="CSC13" s="170"/>
      <c r="CSD13" s="170"/>
      <c r="CSE13" s="170"/>
      <c r="CSF13" s="170"/>
      <c r="CSG13" s="170"/>
      <c r="CSH13" s="170"/>
      <c r="CSI13" s="170"/>
      <c r="CSJ13" s="170"/>
      <c r="CSK13" s="170"/>
      <c r="CSL13" s="170"/>
      <c r="CSM13" s="170"/>
      <c r="CSN13" s="170"/>
      <c r="CSO13" s="170"/>
      <c r="CSP13" s="170"/>
      <c r="CSQ13" s="170"/>
      <c r="CSR13" s="170"/>
      <c r="CSS13" s="170"/>
      <c r="CST13" s="170"/>
      <c r="CSU13" s="170"/>
      <c r="CSV13" s="170"/>
      <c r="CSW13" s="170"/>
      <c r="CSX13" s="170"/>
      <c r="CSY13" s="170"/>
      <c r="CSZ13" s="170"/>
      <c r="CTA13" s="170"/>
      <c r="CTB13" s="170"/>
      <c r="CTC13" s="170"/>
      <c r="CTD13" s="170"/>
      <c r="CTE13" s="170"/>
      <c r="CTF13" s="170"/>
      <c r="CTG13" s="170"/>
      <c r="CTH13" s="170"/>
      <c r="CTI13" s="170"/>
      <c r="CTJ13" s="170"/>
      <c r="CTK13" s="170"/>
      <c r="CTL13" s="170"/>
      <c r="CTM13" s="170"/>
      <c r="CTN13" s="170"/>
      <c r="CTO13" s="170"/>
      <c r="CTP13" s="170"/>
      <c r="CTQ13" s="170"/>
      <c r="CTR13" s="170"/>
      <c r="CTS13" s="170"/>
      <c r="CTT13" s="170"/>
      <c r="CTU13" s="170"/>
      <c r="CTV13" s="170"/>
      <c r="CTW13" s="170"/>
      <c r="CTX13" s="170"/>
      <c r="CTY13" s="170"/>
      <c r="CTZ13" s="170"/>
      <c r="CUA13" s="170"/>
      <c r="CUB13" s="170"/>
      <c r="CUC13" s="170"/>
      <c r="CUD13" s="170"/>
      <c r="CUE13" s="170"/>
      <c r="CUF13" s="170"/>
      <c r="CUG13" s="170"/>
      <c r="CUH13" s="170"/>
      <c r="CUI13" s="170"/>
      <c r="CUJ13" s="170"/>
      <c r="CUK13" s="170"/>
      <c r="CUL13" s="170"/>
      <c r="CUM13" s="170"/>
      <c r="CUN13" s="170"/>
      <c r="CUO13" s="170"/>
      <c r="CUP13" s="170"/>
      <c r="CUQ13" s="170"/>
      <c r="CUR13" s="170"/>
      <c r="CUS13" s="170"/>
      <c r="CUT13" s="170"/>
      <c r="CUU13" s="170"/>
      <c r="CUV13" s="170"/>
      <c r="CUW13" s="170"/>
      <c r="CUX13" s="170"/>
      <c r="CUY13" s="170"/>
      <c r="CUZ13" s="170"/>
      <c r="CVA13" s="170"/>
      <c r="CVB13" s="170"/>
      <c r="CVC13" s="170"/>
      <c r="CVD13" s="170"/>
      <c r="CVE13" s="170"/>
      <c r="CVF13" s="170"/>
      <c r="CVG13" s="170"/>
      <c r="CVH13" s="170"/>
      <c r="CVI13" s="170"/>
      <c r="CVJ13" s="170"/>
      <c r="CVK13" s="170"/>
      <c r="CVL13" s="170"/>
      <c r="CVM13" s="170"/>
      <c r="CVN13" s="170"/>
      <c r="CVO13" s="170"/>
      <c r="CVP13" s="170"/>
      <c r="CVQ13" s="170"/>
      <c r="CVR13" s="170"/>
      <c r="CVS13" s="170"/>
      <c r="CVT13" s="170"/>
      <c r="CVU13" s="170"/>
      <c r="CVV13" s="170"/>
      <c r="CVW13" s="170"/>
      <c r="CVX13" s="170"/>
      <c r="CVY13" s="170"/>
      <c r="CVZ13" s="170"/>
      <c r="CWA13" s="170"/>
      <c r="CWB13" s="170"/>
      <c r="CWC13" s="170"/>
      <c r="CWD13" s="170"/>
      <c r="CWE13" s="170"/>
      <c r="CWF13" s="170"/>
      <c r="CWG13" s="170"/>
      <c r="CWH13" s="170"/>
      <c r="CWI13" s="170"/>
      <c r="CWJ13" s="170"/>
      <c r="CWK13" s="170"/>
      <c r="CWL13" s="170"/>
      <c r="CWM13" s="170"/>
      <c r="CWN13" s="170"/>
      <c r="CWO13" s="170"/>
      <c r="CWP13" s="170"/>
      <c r="CWQ13" s="170"/>
      <c r="CWR13" s="170"/>
      <c r="CWS13" s="170"/>
      <c r="CWT13" s="170"/>
      <c r="CWU13" s="170"/>
      <c r="CWV13" s="170"/>
      <c r="CWW13" s="170"/>
      <c r="CWX13" s="170"/>
      <c r="CWY13" s="170"/>
      <c r="CWZ13" s="170"/>
      <c r="CXA13" s="170"/>
      <c r="CXB13" s="170"/>
      <c r="CXC13" s="170"/>
      <c r="CXD13" s="170"/>
      <c r="CXE13" s="170"/>
      <c r="CXF13" s="170"/>
      <c r="CXG13" s="170"/>
      <c r="CXH13" s="170"/>
      <c r="CXI13" s="170"/>
      <c r="CXJ13" s="170"/>
      <c r="CXK13" s="170"/>
      <c r="CXL13" s="170"/>
      <c r="CXM13" s="170"/>
      <c r="CXN13" s="170"/>
      <c r="CXO13" s="170"/>
      <c r="CXP13" s="170"/>
      <c r="CXQ13" s="170"/>
      <c r="CXR13" s="170"/>
      <c r="CXS13" s="170"/>
      <c r="CXT13" s="170"/>
      <c r="CXU13" s="170"/>
      <c r="CXV13" s="170"/>
      <c r="CXW13" s="170"/>
      <c r="CXX13" s="170"/>
      <c r="CXY13" s="170"/>
      <c r="CXZ13" s="170"/>
      <c r="CYA13" s="170"/>
      <c r="CYB13" s="170"/>
      <c r="CYC13" s="170"/>
      <c r="CYD13" s="170"/>
      <c r="CYE13" s="170"/>
      <c r="CYF13" s="170"/>
      <c r="CYG13" s="170"/>
      <c r="CYH13" s="170"/>
      <c r="CYI13" s="170"/>
      <c r="CYJ13" s="170"/>
      <c r="CYK13" s="170"/>
      <c r="CYL13" s="170"/>
      <c r="CYM13" s="170"/>
      <c r="CYN13" s="170"/>
      <c r="CYO13" s="170"/>
      <c r="CYP13" s="170"/>
      <c r="CYQ13" s="170"/>
      <c r="CYR13" s="170"/>
      <c r="CYS13" s="170"/>
      <c r="CYT13" s="170"/>
      <c r="CYU13" s="170"/>
      <c r="CYV13" s="170"/>
      <c r="CYW13" s="170"/>
      <c r="CYX13" s="170"/>
      <c r="CYY13" s="170"/>
      <c r="CYZ13" s="170"/>
      <c r="CZA13" s="170"/>
      <c r="CZB13" s="170"/>
      <c r="CZC13" s="170"/>
      <c r="CZD13" s="170"/>
      <c r="CZE13" s="170"/>
      <c r="CZF13" s="170"/>
      <c r="CZG13" s="170"/>
      <c r="CZH13" s="170"/>
      <c r="CZI13" s="170"/>
      <c r="CZJ13" s="170"/>
      <c r="CZK13" s="170"/>
      <c r="CZL13" s="170"/>
      <c r="CZM13" s="170"/>
      <c r="CZN13" s="170"/>
      <c r="CZO13" s="170"/>
      <c r="CZP13" s="170"/>
      <c r="CZQ13" s="170"/>
      <c r="CZR13" s="170"/>
      <c r="CZS13" s="170"/>
      <c r="CZT13" s="170"/>
      <c r="CZU13" s="170"/>
      <c r="CZV13" s="170"/>
      <c r="CZW13" s="170"/>
      <c r="CZX13" s="170"/>
      <c r="CZY13" s="170"/>
      <c r="CZZ13" s="170"/>
      <c r="DAA13" s="170"/>
      <c r="DAB13" s="170"/>
      <c r="DAC13" s="170"/>
      <c r="DAD13" s="170"/>
      <c r="DAE13" s="170"/>
      <c r="DAF13" s="170"/>
      <c r="DAG13" s="170"/>
      <c r="DAH13" s="170"/>
      <c r="DAI13" s="170"/>
      <c r="DAJ13" s="170"/>
      <c r="DAK13" s="170"/>
      <c r="DAL13" s="170"/>
      <c r="DAM13" s="170"/>
      <c r="DAN13" s="170"/>
      <c r="DAO13" s="170"/>
      <c r="DAP13" s="170"/>
      <c r="DAQ13" s="170"/>
      <c r="DAR13" s="170"/>
      <c r="DAS13" s="170"/>
      <c r="DAT13" s="170"/>
      <c r="DAU13" s="170"/>
      <c r="DAV13" s="170"/>
      <c r="DAW13" s="170"/>
      <c r="DAX13" s="170"/>
      <c r="DAY13" s="170"/>
      <c r="DAZ13" s="170"/>
      <c r="DBA13" s="170"/>
      <c r="DBB13" s="170"/>
      <c r="DCA13" t="s">
        <v>7207</v>
      </c>
      <c r="DCB13" t="s">
        <v>7215</v>
      </c>
      <c r="DDA13" s="246" t="s">
        <v>961</v>
      </c>
      <c r="DDB13" s="1672" t="s">
        <v>6552</v>
      </c>
      <c r="DDC13" s="1672"/>
      <c r="DDD13" s="1672"/>
      <c r="DDE13" s="1672"/>
      <c r="DDF13" s="1672"/>
    </row>
    <row r="14" spans="1:2814" ht="30" customHeight="1" thickBot="1">
      <c r="A14" s="1323" t="s">
        <v>3768</v>
      </c>
      <c r="B14" s="1309">
        <v>35</v>
      </c>
      <c r="C14" s="317" t="s">
        <v>6696</v>
      </c>
      <c r="D14" s="317" t="s">
        <v>3821</v>
      </c>
      <c r="E14" s="317" t="s">
        <v>4632</v>
      </c>
      <c r="F14" s="1311" t="s">
        <v>233</v>
      </c>
      <c r="G14" s="1316"/>
      <c r="H14" s="1316"/>
      <c r="I14" s="1316"/>
      <c r="J14" s="1316"/>
      <c r="K14" s="416"/>
      <c r="L14" s="2506">
        <f>MATCH(C14, $A$1:$DZG$1,0)</f>
        <v>1461</v>
      </c>
      <c r="M14" t="str">
        <f t="shared" si="0"/>
        <v>BDE</v>
      </c>
      <c r="N14" s="416"/>
      <c r="O14" s="416"/>
      <c r="P14" s="416"/>
      <c r="Q14" s="416"/>
      <c r="R14" s="416"/>
      <c r="S14" s="416"/>
      <c r="T14" s="416"/>
      <c r="U14" s="416"/>
      <c r="V14" s="416"/>
      <c r="W14" s="416"/>
      <c r="BA14" t="s">
        <v>4140</v>
      </c>
      <c r="BB14" t="s">
        <v>4142</v>
      </c>
      <c r="BC14" s="457" t="s">
        <v>470</v>
      </c>
      <c r="CA14" s="792" t="s">
        <v>462</v>
      </c>
      <c r="CB14" s="792" t="s">
        <v>463</v>
      </c>
      <c r="CC14" s="792" t="s">
        <v>404</v>
      </c>
      <c r="DA14" s="945" t="s">
        <v>3</v>
      </c>
      <c r="DB14" s="945" t="s">
        <v>4</v>
      </c>
      <c r="EA14" s="848">
        <v>606</v>
      </c>
      <c r="EB14" s="10" t="s">
        <v>599</v>
      </c>
      <c r="EC14" s="10" t="s">
        <v>525</v>
      </c>
      <c r="FE14" s="1698" t="s">
        <v>6914</v>
      </c>
      <c r="FF14" s="1698"/>
      <c r="FG14" s="1334"/>
      <c r="FH14" s="1334"/>
      <c r="GA14" s="112"/>
      <c r="GB14" s="43"/>
      <c r="GC14" s="43"/>
      <c r="GD14" s="43"/>
      <c r="GE14" s="43"/>
      <c r="GF14" s="43"/>
      <c r="HA14" s="604" t="s">
        <v>3</v>
      </c>
      <c r="HB14" s="1106" t="s">
        <v>4</v>
      </c>
      <c r="HC14" s="1106" t="s">
        <v>2657</v>
      </c>
      <c r="HD14" s="1609" t="s">
        <v>428</v>
      </c>
      <c r="HE14" s="1610"/>
      <c r="HF14" s="1610"/>
      <c r="KA14" s="10" t="s">
        <v>500</v>
      </c>
      <c r="KB14" s="10" t="s">
        <v>501</v>
      </c>
      <c r="LA14" s="10" t="s">
        <v>563</v>
      </c>
      <c r="LB14" s="10" t="s">
        <v>564</v>
      </c>
      <c r="MA14" s="10" t="s">
        <v>503</v>
      </c>
      <c r="MB14" s="10" t="s">
        <v>504</v>
      </c>
      <c r="NA14" s="10" t="s">
        <v>478</v>
      </c>
      <c r="NB14" s="441" t="s">
        <v>479</v>
      </c>
      <c r="OA14" s="10" t="s">
        <v>616</v>
      </c>
      <c r="OB14" s="10" t="s">
        <v>617</v>
      </c>
      <c r="PA14" s="1607" t="s">
        <v>4146</v>
      </c>
      <c r="PB14" s="1608"/>
      <c r="PC14" s="1608"/>
      <c r="PD14" s="1608"/>
      <c r="PE14" s="1608"/>
      <c r="QA14" s="10" t="s">
        <v>4872</v>
      </c>
      <c r="QB14" s="10" t="s">
        <v>4874</v>
      </c>
      <c r="RA14" s="221" t="s">
        <v>428</v>
      </c>
      <c r="RB14" s="1515" t="s">
        <v>4214</v>
      </c>
      <c r="RC14" s="1515"/>
      <c r="RD14" s="345">
        <v>7</v>
      </c>
      <c r="SE14" s="442"/>
      <c r="TA14" s="824" t="s">
        <v>4246</v>
      </c>
      <c r="TB14" s="942" t="s">
        <v>893</v>
      </c>
      <c r="TC14" s="171"/>
      <c r="TD14" s="171"/>
      <c r="TE14" s="825" t="s">
        <v>4245</v>
      </c>
      <c r="TF14" s="942" t="s">
        <v>896</v>
      </c>
      <c r="TG14" t="s">
        <v>4248</v>
      </c>
      <c r="VA14" s="10" t="s">
        <v>482</v>
      </c>
      <c r="VB14" s="10" t="s">
        <v>483</v>
      </c>
      <c r="VC14" s="291" t="s">
        <v>484</v>
      </c>
      <c r="WA14" s="10" t="s">
        <v>467</v>
      </c>
      <c r="WB14" s="10" t="s">
        <v>485</v>
      </c>
      <c r="WC14" s="10"/>
      <c r="XA14" s="1464" t="s">
        <v>457</v>
      </c>
      <c r="XB14" s="1465" t="s">
        <v>7620</v>
      </c>
      <c r="XC14" s="1465" t="s">
        <v>7621</v>
      </c>
      <c r="XD14" s="1465" t="s">
        <v>404</v>
      </c>
      <c r="XE14" s="1466" t="s">
        <v>428</v>
      </c>
      <c r="YA14" s="1739" t="s">
        <v>7599</v>
      </c>
      <c r="YB14" s="1739"/>
      <c r="YC14" s="1739"/>
      <c r="YD14" s="1739"/>
      <c r="YE14" s="1739"/>
      <c r="YF14" s="7"/>
      <c r="ZB14" s="221" t="s">
        <v>3</v>
      </c>
      <c r="ZC14" s="221" t="s">
        <v>4</v>
      </c>
      <c r="ZD14" s="358" t="s">
        <v>428</v>
      </c>
      <c r="AAB14" s="827" t="s">
        <v>3</v>
      </c>
      <c r="AAC14" s="827" t="s">
        <v>4</v>
      </c>
      <c r="AAD14" s="1017" t="s">
        <v>428</v>
      </c>
      <c r="ABB14" s="10" t="s">
        <v>518</v>
      </c>
      <c r="ABC14" s="10" t="s">
        <v>519</v>
      </c>
      <c r="ACB14" s="10" t="s">
        <v>490</v>
      </c>
      <c r="ACC14" s="10" t="s">
        <v>491</v>
      </c>
      <c r="ADB14" s="226" t="s">
        <v>3</v>
      </c>
      <c r="ADC14" s="226" t="s">
        <v>4</v>
      </c>
      <c r="ADD14" s="226" t="s">
        <v>441</v>
      </c>
      <c r="ADE14" s="1596" t="s">
        <v>428</v>
      </c>
      <c r="ADF14" s="1596"/>
      <c r="AEB14" s="1613" t="s">
        <v>4146</v>
      </c>
      <c r="AEC14" s="1708"/>
      <c r="AED14" s="1708"/>
      <c r="AEE14" s="1708"/>
      <c r="AEF14" s="1614"/>
      <c r="AEG14" s="855"/>
      <c r="AEH14" s="855"/>
      <c r="AEI14" s="855"/>
      <c r="AEJ14" s="855"/>
      <c r="AEK14" s="855"/>
      <c r="AEL14" s="855"/>
      <c r="AEM14" s="855"/>
      <c r="AEN14" s="855"/>
      <c r="AEO14" s="855"/>
      <c r="AEP14" s="855"/>
      <c r="AEQ14" s="855"/>
      <c r="AER14" s="855"/>
      <c r="AES14" s="855"/>
      <c r="AET14" s="855"/>
      <c r="AEU14" s="855"/>
      <c r="AEV14" s="855"/>
      <c r="AEW14" s="855"/>
      <c r="AEX14" s="855"/>
      <c r="AFB14" s="10" t="s">
        <v>4357</v>
      </c>
      <c r="AFC14" s="10" t="s">
        <v>4359</v>
      </c>
      <c r="AGB14" s="10" t="s">
        <v>492</v>
      </c>
      <c r="AGC14" s="10" t="s">
        <v>573</v>
      </c>
      <c r="AHB14" s="1525" t="s">
        <v>4378</v>
      </c>
      <c r="AHC14" s="1525"/>
      <c r="AHD14" s="1525" t="s">
        <v>4386</v>
      </c>
      <c r="AHE14" s="1525"/>
      <c r="AIB14" s="10" t="s">
        <v>4394</v>
      </c>
      <c r="AIC14" s="10" t="s">
        <v>602</v>
      </c>
      <c r="AJB14" s="10" t="s">
        <v>4399</v>
      </c>
      <c r="AJC14" s="10" t="s">
        <v>4404</v>
      </c>
      <c r="AKB14" s="10" t="s">
        <v>4407</v>
      </c>
      <c r="AKC14" s="10" t="s">
        <v>4412</v>
      </c>
      <c r="ALB14" s="10" t="s">
        <v>4420</v>
      </c>
      <c r="ALC14" s="10" t="s">
        <v>4422</v>
      </c>
      <c r="AMB14" s="10" t="s">
        <v>4430</v>
      </c>
      <c r="AMC14" s="10" t="s">
        <v>4435</v>
      </c>
      <c r="ANB14" s="10" t="s">
        <v>4441</v>
      </c>
      <c r="ANC14" s="10" t="s">
        <v>4447</v>
      </c>
      <c r="AOB14" s="2552"/>
      <c r="AOC14" s="2552"/>
      <c r="AOD14" s="2552"/>
      <c r="AOE14" s="2552"/>
      <c r="AOF14" s="2552"/>
      <c r="APB14" s="2547"/>
      <c r="APC14" s="2547"/>
      <c r="APD14" s="2547"/>
      <c r="APE14" s="2547"/>
      <c r="APF14" s="2547"/>
      <c r="APG14" s="2547"/>
      <c r="AQA14" s="221" t="s">
        <v>4496</v>
      </c>
      <c r="AQB14" s="165"/>
      <c r="AQC14" s="1595"/>
      <c r="AQD14" s="985">
        <v>9</v>
      </c>
      <c r="AQE14" s="1505" t="s">
        <v>4520</v>
      </c>
      <c r="AQF14" s="1505"/>
      <c r="AQG14" s="1505"/>
      <c r="AQZ14" s="221" t="s">
        <v>441</v>
      </c>
      <c r="ARA14" s="1043" t="s">
        <v>7758</v>
      </c>
      <c r="ARC14" s="2500"/>
      <c r="ARD14" s="157">
        <v>8</v>
      </c>
      <c r="ARE14" s="1684" t="s">
        <v>7759</v>
      </c>
      <c r="ARF14" s="1594"/>
      <c r="ATA14" s="221" t="s">
        <v>4534</v>
      </c>
      <c r="ATB14" s="230" t="s">
        <v>5825</v>
      </c>
      <c r="ATC14" s="442"/>
      <c r="ATD14" s="452">
        <v>8</v>
      </c>
      <c r="ATE14" s="1721"/>
      <c r="ATF14" s="1722"/>
      <c r="ATG14" s="1722"/>
      <c r="ATH14" s="1723"/>
      <c r="AUB14" s="1502" t="s">
        <v>6410</v>
      </c>
      <c r="AUC14" s="1502"/>
      <c r="AUD14" s="1502"/>
      <c r="AUE14" s="1502"/>
      <c r="AUF14" s="597"/>
      <c r="AUG14" s="597"/>
      <c r="AVA14" s="1229" t="s">
        <v>6337</v>
      </c>
      <c r="AVB14" s="1230" t="s">
        <v>5825</v>
      </c>
      <c r="AVC14" s="1663"/>
      <c r="AVD14" s="157">
        <v>9</v>
      </c>
      <c r="AVE14" s="1664" t="s">
        <v>6579</v>
      </c>
      <c r="AVF14" s="1664"/>
      <c r="AXA14" s="992" t="s">
        <v>5414</v>
      </c>
      <c r="AXB14" s="181" t="s">
        <v>5412</v>
      </c>
      <c r="AXC14" s="992" t="s">
        <v>5415</v>
      </c>
      <c r="AXD14" s="1033" t="s">
        <v>1712</v>
      </c>
      <c r="AXE14" s="1512"/>
      <c r="AXF14" s="157" t="s">
        <v>5409</v>
      </c>
      <c r="AXG14" s="831"/>
      <c r="AYA14" s="983" t="s">
        <v>4146</v>
      </c>
      <c r="AYB14" s="984"/>
      <c r="AYC14" s="984"/>
      <c r="AYD14" s="969"/>
      <c r="AYE14" s="969"/>
      <c r="AYF14" s="969"/>
      <c r="AYG14" s="110"/>
      <c r="AYH14" s="110"/>
      <c r="AYI14" s="110"/>
      <c r="AZA14" s="1005" t="s">
        <v>4312</v>
      </c>
      <c r="AZB14" t="s">
        <v>4739</v>
      </c>
      <c r="AZC14" t="s">
        <v>4709</v>
      </c>
      <c r="AZD14" s="448"/>
      <c r="BAA14" s="221" t="s">
        <v>1025</v>
      </c>
      <c r="BAB14" s="1111" t="s">
        <v>4647</v>
      </c>
      <c r="BAC14" s="1169"/>
      <c r="BAD14" s="225">
        <v>9</v>
      </c>
      <c r="BAE14" s="1545" t="s">
        <v>6331</v>
      </c>
      <c r="BAF14" s="1546"/>
      <c r="BBA14" s="221" t="s">
        <v>4641</v>
      </c>
      <c r="BBB14" s="1111" t="s">
        <v>4593</v>
      </c>
      <c r="BBC14" s="1169"/>
      <c r="BBD14" s="157">
        <v>10</v>
      </c>
      <c r="BBE14" s="1543" t="s">
        <v>6734</v>
      </c>
      <c r="BBF14" s="1544"/>
      <c r="BCA14" s="1573" t="s">
        <v>4639</v>
      </c>
      <c r="BCB14" s="1573"/>
      <c r="BCC14" s="1573"/>
      <c r="BCD14" s="1573"/>
      <c r="BDE14" s="1111" t="s">
        <v>4659</v>
      </c>
      <c r="BDF14" s="1111" t="s">
        <v>6783</v>
      </c>
      <c r="BDG14" s="1111" t="s">
        <v>6771</v>
      </c>
      <c r="BDH14" s="1111" t="s">
        <v>6790</v>
      </c>
      <c r="BDI14" s="934" t="s">
        <v>6787</v>
      </c>
      <c r="BDJ14" s="1547" t="s">
        <v>6869</v>
      </c>
      <c r="BDK14" s="1548"/>
      <c r="BEG14" s="969"/>
      <c r="BFA14" s="221" t="s">
        <v>4673</v>
      </c>
      <c r="BFB14" s="230" t="s">
        <v>6716</v>
      </c>
      <c r="BFC14" s="952"/>
      <c r="BFD14" s="157">
        <v>10</v>
      </c>
      <c r="BFE14" s="1707" t="s">
        <v>6717</v>
      </c>
      <c r="BFF14" s="1707"/>
      <c r="BFG14" s="1707"/>
      <c r="BFH14" s="1707"/>
      <c r="BFI14" s="1707"/>
      <c r="BGA14" s="221" t="s">
        <v>6800</v>
      </c>
      <c r="BGB14" s="1277" t="s">
        <v>6805</v>
      </c>
      <c r="BGC14" s="1510"/>
      <c r="BGD14" s="225">
        <v>10</v>
      </c>
      <c r="BGE14" s="91"/>
      <c r="BGF14" s="91"/>
      <c r="BGG14" s="91"/>
      <c r="BGH14" s="91"/>
      <c r="BGI14" s="91"/>
      <c r="BHA14" s="999" t="s">
        <v>4568</v>
      </c>
      <c r="BHB14" s="999" t="s">
        <v>4574</v>
      </c>
      <c r="BHC14" s="7" t="s">
        <v>4569</v>
      </c>
      <c r="BIA14" s="10" t="s">
        <v>4567</v>
      </c>
      <c r="BIB14" s="848" t="s">
        <v>4563</v>
      </c>
      <c r="BIC14" s="848" t="s">
        <v>4579</v>
      </c>
      <c r="BID14" s="10" t="s">
        <v>428</v>
      </c>
      <c r="BJB14" s="171" t="s">
        <v>4689</v>
      </c>
      <c r="BJC14" t="s">
        <v>4691</v>
      </c>
      <c r="BJD14" s="133" t="s">
        <v>4694</v>
      </c>
      <c r="BJF14" s="133"/>
      <c r="BKB14" s="171" t="s">
        <v>4690</v>
      </c>
      <c r="BKC14" t="s">
        <v>4691</v>
      </c>
      <c r="BKD14" s="133" t="s">
        <v>4693</v>
      </c>
      <c r="BKF14" s="133"/>
      <c r="BLD14" s="969"/>
      <c r="BLE14" s="110"/>
      <c r="BMA14" s="493">
        <v>1</v>
      </c>
      <c r="BMB14" s="493">
        <v>2</v>
      </c>
      <c r="BMC14" s="894">
        <v>3</v>
      </c>
      <c r="BMD14" s="493">
        <v>4</v>
      </c>
      <c r="BNA14" s="1534" t="s">
        <v>4850</v>
      </c>
      <c r="BNB14" s="1535"/>
      <c r="BNC14" s="1536"/>
      <c r="BND14" s="1022"/>
      <c r="BOA14" s="1025" t="s">
        <v>4890</v>
      </c>
      <c r="BOB14" s="112" t="s">
        <v>4880</v>
      </c>
      <c r="BOC14" s="9" t="s">
        <v>4885</v>
      </c>
      <c r="BPB14" s="1502" t="s">
        <v>4915</v>
      </c>
      <c r="BPC14" s="1502"/>
      <c r="BPD14" s="1502"/>
      <c r="BPE14" s="1502"/>
      <c r="BQB14" s="7" t="s">
        <v>4930</v>
      </c>
      <c r="BQC14" s="7"/>
      <c r="BQD14" s="7"/>
      <c r="BRA14" s="221" t="s">
        <v>428</v>
      </c>
      <c r="BRB14" s="230" t="s">
        <v>362</v>
      </c>
      <c r="BRC14" s="1539"/>
      <c r="BRD14" s="1020">
        <v>9</v>
      </c>
      <c r="BWA14" s="1175" t="s">
        <v>953</v>
      </c>
      <c r="BWB14" s="1186" t="s">
        <v>6599</v>
      </c>
      <c r="BWC14" s="1186" t="s">
        <v>6591</v>
      </c>
      <c r="BWD14" s="1186"/>
      <c r="BWE14" s="1234"/>
      <c r="BWF14" s="1234" t="s">
        <v>6603</v>
      </c>
      <c r="BWG14" s="1189" t="s">
        <v>6362</v>
      </c>
      <c r="BWH14" s="1189" t="s">
        <v>6362</v>
      </c>
      <c r="BWI14" s="1189" t="s">
        <v>6362</v>
      </c>
      <c r="BWJ14" s="235">
        <v>9</v>
      </c>
      <c r="BXA14" s="1191" t="s">
        <v>6092</v>
      </c>
      <c r="BXB14" s="999" t="s">
        <v>4450</v>
      </c>
      <c r="BXC14" s="7" t="s">
        <v>6414</v>
      </c>
      <c r="BXX14" s="170"/>
      <c r="BXY14" s="170"/>
      <c r="BXZ14" s="170"/>
      <c r="BYA14" s="246"/>
      <c r="BYB14" s="1500" t="s">
        <v>6568</v>
      </c>
      <c r="BYC14" s="1500"/>
      <c r="BYD14" s="1500"/>
      <c r="BYE14" s="1500"/>
      <c r="BYF14" s="1500"/>
      <c r="BYG14" s="1500"/>
      <c r="BYH14" s="170"/>
      <c r="BYI14" s="170"/>
      <c r="BYJ14" s="170"/>
      <c r="BYK14" s="170"/>
      <c r="BYL14" s="170"/>
      <c r="BYM14" s="170"/>
      <c r="BYN14" s="170"/>
      <c r="BYO14" s="170"/>
      <c r="BYP14" s="170"/>
      <c r="BYQ14" s="170"/>
      <c r="BYR14" s="170"/>
      <c r="BYS14" s="170"/>
      <c r="BYT14" s="170"/>
      <c r="BYU14" s="170"/>
      <c r="BYV14" s="170"/>
      <c r="BYW14" s="170"/>
      <c r="BYX14" s="170"/>
      <c r="BYY14" s="170"/>
      <c r="BYZ14" s="170"/>
      <c r="BZA14" s="170"/>
      <c r="BZB14" s="170"/>
      <c r="BZC14" s="170"/>
      <c r="BZD14" s="170"/>
      <c r="BZE14" s="170"/>
      <c r="BZF14" s="170"/>
      <c r="BZG14" s="170"/>
      <c r="BZH14" s="170"/>
      <c r="BZI14" s="170"/>
      <c r="BZJ14" s="170"/>
      <c r="BZK14" s="170"/>
      <c r="BZL14" s="170"/>
      <c r="BZM14" s="170"/>
      <c r="BZN14" s="170"/>
      <c r="BZO14" s="170"/>
      <c r="BZP14" s="170"/>
      <c r="BZQ14" s="170"/>
      <c r="BZR14" s="170"/>
      <c r="BZS14" s="170"/>
      <c r="BZT14" s="170"/>
      <c r="BZU14" s="170"/>
      <c r="BZV14" s="170"/>
      <c r="BZW14" s="170"/>
      <c r="BZX14" s="170"/>
      <c r="BZY14" s="170"/>
      <c r="BZZ14" s="170"/>
      <c r="CAA14" s="170"/>
      <c r="CAB14" s="170"/>
      <c r="CAC14" s="170"/>
      <c r="CAD14" s="170"/>
      <c r="CAE14" s="170"/>
      <c r="CAF14" s="170"/>
      <c r="CAG14" s="170"/>
      <c r="CAH14" s="170"/>
      <c r="CAI14" s="170"/>
      <c r="CAJ14" s="170"/>
      <c r="CAK14" s="170"/>
      <c r="CAL14" s="170"/>
      <c r="CAM14" s="170"/>
      <c r="CAN14" s="170"/>
      <c r="CAO14" s="170"/>
      <c r="CAP14" s="170"/>
      <c r="CAQ14" s="170"/>
      <c r="CAR14" s="170"/>
      <c r="CAS14" s="170"/>
      <c r="CAT14" s="170"/>
      <c r="CAU14" s="170"/>
      <c r="CAV14" s="170"/>
      <c r="CAW14" s="170"/>
      <c r="CAX14" s="170"/>
      <c r="CAY14" s="170"/>
      <c r="CAZ14" s="170"/>
      <c r="CBA14" s="170"/>
      <c r="CBB14" s="170"/>
      <c r="CBC14" s="170"/>
      <c r="CBD14" s="170"/>
      <c r="CBE14" s="170"/>
      <c r="CBF14" s="170"/>
      <c r="CBG14" s="170"/>
      <c r="CBH14" s="170"/>
      <c r="CBI14" s="170"/>
      <c r="CBJ14" s="170"/>
      <c r="CBK14" s="170"/>
      <c r="CBL14" s="170"/>
      <c r="CBM14" s="170"/>
      <c r="CBN14" s="170"/>
      <c r="CBO14" s="170"/>
      <c r="CBP14" s="170"/>
      <c r="CBQ14" s="170"/>
      <c r="CBR14" s="170"/>
      <c r="CBS14" s="170"/>
      <c r="CBT14" s="170"/>
      <c r="CBU14" s="170"/>
      <c r="CBV14" s="170"/>
      <c r="CBW14" s="170"/>
      <c r="CBX14" s="170"/>
      <c r="CBY14" s="170"/>
      <c r="CBZ14" s="170"/>
      <c r="CCA14" s="170"/>
      <c r="CCB14" s="170"/>
      <c r="CCC14" s="170"/>
      <c r="CCD14" s="170"/>
      <c r="CCE14" s="170"/>
      <c r="CCF14" s="170"/>
      <c r="CCG14" s="170"/>
      <c r="CCH14" s="170"/>
      <c r="CCI14" s="170"/>
      <c r="CCJ14" s="170"/>
      <c r="CCK14" s="170"/>
      <c r="CCL14" s="170"/>
      <c r="CCM14" s="170"/>
      <c r="CCN14" s="170"/>
      <c r="CCO14" s="170"/>
      <c r="CCP14" s="170"/>
      <c r="CCQ14" s="170"/>
      <c r="CCR14" s="170"/>
      <c r="CCS14" s="170"/>
      <c r="CCT14" s="170"/>
      <c r="CCU14" s="170"/>
      <c r="CCV14" s="170"/>
      <c r="CCW14" s="170"/>
      <c r="CCX14" s="170"/>
      <c r="CCY14" s="170"/>
      <c r="CCZ14" s="170"/>
      <c r="CDA14" s="170"/>
      <c r="CDB14" s="170"/>
      <c r="CDC14" s="170"/>
      <c r="CDD14" s="170"/>
      <c r="CDE14" s="170"/>
      <c r="CDF14" s="170"/>
      <c r="CDG14" s="170"/>
      <c r="CDH14" s="170"/>
      <c r="CDI14" s="170"/>
      <c r="CDJ14" s="170"/>
      <c r="CDK14" s="170"/>
      <c r="CDL14" s="170"/>
      <c r="CDM14" s="170"/>
      <c r="CDN14" s="170"/>
      <c r="CDO14" s="170"/>
      <c r="CDP14" s="170"/>
      <c r="CDQ14" s="170"/>
      <c r="CDR14" s="170"/>
      <c r="CDS14" s="170"/>
      <c r="CDT14" s="170"/>
      <c r="CDU14" s="170"/>
      <c r="CDV14" s="170"/>
      <c r="CDW14" s="170"/>
      <c r="CDX14" s="170"/>
      <c r="CDY14" s="170"/>
      <c r="CDZ14" s="170"/>
      <c r="CEA14" s="170"/>
      <c r="CEB14" s="170"/>
      <c r="CEC14" s="170"/>
      <c r="CED14" s="170"/>
      <c r="CEE14" s="170"/>
      <c r="CEF14" s="170"/>
      <c r="CEG14" s="170"/>
      <c r="CEH14" s="170"/>
      <c r="CEI14" s="170"/>
      <c r="CEJ14" s="170"/>
      <c r="CEK14" s="170"/>
      <c r="CEL14" s="170"/>
      <c r="CEM14" s="170"/>
      <c r="CEN14" s="170"/>
      <c r="CEO14" s="170"/>
      <c r="CEP14" s="170"/>
      <c r="CEQ14" s="170"/>
      <c r="CER14" s="170"/>
      <c r="CES14" s="170"/>
      <c r="CET14" s="170"/>
      <c r="CEU14" s="170"/>
      <c r="CEV14" s="170"/>
      <c r="CEW14" s="170"/>
      <c r="CEX14" s="170"/>
      <c r="CEY14" s="170"/>
      <c r="CEZ14" s="170"/>
      <c r="CFA14" s="170"/>
      <c r="CFB14" s="170"/>
      <c r="CFC14" s="170"/>
      <c r="CFD14" s="170"/>
      <c r="CFE14" s="170"/>
      <c r="CFF14" s="170"/>
      <c r="CFG14" s="170"/>
      <c r="CFH14" s="170"/>
      <c r="CFI14" s="170"/>
      <c r="CFJ14" s="170"/>
      <c r="CFK14" s="170"/>
      <c r="CFL14" s="170"/>
      <c r="CFM14" s="170"/>
      <c r="CFN14" s="170"/>
      <c r="CFO14" s="170"/>
      <c r="CFP14" s="170"/>
      <c r="CFQ14" s="170"/>
      <c r="CFR14" s="170"/>
      <c r="CFS14" s="170"/>
      <c r="CFT14" s="170"/>
      <c r="CFU14" s="170"/>
      <c r="CFV14" s="170"/>
      <c r="CFW14" s="170"/>
      <c r="CFX14" s="170"/>
      <c r="CFY14" s="170"/>
      <c r="CFZ14" s="170"/>
      <c r="CGA14" s="170"/>
      <c r="CGB14" s="170"/>
      <c r="CGC14" s="170"/>
      <c r="CGD14" s="170"/>
      <c r="CGE14" s="170"/>
      <c r="CGF14" s="170"/>
      <c r="CGG14" s="170"/>
      <c r="CGH14" s="170"/>
      <c r="CGI14" s="170"/>
      <c r="CGJ14" s="170"/>
      <c r="CGK14" s="170"/>
      <c r="CGL14" s="170"/>
      <c r="CGM14" s="170"/>
      <c r="CGN14" s="170"/>
      <c r="CGO14" s="170"/>
      <c r="CGP14" s="170"/>
      <c r="CGQ14" s="170"/>
      <c r="CGR14" s="170"/>
      <c r="CGS14" s="170"/>
      <c r="CGT14" s="170"/>
      <c r="CGU14" s="170"/>
      <c r="CGV14" s="170"/>
      <c r="CGW14" s="170"/>
      <c r="CGX14" s="170"/>
      <c r="CGY14" s="170"/>
      <c r="CGZ14" s="170"/>
      <c r="CHA14" s="170"/>
      <c r="CHB14" s="170"/>
      <c r="CHC14" s="170"/>
      <c r="CHD14" s="170"/>
      <c r="CHE14" s="170"/>
      <c r="CHF14" s="170"/>
      <c r="CHG14" s="170"/>
      <c r="CHH14" s="170"/>
      <c r="CHI14" s="170"/>
      <c r="CHJ14" s="170"/>
      <c r="CHK14" s="170"/>
      <c r="CHL14" s="170"/>
      <c r="CHM14" s="170"/>
      <c r="CHN14" s="170"/>
      <c r="CHO14" s="170"/>
      <c r="CHP14" s="170"/>
      <c r="CHQ14" s="170"/>
      <c r="CHR14" s="170"/>
      <c r="CHS14" s="170"/>
      <c r="CHT14" s="170"/>
      <c r="CHU14" s="170"/>
      <c r="CHV14" s="170"/>
      <c r="CHW14" s="170"/>
      <c r="CHX14" s="170"/>
      <c r="CHY14" s="170"/>
      <c r="CHZ14" s="170"/>
      <c r="CIA14" s="170"/>
      <c r="CIB14" s="170"/>
      <c r="CIC14" s="170"/>
      <c r="CID14" s="170"/>
      <c r="CIE14" s="170"/>
      <c r="CIF14" s="170"/>
      <c r="CIG14" s="170"/>
      <c r="CIH14" s="170"/>
      <c r="CII14" s="170"/>
      <c r="CIJ14" s="170"/>
      <c r="CIK14" s="170"/>
      <c r="CIL14" s="170"/>
      <c r="CIM14" s="170"/>
      <c r="CIN14" s="170"/>
      <c r="CIO14" s="170"/>
      <c r="CIP14" s="170"/>
      <c r="CIQ14" s="170"/>
      <c r="CIR14" s="170"/>
      <c r="CIS14" s="170"/>
      <c r="CIT14" s="170"/>
      <c r="CIU14" s="170"/>
      <c r="CIV14" s="170"/>
      <c r="CIW14" s="170"/>
      <c r="CIX14" s="170"/>
      <c r="CIY14" s="170"/>
      <c r="CIZ14" s="170"/>
      <c r="CJA14" s="170"/>
      <c r="CJB14" s="170"/>
      <c r="CJC14" s="170"/>
      <c r="CJD14" s="170"/>
      <c r="CJE14" s="170"/>
      <c r="CJF14" s="170"/>
      <c r="CJG14" s="170"/>
      <c r="CJH14" s="170"/>
      <c r="CJI14" s="170"/>
      <c r="CJJ14" s="170"/>
      <c r="CJK14" s="170"/>
      <c r="CJL14" s="170"/>
      <c r="CJM14" s="170"/>
      <c r="CJN14" s="170"/>
      <c r="CJO14" s="170"/>
      <c r="CJP14" s="170"/>
      <c r="CJQ14" s="170"/>
      <c r="CJR14" s="170"/>
      <c r="CJS14" s="170"/>
      <c r="CJT14" s="170"/>
      <c r="CJU14" s="170"/>
      <c r="CJV14" s="170"/>
      <c r="CJW14" s="170"/>
      <c r="CJX14" s="170"/>
      <c r="CJY14" s="170"/>
      <c r="CJZ14" s="170"/>
      <c r="CKA14" s="170"/>
      <c r="CKB14" s="170"/>
      <c r="CKC14" s="170"/>
      <c r="CKD14" s="170"/>
      <c r="CKE14" s="170"/>
      <c r="CKF14" s="170"/>
      <c r="CKG14" s="170"/>
      <c r="CKH14" s="170"/>
      <c r="CKI14" s="170"/>
      <c r="CKJ14" s="170"/>
      <c r="CKK14" s="170"/>
      <c r="CKL14" s="170"/>
      <c r="CKM14" s="170"/>
      <c r="CKN14" s="170"/>
      <c r="CKO14" s="170"/>
      <c r="CKP14" s="170"/>
      <c r="CKQ14" s="170"/>
      <c r="CKR14" s="170"/>
      <c r="CKS14" s="170"/>
      <c r="CKT14" s="170"/>
      <c r="CKU14" s="170"/>
      <c r="CKV14" s="170"/>
      <c r="CKW14" s="170"/>
      <c r="CKX14" s="170"/>
      <c r="CKY14" s="170"/>
      <c r="CKZ14" s="170"/>
      <c r="CLA14" s="170"/>
      <c r="CLB14" s="170"/>
      <c r="CLC14" s="170"/>
      <c r="CLD14" s="170"/>
      <c r="CLE14" s="170"/>
      <c r="CLF14" s="170"/>
      <c r="CLG14" s="170"/>
      <c r="CLH14" s="170"/>
      <c r="CLI14" s="170"/>
      <c r="CLJ14" s="170"/>
      <c r="CLK14" s="170"/>
      <c r="CLL14" s="170"/>
      <c r="CLM14" s="170"/>
      <c r="CLN14" s="170"/>
      <c r="CLO14" s="170"/>
      <c r="CLP14" s="170"/>
      <c r="CLQ14" s="170"/>
      <c r="CLR14" s="170"/>
      <c r="CLS14" s="170"/>
      <c r="CLT14" s="170"/>
      <c r="CLU14" s="170"/>
      <c r="CLV14" s="170"/>
      <c r="CLW14" s="170"/>
      <c r="CLX14" s="170"/>
      <c r="CLY14" s="170"/>
      <c r="CLZ14" s="170"/>
      <c r="CMA14" s="170"/>
      <c r="CMB14" s="170"/>
      <c r="CMC14" s="170"/>
      <c r="CMD14" s="170"/>
      <c r="CME14" s="170"/>
      <c r="CMF14" s="170"/>
      <c r="CMG14" s="170"/>
      <c r="CMH14" s="170"/>
      <c r="CMI14" s="170"/>
      <c r="CMJ14" s="170"/>
      <c r="CMK14" s="170"/>
      <c r="CML14" s="170"/>
      <c r="CMM14" s="170"/>
      <c r="CMN14" s="170"/>
      <c r="CMO14" s="170"/>
      <c r="CMP14" s="170"/>
      <c r="CMQ14" s="170"/>
      <c r="CMR14" s="170"/>
      <c r="CMS14" s="170"/>
      <c r="CMT14" s="170"/>
      <c r="CMU14" s="170"/>
      <c r="CMV14" s="170"/>
      <c r="CMW14" s="170"/>
      <c r="CMX14" s="170"/>
      <c r="CMY14" s="170"/>
      <c r="CMZ14" s="170"/>
      <c r="CNA14" s="170"/>
      <c r="CNB14" s="170"/>
      <c r="CNC14" s="170"/>
      <c r="CND14" s="170"/>
      <c r="CNE14" s="170"/>
      <c r="CNF14" s="170"/>
      <c r="CNG14" s="170"/>
      <c r="CNH14" s="170"/>
      <c r="CNI14" s="170"/>
      <c r="CNJ14" s="170"/>
      <c r="CNK14" s="170"/>
      <c r="CNL14" s="170"/>
      <c r="CNM14" s="170"/>
      <c r="CNN14" s="170"/>
      <c r="CNO14" s="170"/>
      <c r="CNP14" s="170"/>
      <c r="CNQ14" s="170"/>
      <c r="CNR14" s="170"/>
      <c r="CNS14" s="170"/>
      <c r="CNT14" s="170"/>
      <c r="CNU14" s="170"/>
      <c r="CNV14" s="170"/>
      <c r="CNW14" s="170"/>
      <c r="CNX14" s="170"/>
      <c r="CNY14" s="170"/>
      <c r="CNZ14" s="170"/>
      <c r="COA14" s="170"/>
      <c r="COB14" s="170"/>
      <c r="COC14" s="170"/>
      <c r="COD14" s="170"/>
      <c r="COE14" s="170"/>
      <c r="COF14" s="170"/>
      <c r="COG14" s="170"/>
      <c r="COH14" s="170"/>
      <c r="COI14" s="170"/>
      <c r="COJ14" s="170"/>
      <c r="COK14" s="170"/>
      <c r="COL14" s="170"/>
      <c r="COM14" s="170"/>
      <c r="CON14" s="170"/>
      <c r="COO14" s="170"/>
      <c r="COP14" s="170"/>
      <c r="COQ14" s="170"/>
      <c r="COR14" s="170"/>
      <c r="COS14" s="170"/>
      <c r="COT14" s="170"/>
      <c r="COU14" s="170"/>
      <c r="COV14" s="170"/>
      <c r="COW14" s="170"/>
      <c r="COX14" s="170"/>
      <c r="COY14" s="170"/>
      <c r="COZ14" s="170"/>
      <c r="CPA14" s="170"/>
      <c r="CPB14" s="170"/>
      <c r="CPC14" s="170"/>
      <c r="CPD14" s="170"/>
      <c r="CPE14" s="170"/>
      <c r="CPF14" s="170"/>
      <c r="CPG14" s="170"/>
      <c r="CPH14" s="170"/>
      <c r="CPI14" s="170"/>
      <c r="CPJ14" s="170"/>
      <c r="CPK14" s="170"/>
      <c r="CPL14" s="170"/>
      <c r="CPM14" s="170"/>
      <c r="CPN14" s="170"/>
      <c r="CPO14" s="170"/>
      <c r="CPP14" s="170"/>
      <c r="CPQ14" s="170"/>
      <c r="CPR14" s="170"/>
      <c r="CPS14" s="170"/>
      <c r="CPT14" s="170"/>
      <c r="CPU14" s="170"/>
      <c r="CPV14" s="170"/>
      <c r="CPW14" s="170"/>
      <c r="CPX14" s="170"/>
      <c r="CPY14" s="170"/>
      <c r="CPZ14" s="170"/>
      <c r="CQA14" s="170"/>
      <c r="CQB14" s="170"/>
      <c r="CQC14" s="170"/>
      <c r="CQD14" s="170"/>
      <c r="CQE14" s="170"/>
      <c r="CQF14" s="170"/>
      <c r="CQG14" s="170"/>
      <c r="CQH14" s="170"/>
      <c r="CQI14" s="170"/>
      <c r="CQJ14" s="170"/>
      <c r="CQK14" s="170"/>
      <c r="CQL14" s="170"/>
      <c r="CQM14" s="170"/>
      <c r="CQN14" s="170"/>
      <c r="CQO14" s="170"/>
      <c r="CQP14" s="170"/>
      <c r="CQQ14" s="170"/>
      <c r="CQR14" s="170"/>
      <c r="CQS14" s="170"/>
      <c r="CQT14" s="170"/>
      <c r="CQU14" s="170"/>
      <c r="CQV14" s="170"/>
      <c r="CQW14" s="170"/>
      <c r="CQX14" s="170"/>
      <c r="CQY14" s="170"/>
      <c r="CQZ14" s="170"/>
      <c r="CRA14" s="170"/>
      <c r="CRB14" s="170"/>
      <c r="CRC14" s="170"/>
      <c r="CRD14" s="170"/>
      <c r="CRE14" s="170"/>
      <c r="CRF14" s="170"/>
      <c r="CRG14" s="170"/>
      <c r="CRH14" s="170"/>
      <c r="CRI14" s="170"/>
      <c r="CRJ14" s="170"/>
      <c r="CRK14" s="170"/>
      <c r="CRL14" s="170"/>
      <c r="CRM14" s="170"/>
      <c r="CRN14" s="170"/>
      <c r="CRO14" s="170"/>
      <c r="CRP14" s="170"/>
      <c r="CRQ14" s="170"/>
      <c r="CRR14" s="170"/>
      <c r="CRS14" s="170"/>
      <c r="CRT14" s="170"/>
      <c r="CRU14" s="170"/>
      <c r="CRV14" s="170"/>
      <c r="CRW14" s="170"/>
      <c r="CRX14" s="170"/>
      <c r="CRY14" s="170"/>
      <c r="CRZ14" s="170"/>
      <c r="CSA14" s="170"/>
      <c r="CSB14" s="170"/>
      <c r="CSC14" s="170"/>
      <c r="CSD14" s="170"/>
      <c r="CSE14" s="170"/>
      <c r="CSF14" s="170"/>
      <c r="CSG14" s="170"/>
      <c r="CSH14" s="170"/>
      <c r="CSI14" s="170"/>
      <c r="CSJ14" s="170"/>
      <c r="CSK14" s="170"/>
      <c r="CSL14" s="170"/>
      <c r="CSM14" s="170"/>
      <c r="CSN14" s="170"/>
      <c r="CSO14" s="170"/>
      <c r="CSP14" s="170"/>
      <c r="CSQ14" s="170"/>
      <c r="CSR14" s="170"/>
      <c r="CSS14" s="170"/>
      <c r="CST14" s="170"/>
      <c r="CSU14" s="170"/>
      <c r="CSV14" s="170"/>
      <c r="CSW14" s="170"/>
      <c r="CSX14" s="170"/>
      <c r="CSY14" s="170"/>
      <c r="CSZ14" s="170"/>
      <c r="CTA14" s="170"/>
      <c r="CTB14" s="170"/>
      <c r="CTC14" s="170"/>
      <c r="CTD14" s="170"/>
      <c r="CTE14" s="170"/>
      <c r="CTF14" s="170"/>
      <c r="CTG14" s="170"/>
      <c r="CTH14" s="170"/>
      <c r="CTI14" s="170"/>
      <c r="CTJ14" s="170"/>
      <c r="CTK14" s="170"/>
      <c r="CTL14" s="170"/>
      <c r="CTM14" s="170"/>
      <c r="CTN14" s="170"/>
      <c r="CTO14" s="170"/>
      <c r="CTP14" s="170"/>
      <c r="CTQ14" s="170"/>
      <c r="CTR14" s="170"/>
      <c r="CTS14" s="170"/>
      <c r="CTT14" s="170"/>
      <c r="CTU14" s="170"/>
      <c r="CTV14" s="170"/>
      <c r="CTW14" s="170"/>
      <c r="CTX14" s="170"/>
      <c r="CTY14" s="170"/>
      <c r="CTZ14" s="170"/>
      <c r="CUA14" s="170"/>
      <c r="CUB14" s="170"/>
      <c r="CUC14" s="170"/>
      <c r="CUD14" s="170"/>
      <c r="CUE14" s="170"/>
      <c r="CUF14" s="170"/>
      <c r="CUG14" s="170"/>
      <c r="CUH14" s="170"/>
      <c r="CUI14" s="170"/>
      <c r="CUJ14" s="170"/>
      <c r="CUK14" s="170"/>
      <c r="CUL14" s="170"/>
      <c r="CUM14" s="170"/>
      <c r="CUN14" s="170"/>
      <c r="CUO14" s="170"/>
      <c r="CUP14" s="170"/>
      <c r="CUQ14" s="170"/>
      <c r="CUR14" s="170"/>
      <c r="CUS14" s="170"/>
      <c r="CUT14" s="170"/>
      <c r="CUU14" s="170"/>
      <c r="CUV14" s="170"/>
      <c r="CUW14" s="170"/>
      <c r="CUX14" s="170"/>
      <c r="CUY14" s="170"/>
      <c r="CUZ14" s="170"/>
      <c r="CVA14" s="170"/>
      <c r="CVB14" s="170"/>
      <c r="CVC14" s="170"/>
      <c r="CVD14" s="170"/>
      <c r="CVE14" s="170"/>
      <c r="CVF14" s="170"/>
      <c r="CVG14" s="170"/>
      <c r="CVH14" s="170"/>
      <c r="CVI14" s="170"/>
      <c r="CVJ14" s="170"/>
      <c r="CVK14" s="170"/>
      <c r="CVL14" s="170"/>
      <c r="CVM14" s="170"/>
      <c r="CVN14" s="170"/>
      <c r="CVO14" s="170"/>
      <c r="CVP14" s="170"/>
      <c r="CVQ14" s="170"/>
      <c r="CVR14" s="170"/>
      <c r="CVS14" s="170"/>
      <c r="CVT14" s="170"/>
      <c r="CVU14" s="170"/>
      <c r="CVV14" s="170"/>
      <c r="CVW14" s="170"/>
      <c r="CVX14" s="170"/>
      <c r="CVY14" s="170"/>
      <c r="CVZ14" s="170"/>
      <c r="CWA14" s="170"/>
      <c r="CWB14" s="170"/>
      <c r="CWC14" s="170"/>
      <c r="CWD14" s="170"/>
      <c r="CWE14" s="170"/>
      <c r="CWF14" s="170"/>
      <c r="CWG14" s="170"/>
      <c r="CWH14" s="170"/>
      <c r="CWI14" s="170"/>
      <c r="CWJ14" s="170"/>
      <c r="CWK14" s="170"/>
      <c r="CWL14" s="170"/>
      <c r="CWM14" s="170"/>
      <c r="CWN14" s="170"/>
      <c r="CWO14" s="170"/>
      <c r="CWP14" s="170"/>
      <c r="CWQ14" s="170"/>
      <c r="CWR14" s="170"/>
      <c r="CWS14" s="170"/>
      <c r="CWT14" s="170"/>
      <c r="CWU14" s="170"/>
      <c r="CWV14" s="170"/>
      <c r="CWW14" s="170"/>
      <c r="CWX14" s="170"/>
      <c r="CWY14" s="170"/>
      <c r="CWZ14" s="170"/>
      <c r="CXA14" s="170"/>
      <c r="CXB14" s="170"/>
      <c r="CXC14" s="170"/>
      <c r="CXD14" s="170"/>
      <c r="CXE14" s="170"/>
      <c r="CXF14" s="170"/>
      <c r="CXG14" s="170"/>
      <c r="CXH14" s="170"/>
      <c r="CXI14" s="170"/>
      <c r="CXJ14" s="170"/>
      <c r="CXK14" s="170"/>
      <c r="CXL14" s="170"/>
      <c r="CXM14" s="170"/>
      <c r="CXN14" s="170"/>
      <c r="CXO14" s="170"/>
      <c r="CXP14" s="170"/>
      <c r="CXQ14" s="170"/>
      <c r="CXR14" s="170"/>
      <c r="CXS14" s="170"/>
      <c r="CXT14" s="170"/>
      <c r="CXU14" s="170"/>
      <c r="CXV14" s="170"/>
      <c r="CXW14" s="170"/>
      <c r="CXX14" s="170"/>
      <c r="CXY14" s="170"/>
      <c r="CXZ14" s="170"/>
      <c r="CYA14" s="170"/>
      <c r="CYB14" s="170"/>
      <c r="CYC14" s="170"/>
      <c r="CYD14" s="170"/>
      <c r="CYE14" s="170"/>
      <c r="CYF14" s="170"/>
      <c r="CYG14" s="170"/>
      <c r="CYH14" s="170"/>
      <c r="CYI14" s="170"/>
      <c r="CYJ14" s="170"/>
      <c r="CYK14" s="170"/>
      <c r="CYL14" s="170"/>
      <c r="CYM14" s="170"/>
      <c r="CYN14" s="170"/>
      <c r="CYO14" s="170"/>
      <c r="CYP14" s="170"/>
      <c r="CYQ14" s="170"/>
      <c r="CYR14" s="170"/>
      <c r="CYS14" s="170"/>
      <c r="CYT14" s="170"/>
      <c r="CYU14" s="170"/>
      <c r="CYV14" s="170"/>
      <c r="CYW14" s="170"/>
      <c r="CYX14" s="170"/>
      <c r="CYY14" s="170"/>
      <c r="CYZ14" s="170"/>
      <c r="CZA14" s="170"/>
      <c r="CZB14" s="170"/>
      <c r="CZC14" s="170"/>
      <c r="CZD14" s="170"/>
      <c r="CZE14" s="170"/>
      <c r="CZF14" s="170"/>
      <c r="CZG14" s="170"/>
      <c r="CZH14" s="170"/>
      <c r="CZI14" s="170"/>
      <c r="CZJ14" s="170"/>
      <c r="CZK14" s="170"/>
      <c r="CZL14" s="170"/>
      <c r="CZM14" s="170"/>
      <c r="CZN14" s="170"/>
      <c r="CZO14" s="170"/>
      <c r="CZP14" s="170"/>
      <c r="CZQ14" s="170"/>
      <c r="CZR14" s="170"/>
      <c r="CZS14" s="170"/>
      <c r="CZT14" s="170"/>
      <c r="CZU14" s="170"/>
      <c r="CZV14" s="170"/>
      <c r="CZW14" s="170"/>
      <c r="CZX14" s="170"/>
      <c r="CZY14" s="170"/>
      <c r="CZZ14" s="170"/>
      <c r="DAA14" s="170"/>
      <c r="DAB14" s="170"/>
      <c r="DAC14" s="170"/>
      <c r="DAD14" s="170"/>
      <c r="DAE14" s="170"/>
      <c r="DAF14" s="170"/>
      <c r="DAG14" s="170"/>
      <c r="DAH14" s="170"/>
      <c r="DAI14" s="170"/>
      <c r="DAJ14" s="170"/>
      <c r="DAK14" s="170"/>
      <c r="DAL14" s="170"/>
      <c r="DAM14" s="170"/>
      <c r="DAN14" s="170"/>
      <c r="DAO14" s="170"/>
      <c r="DAP14" s="170"/>
      <c r="DAQ14" s="170"/>
      <c r="DAR14" s="170"/>
      <c r="DAS14" s="170"/>
      <c r="DAT14" s="170"/>
      <c r="DAU14" s="170"/>
      <c r="DAV14" s="170"/>
      <c r="DAW14" s="170"/>
      <c r="DAX14" s="170"/>
      <c r="DAY14" s="170"/>
      <c r="DAZ14" s="170"/>
      <c r="DBA14" s="170"/>
      <c r="DBB14" s="170"/>
      <c r="DDA14" s="246"/>
    </row>
    <row r="15" spans="1:2814" ht="30" customHeight="1">
      <c r="A15" s="1323" t="s">
        <v>1291</v>
      </c>
      <c r="B15" s="1305">
        <v>8</v>
      </c>
      <c r="C15" s="1310" t="s">
        <v>5400</v>
      </c>
      <c r="D15" s="317" t="s">
        <v>3794</v>
      </c>
      <c r="E15" s="1310" t="s">
        <v>3830</v>
      </c>
      <c r="F15" s="1311" t="s">
        <v>233</v>
      </c>
      <c r="G15" s="1312"/>
      <c r="H15" s="1312"/>
      <c r="I15" s="1312"/>
      <c r="J15" s="1312"/>
      <c r="K15" s="416"/>
      <c r="L15" s="2506">
        <f>MATCH(C15, $A$1:$DZG$1,0)</f>
        <v>1301</v>
      </c>
      <c r="M15" t="str">
        <f t="shared" si="0"/>
        <v>AXA</v>
      </c>
      <c r="N15" s="416"/>
      <c r="O15" s="416"/>
      <c r="P15" s="416"/>
      <c r="Q15" s="416"/>
      <c r="R15" s="416"/>
      <c r="S15" s="416"/>
      <c r="T15" s="416"/>
      <c r="U15" s="416"/>
      <c r="V15" s="416"/>
      <c r="W15" s="416"/>
      <c r="AA15" s="1637" t="s">
        <v>4110</v>
      </c>
      <c r="AB15" s="1637"/>
      <c r="BA15" t="s">
        <v>4140</v>
      </c>
      <c r="BB15" t="s">
        <v>4143</v>
      </c>
      <c r="BC15" s="457" t="s">
        <v>495</v>
      </c>
      <c r="CA15" t="s">
        <v>471</v>
      </c>
      <c r="CB15" t="s">
        <v>472</v>
      </c>
      <c r="DA15" s="10" t="s">
        <v>473</v>
      </c>
      <c r="DB15" s="441" t="s">
        <v>474</v>
      </c>
      <c r="DC15" s="944"/>
      <c r="EA15" s="848">
        <v>607</v>
      </c>
      <c r="EB15" s="10" t="s">
        <v>599</v>
      </c>
      <c r="EC15" s="10" t="s">
        <v>4133</v>
      </c>
      <c r="FA15" s="949" t="s">
        <v>434</v>
      </c>
      <c r="FB15" s="1501" t="s">
        <v>6917</v>
      </c>
      <c r="FC15" s="1501"/>
      <c r="FD15" s="1501"/>
      <c r="FE15" s="1501"/>
      <c r="FF15" s="1501"/>
      <c r="GA15" s="1699" t="s">
        <v>4146</v>
      </c>
      <c r="GB15" s="1700"/>
      <c r="GC15" s="1700"/>
      <c r="GD15" s="1700"/>
      <c r="GE15" s="448"/>
      <c r="HA15" s="440" t="s">
        <v>5977</v>
      </c>
      <c r="HB15" s="10" t="s">
        <v>5978</v>
      </c>
      <c r="HC15" s="10" t="s">
        <v>160</v>
      </c>
      <c r="HD15" s="1592" t="s">
        <v>5987</v>
      </c>
      <c r="HE15" s="1592"/>
      <c r="HF15" s="1592"/>
      <c r="KA15" s="10" t="s">
        <v>530</v>
      </c>
      <c r="KB15" s="10" t="s">
        <v>531</v>
      </c>
      <c r="LA15" s="10" t="s">
        <v>588</v>
      </c>
      <c r="LB15" s="10" t="s">
        <v>589</v>
      </c>
      <c r="MA15" s="10" t="s">
        <v>534</v>
      </c>
      <c r="MB15" s="10" t="s">
        <v>535</v>
      </c>
      <c r="NA15" s="10" t="s">
        <v>505</v>
      </c>
      <c r="NB15" s="441" t="s">
        <v>506</v>
      </c>
      <c r="OA15" s="10" t="s">
        <v>568</v>
      </c>
      <c r="OB15" s="10" t="s">
        <v>569</v>
      </c>
      <c r="PA15" s="933" t="s">
        <v>3</v>
      </c>
      <c r="PB15" s="933" t="s">
        <v>3</v>
      </c>
      <c r="PC15" s="933" t="s">
        <v>508</v>
      </c>
      <c r="PD15" s="933" t="s">
        <v>4178</v>
      </c>
      <c r="PE15" s="933" t="s">
        <v>428</v>
      </c>
      <c r="QA15" s="10"/>
      <c r="QB15" s="10"/>
      <c r="SE15" s="442"/>
      <c r="UA15" s="1528" t="s">
        <v>4146</v>
      </c>
      <c r="UB15" s="1529"/>
      <c r="UC15" s="1529"/>
      <c r="UD15" s="1529"/>
      <c r="UE15" s="1529"/>
      <c r="UF15" s="1529"/>
      <c r="UG15" s="1529"/>
      <c r="VA15" s="10" t="s">
        <v>510</v>
      </c>
      <c r="VB15" s="10" t="s">
        <v>511</v>
      </c>
      <c r="VC15" s="291" t="s">
        <v>512</v>
      </c>
      <c r="WA15" s="10" t="s">
        <v>513</v>
      </c>
      <c r="WB15" s="10" t="s">
        <v>513</v>
      </c>
      <c r="WC15" s="10"/>
      <c r="XA15" s="66" t="s">
        <v>467</v>
      </c>
      <c r="XB15" s="10" t="s">
        <v>486</v>
      </c>
      <c r="XC15" s="10" t="s">
        <v>486</v>
      </c>
      <c r="XD15" s="10" t="s">
        <v>469</v>
      </c>
      <c r="XE15" s="291" t="s">
        <v>7622</v>
      </c>
      <c r="ZB15" s="10" t="s">
        <v>4769</v>
      </c>
      <c r="ZC15" s="10" t="s">
        <v>4777</v>
      </c>
      <c r="ZD15" s="291"/>
      <c r="AAB15" s="10" t="s">
        <v>4796</v>
      </c>
      <c r="AAC15" s="10" t="s">
        <v>4801</v>
      </c>
      <c r="AAD15" s="291"/>
      <c r="ABB15" s="10" t="s">
        <v>549</v>
      </c>
      <c r="ABC15" s="10" t="s">
        <v>550</v>
      </c>
      <c r="ACB15" s="10" t="s">
        <v>520</v>
      </c>
      <c r="ACC15" s="10" t="s">
        <v>521</v>
      </c>
      <c r="ADB15" s="62" t="s">
        <v>4305</v>
      </c>
      <c r="ADC15" s="62" t="s">
        <v>4324</v>
      </c>
      <c r="ADD15" s="10" t="s">
        <v>2693</v>
      </c>
      <c r="ADE15" s="1495"/>
      <c r="ADF15" s="1496"/>
      <c r="AEB15" s="226" t="s">
        <v>457</v>
      </c>
      <c r="AEC15" s="226" t="s">
        <v>3</v>
      </c>
      <c r="AED15" s="226" t="s">
        <v>4</v>
      </c>
      <c r="AEE15" s="226" t="s">
        <v>441</v>
      </c>
      <c r="AEF15" s="964" t="s">
        <v>428</v>
      </c>
      <c r="AEG15" s="855"/>
      <c r="AEH15" s="855"/>
      <c r="AEI15" s="855"/>
      <c r="AEJ15" s="855"/>
      <c r="AEK15" s="855"/>
      <c r="AEL15" s="855"/>
      <c r="AEM15" s="855"/>
      <c r="AEN15" s="855"/>
      <c r="AEO15" s="855"/>
      <c r="AEP15" s="855"/>
      <c r="AEQ15" s="855"/>
      <c r="AER15" s="855"/>
      <c r="AES15" s="855"/>
      <c r="AET15" s="855"/>
      <c r="AEU15" s="855"/>
      <c r="AEV15" s="855"/>
      <c r="AEW15" s="855"/>
      <c r="AEX15" s="855"/>
      <c r="AFB15" s="10" t="s">
        <v>553</v>
      </c>
      <c r="AFC15" s="10" t="s">
        <v>4360</v>
      </c>
      <c r="AGB15" s="10" t="s">
        <v>4367</v>
      </c>
      <c r="AGC15" s="10" t="s">
        <v>4370</v>
      </c>
      <c r="AHB15" s="1525" t="s">
        <v>4375</v>
      </c>
      <c r="AHC15" s="1525"/>
      <c r="AHD15" s="1525" t="s">
        <v>4383</v>
      </c>
      <c r="AHE15" s="1525"/>
      <c r="AIB15" s="10" t="s">
        <v>553</v>
      </c>
      <c r="AIC15" s="10" t="s">
        <v>554</v>
      </c>
      <c r="AJB15" s="10" t="s">
        <v>4400</v>
      </c>
      <c r="AJC15" s="10" t="s">
        <v>4405</v>
      </c>
      <c r="AKB15" s="10" t="s">
        <v>4408</v>
      </c>
      <c r="AKC15" s="10" t="s">
        <v>4413</v>
      </c>
      <c r="ALB15" s="10" t="s">
        <v>4421</v>
      </c>
      <c r="ALC15" s="10" t="s">
        <v>4423</v>
      </c>
      <c r="AMB15" s="10" t="s">
        <v>4431</v>
      </c>
      <c r="AMC15" s="10" t="s">
        <v>4436</v>
      </c>
      <c r="ANB15" s="10" t="s">
        <v>2875</v>
      </c>
      <c r="ANC15" s="10" t="s">
        <v>2876</v>
      </c>
      <c r="AOA15" s="2537"/>
      <c r="APA15" s="2537"/>
      <c r="AQE15" s="1505" t="s">
        <v>4505</v>
      </c>
      <c r="AQF15" s="1505"/>
      <c r="AQG15" s="1505"/>
      <c r="ATA15" s="221" t="s">
        <v>4537</v>
      </c>
      <c r="ATB15" s="230" t="s">
        <v>5825</v>
      </c>
      <c r="ATC15" s="442"/>
      <c r="ATD15" s="1364" t="s">
        <v>7455</v>
      </c>
      <c r="ATE15" s="1721"/>
      <c r="ATF15" s="1722"/>
      <c r="ATG15" s="1722"/>
      <c r="ATH15" s="1723"/>
      <c r="AUA15" s="7"/>
      <c r="AUB15" s="7"/>
      <c r="AUC15" s="7"/>
      <c r="AUD15" s="7"/>
      <c r="AUF15" s="988"/>
      <c r="AUG15" s="988"/>
      <c r="AVA15" s="1727" t="s">
        <v>6619</v>
      </c>
      <c r="AVB15" s="1677"/>
      <c r="AVC15" s="951"/>
      <c r="AVD15" s="225"/>
      <c r="AVE15" s="1167"/>
      <c r="AVF15" s="1167"/>
      <c r="AXA15" s="992" t="s">
        <v>5414</v>
      </c>
      <c r="AXB15" s="181" t="s">
        <v>5412</v>
      </c>
      <c r="AXC15" s="992" t="s">
        <v>5415</v>
      </c>
      <c r="AXD15" s="1033" t="s">
        <v>1712</v>
      </c>
      <c r="AXE15" s="1512"/>
      <c r="AXF15" s="157" t="s">
        <v>5410</v>
      </c>
      <c r="AYA15" s="493">
        <v>1</v>
      </c>
      <c r="AYB15" s="493">
        <v>2</v>
      </c>
      <c r="AYC15" s="894">
        <v>3</v>
      </c>
      <c r="AYD15" s="110"/>
      <c r="AYE15" s="110"/>
      <c r="AYF15" s="110"/>
      <c r="AZA15" s="1005" t="s">
        <v>1217</v>
      </c>
      <c r="AZB15" t="s">
        <v>4581</v>
      </c>
      <c r="AZC15" t="s">
        <v>4709</v>
      </c>
      <c r="BAA15" s="221" t="s">
        <v>4648</v>
      </c>
      <c r="BAB15" s="1111" t="s">
        <v>4649</v>
      </c>
      <c r="BAC15" s="1169"/>
      <c r="BAD15" s="225">
        <v>10</v>
      </c>
      <c r="BAE15" s="1545" t="s">
        <v>6332</v>
      </c>
      <c r="BAF15" s="1546"/>
      <c r="BBA15" s="221" t="s">
        <v>6721</v>
      </c>
      <c r="BBB15" s="1111" t="s">
        <v>6722</v>
      </c>
      <c r="BBC15" s="1268"/>
      <c r="BBD15" s="157">
        <v>11</v>
      </c>
      <c r="BBE15" s="1543" t="s">
        <v>6732</v>
      </c>
      <c r="BBF15" s="1544"/>
      <c r="BCA15" s="1274" t="s">
        <v>4639</v>
      </c>
      <c r="BCB15" s="1274" t="s">
        <v>6703</v>
      </c>
      <c r="BCC15" s="1274" t="s">
        <v>6782</v>
      </c>
      <c r="BCD15" s="1274" t="s">
        <v>87</v>
      </c>
      <c r="BCE15" s="442"/>
      <c r="BCF15" s="225"/>
      <c r="BCG15" s="1547"/>
      <c r="BCH15" s="1548"/>
      <c r="BDE15" s="1111" t="s">
        <v>4659</v>
      </c>
      <c r="BDF15" s="1111" t="s">
        <v>6783</v>
      </c>
      <c r="BDG15" s="1111" t="s">
        <v>6771</v>
      </c>
      <c r="BDH15" s="1111" t="s">
        <v>6791</v>
      </c>
      <c r="BDI15" s="934" t="s">
        <v>6788</v>
      </c>
      <c r="BDJ15" s="1547" t="s">
        <v>6869</v>
      </c>
      <c r="BDK15" s="1548"/>
      <c r="BEA15" s="1528" t="s">
        <v>4146</v>
      </c>
      <c r="BEB15" s="1529"/>
      <c r="BEC15" s="1529"/>
      <c r="BED15" s="1529"/>
      <c r="BEE15" s="1529"/>
      <c r="BEF15" s="1529"/>
      <c r="BEG15" s="133"/>
      <c r="BGB15" s="171"/>
      <c r="BGC15" s="442"/>
      <c r="BGD15" s="133"/>
      <c r="BGE15" s="91"/>
      <c r="BGF15" s="91"/>
      <c r="BGG15" s="91"/>
      <c r="BGH15" s="91"/>
      <c r="BGI15" s="91"/>
      <c r="BHA15" s="7"/>
      <c r="BHB15" s="7"/>
      <c r="BIA15" s="10" t="s">
        <v>4567</v>
      </c>
      <c r="BIB15" s="848" t="s">
        <v>4564</v>
      </c>
      <c r="BIC15" s="848" t="s">
        <v>4580</v>
      </c>
      <c r="BID15" s="10" t="s">
        <v>428</v>
      </c>
      <c r="BJB15" s="171" t="s">
        <v>4690</v>
      </c>
      <c r="BJC15" t="s">
        <v>4691</v>
      </c>
      <c r="BJD15" s="133" t="s">
        <v>4693</v>
      </c>
      <c r="BJF15" s="133"/>
      <c r="BLA15" s="1528" t="s">
        <v>4146</v>
      </c>
      <c r="BLB15" s="1529"/>
      <c r="BLC15" s="1529"/>
      <c r="BMA15" s="1005" t="s">
        <v>4806</v>
      </c>
      <c r="BMB15" t="s">
        <v>1174</v>
      </c>
      <c r="BMC15" t="s">
        <v>4820</v>
      </c>
      <c r="BMD15" t="s">
        <v>428</v>
      </c>
      <c r="BME15" s="110"/>
      <c r="BNA15" s="221" t="s">
        <v>1148</v>
      </c>
      <c r="BNB15" s="165" t="s">
        <v>4833</v>
      </c>
      <c r="BNC15" s="165" t="s">
        <v>4834</v>
      </c>
      <c r="BND15" s="1023" t="s">
        <v>4840</v>
      </c>
      <c r="BNE15" t="s">
        <v>4848</v>
      </c>
      <c r="BNF15" t="s">
        <v>4844</v>
      </c>
      <c r="BOA15" s="1025" t="s">
        <v>4886</v>
      </c>
      <c r="BOB15" s="112" t="s">
        <v>4881</v>
      </c>
      <c r="BOC15" s="9" t="s">
        <v>4887</v>
      </c>
      <c r="BPB15" s="1502" t="s">
        <v>4916</v>
      </c>
      <c r="BPC15" s="1502"/>
      <c r="BPD15" s="1502"/>
      <c r="BPE15" s="1502"/>
      <c r="BPZ15" s="1552" t="s">
        <v>5020</v>
      </c>
      <c r="BQB15" t="s">
        <v>5026</v>
      </c>
      <c r="BQC15" s="7"/>
      <c r="BQD15" s="7"/>
      <c r="BWA15" s="1175" t="s">
        <v>949</v>
      </c>
      <c r="BWB15" s="1186" t="s">
        <v>6599</v>
      </c>
      <c r="BWC15" s="1186" t="s">
        <v>6591</v>
      </c>
      <c r="BWD15" s="1186" t="s">
        <v>6585</v>
      </c>
      <c r="BWE15" s="1234" t="s">
        <v>6604</v>
      </c>
      <c r="BWF15" s="1233"/>
      <c r="BWG15" s="1189" t="s">
        <v>6362</v>
      </c>
      <c r="BWH15" s="1189" t="s">
        <v>6362</v>
      </c>
      <c r="BWI15" s="1189" t="s">
        <v>6362</v>
      </c>
      <c r="BWJ15" s="235">
        <v>10</v>
      </c>
      <c r="BXA15" s="1192" t="s">
        <v>6372</v>
      </c>
      <c r="BXB15" t="s">
        <v>6373</v>
      </c>
      <c r="BXC15" t="s">
        <v>6413</v>
      </c>
      <c r="BYA15" s="129"/>
      <c r="BYB15" t="s">
        <v>6569</v>
      </c>
      <c r="DDA15" s="129"/>
    </row>
    <row r="16" spans="1:2814" ht="30" customHeight="1" thickBot="1">
      <c r="A16" s="1323" t="s">
        <v>1261</v>
      </c>
      <c r="B16" s="1305">
        <v>9</v>
      </c>
      <c r="C16" s="1306" t="s">
        <v>4587</v>
      </c>
      <c r="D16" s="672" t="s">
        <v>3795</v>
      </c>
      <c r="E16" s="1313" t="s">
        <v>5479</v>
      </c>
      <c r="F16" s="1307" t="s">
        <v>233</v>
      </c>
      <c r="G16" s="1308"/>
      <c r="H16" s="1308"/>
      <c r="I16" s="1308"/>
      <c r="J16" s="1308"/>
      <c r="K16" s="198"/>
      <c r="L16" s="2506">
        <f>MATCH(C16, $A$1:$DZG$1,0)</f>
        <v>79</v>
      </c>
      <c r="M16" t="str">
        <f t="shared" si="0"/>
        <v>CA</v>
      </c>
      <c r="N16" s="198"/>
      <c r="O16" s="198"/>
      <c r="P16" s="198"/>
      <c r="Q16" s="198"/>
      <c r="R16" s="198"/>
      <c r="S16" s="198"/>
      <c r="T16" s="198"/>
      <c r="U16" s="198"/>
      <c r="V16" s="198"/>
      <c r="W16" s="198"/>
      <c r="AA16" s="457" t="s">
        <v>535</v>
      </c>
      <c r="AB16" t="s">
        <v>534</v>
      </c>
      <c r="BA16" t="s">
        <v>4140</v>
      </c>
      <c r="BC16" s="457" t="s">
        <v>525</v>
      </c>
      <c r="CA16" t="s">
        <v>496</v>
      </c>
      <c r="CB16" t="s">
        <v>497</v>
      </c>
      <c r="DA16" s="10" t="s">
        <v>498</v>
      </c>
      <c r="DB16" s="441" t="s">
        <v>499</v>
      </c>
      <c r="DC16" s="944"/>
      <c r="EA16" s="848">
        <v>6010</v>
      </c>
      <c r="EB16" s="10" t="s">
        <v>574</v>
      </c>
      <c r="EC16" s="10" t="s">
        <v>542</v>
      </c>
      <c r="FA16" s="949"/>
      <c r="FB16" s="1501" t="s">
        <v>6918</v>
      </c>
      <c r="FC16" s="1501"/>
      <c r="FD16" s="1501"/>
      <c r="FE16" s="1501"/>
      <c r="FF16" s="1501"/>
      <c r="GA16" s="60" t="s">
        <v>6903</v>
      </c>
      <c r="GB16" s="60" t="s">
        <v>6906</v>
      </c>
      <c r="GC16" s="60" t="s">
        <v>6905</v>
      </c>
      <c r="GD16" s="60" t="s">
        <v>6904</v>
      </c>
      <c r="GE16" s="9"/>
      <c r="HA16" s="440" t="s">
        <v>4407</v>
      </c>
      <c r="HB16" s="10" t="s">
        <v>4727</v>
      </c>
      <c r="HC16" s="10" t="s">
        <v>160</v>
      </c>
      <c r="HD16" s="1592" t="s">
        <v>5986</v>
      </c>
      <c r="HE16" s="1592"/>
      <c r="HF16" s="1592"/>
      <c r="KA16" s="10" t="s">
        <v>561</v>
      </c>
      <c r="KB16" s="10" t="s">
        <v>562</v>
      </c>
      <c r="LA16" s="10" t="s">
        <v>610</v>
      </c>
      <c r="LB16" s="10" t="s">
        <v>611</v>
      </c>
      <c r="MA16" s="10" t="s">
        <v>565</v>
      </c>
      <c r="MB16" s="10" t="s">
        <v>566</v>
      </c>
      <c r="NA16" s="10" t="s">
        <v>536</v>
      </c>
      <c r="NB16" s="441" t="s">
        <v>536</v>
      </c>
      <c r="OA16" s="10" t="s">
        <v>640</v>
      </c>
      <c r="OB16" s="10" t="s">
        <v>641</v>
      </c>
      <c r="PA16" s="10" t="s">
        <v>538</v>
      </c>
      <c r="PB16" s="10" t="s">
        <v>539</v>
      </c>
      <c r="PC16" s="10" t="s">
        <v>540</v>
      </c>
      <c r="PD16" s="10" t="s">
        <v>599</v>
      </c>
      <c r="PE16" s="10"/>
      <c r="SA16" s="246" t="s">
        <v>434</v>
      </c>
      <c r="SB16" t="s">
        <v>4219</v>
      </c>
      <c r="SE16" s="442"/>
      <c r="TA16" s="246" t="s">
        <v>434</v>
      </c>
      <c r="TB16" s="1502" t="s">
        <v>575</v>
      </c>
      <c r="TC16" s="1502"/>
      <c r="UA16" s="943">
        <v>1</v>
      </c>
      <c r="UB16" s="943">
        <v>2</v>
      </c>
      <c r="UC16" s="943">
        <v>3</v>
      </c>
      <c r="UD16" s="943">
        <v>4</v>
      </c>
      <c r="UE16" s="943">
        <v>5</v>
      </c>
      <c r="UF16" s="943">
        <v>6</v>
      </c>
      <c r="UG16" s="943">
        <v>7</v>
      </c>
      <c r="VA16" s="10" t="s">
        <v>542</v>
      </c>
      <c r="VB16" s="10" t="s">
        <v>543</v>
      </c>
      <c r="VC16" s="10" t="s">
        <v>4292</v>
      </c>
      <c r="WA16" s="10" t="s">
        <v>544</v>
      </c>
      <c r="WB16" s="10" t="s">
        <v>545</v>
      </c>
      <c r="WC16" s="10"/>
      <c r="XA16" s="66" t="s">
        <v>467</v>
      </c>
      <c r="XB16" s="10" t="s">
        <v>514</v>
      </c>
      <c r="XC16" s="10" t="s">
        <v>515</v>
      </c>
      <c r="XD16" s="10" t="s">
        <v>487</v>
      </c>
      <c r="XE16" s="291" t="s">
        <v>7622</v>
      </c>
      <c r="YA16" s="1686" t="s">
        <v>4146</v>
      </c>
      <c r="YB16" s="1687"/>
      <c r="YC16" s="1687"/>
      <c r="YD16" s="1687"/>
      <c r="YE16" s="1687"/>
      <c r="ZB16" s="10" t="s">
        <v>1206</v>
      </c>
      <c r="ZC16" s="10" t="s">
        <v>4785</v>
      </c>
      <c r="ZD16" s="291"/>
      <c r="AAB16" s="10" t="s">
        <v>4797</v>
      </c>
      <c r="AAC16" s="10" t="s">
        <v>4802</v>
      </c>
      <c r="AAD16" s="291"/>
      <c r="ACB16" s="10" t="s">
        <v>551</v>
      </c>
      <c r="ACC16" s="10" t="s">
        <v>552</v>
      </c>
      <c r="ADB16" s="62" t="s">
        <v>4307</v>
      </c>
      <c r="ADC16" s="62" t="s">
        <v>4325</v>
      </c>
      <c r="ADD16" s="10" t="s">
        <v>2693</v>
      </c>
      <c r="ADE16" s="1495"/>
      <c r="ADF16" s="1496"/>
      <c r="AEB16" s="973" t="s">
        <v>4307</v>
      </c>
      <c r="AEC16" s="974" t="s">
        <v>4306</v>
      </c>
      <c r="AED16" s="62" t="s">
        <v>4340</v>
      </c>
      <c r="AEE16" s="10" t="s">
        <v>2693</v>
      </c>
      <c r="AEF16" s="975"/>
      <c r="AEG16" s="855"/>
      <c r="AEH16" s="855"/>
      <c r="AEI16" s="855"/>
      <c r="AEJ16" s="855"/>
      <c r="AEK16" s="855"/>
      <c r="AEL16" s="855"/>
      <c r="AEM16" s="855"/>
      <c r="AEN16" s="855"/>
      <c r="AEO16" s="855"/>
      <c r="AEP16" s="855"/>
      <c r="AEQ16" s="855"/>
      <c r="AER16" s="855"/>
      <c r="AES16" s="855"/>
      <c r="AET16" s="855"/>
      <c r="AEU16" s="855"/>
      <c r="AEV16" s="855"/>
      <c r="AEW16" s="855"/>
      <c r="AEX16" s="855"/>
      <c r="AFB16" s="10" t="s">
        <v>4358</v>
      </c>
      <c r="AFC16" s="10" t="s">
        <v>4361</v>
      </c>
      <c r="AGB16" s="10" t="s">
        <v>4369</v>
      </c>
      <c r="AGC16" s="10" t="s">
        <v>4371</v>
      </c>
      <c r="AHB16" s="1525" t="s">
        <v>4377</v>
      </c>
      <c r="AHC16" s="1525"/>
      <c r="AHD16" s="1525" t="s">
        <v>4385</v>
      </c>
      <c r="AHE16" s="1525"/>
      <c r="AIB16" s="10" t="s">
        <v>4358</v>
      </c>
      <c r="AIC16" s="10" t="s">
        <v>4361</v>
      </c>
      <c r="AJB16" s="10" t="s">
        <v>4401</v>
      </c>
      <c r="AJC16" s="10" t="s">
        <v>4402</v>
      </c>
      <c r="AKB16" s="10" t="s">
        <v>4409</v>
      </c>
      <c r="AKC16" s="10" t="s">
        <v>4414</v>
      </c>
      <c r="ALB16" s="10" t="s">
        <v>4418</v>
      </c>
      <c r="ALC16" s="10" t="s">
        <v>4424</v>
      </c>
      <c r="AMB16" s="10" t="s">
        <v>4432</v>
      </c>
      <c r="AMC16" s="10" t="s">
        <v>4437</v>
      </c>
      <c r="ANB16" s="10" t="s">
        <v>4444</v>
      </c>
      <c r="ANC16" s="10" t="s">
        <v>4448</v>
      </c>
      <c r="AOB16" s="2541"/>
      <c r="AOC16" s="2541"/>
      <c r="AOD16" s="2541"/>
      <c r="AOE16" s="2541"/>
      <c r="AOF16" s="2541"/>
      <c r="APB16" s="2541"/>
      <c r="APC16" s="2541"/>
      <c r="APD16" s="2541"/>
      <c r="APE16" s="2541"/>
      <c r="APF16" s="2541"/>
      <c r="AQA16" s="246" t="s">
        <v>434</v>
      </c>
      <c r="AQB16" t="s">
        <v>4506</v>
      </c>
      <c r="AQE16" s="7"/>
      <c r="AQZ16" s="246" t="s">
        <v>961</v>
      </c>
      <c r="ARA16" s="1734" t="s">
        <v>7760</v>
      </c>
      <c r="ARB16" s="1734"/>
      <c r="ARC16" s="1734"/>
      <c r="ARD16" s="1734"/>
      <c r="ARE16" s="1734"/>
      <c r="ARF16" s="1475"/>
      <c r="ATA16" s="358" t="s">
        <v>7453</v>
      </c>
      <c r="ATB16" s="230" t="s">
        <v>5825</v>
      </c>
      <c r="ATC16" s="442"/>
      <c r="ATD16" s="1448" t="s">
        <v>7456</v>
      </c>
      <c r="ATE16" s="1724"/>
      <c r="ATF16" s="1725"/>
      <c r="ATG16" s="1725"/>
      <c r="ATH16" s="1726"/>
      <c r="AUA16" s="1528" t="s">
        <v>4146</v>
      </c>
      <c r="AUB16" s="1529"/>
      <c r="AUC16" s="1529"/>
      <c r="AUD16" s="1529"/>
      <c r="AUF16" s="597"/>
      <c r="AUG16" s="597"/>
      <c r="AVA16" s="990" t="s">
        <v>6268</v>
      </c>
      <c r="AVB16" s="5" t="s">
        <v>6580</v>
      </c>
      <c r="AVC16" s="951"/>
      <c r="AVD16" s="225">
        <v>10</v>
      </c>
      <c r="AVE16" s="1543" t="s">
        <v>6626</v>
      </c>
      <c r="AVF16" s="1544"/>
      <c r="AWA16" s="7"/>
      <c r="AWB16" s="7"/>
      <c r="AWC16" s="7"/>
      <c r="AWD16" s="7"/>
      <c r="AXA16" s="1032" t="s">
        <v>428</v>
      </c>
      <c r="AXB16" s="1537" t="s">
        <v>5404</v>
      </c>
      <c r="AXC16" s="1540"/>
      <c r="AXD16" s="1540"/>
      <c r="AXE16" s="1539"/>
      <c r="AXF16" s="157">
        <v>10</v>
      </c>
      <c r="AYA16" s="1005" t="s">
        <v>4608</v>
      </c>
      <c r="AYB16" t="s">
        <v>4615</v>
      </c>
      <c r="AYC16" t="s">
        <v>384</v>
      </c>
      <c r="AYD16" s="448"/>
      <c r="AZA16" s="1005" t="s">
        <v>1190</v>
      </c>
      <c r="AZB16" t="s">
        <v>4326</v>
      </c>
      <c r="AZC16" t="s">
        <v>1162</v>
      </c>
      <c r="BAA16" s="221" t="s">
        <v>6673</v>
      </c>
      <c r="BAB16" s="1111" t="s">
        <v>4652</v>
      </c>
      <c r="BAC16" s="1169"/>
      <c r="BAD16" s="225">
        <v>11</v>
      </c>
      <c r="BAE16" s="1684" t="s">
        <v>6674</v>
      </c>
      <c r="BAF16" s="1594"/>
      <c r="BBC16" s="951"/>
      <c r="BCA16" s="1273" t="s">
        <v>6746</v>
      </c>
      <c r="BCB16" s="1273" t="s">
        <v>6743</v>
      </c>
      <c r="BCC16" s="1273" t="s">
        <v>6771</v>
      </c>
      <c r="BCD16" s="1273" t="s">
        <v>6772</v>
      </c>
      <c r="BCE16" s="442"/>
      <c r="BCF16" s="225" t="s">
        <v>6774</v>
      </c>
      <c r="BCG16" s="1547" t="s">
        <v>6870</v>
      </c>
      <c r="BCH16" s="1548"/>
      <c r="BDE16" s="1006" t="s">
        <v>4660</v>
      </c>
      <c r="BDF16" s="1006" t="s">
        <v>6759</v>
      </c>
      <c r="BDG16" s="1006"/>
      <c r="BDH16" s="1006" t="s">
        <v>6792</v>
      </c>
      <c r="BDI16" s="934">
        <v>10</v>
      </c>
      <c r="BDJ16" s="1547" t="s">
        <v>6760</v>
      </c>
      <c r="BDK16" s="1548"/>
      <c r="BEA16" s="1007">
        <v>1</v>
      </c>
      <c r="BEB16" s="1007">
        <v>2</v>
      </c>
      <c r="BEC16" s="1007">
        <v>3</v>
      </c>
      <c r="BED16" s="1007">
        <v>4</v>
      </c>
      <c r="BEE16" s="1010">
        <v>5</v>
      </c>
      <c r="BEF16" s="1007">
        <v>6</v>
      </c>
      <c r="BFA16" s="246" t="s">
        <v>434</v>
      </c>
      <c r="BFB16" t="s">
        <v>4669</v>
      </c>
      <c r="BFE16" s="969"/>
      <c r="BFF16" s="969"/>
      <c r="BGA16" s="1278" t="s">
        <v>2369</v>
      </c>
      <c r="BGB16" s="171"/>
      <c r="BGC16" s="1278" t="s">
        <v>6264</v>
      </c>
      <c r="BGD16" s="133"/>
      <c r="BGE16" s="91"/>
      <c r="BGF16" s="91"/>
      <c r="BGG16" s="91"/>
      <c r="BGH16" s="91"/>
      <c r="BGI16" s="91"/>
      <c r="BHA16" s="7"/>
      <c r="BHB16" s="7"/>
      <c r="BIA16" s="10" t="s">
        <v>4567</v>
      </c>
      <c r="BIB16" s="848" t="s">
        <v>4565</v>
      </c>
      <c r="BIC16" s="848" t="s">
        <v>4582</v>
      </c>
      <c r="BID16" s="10" t="s">
        <v>428</v>
      </c>
      <c r="BKA16" s="983" t="s">
        <v>4146</v>
      </c>
      <c r="BKB16" s="984"/>
      <c r="BKC16" s="984"/>
      <c r="BKD16" s="984"/>
      <c r="BKE16" s="984"/>
      <c r="BKF16" s="1016"/>
      <c r="BKG16" s="969"/>
      <c r="BKH16" s="969"/>
      <c r="BKI16" s="969"/>
      <c r="BLA16" s="894">
        <v>1</v>
      </c>
      <c r="BLB16" s="493">
        <v>2</v>
      </c>
      <c r="BLC16" s="894">
        <v>3</v>
      </c>
      <c r="BMA16" s="1005" t="s">
        <v>4806</v>
      </c>
      <c r="BMB16" t="s">
        <v>1197</v>
      </c>
      <c r="BMC16" t="s">
        <v>4813</v>
      </c>
      <c r="BMD16" t="s">
        <v>428</v>
      </c>
      <c r="BNA16" s="221" t="s">
        <v>1153</v>
      </c>
      <c r="BNB16" s="165" t="s">
        <v>4832</v>
      </c>
      <c r="BNC16" s="165" t="s">
        <v>4834</v>
      </c>
      <c r="BND16" s="1023" t="s">
        <v>4841</v>
      </c>
      <c r="BNE16" t="s">
        <v>4849</v>
      </c>
      <c r="BNF16" t="s">
        <v>4845</v>
      </c>
      <c r="BOA16" s="1025" t="s">
        <v>4877</v>
      </c>
      <c r="BOB16" s="112" t="s">
        <v>4882</v>
      </c>
      <c r="BOC16" s="43" t="s">
        <v>4891</v>
      </c>
      <c r="BPB16" s="1532" t="s">
        <v>4917</v>
      </c>
      <c r="BPC16" s="1532"/>
      <c r="BPD16" s="1532"/>
      <c r="BPE16" s="1532"/>
      <c r="BPZ16" s="1552"/>
      <c r="BQB16" s="7" t="s">
        <v>5025</v>
      </c>
      <c r="BRA16" s="246" t="s">
        <v>434</v>
      </c>
      <c r="BRB16" t="s">
        <v>4994</v>
      </c>
      <c r="BWA16" s="1175" t="s">
        <v>6293</v>
      </c>
      <c r="BWB16" s="1188" t="s">
        <v>1221</v>
      </c>
      <c r="BWC16" s="1186" t="s">
        <v>6591</v>
      </c>
      <c r="BWD16" s="1186" t="s">
        <v>1221</v>
      </c>
      <c r="BWE16" s="1233"/>
      <c r="BWF16" s="1235"/>
      <c r="BWG16" s="1189" t="s">
        <v>6362</v>
      </c>
      <c r="BWH16" s="1189" t="s">
        <v>6362</v>
      </c>
      <c r="BWI16" s="1189" t="s">
        <v>6362</v>
      </c>
      <c r="BWJ16" s="235">
        <v>11</v>
      </c>
      <c r="BXA16" s="1192" t="s">
        <v>228</v>
      </c>
      <c r="BXB16" t="s">
        <v>6374</v>
      </c>
      <c r="BXC16" t="s">
        <v>6417</v>
      </c>
      <c r="BYA16" s="246" t="s">
        <v>4865</v>
      </c>
      <c r="BYB16" s="1501"/>
      <c r="BYC16" s="1501"/>
      <c r="BYD16" s="1501"/>
      <c r="BYE16" s="1501"/>
      <c r="BYF16" s="1501"/>
      <c r="DDA16" s="246" t="s">
        <v>4865</v>
      </c>
      <c r="DDB16" s="1501" t="s">
        <v>7352</v>
      </c>
      <c r="DDC16" s="1501"/>
      <c r="DDD16" s="1501"/>
      <c r="DDE16" s="1501"/>
      <c r="DDF16" s="1413" t="s">
        <v>233</v>
      </c>
    </row>
    <row r="17" spans="1:1017 1042:2008 2810:2814" ht="30" customHeight="1">
      <c r="A17" s="1323" t="s">
        <v>1261</v>
      </c>
      <c r="B17" s="1309">
        <v>10</v>
      </c>
      <c r="C17" s="1306" t="s">
        <v>7779</v>
      </c>
      <c r="D17" s="317" t="s">
        <v>3796</v>
      </c>
      <c r="E17" s="1310" t="s">
        <v>4539</v>
      </c>
      <c r="F17" s="416" t="s">
        <v>233</v>
      </c>
      <c r="G17" s="1312"/>
      <c r="H17" s="1312"/>
      <c r="I17" s="1312"/>
      <c r="J17" s="1312"/>
      <c r="K17" s="414"/>
      <c r="L17" s="2506" t="e">
        <f>MATCH(C17, $A$1:$DZG$1,0)</f>
        <v>#N/A</v>
      </c>
      <c r="M17" t="e">
        <f t="shared" si="0"/>
        <v>#N/A</v>
      </c>
      <c r="N17" s="414"/>
      <c r="O17" s="414"/>
      <c r="P17" s="414"/>
      <c r="Q17" s="414"/>
      <c r="R17" s="414"/>
      <c r="S17" s="414"/>
      <c r="T17" s="414"/>
      <c r="U17" s="414"/>
      <c r="V17" s="414"/>
      <c r="W17" s="414"/>
      <c r="AA17" s="457" t="s">
        <v>4111</v>
      </c>
      <c r="AB17" t="s">
        <v>638</v>
      </c>
      <c r="BA17" t="s">
        <v>4140</v>
      </c>
      <c r="BC17" s="457" t="s">
        <v>555</v>
      </c>
      <c r="CA17" t="s">
        <v>526</v>
      </c>
      <c r="CB17" t="s">
        <v>527</v>
      </c>
      <c r="DA17" s="10" t="s">
        <v>528</v>
      </c>
      <c r="DB17" s="441" t="s">
        <v>529</v>
      </c>
      <c r="DC17" s="944"/>
      <c r="EA17" s="848">
        <v>6011</v>
      </c>
      <c r="EB17" s="10" t="s">
        <v>574</v>
      </c>
      <c r="EC17" s="10" t="s">
        <v>542</v>
      </c>
      <c r="FA17" s="949"/>
      <c r="FB17" s="1697" t="s">
        <v>6919</v>
      </c>
      <c r="FC17" s="1697"/>
      <c r="FD17" s="1697"/>
      <c r="FE17" s="1697"/>
      <c r="FF17" s="1697"/>
      <c r="GA17" s="1329">
        <v>1</v>
      </c>
      <c r="GB17" s="1329">
        <v>10</v>
      </c>
      <c r="GC17" s="1329">
        <v>100</v>
      </c>
      <c r="GD17" s="1329">
        <v>10000</v>
      </c>
      <c r="GE17" s="1013"/>
      <c r="HA17" s="440" t="s">
        <v>4721</v>
      </c>
      <c r="HB17" s="10" t="s">
        <v>4728</v>
      </c>
      <c r="HC17" s="10" t="s">
        <v>160</v>
      </c>
      <c r="HD17" s="1592" t="s">
        <v>4719</v>
      </c>
      <c r="HE17" s="1592" t="s">
        <v>5976</v>
      </c>
      <c r="HF17" s="1592" t="s">
        <v>5981</v>
      </c>
      <c r="KA17" s="10" t="s">
        <v>587</v>
      </c>
      <c r="KB17" s="10" t="s">
        <v>587</v>
      </c>
      <c r="LA17" s="10" t="s">
        <v>636</v>
      </c>
      <c r="LB17" s="10" t="s">
        <v>637</v>
      </c>
      <c r="MA17" s="10" t="s">
        <v>590</v>
      </c>
      <c r="MB17" s="10" t="s">
        <v>591</v>
      </c>
      <c r="NA17" s="10" t="s">
        <v>567</v>
      </c>
      <c r="NB17" s="441" t="s">
        <v>567</v>
      </c>
      <c r="OA17" s="10" t="s">
        <v>594</v>
      </c>
      <c r="OB17" s="10" t="s">
        <v>595</v>
      </c>
      <c r="PA17" s="10" t="s">
        <v>570</v>
      </c>
      <c r="PB17" s="10" t="s">
        <v>571</v>
      </c>
      <c r="PC17" s="10" t="s">
        <v>540</v>
      </c>
      <c r="PD17" s="10" t="s">
        <v>599</v>
      </c>
      <c r="PE17" s="10"/>
      <c r="RA17" s="246" t="s">
        <v>434</v>
      </c>
      <c r="RB17" s="1502" t="s">
        <v>4195</v>
      </c>
      <c r="RC17" s="1502"/>
      <c r="RD17" s="1502"/>
      <c r="RE17" s="1502"/>
      <c r="SE17" s="442"/>
      <c r="SI17" s="63"/>
      <c r="SJ17" s="63"/>
      <c r="SK17" s="63"/>
      <c r="SL17" s="63"/>
      <c r="SM17" s="63"/>
      <c r="SN17" s="63"/>
      <c r="SO17" s="63"/>
      <c r="SP17" s="63"/>
      <c r="SQ17" s="63"/>
      <c r="SR17" s="63"/>
      <c r="SS17" s="63"/>
      <c r="ST17" s="63"/>
      <c r="SU17" s="63"/>
      <c r="SV17" s="63"/>
      <c r="SW17" s="63"/>
      <c r="SX17" s="63"/>
      <c r="SY17" s="63"/>
      <c r="UA17" s="226" t="s">
        <v>3</v>
      </c>
      <c r="UB17" s="226" t="s">
        <v>4</v>
      </c>
      <c r="UC17" s="226" t="s">
        <v>419</v>
      </c>
      <c r="UD17" s="226" t="s">
        <v>541</v>
      </c>
      <c r="UE17" s="226" t="s">
        <v>541</v>
      </c>
      <c r="UF17" s="226" t="s">
        <v>447</v>
      </c>
      <c r="UG17" s="226" t="s">
        <v>428</v>
      </c>
      <c r="VA17" s="954" t="s">
        <v>4284</v>
      </c>
      <c r="VB17" t="s">
        <v>4287</v>
      </c>
      <c r="VC17" s="967" t="s">
        <v>4290</v>
      </c>
      <c r="WA17" s="10" t="s">
        <v>577</v>
      </c>
      <c r="WB17" s="10" t="s">
        <v>578</v>
      </c>
      <c r="WC17" s="10"/>
      <c r="XA17" s="66" t="s">
        <v>7628</v>
      </c>
      <c r="XB17" s="10" t="s">
        <v>7629</v>
      </c>
      <c r="XC17" s="10" t="s">
        <v>7630</v>
      </c>
      <c r="XD17" s="10" t="s">
        <v>1152</v>
      </c>
      <c r="XE17" s="291" t="s">
        <v>7622</v>
      </c>
      <c r="YA17" s="1460">
        <v>1</v>
      </c>
      <c r="YB17" s="934">
        <v>2</v>
      </c>
      <c r="YC17" s="934">
        <v>3</v>
      </c>
      <c r="YD17" s="1740">
        <v>4</v>
      </c>
      <c r="YE17" s="1741"/>
      <c r="YF17" s="9" t="s">
        <v>7610</v>
      </c>
      <c r="ZB17" s="10" t="s">
        <v>4768</v>
      </c>
      <c r="ZC17" s="10" t="s">
        <v>4778</v>
      </c>
      <c r="ZD17" s="291"/>
      <c r="AAB17" s="10" t="s">
        <v>4798</v>
      </c>
      <c r="AAC17" s="10" t="s">
        <v>4803</v>
      </c>
      <c r="AAD17" s="291"/>
      <c r="ADB17" s="62" t="s">
        <v>1190</v>
      </c>
      <c r="ADC17" s="62" t="s">
        <v>4326</v>
      </c>
      <c r="ADD17" s="10" t="s">
        <v>2693</v>
      </c>
      <c r="ADE17" s="1495"/>
      <c r="ADF17" s="1496"/>
      <c r="AEB17" s="973" t="s">
        <v>4307</v>
      </c>
      <c r="AEC17" s="974" t="s">
        <v>4309</v>
      </c>
      <c r="AED17" s="62" t="s">
        <v>4341</v>
      </c>
      <c r="AEE17" s="10" t="s">
        <v>2693</v>
      </c>
      <c r="AEF17" s="975"/>
      <c r="AEG17" s="855"/>
      <c r="AEH17" s="855"/>
      <c r="AEI17" s="855"/>
      <c r="AEJ17" s="855"/>
      <c r="AEK17" s="855"/>
      <c r="AEL17" s="855"/>
      <c r="AEM17" s="855"/>
      <c r="AEN17" s="855"/>
      <c r="AEO17" s="855"/>
      <c r="AEP17" s="855"/>
      <c r="AEQ17" s="855"/>
      <c r="AER17" s="855"/>
      <c r="AES17" s="855"/>
      <c r="AET17" s="855"/>
      <c r="AEU17" s="855"/>
      <c r="AEV17" s="855"/>
      <c r="AEW17" s="855"/>
      <c r="AEX17" s="855"/>
      <c r="AFB17" s="10" t="s">
        <v>493</v>
      </c>
      <c r="AFC17" s="10" t="s">
        <v>4362</v>
      </c>
      <c r="AGB17" s="10" t="s">
        <v>4368</v>
      </c>
      <c r="AGC17" s="10" t="s">
        <v>4372</v>
      </c>
      <c r="AHB17" s="1525" t="s">
        <v>4381</v>
      </c>
      <c r="AHC17" s="1525"/>
      <c r="AHD17" s="1525" t="s">
        <v>652</v>
      </c>
      <c r="AHE17" s="1525"/>
      <c r="AIB17" s="10" t="s">
        <v>4390</v>
      </c>
      <c r="AIC17" s="10" t="s">
        <v>4392</v>
      </c>
      <c r="AJB17" s="10" t="s">
        <v>4398</v>
      </c>
      <c r="AJC17" s="10" t="s">
        <v>4403</v>
      </c>
      <c r="AKB17" s="10" t="s">
        <v>4410</v>
      </c>
      <c r="AKC17" s="10" t="s">
        <v>4415</v>
      </c>
      <c r="ALB17" s="10" t="s">
        <v>4419</v>
      </c>
      <c r="ALC17" s="10" t="s">
        <v>4425</v>
      </c>
      <c r="AMB17" s="10" t="s">
        <v>4433</v>
      </c>
      <c r="AMC17" s="10" t="s">
        <v>4438</v>
      </c>
      <c r="ANB17" s="10" t="s">
        <v>4442</v>
      </c>
      <c r="ANC17" s="10" t="s">
        <v>4449</v>
      </c>
      <c r="AOB17" s="2541"/>
      <c r="AOC17" s="2541"/>
      <c r="AOD17" s="2541"/>
      <c r="AOE17" s="2541"/>
      <c r="AOF17" s="2541"/>
      <c r="APB17" s="2541"/>
      <c r="APC17" s="2541"/>
      <c r="APD17" s="2541"/>
      <c r="APE17" s="2541"/>
      <c r="APF17" s="2541"/>
      <c r="AQA17" s="7"/>
      <c r="AQB17" s="7"/>
      <c r="AQC17" s="7"/>
      <c r="AQD17" s="7"/>
      <c r="ARA17" s="1532" t="s">
        <v>7761</v>
      </c>
      <c r="ARB17" s="1532"/>
      <c r="ARC17" s="1532"/>
      <c r="ARD17" s="1532"/>
      <c r="ARE17" s="1532"/>
      <c r="ARF17" s="112"/>
      <c r="ATA17" s="1690" t="s">
        <v>6876</v>
      </c>
      <c r="ATB17" s="1691"/>
      <c r="ATC17" s="442"/>
      <c r="ATD17" s="985"/>
      <c r="ATE17" s="1711"/>
      <c r="ATF17" s="1711"/>
      <c r="ATG17" s="1711"/>
      <c r="ATH17" s="1711"/>
      <c r="AUA17" s="493">
        <v>1</v>
      </c>
      <c r="AUB17" s="493">
        <v>2</v>
      </c>
      <c r="AUC17" s="493">
        <v>3</v>
      </c>
      <c r="AUD17" s="493">
        <v>4</v>
      </c>
      <c r="AUF17" s="597"/>
      <c r="AUG17" s="597"/>
      <c r="AVA17" s="1503" t="s">
        <v>6505</v>
      </c>
      <c r="AVB17" s="1503"/>
      <c r="AVC17" s="951"/>
      <c r="AVD17" s="225"/>
      <c r="AVE17" s="1047"/>
      <c r="AVF17" s="1047"/>
      <c r="AWA17" s="966"/>
      <c r="AWB17" s="966"/>
      <c r="AWC17" s="966"/>
      <c r="AWD17" s="966"/>
      <c r="AWE17" s="966"/>
      <c r="AWF17" s="966"/>
      <c r="AWG17" s="966"/>
      <c r="AWH17" s="966"/>
      <c r="AWI17" s="966"/>
      <c r="AXE17" s="7"/>
      <c r="AXF17" s="7"/>
      <c r="AYA17" s="1005" t="s">
        <v>4609</v>
      </c>
      <c r="AYB17" t="s">
        <v>4616</v>
      </c>
      <c r="AYC17" t="s">
        <v>384</v>
      </c>
      <c r="AZA17" s="1004" t="s">
        <v>4735</v>
      </c>
      <c r="AZB17" s="7" t="s">
        <v>4740</v>
      </c>
      <c r="AZC17" s="1005" t="s">
        <v>1162</v>
      </c>
      <c r="BAA17" s="221" t="s">
        <v>4637</v>
      </c>
      <c r="BAB17" s="1111" t="s">
        <v>4653</v>
      </c>
      <c r="BAC17" s="1169"/>
      <c r="BAD17" s="225">
        <v>12</v>
      </c>
      <c r="BAE17" s="1545" t="s">
        <v>6675</v>
      </c>
      <c r="BAF17" s="1546"/>
      <c r="BCA17" s="1111" t="s">
        <v>4659</v>
      </c>
      <c r="BCB17" s="1111" t="s">
        <v>6743</v>
      </c>
      <c r="BCC17" s="1111" t="s">
        <v>6771</v>
      </c>
      <c r="BCD17" s="1111" t="s">
        <v>6779</v>
      </c>
      <c r="BCE17" s="442"/>
      <c r="BCF17" s="225" t="s">
        <v>6775</v>
      </c>
      <c r="BCG17" s="1547" t="s">
        <v>6869</v>
      </c>
      <c r="BCH17" s="1548"/>
      <c r="BDE17" s="171"/>
      <c r="BDF17" s="171"/>
      <c r="BDI17" s="63"/>
      <c r="BDJ17" s="1267"/>
      <c r="BDK17" s="1267"/>
      <c r="BEA17" t="s">
        <v>4666</v>
      </c>
      <c r="BEB17">
        <v>1</v>
      </c>
      <c r="BEC17">
        <v>1</v>
      </c>
      <c r="BED17">
        <v>0</v>
      </c>
      <c r="BEE17" s="1008">
        <v>155900</v>
      </c>
      <c r="BEF17" s="210" t="s">
        <v>1269</v>
      </c>
      <c r="BFA17" s="246"/>
      <c r="BFB17" s="171" t="s">
        <v>4670</v>
      </c>
      <c r="BFE17" s="133"/>
      <c r="BFF17" s="133"/>
      <c r="BGB17" s="171"/>
      <c r="BGC17" s="442"/>
      <c r="BGD17" s="133"/>
      <c r="BGE17" s="91"/>
      <c r="BGF17" s="91"/>
      <c r="BGG17" s="91"/>
      <c r="BGH17" s="91"/>
      <c r="BGI17" s="91"/>
      <c r="BHA17" s="7"/>
      <c r="BHB17" s="7"/>
      <c r="BHF17" s="966"/>
      <c r="BHG17" s="966"/>
      <c r="BHH17" s="966"/>
      <c r="BIA17" s="10" t="s">
        <v>4567</v>
      </c>
      <c r="BIB17" s="848" t="s">
        <v>4565</v>
      </c>
      <c r="BIC17" s="848" t="s">
        <v>4582</v>
      </c>
      <c r="BID17" s="10" t="s">
        <v>428</v>
      </c>
      <c r="BJA17" s="983" t="s">
        <v>4146</v>
      </c>
      <c r="BJB17" s="984"/>
      <c r="BJC17" s="984"/>
      <c r="BJD17" s="984"/>
      <c r="BJE17" s="984"/>
      <c r="BJF17" s="984"/>
      <c r="BJG17" s="969"/>
      <c r="BJH17" s="969"/>
      <c r="BJI17" s="969"/>
      <c r="BKA17" s="1011">
        <v>1</v>
      </c>
      <c r="BKB17" s="1011">
        <v>2</v>
      </c>
      <c r="BKC17" s="1011">
        <v>3</v>
      </c>
      <c r="BKD17" s="1011">
        <v>4</v>
      </c>
      <c r="BKE17" s="1011">
        <v>5</v>
      </c>
      <c r="BKG17" s="63"/>
      <c r="BKH17" s="63"/>
      <c r="BKI17" s="63"/>
      <c r="BLA17" s="10" t="s">
        <v>1194</v>
      </c>
      <c r="BLB17" s="10" t="s">
        <v>4943</v>
      </c>
      <c r="BLC17" s="10"/>
      <c r="BMA17" s="1005" t="s">
        <v>4806</v>
      </c>
      <c r="BMB17" t="s">
        <v>1165</v>
      </c>
      <c r="BMC17" t="s">
        <v>1165</v>
      </c>
      <c r="BMD17" t="s">
        <v>428</v>
      </c>
      <c r="BNA17" s="221" t="s">
        <v>4829</v>
      </c>
      <c r="BNB17" s="165" t="s">
        <v>4832</v>
      </c>
      <c r="BNC17" s="165" t="s">
        <v>4834</v>
      </c>
      <c r="BND17" s="1023" t="s">
        <v>4842</v>
      </c>
      <c r="BNE17" t="s">
        <v>4849</v>
      </c>
      <c r="BNF17" t="s">
        <v>4846</v>
      </c>
      <c r="BOA17" s="1025" t="s">
        <v>4879</v>
      </c>
      <c r="BOB17" s="112" t="s">
        <v>4884</v>
      </c>
      <c r="BOC17" s="15" t="s">
        <v>4892</v>
      </c>
      <c r="BPZ17" t="s">
        <v>4995</v>
      </c>
      <c r="BRB17" s="171" t="s">
        <v>4987</v>
      </c>
      <c r="BWA17" s="1175" t="s">
        <v>6294</v>
      </c>
      <c r="BWB17" s="1188" t="s">
        <v>1221</v>
      </c>
      <c r="BWC17" s="1186" t="s">
        <v>1221</v>
      </c>
      <c r="BWD17" s="1186" t="s">
        <v>6586</v>
      </c>
      <c r="BWE17" s="1233"/>
      <c r="BWF17" s="1235"/>
      <c r="BWG17" s="1189" t="s">
        <v>6362</v>
      </c>
      <c r="BWH17" s="1189" t="s">
        <v>6362</v>
      </c>
      <c r="BWI17" s="1189" t="s">
        <v>6362</v>
      </c>
      <c r="BWJ17" s="235">
        <v>12</v>
      </c>
      <c r="BXA17" s="1192" t="s">
        <v>6322</v>
      </c>
      <c r="BXB17" t="s">
        <v>6375</v>
      </c>
      <c r="BXC17" t="s">
        <v>6415</v>
      </c>
      <c r="BYB17" s="1501"/>
      <c r="BYC17" s="1501"/>
      <c r="BYD17" s="1501"/>
      <c r="BYE17" s="1501"/>
      <c r="BYF17" s="1501"/>
      <c r="DDB17" s="1501" t="s">
        <v>7353</v>
      </c>
      <c r="DDC17" s="1501"/>
      <c r="DDD17" s="1501"/>
      <c r="DDE17" s="1501"/>
      <c r="DDF17" s="1501"/>
    </row>
    <row r="18" spans="1:1017 1042:2008 2810:2814" ht="30" customHeight="1">
      <c r="A18" s="1323" t="s">
        <v>1261</v>
      </c>
      <c r="B18" s="1305">
        <v>11</v>
      </c>
      <c r="C18" s="1306" t="s">
        <v>9</v>
      </c>
      <c r="D18" s="672" t="s">
        <v>3797</v>
      </c>
      <c r="E18" s="1313" t="s">
        <v>4103</v>
      </c>
      <c r="F18" s="416" t="s">
        <v>233</v>
      </c>
      <c r="G18" s="1308"/>
      <c r="H18" s="1308"/>
      <c r="I18" s="1308"/>
      <c r="J18" s="1308"/>
      <c r="K18" s="198"/>
      <c r="L18" s="2506">
        <f>MATCH(C18, $A$1:$DZG$1,0)</f>
        <v>105</v>
      </c>
      <c r="M18" t="str">
        <f t="shared" si="0"/>
        <v>DA</v>
      </c>
      <c r="N18" s="198"/>
      <c r="O18" s="198"/>
      <c r="P18" s="198"/>
      <c r="Q18" s="198"/>
      <c r="R18" s="198"/>
      <c r="S18" s="198"/>
      <c r="T18" s="198"/>
      <c r="U18" s="198"/>
      <c r="V18" s="198"/>
      <c r="W18" s="198"/>
      <c r="AA18" s="457" t="s">
        <v>613</v>
      </c>
      <c r="AB18" t="s">
        <v>612</v>
      </c>
      <c r="BA18" t="s">
        <v>4140</v>
      </c>
      <c r="BC18" s="457" t="s">
        <v>581</v>
      </c>
      <c r="CA18" t="s">
        <v>556</v>
      </c>
      <c r="CB18" t="s">
        <v>557</v>
      </c>
      <c r="DA18" s="10" t="s">
        <v>558</v>
      </c>
      <c r="DB18" s="441" t="s">
        <v>559</v>
      </c>
      <c r="DC18" s="944"/>
      <c r="EA18" s="848">
        <v>6012</v>
      </c>
      <c r="EB18" s="10" t="s">
        <v>574</v>
      </c>
      <c r="EC18" s="10" t="s">
        <v>542</v>
      </c>
      <c r="FA18" s="949"/>
      <c r="FB18" s="1697" t="s">
        <v>6920</v>
      </c>
      <c r="FC18" s="1697"/>
      <c r="FD18" s="1697"/>
      <c r="FE18" s="1697"/>
      <c r="FF18" s="1697"/>
      <c r="HA18" s="10" t="s">
        <v>4408</v>
      </c>
      <c r="HB18" s="10" t="s">
        <v>4413</v>
      </c>
      <c r="HC18" s="10" t="s">
        <v>5980</v>
      </c>
      <c r="HD18" s="1592" t="s">
        <v>4722</v>
      </c>
      <c r="HE18" s="1592" t="s">
        <v>5975</v>
      </c>
      <c r="HF18" s="1592" t="s">
        <v>5982</v>
      </c>
      <c r="KA18" s="10" t="s">
        <v>609</v>
      </c>
      <c r="KB18" s="10" t="s">
        <v>609</v>
      </c>
      <c r="LA18" s="10" t="s">
        <v>662</v>
      </c>
      <c r="LB18" s="10" t="s">
        <v>663</v>
      </c>
      <c r="MA18" s="10" t="s">
        <v>612</v>
      </c>
      <c r="MB18" s="10" t="s">
        <v>613</v>
      </c>
      <c r="NA18" s="10" t="s">
        <v>592</v>
      </c>
      <c r="NB18" s="441" t="s">
        <v>593</v>
      </c>
      <c r="OA18" s="10" t="s">
        <v>4166</v>
      </c>
      <c r="OB18" s="10" t="s">
        <v>4167</v>
      </c>
      <c r="PA18" s="10" t="s">
        <v>596</v>
      </c>
      <c r="PB18" s="10" t="s">
        <v>596</v>
      </c>
      <c r="PC18" s="10" t="s">
        <v>540</v>
      </c>
      <c r="PD18" s="10" t="s">
        <v>599</v>
      </c>
      <c r="PE18" s="10"/>
      <c r="RB18" s="1502" t="s">
        <v>4196</v>
      </c>
      <c r="RC18" s="1502"/>
      <c r="RD18" s="1502"/>
      <c r="RE18" s="1502"/>
      <c r="SA18" s="1606" t="s">
        <v>4146</v>
      </c>
      <c r="SB18" s="1606"/>
      <c r="SC18" s="1606"/>
      <c r="SD18" s="1606"/>
      <c r="SE18" s="1606"/>
      <c r="SF18" s="1606"/>
      <c r="SG18" s="1606"/>
      <c r="SH18" s="1606"/>
      <c r="TA18" t="s">
        <v>4243</v>
      </c>
      <c r="UA18" s="10" t="s">
        <v>576</v>
      </c>
      <c r="UB18" s="10" t="s">
        <v>4263</v>
      </c>
      <c r="UC18" s="10" t="s">
        <v>599</v>
      </c>
      <c r="UD18" s="443" t="s">
        <v>574</v>
      </c>
      <c r="UE18" s="443">
        <v>45292</v>
      </c>
      <c r="UF18" s="10">
        <v>1</v>
      </c>
      <c r="UG18" s="10"/>
      <c r="VA18" s="954" t="s">
        <v>4285</v>
      </c>
      <c r="VB18" t="s">
        <v>4288</v>
      </c>
      <c r="VC18" s="967" t="s">
        <v>4293</v>
      </c>
      <c r="WA18" s="10" t="s">
        <v>4296</v>
      </c>
      <c r="WB18" s="10" t="s">
        <v>4297</v>
      </c>
      <c r="WC18" s="10"/>
      <c r="XA18" s="66" t="s">
        <v>7628</v>
      </c>
      <c r="XB18" s="10" t="s">
        <v>7632</v>
      </c>
      <c r="XC18" s="10" t="s">
        <v>7633</v>
      </c>
      <c r="XD18" s="10" t="s">
        <v>7632</v>
      </c>
      <c r="XE18" s="291" t="s">
        <v>7622</v>
      </c>
      <c r="YA18" s="226" t="s">
        <v>399</v>
      </c>
      <c r="YB18" s="226" t="s">
        <v>400</v>
      </c>
      <c r="YC18" s="226" t="s">
        <v>458</v>
      </c>
      <c r="YD18" s="1742" t="s">
        <v>428</v>
      </c>
      <c r="YE18" s="1743"/>
      <c r="ZB18" s="10" t="s">
        <v>4770</v>
      </c>
      <c r="ZC18" s="10" t="s">
        <v>4779</v>
      </c>
      <c r="ZD18" s="291"/>
      <c r="AAB18" s="10" t="s">
        <v>4799</v>
      </c>
      <c r="AAC18" s="10" t="s">
        <v>4804</v>
      </c>
      <c r="AAD18" s="291"/>
      <c r="ADB18" s="62" t="s">
        <v>4312</v>
      </c>
      <c r="ADC18" s="62" t="s">
        <v>4327</v>
      </c>
      <c r="ADD18" s="10" t="s">
        <v>2693</v>
      </c>
      <c r="ADE18" s="1495"/>
      <c r="ADF18" s="1496"/>
      <c r="AEB18" s="973" t="s">
        <v>1190</v>
      </c>
      <c r="AEC18" s="974" t="s">
        <v>4311</v>
      </c>
      <c r="AED18" s="10" t="s">
        <v>4342</v>
      </c>
      <c r="AEE18" s="10" t="s">
        <v>2693</v>
      </c>
      <c r="AEF18" s="975"/>
      <c r="AEG18" s="855"/>
      <c r="AEH18" s="855"/>
      <c r="AEI18" s="855"/>
      <c r="AEJ18" s="855"/>
      <c r="AEK18" s="855"/>
      <c r="AEL18" s="855"/>
      <c r="AEM18" s="855"/>
      <c r="AEN18" s="855"/>
      <c r="AEO18" s="855"/>
      <c r="AEP18" s="855"/>
      <c r="AEQ18" s="855"/>
      <c r="AER18" s="855"/>
      <c r="AES18" s="855"/>
      <c r="AET18" s="855"/>
      <c r="AEU18" s="855"/>
      <c r="AEV18" s="855"/>
      <c r="AEW18" s="855"/>
      <c r="AEX18" s="855"/>
      <c r="AFB18" s="10" t="s">
        <v>4363</v>
      </c>
      <c r="AFC18" s="10" t="s">
        <v>651</v>
      </c>
      <c r="AGB18" s="10"/>
      <c r="AGC18" s="10"/>
      <c r="AHB18" s="1525" t="s">
        <v>4379</v>
      </c>
      <c r="AHC18" s="1525"/>
      <c r="AHD18" s="1525" t="s">
        <v>4387</v>
      </c>
      <c r="AHE18" s="1525"/>
      <c r="AIB18" s="10" t="s">
        <v>4391</v>
      </c>
      <c r="AIC18" s="10" t="s">
        <v>4393</v>
      </c>
      <c r="AJB18" s="10"/>
      <c r="AJC18" s="10"/>
      <c r="AKB18" s="10" t="s">
        <v>4411</v>
      </c>
      <c r="AKC18" s="10" t="s">
        <v>4416</v>
      </c>
      <c r="ALB18" s="10" t="s">
        <v>4427</v>
      </c>
      <c r="ALC18" s="10" t="s">
        <v>4428</v>
      </c>
      <c r="AMB18" s="10" t="s">
        <v>4434</v>
      </c>
      <c r="AMC18" s="10" t="s">
        <v>4439</v>
      </c>
      <c r="ANB18" s="10" t="s">
        <v>4443</v>
      </c>
      <c r="ANC18" s="10" t="s">
        <v>4450</v>
      </c>
      <c r="AOB18" s="2541"/>
      <c r="AOC18" s="2541"/>
      <c r="AOD18" s="2541"/>
      <c r="AOE18" s="2541"/>
      <c r="AOF18" s="2541"/>
      <c r="APA18" s="2538"/>
      <c r="APB18" s="2539"/>
      <c r="APC18" s="2539"/>
      <c r="APD18" s="2538"/>
      <c r="APE18" s="2538"/>
      <c r="APF18" s="2539"/>
      <c r="AQA18" s="1514" t="s">
        <v>4146</v>
      </c>
      <c r="AQB18" s="1514"/>
      <c r="AQC18" s="7"/>
      <c r="AQD18" s="7"/>
      <c r="AQZ18" s="129"/>
      <c r="ARA18" s="1734" t="s">
        <v>7762</v>
      </c>
      <c r="ARB18" s="1734"/>
      <c r="ARC18" s="1734"/>
      <c r="ARD18" s="1734"/>
      <c r="ARE18" s="1734"/>
      <c r="ARF18" s="2501" t="s">
        <v>7763</v>
      </c>
      <c r="ATA18" s="221" t="s">
        <v>5824</v>
      </c>
      <c r="ATB18" s="230" t="s">
        <v>5825</v>
      </c>
      <c r="ATC18" s="442"/>
      <c r="ATD18" s="985">
        <v>10</v>
      </c>
      <c r="ATE18" s="1711" t="s">
        <v>6886</v>
      </c>
      <c r="ATF18" s="1711"/>
      <c r="ATG18" s="1711"/>
      <c r="ATH18" s="1711"/>
      <c r="AUA18" s="848"/>
      <c r="AUB18" s="848"/>
      <c r="AUC18" s="10"/>
      <c r="AUD18" s="10"/>
      <c r="AUF18" s="597"/>
      <c r="AUG18" s="597"/>
      <c r="AVA18" s="1172" t="s">
        <v>441</v>
      </c>
      <c r="AVB18" s="993" t="s">
        <v>6506</v>
      </c>
      <c r="AVC18" s="951"/>
      <c r="AVD18" s="225">
        <v>11</v>
      </c>
      <c r="AVE18" s="1543" t="s">
        <v>6647</v>
      </c>
      <c r="AVF18" s="1544"/>
      <c r="AWA18" s="110"/>
      <c r="AWB18" s="110"/>
      <c r="AWC18" s="110"/>
      <c r="AWD18" s="110"/>
      <c r="AWE18" s="110"/>
      <c r="AWF18" s="110"/>
      <c r="AWG18" s="110"/>
      <c r="AWH18" s="110"/>
      <c r="AWI18" s="110"/>
      <c r="AXA18" s="246" t="s">
        <v>434</v>
      </c>
      <c r="AXB18" t="s">
        <v>5399</v>
      </c>
      <c r="AYA18" s="1005" t="s">
        <v>628</v>
      </c>
      <c r="AYB18" t="s">
        <v>629</v>
      </c>
      <c r="AYC18" t="s">
        <v>384</v>
      </c>
      <c r="AZA18" s="1005" t="s">
        <v>4736</v>
      </c>
      <c r="AZB18" t="s">
        <v>4736</v>
      </c>
      <c r="AZC18" t="s">
        <v>1162</v>
      </c>
      <c r="BAA18" s="221" t="s">
        <v>4638</v>
      </c>
      <c r="BAB18" s="1111" t="s">
        <v>4654</v>
      </c>
      <c r="BAC18" s="1263"/>
      <c r="BAD18" s="225">
        <v>13</v>
      </c>
      <c r="BAE18" s="1545" t="s">
        <v>6676</v>
      </c>
      <c r="BAF18" s="1546"/>
      <c r="BBA18" s="246" t="s">
        <v>434</v>
      </c>
      <c r="BBB18" s="1532" t="s">
        <v>6733</v>
      </c>
      <c r="BBC18" s="1532"/>
      <c r="BBD18" s="1532"/>
      <c r="BBE18" s="1532"/>
      <c r="BCA18" s="1111" t="s">
        <v>4659</v>
      </c>
      <c r="BCB18" s="1111" t="s">
        <v>6743</v>
      </c>
      <c r="BCC18" s="1111" t="s">
        <v>6771</v>
      </c>
      <c r="BCD18" s="1111" t="s">
        <v>6780</v>
      </c>
      <c r="BCE18" s="951"/>
      <c r="BCF18" s="225" t="s">
        <v>6777</v>
      </c>
      <c r="BCG18" s="1547" t="s">
        <v>6869</v>
      </c>
      <c r="BCH18" s="1548"/>
      <c r="BDE18" s="221" t="s">
        <v>6752</v>
      </c>
      <c r="BDF18" s="1111" t="s">
        <v>6722</v>
      </c>
      <c r="BDG18" s="1268"/>
      <c r="BDH18" s="1270"/>
      <c r="BDI18" s="157">
        <v>11</v>
      </c>
      <c r="BDJ18" s="1267"/>
      <c r="BDK18" s="1267"/>
      <c r="BEA18" t="s">
        <v>4666</v>
      </c>
      <c r="BEB18">
        <v>1</v>
      </c>
      <c r="BEC18">
        <v>1</v>
      </c>
      <c r="BED18">
        <v>0</v>
      </c>
      <c r="BEE18" s="1008">
        <v>125900</v>
      </c>
      <c r="BEF18" s="210" t="s">
        <v>4668</v>
      </c>
      <c r="BGA18" s="246" t="s">
        <v>434</v>
      </c>
      <c r="BGB18" s="171"/>
      <c r="BGC18" s="442"/>
      <c r="BGD18" s="133"/>
      <c r="BGE18" s="91"/>
      <c r="BGF18" s="91"/>
      <c r="BGG18" s="91"/>
      <c r="BGH18" s="91"/>
      <c r="BGI18" s="91"/>
      <c r="BHF18" s="133"/>
      <c r="BHG18" s="133"/>
      <c r="BHH18" s="133"/>
      <c r="BIA18" s="848" t="s">
        <v>4568</v>
      </c>
      <c r="BIB18" s="848" t="s">
        <v>1217</v>
      </c>
      <c r="BIC18" s="848" t="s">
        <v>4581</v>
      </c>
      <c r="BID18" s="10" t="s">
        <v>428</v>
      </c>
      <c r="BJA18" s="1011">
        <v>1</v>
      </c>
      <c r="BJB18" s="1011">
        <v>2</v>
      </c>
      <c r="BJC18" s="1011">
        <v>3</v>
      </c>
      <c r="BJD18" s="1011">
        <v>4</v>
      </c>
      <c r="BJE18" s="1011">
        <v>5</v>
      </c>
      <c r="BJF18" s="1000">
        <v>6</v>
      </c>
      <c r="BJG18" s="63"/>
      <c r="BJH18" s="63"/>
      <c r="BJI18" s="63"/>
      <c r="BKA18" s="10" t="s">
        <v>4756</v>
      </c>
      <c r="BKB18" s="10" t="s">
        <v>2449</v>
      </c>
      <c r="BKC18" s="10" t="s">
        <v>2748</v>
      </c>
      <c r="BKD18" s="10" t="s">
        <v>574</v>
      </c>
      <c r="BKE18" s="10" t="s">
        <v>428</v>
      </c>
      <c r="BKI18" s="445"/>
      <c r="BLA18" s="1100" t="s">
        <v>5853</v>
      </c>
      <c r="BLB18" s="10" t="s">
        <v>5862</v>
      </c>
      <c r="BLC18" s="10"/>
      <c r="BMA18" s="1005" t="s">
        <v>4806</v>
      </c>
      <c r="BMB18" t="s">
        <v>1209</v>
      </c>
      <c r="BMC18" t="s">
        <v>4814</v>
      </c>
      <c r="BMD18" t="s">
        <v>428</v>
      </c>
      <c r="BNA18" s="221" t="s">
        <v>4830</v>
      </c>
      <c r="BNB18" s="165" t="s">
        <v>4832</v>
      </c>
      <c r="BNC18" s="165" t="s">
        <v>4834</v>
      </c>
      <c r="BND18" s="1023" t="s">
        <v>4843</v>
      </c>
      <c r="BNE18" t="s">
        <v>4849</v>
      </c>
      <c r="BNF18" t="s">
        <v>4847</v>
      </c>
      <c r="BOA18" s="1025" t="s">
        <v>4878</v>
      </c>
      <c r="BOB18" s="112" t="s">
        <v>4883</v>
      </c>
      <c r="BOC18" s="15" t="s">
        <v>4893</v>
      </c>
      <c r="BPA18" s="1530" t="s">
        <v>4146</v>
      </c>
      <c r="BPB18" s="1531"/>
      <c r="BPC18" s="1531"/>
      <c r="BPD18" s="1531"/>
      <c r="BPE18" s="1531"/>
      <c r="BPZ18" t="s">
        <v>4996</v>
      </c>
      <c r="BQA18" s="1514" t="s">
        <v>4146</v>
      </c>
      <c r="BQB18" s="1514"/>
      <c r="BQC18" s="1514"/>
      <c r="BQD18" s="966"/>
      <c r="BRB18" s="171" t="s">
        <v>5395</v>
      </c>
      <c r="BRE18" t="s">
        <v>5388</v>
      </c>
      <c r="BWA18" s="1175" t="s">
        <v>5827</v>
      </c>
      <c r="BWB18" s="1186" t="s">
        <v>6600</v>
      </c>
      <c r="BWC18" s="1186" t="s">
        <v>6592</v>
      </c>
      <c r="BWD18" s="1185" t="s">
        <v>1221</v>
      </c>
      <c r="BWE18" s="1233"/>
      <c r="BWF18" s="1235"/>
      <c r="BWG18" s="1189" t="s">
        <v>6362</v>
      </c>
      <c r="BWH18" s="1189" t="s">
        <v>6362</v>
      </c>
      <c r="BWI18" s="1189" t="s">
        <v>6362</v>
      </c>
      <c r="BWJ18" s="235">
        <v>13</v>
      </c>
      <c r="BXA18" s="1192" t="s">
        <v>6323</v>
      </c>
      <c r="BXB18" t="s">
        <v>6120</v>
      </c>
      <c r="BXC18" t="s">
        <v>6416</v>
      </c>
      <c r="BYA18" s="1159" t="s">
        <v>6385</v>
      </c>
      <c r="BYB18" s="1171" t="s">
        <v>5812</v>
      </c>
      <c r="BYC18" s="1171" t="s">
        <v>6436</v>
      </c>
      <c r="BYD18" s="1159" t="s">
        <v>6553</v>
      </c>
      <c r="BYE18" s="1159" t="s">
        <v>6554</v>
      </c>
      <c r="BYF18" s="1171" t="s">
        <v>441</v>
      </c>
    </row>
    <row r="19" spans="1:1017 1042:2008 2810:2814" ht="30" customHeight="1">
      <c r="A19" s="1323" t="s">
        <v>1291</v>
      </c>
      <c r="B19" s="1305">
        <v>13</v>
      </c>
      <c r="C19" s="672" t="s">
        <v>4745</v>
      </c>
      <c r="D19" s="672" t="s">
        <v>3799</v>
      </c>
      <c r="E19" s="672" t="s">
        <v>4634</v>
      </c>
      <c r="F19" s="1307" t="s">
        <v>233</v>
      </c>
      <c r="G19" s="1308"/>
      <c r="H19" s="1308"/>
      <c r="I19" s="1308"/>
      <c r="J19" s="1308"/>
      <c r="K19" s="433"/>
      <c r="L19" s="2506">
        <f>MATCH(C19, $A$1:$DZG$1,0)</f>
        <v>1613</v>
      </c>
      <c r="M19" t="str">
        <f t="shared" si="0"/>
        <v>BJA</v>
      </c>
      <c r="N19" s="433"/>
      <c r="O19" s="433"/>
      <c r="P19" s="433"/>
      <c r="Q19" s="433"/>
      <c r="R19" s="433"/>
      <c r="S19" s="433"/>
      <c r="T19" s="433"/>
      <c r="U19" s="433"/>
      <c r="V19" s="433"/>
      <c r="W19" s="433"/>
      <c r="AA19" s="457" t="s">
        <v>665</v>
      </c>
      <c r="AB19" t="s">
        <v>4112</v>
      </c>
      <c r="BA19" t="s">
        <v>4140</v>
      </c>
      <c r="BC19" s="457" t="s">
        <v>604</v>
      </c>
      <c r="CA19" t="s">
        <v>582</v>
      </c>
      <c r="CB19" t="s">
        <v>583</v>
      </c>
      <c r="CC19" t="s">
        <v>584</v>
      </c>
      <c r="DA19" s="10" t="s">
        <v>585</v>
      </c>
      <c r="DB19" s="441" t="s">
        <v>585</v>
      </c>
      <c r="DC19" s="944"/>
      <c r="EA19" s="848">
        <v>6013</v>
      </c>
      <c r="EB19" s="10" t="s">
        <v>574</v>
      </c>
      <c r="EC19" s="10" t="s">
        <v>542</v>
      </c>
      <c r="FA19" s="112"/>
      <c r="GA19" s="289"/>
      <c r="HA19" s="440" t="s">
        <v>5605</v>
      </c>
      <c r="HB19" s="10" t="s">
        <v>4730</v>
      </c>
      <c r="HC19" s="10" t="s">
        <v>5980</v>
      </c>
      <c r="HD19" s="1592" t="s">
        <v>4724</v>
      </c>
      <c r="HE19" s="1592" t="s">
        <v>5975</v>
      </c>
      <c r="HF19" s="1592" t="s">
        <v>5983</v>
      </c>
      <c r="KA19" s="10" t="s">
        <v>635</v>
      </c>
      <c r="KB19" s="10" t="s">
        <v>635</v>
      </c>
      <c r="LA19" s="10" t="s">
        <v>679</v>
      </c>
      <c r="LB19" s="10" t="s">
        <v>680</v>
      </c>
      <c r="MA19" s="10" t="s">
        <v>638</v>
      </c>
      <c r="MB19" s="10" t="s">
        <v>639</v>
      </c>
      <c r="NA19" s="10" t="s">
        <v>614</v>
      </c>
      <c r="NB19" s="451" t="s">
        <v>615</v>
      </c>
      <c r="OA19" s="10" t="s">
        <v>480</v>
      </c>
      <c r="OB19" s="10" t="s">
        <v>480</v>
      </c>
      <c r="PA19" s="10" t="s">
        <v>618</v>
      </c>
      <c r="PB19" s="10" t="s">
        <v>619</v>
      </c>
      <c r="PC19" s="10" t="s">
        <v>540</v>
      </c>
      <c r="PD19" s="10" t="s">
        <v>599</v>
      </c>
      <c r="PE19" s="10"/>
      <c r="RB19" s="1502" t="s">
        <v>4197</v>
      </c>
      <c r="RC19" s="1502"/>
      <c r="RD19" s="1502"/>
      <c r="RE19" s="1502"/>
      <c r="SA19" s="221" t="s">
        <v>3</v>
      </c>
      <c r="SB19" s="221" t="s">
        <v>4</v>
      </c>
      <c r="SC19" s="934">
        <v>3</v>
      </c>
      <c r="SD19" s="934">
        <v>4</v>
      </c>
      <c r="SE19" s="934">
        <v>5</v>
      </c>
      <c r="SF19" s="934">
        <v>6</v>
      </c>
      <c r="SG19" s="934">
        <v>7</v>
      </c>
      <c r="SH19" s="934">
        <v>8</v>
      </c>
      <c r="TA19" s="7" t="s">
        <v>4244</v>
      </c>
      <c r="TB19" s="7"/>
      <c r="TC19" s="7"/>
      <c r="TD19" s="7"/>
      <c r="TE19" s="7"/>
      <c r="UA19" s="10" t="s">
        <v>600</v>
      </c>
      <c r="UB19" s="10" t="s">
        <v>600</v>
      </c>
      <c r="UC19" s="10" t="s">
        <v>599</v>
      </c>
      <c r="UD19" s="443" t="s">
        <v>599</v>
      </c>
      <c r="UE19" s="10"/>
      <c r="UF19" s="10">
        <v>1</v>
      </c>
      <c r="UG19" s="10"/>
      <c r="VA19" s="954" t="s">
        <v>4286</v>
      </c>
      <c r="VB19" t="s">
        <v>4289</v>
      </c>
      <c r="VC19" s="967" t="s">
        <v>4291</v>
      </c>
      <c r="XA19" s="66" t="s">
        <v>1210</v>
      </c>
      <c r="XB19" s="10" t="s">
        <v>648</v>
      </c>
      <c r="XC19" s="10" t="s">
        <v>7631</v>
      </c>
      <c r="XD19" s="10" t="s">
        <v>649</v>
      </c>
      <c r="XE19" s="291" t="s">
        <v>7622</v>
      </c>
      <c r="YA19" s="10" t="s">
        <v>468</v>
      </c>
      <c r="YB19" s="10" t="s">
        <v>469</v>
      </c>
      <c r="YC19" s="970">
        <v>4046.86</v>
      </c>
      <c r="YD19" s="1643" t="s">
        <v>7603</v>
      </c>
      <c r="YE19" s="1502"/>
      <c r="ZB19" s="10" t="s">
        <v>4771</v>
      </c>
      <c r="ZC19" s="10" t="s">
        <v>4780</v>
      </c>
      <c r="ZD19" s="291"/>
      <c r="AAB19" s="10" t="s">
        <v>4800</v>
      </c>
      <c r="AAC19" s="10" t="s">
        <v>4805</v>
      </c>
      <c r="AAD19" s="291"/>
      <c r="ADB19" s="62" t="s">
        <v>4313</v>
      </c>
      <c r="ADC19" s="62" t="s">
        <v>4328</v>
      </c>
      <c r="ADD19" s="10" t="s">
        <v>4337</v>
      </c>
      <c r="ADE19" s="1495"/>
      <c r="ADF19" s="1496"/>
      <c r="AEB19" s="973" t="s">
        <v>4312</v>
      </c>
      <c r="AEC19" s="974" t="s">
        <v>4311</v>
      </c>
      <c r="AED19" s="10" t="s">
        <v>4342</v>
      </c>
      <c r="AEE19" s="10" t="s">
        <v>2693</v>
      </c>
      <c r="AEF19" s="975"/>
      <c r="AEG19" s="855"/>
      <c r="AEH19" s="855"/>
      <c r="AEI19" s="855"/>
      <c r="AEJ19" s="855"/>
      <c r="AEK19" s="855"/>
      <c r="AEL19" s="855"/>
      <c r="AEM19" s="855"/>
      <c r="AEN19" s="855"/>
      <c r="AEO19" s="855"/>
      <c r="AEP19" s="855"/>
      <c r="AEQ19" s="855"/>
      <c r="AER19" s="855"/>
      <c r="AES19" s="855"/>
      <c r="AET19" s="855"/>
      <c r="AEU19" s="855"/>
      <c r="AEV19" s="855"/>
      <c r="AEW19" s="855"/>
      <c r="AEX19" s="855"/>
      <c r="AFB19" s="10" t="s">
        <v>522</v>
      </c>
      <c r="AFC19" s="10" t="s">
        <v>523</v>
      </c>
      <c r="AGB19" s="10"/>
      <c r="AGC19" s="10"/>
      <c r="AHB19" s="1525" t="s">
        <v>4376</v>
      </c>
      <c r="AHC19" s="1525"/>
      <c r="AHD19" s="1525" t="s">
        <v>4384</v>
      </c>
      <c r="AHE19" s="1525"/>
      <c r="AIB19" s="10" t="s">
        <v>4395</v>
      </c>
      <c r="AIC19" s="10" t="s">
        <v>4396</v>
      </c>
      <c r="AJB19" s="10"/>
      <c r="AJC19" s="10"/>
      <c r="AKB19" s="10"/>
      <c r="AKC19" s="10"/>
      <c r="ALB19" s="10"/>
      <c r="ALC19" s="10"/>
      <c r="AMB19" s="10"/>
      <c r="AMC19" s="10"/>
      <c r="ANB19" s="10" t="s">
        <v>4445</v>
      </c>
      <c r="ANC19" s="10" t="s">
        <v>4451</v>
      </c>
      <c r="AOA19" s="2550"/>
      <c r="AOB19" s="2550"/>
      <c r="AOC19" s="2553"/>
      <c r="AOD19" s="2553"/>
      <c r="AOE19" s="2553"/>
      <c r="AOF19" s="2553"/>
      <c r="AOG19" s="912" t="s">
        <v>441</v>
      </c>
      <c r="APB19" s="2540"/>
      <c r="AQA19" s="985">
        <v>1</v>
      </c>
      <c r="AQB19" s="985">
        <v>2</v>
      </c>
      <c r="AQC19" s="985">
        <v>3</v>
      </c>
      <c r="AQD19" s="985">
        <v>4</v>
      </c>
      <c r="AQE19" s="985">
        <v>5</v>
      </c>
      <c r="AQF19" s="985">
        <v>6</v>
      </c>
      <c r="AQG19" s="985">
        <v>7</v>
      </c>
      <c r="AQH19" s="985">
        <v>8</v>
      </c>
      <c r="AQI19" s="985">
        <v>9</v>
      </c>
      <c r="AQJ19" s="133"/>
      <c r="AQK19" s="133"/>
      <c r="AQL19" s="133"/>
      <c r="AQM19" s="133"/>
      <c r="AQN19" s="133"/>
      <c r="AQO19" s="133"/>
      <c r="AQP19" s="133"/>
      <c r="AQQ19" s="133"/>
      <c r="AQR19" s="133"/>
      <c r="AQS19" s="133"/>
      <c r="AQT19" s="133"/>
      <c r="AQU19" s="133"/>
      <c r="AQV19" s="133"/>
      <c r="AQW19" s="133"/>
      <c r="AQX19" s="133"/>
      <c r="AQY19" s="133"/>
      <c r="AQZ19" s="129"/>
      <c r="ARA19" s="1826" t="s">
        <v>7764</v>
      </c>
      <c r="ARB19" s="1826"/>
      <c r="ARC19" s="1826"/>
      <c r="ARD19" s="1826"/>
      <c r="ARE19" s="1826"/>
      <c r="ARG19" s="133"/>
      <c r="ARH19" s="133"/>
      <c r="ARI19" s="133"/>
      <c r="ARJ19" s="133"/>
      <c r="ARK19" s="133"/>
      <c r="ARL19" s="133"/>
      <c r="ARM19" s="133"/>
      <c r="ARN19" s="133"/>
      <c r="ARO19" s="133"/>
      <c r="ARP19" s="133"/>
      <c r="ARQ19" s="133"/>
      <c r="ARR19" s="133"/>
      <c r="ARS19" s="133"/>
      <c r="ART19" s="133"/>
      <c r="ARU19" s="133"/>
      <c r="ARV19" s="133"/>
      <c r="ARW19" s="133"/>
      <c r="ARX19" s="133"/>
      <c r="ARY19" s="133"/>
      <c r="ARZ19" s="133"/>
      <c r="ASA19" s="133"/>
      <c r="ASB19" s="133"/>
      <c r="ASC19" s="133"/>
      <c r="ASD19" s="133"/>
      <c r="ASE19" s="133"/>
      <c r="ASF19" s="133"/>
      <c r="ASG19" s="133"/>
      <c r="ASH19" s="133"/>
      <c r="ASI19" s="133"/>
      <c r="ASJ19" s="133"/>
      <c r="ASK19" s="133"/>
      <c r="ASL19" s="133"/>
      <c r="ASM19" s="133"/>
      <c r="ASN19" s="133"/>
      <c r="ASO19" s="133"/>
      <c r="ASP19" s="133"/>
      <c r="ASQ19" s="133"/>
      <c r="ASR19" s="133"/>
      <c r="ASS19" s="133"/>
      <c r="AST19" s="133"/>
      <c r="ASU19" s="133"/>
      <c r="ASV19" s="133"/>
      <c r="ASW19" s="133"/>
      <c r="ASX19" s="133"/>
      <c r="ASY19" s="133"/>
      <c r="ASZ19" s="133"/>
      <c r="ATA19" s="221" t="s">
        <v>5820</v>
      </c>
      <c r="ATB19" s="230" t="s">
        <v>5821</v>
      </c>
      <c r="ATC19" s="442"/>
      <c r="ATD19" s="985">
        <v>11</v>
      </c>
      <c r="ATE19" s="1711" t="s">
        <v>6888</v>
      </c>
      <c r="ATF19" s="1711"/>
      <c r="ATG19" s="1711"/>
      <c r="ATH19" s="1711"/>
      <c r="ATI19" s="133"/>
      <c r="ATJ19" s="133"/>
      <c r="ATK19" s="133"/>
      <c r="ATL19" s="133"/>
      <c r="ATM19" s="133"/>
      <c r="ATN19" s="133"/>
      <c r="ATO19" s="133"/>
      <c r="ATP19" s="133"/>
      <c r="ATQ19" s="133"/>
      <c r="ATR19" s="133"/>
      <c r="ATS19" s="133"/>
      <c r="ATT19" s="133"/>
      <c r="ATU19" s="133"/>
      <c r="ATV19" s="133"/>
      <c r="ATW19" s="133"/>
      <c r="ATX19" s="133"/>
      <c r="ATY19" s="133"/>
      <c r="ATZ19" s="133"/>
      <c r="AUA19" s="848"/>
      <c r="AUB19" s="848"/>
      <c r="AUC19" s="10"/>
      <c r="AUD19" s="10"/>
      <c r="AUE19" s="133"/>
      <c r="AUH19" s="133"/>
      <c r="AUI19" s="133"/>
      <c r="AUJ19" s="133"/>
      <c r="AUK19" s="133"/>
      <c r="AUL19" s="133"/>
      <c r="AUM19" s="133"/>
      <c r="AUN19" s="133"/>
      <c r="AUO19" s="133"/>
      <c r="AUP19" s="133"/>
      <c r="AUQ19" s="133"/>
      <c r="AUR19" s="133"/>
      <c r="AUS19" s="133"/>
      <c r="AUT19" s="133"/>
      <c r="AUU19" s="133"/>
      <c r="AUV19" s="133"/>
      <c r="AUW19" s="133"/>
      <c r="AUX19" s="133"/>
      <c r="AUY19" s="133"/>
      <c r="AUZ19" s="133"/>
      <c r="AVA19" s="991"/>
      <c r="AVB19" s="966"/>
      <c r="AVG19" s="133"/>
      <c r="AVH19" s="133"/>
      <c r="AVI19" s="133"/>
      <c r="AVJ19" s="133"/>
      <c r="AVK19" s="133"/>
      <c r="AVL19" s="133"/>
      <c r="AVM19" s="133"/>
      <c r="AVN19" s="133"/>
      <c r="AVO19" s="133"/>
      <c r="AVP19" s="133"/>
      <c r="AVQ19" s="133"/>
      <c r="AVR19" s="133"/>
      <c r="AVS19" s="133"/>
      <c r="AVT19" s="133"/>
      <c r="AVU19" s="133"/>
      <c r="AVV19" s="133"/>
      <c r="AVW19" s="133"/>
      <c r="AVX19" s="133"/>
      <c r="AVY19" s="133"/>
      <c r="AVZ19" s="133"/>
      <c r="AWA19" s="7"/>
      <c r="AWB19" s="7"/>
      <c r="AWF19" s="133"/>
      <c r="AWG19" s="133"/>
      <c r="AWH19" s="133"/>
      <c r="AWI19" s="133"/>
      <c r="AWJ19" s="133"/>
      <c r="AWK19" s="133"/>
      <c r="AWL19" s="133"/>
      <c r="AWM19" s="133"/>
      <c r="AWN19" s="133"/>
      <c r="AWO19" s="133"/>
      <c r="AWP19" s="133"/>
      <c r="AWQ19" s="133"/>
      <c r="AWR19" s="133"/>
      <c r="AWS19" s="133"/>
      <c r="AWT19" s="133"/>
      <c r="AWU19" s="133"/>
      <c r="AWV19" s="133"/>
      <c r="AWW19" s="133"/>
      <c r="AWX19" s="133"/>
      <c r="AWY19" s="133"/>
      <c r="AWZ19" s="133"/>
      <c r="AXA19" s="7"/>
      <c r="AXB19" s="7" t="s">
        <v>5416</v>
      </c>
      <c r="AXC19" s="7"/>
      <c r="AXD19" s="7"/>
      <c r="AXL19" s="133"/>
      <c r="AXM19" s="133"/>
      <c r="AXN19" s="133"/>
      <c r="AXO19" s="133"/>
      <c r="AXP19" s="133"/>
      <c r="AXQ19" s="133"/>
      <c r="AXR19" s="133"/>
      <c r="AXS19" s="133"/>
      <c r="AXT19" s="133"/>
      <c r="AXU19" s="133"/>
      <c r="AXV19" s="133"/>
      <c r="AXW19" s="133"/>
      <c r="AXX19" s="133"/>
      <c r="AXY19" s="133"/>
      <c r="AXZ19" s="133"/>
      <c r="AYA19" s="1004" t="s">
        <v>653</v>
      </c>
      <c r="AYB19" s="7" t="s">
        <v>654</v>
      </c>
      <c r="AYC19" s="1005" t="s">
        <v>783</v>
      </c>
      <c r="AZA19" s="1005" t="s">
        <v>4737</v>
      </c>
      <c r="AZB19" t="s">
        <v>4741</v>
      </c>
      <c r="AZC19" t="s">
        <v>1162</v>
      </c>
      <c r="BAA19" s="221" t="s">
        <v>4640</v>
      </c>
      <c r="BAB19" s="1067" t="s">
        <v>4593</v>
      </c>
      <c r="BAC19" s="1265" t="s">
        <v>6718</v>
      </c>
      <c r="BAD19" s="157">
        <v>14</v>
      </c>
      <c r="BAE19" s="1545" t="s">
        <v>6714</v>
      </c>
      <c r="BAF19" s="1546"/>
      <c r="BBE19" s="110"/>
      <c r="BCA19" s="1111" t="s">
        <v>4659</v>
      </c>
      <c r="BCB19" s="1111" t="s">
        <v>6743</v>
      </c>
      <c r="BCC19" s="1111" t="s">
        <v>6771</v>
      </c>
      <c r="BCD19" s="1111" t="s">
        <v>6781</v>
      </c>
      <c r="BCE19" s="951"/>
      <c r="BCF19" s="225" t="s">
        <v>6776</v>
      </c>
      <c r="BCG19" s="1547" t="s">
        <v>6869</v>
      </c>
      <c r="BCH19" s="1548"/>
      <c r="BDJ19" s="110"/>
      <c r="BEA19" t="s">
        <v>4666</v>
      </c>
      <c r="BEB19">
        <v>1</v>
      </c>
      <c r="BEC19">
        <v>1</v>
      </c>
      <c r="BED19">
        <v>0</v>
      </c>
      <c r="BEE19" s="1008">
        <v>125900</v>
      </c>
      <c r="BEF19" s="210" t="s">
        <v>4668</v>
      </c>
      <c r="BFA19" s="1528" t="s">
        <v>4146</v>
      </c>
      <c r="BFB19" s="1529"/>
      <c r="BFC19" s="1529"/>
      <c r="BFD19" s="1529"/>
      <c r="BFE19" s="1529"/>
      <c r="BFF19" s="1529"/>
      <c r="BFG19" s="1529"/>
      <c r="BFH19" s="1529"/>
      <c r="BFI19" s="1529"/>
      <c r="BFJ19" s="1529"/>
      <c r="BFK19" s="969"/>
      <c r="BFL19" s="969"/>
      <c r="BFM19" s="969"/>
      <c r="BFN19" s="969"/>
      <c r="BFO19" s="969"/>
      <c r="BFP19" s="969"/>
      <c r="BFQ19" s="969"/>
      <c r="BFR19" s="969"/>
      <c r="BFS19" s="969"/>
      <c r="BFT19" s="969"/>
      <c r="BFU19" s="969"/>
      <c r="BFV19" s="969"/>
      <c r="BFW19" s="969"/>
      <c r="BFX19" s="969"/>
      <c r="BFY19" s="969"/>
      <c r="BFZ19" s="969"/>
      <c r="BHH19" s="133"/>
      <c r="BHI19" s="133"/>
      <c r="BHJ19" s="133"/>
      <c r="BHL19" s="133"/>
      <c r="BHM19" s="133"/>
      <c r="BHN19" s="133"/>
      <c r="BHO19" s="133"/>
      <c r="BHP19" s="133"/>
      <c r="BHQ19" s="133"/>
      <c r="BHR19" s="133"/>
      <c r="BHS19" s="133"/>
      <c r="BHT19" s="133"/>
      <c r="BHU19" s="133"/>
      <c r="BHV19" s="133"/>
      <c r="BHW19" s="133"/>
      <c r="BHX19" s="133"/>
      <c r="BHY19" s="133"/>
      <c r="BHZ19" s="133"/>
      <c r="BIA19" s="848" t="s">
        <v>4568</v>
      </c>
      <c r="BIB19" s="848" t="s">
        <v>1190</v>
      </c>
      <c r="BIC19" s="848" t="s">
        <v>4326</v>
      </c>
      <c r="BID19" s="10" t="s">
        <v>428</v>
      </c>
      <c r="BIE19" s="133"/>
      <c r="BJA19" s="848" t="s">
        <v>4561</v>
      </c>
      <c r="BJB19" s="848" t="s">
        <v>4563</v>
      </c>
      <c r="BJC19" s="10" t="s">
        <v>4702</v>
      </c>
      <c r="BJD19" s="10" t="s">
        <v>4701</v>
      </c>
      <c r="BJE19" s="10" t="s">
        <v>574</v>
      </c>
      <c r="BJF19" s="10" t="s">
        <v>428</v>
      </c>
      <c r="BJI19" s="445"/>
      <c r="BKA19" s="10" t="s">
        <v>4756</v>
      </c>
      <c r="BKB19" s="10" t="s">
        <v>1214</v>
      </c>
      <c r="BKC19" s="10" t="s">
        <v>4584</v>
      </c>
      <c r="BKD19" s="10" t="s">
        <v>574</v>
      </c>
      <c r="BKE19" s="10" t="s">
        <v>428</v>
      </c>
      <c r="BKI19" s="445"/>
      <c r="BLA19" s="1100" t="s">
        <v>4156</v>
      </c>
      <c r="BLB19" s="10" t="s">
        <v>5863</v>
      </c>
      <c r="BLC19" s="10"/>
      <c r="BMA19" s="1005" t="s">
        <v>4806</v>
      </c>
      <c r="BMB19" t="s">
        <v>4810</v>
      </c>
      <c r="BMC19" t="s">
        <v>4815</v>
      </c>
      <c r="BMD19" t="s">
        <v>428</v>
      </c>
      <c r="BNA19" s="221" t="s">
        <v>428</v>
      </c>
      <c r="BNB19" s="1515" t="s">
        <v>362</v>
      </c>
      <c r="BNC19" s="1515"/>
      <c r="BND19" s="1023">
        <v>13</v>
      </c>
      <c r="BNE19" t="s">
        <v>4709</v>
      </c>
      <c r="BOA19" s="1025" t="s">
        <v>4888</v>
      </c>
      <c r="BOB19" s="112" t="s">
        <v>4889</v>
      </c>
      <c r="BOC19" s="15" t="s">
        <v>4894</v>
      </c>
      <c r="BPA19" s="493">
        <v>1</v>
      </c>
      <c r="BPB19" s="493">
        <v>2</v>
      </c>
      <c r="BPC19" s="894">
        <v>3</v>
      </c>
      <c r="BPD19" s="894" t="s">
        <v>4925</v>
      </c>
      <c r="BPE19" s="493" t="s">
        <v>4926</v>
      </c>
      <c r="BPZ19" t="s">
        <v>4997</v>
      </c>
      <c r="BQA19" s="493">
        <v>1</v>
      </c>
      <c r="BQB19" s="493">
        <v>2</v>
      </c>
      <c r="BQC19" s="894">
        <v>3</v>
      </c>
      <c r="BQD19" s="110"/>
      <c r="BRB19" s="171" t="s">
        <v>5396</v>
      </c>
      <c r="BRE19" t="s">
        <v>5389</v>
      </c>
      <c r="BWA19" s="1175" t="s">
        <v>1173</v>
      </c>
      <c r="BWB19" s="1186" t="s">
        <v>6601</v>
      </c>
      <c r="BWC19" s="1186" t="s">
        <v>6593</v>
      </c>
      <c r="BWD19" s="1185" t="s">
        <v>1221</v>
      </c>
      <c r="BWE19" s="1233"/>
      <c r="BWF19" s="1235"/>
      <c r="BWG19" s="1189" t="s">
        <v>6362</v>
      </c>
      <c r="BWH19" s="1189" t="s">
        <v>6362</v>
      </c>
      <c r="BWI19" s="1189" t="s">
        <v>6362</v>
      </c>
      <c r="BWJ19" s="235">
        <v>14</v>
      </c>
      <c r="BXA19" s="1191" t="s">
        <v>6091</v>
      </c>
      <c r="BXB19" t="s">
        <v>6376</v>
      </c>
      <c r="BXC19" t="s">
        <v>6418</v>
      </c>
      <c r="BYA19" s="10" t="s">
        <v>4553</v>
      </c>
      <c r="BYB19" s="10" t="s">
        <v>5823</v>
      </c>
      <c r="BYC19" s="10" t="s">
        <v>5823</v>
      </c>
      <c r="BYD19" s="10" t="s">
        <v>6570</v>
      </c>
      <c r="BYE19" s="10" t="s">
        <v>6558</v>
      </c>
      <c r="BYF19" s="10"/>
    </row>
    <row r="20" spans="1:1017 1042:2008 2810:2814" ht="30" customHeight="1">
      <c r="A20" s="1323" t="s">
        <v>3768</v>
      </c>
      <c r="B20" s="1305">
        <v>13</v>
      </c>
      <c r="C20" s="1310" t="s">
        <v>4744</v>
      </c>
      <c r="D20" s="317" t="s">
        <v>3799</v>
      </c>
      <c r="E20" s="1310" t="s">
        <v>7780</v>
      </c>
      <c r="F20" s="1311" t="s">
        <v>233</v>
      </c>
      <c r="G20" s="1319"/>
      <c r="H20" s="1319"/>
      <c r="I20" s="1319"/>
      <c r="J20" s="1319"/>
      <c r="K20" s="416"/>
      <c r="L20" s="2506">
        <f>MATCH(C30, $A$1:$DZG$1,0)</f>
        <v>547</v>
      </c>
      <c r="M20" t="str">
        <f>SUBSTITUTE(ADDRESS(1, L30, 4), "1", "")</f>
        <v>UA</v>
      </c>
      <c r="N20" s="416"/>
      <c r="O20" s="416"/>
      <c r="P20" s="416"/>
      <c r="Q20" s="416"/>
      <c r="R20" s="416"/>
      <c r="S20" s="416"/>
      <c r="T20" s="416"/>
      <c r="U20" s="416"/>
      <c r="V20" s="416"/>
      <c r="W20" s="416"/>
      <c r="AA20" s="457" t="s">
        <v>4113</v>
      </c>
      <c r="AB20" t="s">
        <v>4114</v>
      </c>
      <c r="BA20" t="s">
        <v>4140</v>
      </c>
      <c r="BC20" s="457" t="s">
        <v>630</v>
      </c>
      <c r="CA20" t="s">
        <v>605</v>
      </c>
      <c r="CB20" t="s">
        <v>606</v>
      </c>
      <c r="CC20" t="s">
        <v>607</v>
      </c>
      <c r="DA20" s="10" t="s">
        <v>608</v>
      </c>
      <c r="DB20" s="441" t="s">
        <v>608</v>
      </c>
      <c r="DC20" s="944"/>
      <c r="EA20" s="848">
        <v>6014</v>
      </c>
      <c r="EB20" s="10" t="s">
        <v>574</v>
      </c>
      <c r="EC20" s="10" t="s">
        <v>542</v>
      </c>
      <c r="FA20" s="112"/>
      <c r="FB20" s="922"/>
      <c r="FC20" s="922"/>
      <c r="FD20" s="922"/>
      <c r="FE20" s="922"/>
      <c r="FF20" s="922"/>
      <c r="FH20" s="1127"/>
      <c r="GA20" s="1585"/>
      <c r="GB20" s="1585"/>
      <c r="GC20" s="1585"/>
      <c r="GD20" s="1585"/>
      <c r="GE20" s="1585"/>
      <c r="HA20" s="440" t="s">
        <v>4720</v>
      </c>
      <c r="HB20" s="10" t="s">
        <v>4425</v>
      </c>
      <c r="HC20" s="10" t="s">
        <v>5980</v>
      </c>
      <c r="HD20" s="1592" t="s">
        <v>4723</v>
      </c>
      <c r="HE20" s="1592" t="s">
        <v>5975</v>
      </c>
      <c r="HF20" s="1592" t="s">
        <v>5984</v>
      </c>
      <c r="KA20" s="10" t="s">
        <v>661</v>
      </c>
      <c r="KB20" s="10" t="s">
        <v>661</v>
      </c>
      <c r="LA20" s="10" t="s">
        <v>690</v>
      </c>
      <c r="LB20" s="10" t="s">
        <v>691</v>
      </c>
      <c r="MA20" s="10" t="s">
        <v>664</v>
      </c>
      <c r="MB20" s="10" t="s">
        <v>665</v>
      </c>
      <c r="OA20" s="10" t="s">
        <v>507</v>
      </c>
      <c r="OB20" s="10" t="s">
        <v>507</v>
      </c>
      <c r="PA20" s="10" t="s">
        <v>642</v>
      </c>
      <c r="PB20" s="10" t="s">
        <v>643</v>
      </c>
      <c r="PC20" s="10" t="s">
        <v>644</v>
      </c>
      <c r="PD20" s="10" t="s">
        <v>4173</v>
      </c>
      <c r="PE20" s="71" t="s">
        <v>4174</v>
      </c>
      <c r="RB20" s="1532" t="s">
        <v>4198</v>
      </c>
      <c r="RC20" s="1532"/>
      <c r="RD20" s="1532"/>
      <c r="RE20" s="1532"/>
      <c r="SA20" s="10" t="s">
        <v>4232</v>
      </c>
      <c r="SB20" s="10" t="s">
        <v>573</v>
      </c>
      <c r="SC20" s="10" t="s">
        <v>574</v>
      </c>
      <c r="SD20" s="10" t="s">
        <v>574</v>
      </c>
      <c r="SE20" s="10" t="s">
        <v>599</v>
      </c>
      <c r="SF20" s="10">
        <v>10</v>
      </c>
      <c r="SG20" s="10">
        <v>28</v>
      </c>
      <c r="SH20" s="10" t="s">
        <v>4230</v>
      </c>
      <c r="UA20" s="10" t="s">
        <v>622</v>
      </c>
      <c r="UB20" s="10" t="s">
        <v>4264</v>
      </c>
      <c r="UC20" s="10" t="s">
        <v>599</v>
      </c>
      <c r="UD20" s="443" t="s">
        <v>574</v>
      </c>
      <c r="UE20" s="443">
        <v>45323</v>
      </c>
      <c r="UF20" s="10">
        <v>1</v>
      </c>
      <c r="UG20" s="10"/>
      <c r="XA20" s="66" t="s">
        <v>1210</v>
      </c>
      <c r="XB20" s="10" t="s">
        <v>623</v>
      </c>
      <c r="XC20" s="10" t="s">
        <v>7627</v>
      </c>
      <c r="XD20" s="10" t="s">
        <v>624</v>
      </c>
      <c r="XE20" s="291" t="s">
        <v>7622</v>
      </c>
      <c r="YA20" s="10" t="s">
        <v>468</v>
      </c>
      <c r="YB20" s="10" t="s">
        <v>487</v>
      </c>
      <c r="YC20" s="970">
        <v>43560</v>
      </c>
      <c r="YD20" s="1643" t="s">
        <v>7604</v>
      </c>
      <c r="YE20" s="1502"/>
      <c r="ZB20" s="10" t="s">
        <v>4772</v>
      </c>
      <c r="ZC20" s="10" t="s">
        <v>4781</v>
      </c>
      <c r="ZD20" s="291"/>
      <c r="ADB20" s="62" t="s">
        <v>4315</v>
      </c>
      <c r="ADC20" s="62" t="s">
        <v>4329</v>
      </c>
      <c r="ADD20" s="10" t="s">
        <v>2693</v>
      </c>
      <c r="ADE20" s="1495"/>
      <c r="ADF20" s="1496"/>
      <c r="AEB20" s="973" t="s">
        <v>4307</v>
      </c>
      <c r="AEC20" s="974" t="s">
        <v>4350</v>
      </c>
      <c r="AED20" s="62" t="s">
        <v>4343</v>
      </c>
      <c r="AEE20" s="10" t="s">
        <v>2693</v>
      </c>
      <c r="AEF20" s="975"/>
      <c r="AEG20" s="855"/>
      <c r="AEH20" s="855"/>
      <c r="AEI20" s="855"/>
      <c r="AEJ20" s="855"/>
      <c r="AEK20" s="855"/>
      <c r="AEL20" s="855"/>
      <c r="AEM20" s="855"/>
      <c r="AEN20" s="855"/>
      <c r="AEO20" s="855"/>
      <c r="AEP20" s="855"/>
      <c r="AEQ20" s="855"/>
      <c r="AER20" s="855"/>
      <c r="AES20" s="855"/>
      <c r="AET20" s="855"/>
      <c r="AEU20" s="855"/>
      <c r="AEV20" s="855"/>
      <c r="AEW20" s="855"/>
      <c r="AEX20" s="855"/>
      <c r="AHB20" s="1525" t="s">
        <v>4374</v>
      </c>
      <c r="AHC20" s="1525"/>
      <c r="AHD20" s="1525" t="s">
        <v>4382</v>
      </c>
      <c r="AHE20" s="1525"/>
      <c r="ANB20" s="10" t="s">
        <v>4446</v>
      </c>
      <c r="ANC20" s="10" t="s">
        <v>4452</v>
      </c>
      <c r="AOA20" s="2550"/>
      <c r="AOB20" s="2550"/>
      <c r="AOC20" s="2550"/>
      <c r="AOD20" s="2550"/>
      <c r="AOE20" s="2550"/>
      <c r="AOF20" s="2550"/>
      <c r="AOG20" s="832"/>
      <c r="APB20" s="2540"/>
      <c r="AQA20" s="848" t="s">
        <v>4507</v>
      </c>
      <c r="AQB20" s="848" t="s">
        <v>4508</v>
      </c>
      <c r="AQC20" s="10" t="s">
        <v>695</v>
      </c>
      <c r="AQD20" s="10" t="s">
        <v>4509</v>
      </c>
      <c r="AQE20" s="10" t="s">
        <v>4514</v>
      </c>
      <c r="AQF20" s="10" t="s">
        <v>4515</v>
      </c>
      <c r="AQG20" s="986">
        <v>46131</v>
      </c>
      <c r="AQH20" s="10"/>
      <c r="AQI20" s="987">
        <v>100</v>
      </c>
      <c r="AQZ20" s="129"/>
      <c r="ARA20" s="1501" t="s">
        <v>7765</v>
      </c>
      <c r="ARB20" s="1501"/>
      <c r="ARC20" s="1501"/>
      <c r="ARD20" s="1501"/>
      <c r="ARE20" s="1501"/>
      <c r="ARF20" s="15"/>
      <c r="ATA20" s="221" t="s">
        <v>6880</v>
      </c>
      <c r="ATB20" s="230" t="s">
        <v>5821</v>
      </c>
      <c r="ATC20" s="442"/>
      <c r="ATD20" s="985">
        <v>12</v>
      </c>
      <c r="ATE20" s="1711" t="s">
        <v>6887</v>
      </c>
      <c r="ATF20" s="1711"/>
      <c r="ATG20" s="1711"/>
      <c r="ATH20" s="1711"/>
      <c r="AUA20" s="848"/>
      <c r="AUB20" s="848"/>
      <c r="AUC20" s="10"/>
      <c r="AUD20" s="10"/>
      <c r="AVA20" s="246" t="s">
        <v>434</v>
      </c>
      <c r="AVB20" s="1532" t="s">
        <v>6507</v>
      </c>
      <c r="AVC20" s="1532"/>
      <c r="AVD20" s="1532"/>
      <c r="AVE20" s="1532"/>
      <c r="AWA20" s="7"/>
      <c r="AWB20" s="7"/>
      <c r="AWI20" s="133"/>
      <c r="AXH20" s="969"/>
      <c r="AXI20" s="969"/>
      <c r="AXJ20" s="969"/>
      <c r="AXK20" s="969"/>
      <c r="AYA20" s="1004" t="s">
        <v>672</v>
      </c>
      <c r="AYB20" s="976" t="s">
        <v>673</v>
      </c>
      <c r="AYC20" s="1005" t="s">
        <v>783</v>
      </c>
      <c r="AZA20" s="1005" t="s">
        <v>4738</v>
      </c>
      <c r="AZB20" t="s">
        <v>4742</v>
      </c>
      <c r="AZC20" t="s">
        <v>1162</v>
      </c>
      <c r="BAA20" s="221" t="s">
        <v>4641</v>
      </c>
      <c r="BAB20" s="1067" t="s">
        <v>4593</v>
      </c>
      <c r="BAC20" s="1264"/>
      <c r="BAD20" s="225">
        <v>15</v>
      </c>
      <c r="BAE20" s="1684" t="s">
        <v>6715</v>
      </c>
      <c r="BAF20" s="1594"/>
      <c r="BBA20" s="246" t="s">
        <v>4865</v>
      </c>
      <c r="BBB20" s="1532" t="s">
        <v>6694</v>
      </c>
      <c r="BBC20" s="1532"/>
      <c r="BBD20" s="1532"/>
      <c r="BBE20" s="1532"/>
      <c r="BCA20" s="1006" t="s">
        <v>4660</v>
      </c>
      <c r="BCB20" s="1006" t="s">
        <v>6747</v>
      </c>
      <c r="BCC20" s="1006"/>
      <c r="BCD20" s="1006" t="s">
        <v>6773</v>
      </c>
      <c r="BCE20" s="951"/>
      <c r="BCF20" s="225">
        <v>14</v>
      </c>
      <c r="BCG20" s="1547" t="s">
        <v>6871</v>
      </c>
      <c r="BCH20" s="1548"/>
      <c r="BDE20" s="246" t="s">
        <v>434</v>
      </c>
      <c r="BDF20" s="1532" t="s">
        <v>6845</v>
      </c>
      <c r="BDG20" s="1532"/>
      <c r="BDH20" s="1532"/>
      <c r="BDI20" s="1532"/>
      <c r="BDJ20" s="1532"/>
      <c r="BDK20" s="1532"/>
      <c r="BEA20" t="s">
        <v>4666</v>
      </c>
      <c r="BEB20">
        <v>1</v>
      </c>
      <c r="BEC20">
        <v>1</v>
      </c>
      <c r="BED20">
        <v>0</v>
      </c>
      <c r="BEE20" s="1008">
        <v>125900</v>
      </c>
      <c r="BEF20" s="210" t="s">
        <v>4668</v>
      </c>
      <c r="BFA20" s="1011">
        <v>1</v>
      </c>
      <c r="BFB20" s="1011">
        <v>2</v>
      </c>
      <c r="BFC20" s="1011">
        <v>3</v>
      </c>
      <c r="BFD20" s="1011">
        <v>4</v>
      </c>
      <c r="BFE20" s="1011">
        <v>5</v>
      </c>
      <c r="BFF20" s="1011">
        <v>6</v>
      </c>
      <c r="BFG20" s="1011">
        <v>7</v>
      </c>
      <c r="BFH20" s="1011">
        <v>8</v>
      </c>
      <c r="BFI20" s="1011">
        <v>9</v>
      </c>
      <c r="BFJ20" s="1000">
        <v>10</v>
      </c>
      <c r="BFK20" s="63"/>
      <c r="BFL20" s="63"/>
      <c r="BFM20" s="63"/>
      <c r="BFN20" s="63"/>
      <c r="BFO20" s="63"/>
      <c r="BFP20" s="63"/>
      <c r="BFQ20" s="63"/>
      <c r="BFR20" s="63"/>
      <c r="BFS20" s="63"/>
      <c r="BFT20" s="63"/>
      <c r="BFU20" s="63"/>
      <c r="BFV20" s="63"/>
      <c r="BFW20" s="63"/>
      <c r="BFX20" s="63"/>
      <c r="BFY20" s="63"/>
      <c r="BFZ20" s="63"/>
      <c r="BGA20" s="246" t="s">
        <v>4865</v>
      </c>
      <c r="BGE20" s="969"/>
      <c r="BGF20" s="969"/>
      <c r="BHG20" s="2"/>
      <c r="BHH20" s="2"/>
      <c r="BHI20" s="133"/>
      <c r="BJA20" s="848" t="s">
        <v>4561</v>
      </c>
      <c r="BJB20" s="848" t="s">
        <v>4563</v>
      </c>
      <c r="BJC20" s="10" t="s">
        <v>4696</v>
      </c>
      <c r="BJD20" s="10" t="s">
        <v>4703</v>
      </c>
      <c r="BJE20" s="10" t="s">
        <v>574</v>
      </c>
      <c r="BJF20" s="10" t="s">
        <v>428</v>
      </c>
      <c r="BJI20" s="445"/>
      <c r="BKA20" s="10" t="s">
        <v>4756</v>
      </c>
      <c r="BKB20" s="10" t="s">
        <v>2460</v>
      </c>
      <c r="BKC20" s="10" t="s">
        <v>4765</v>
      </c>
      <c r="BKD20" s="10" t="s">
        <v>574</v>
      </c>
      <c r="BKE20" s="10" t="s">
        <v>428</v>
      </c>
      <c r="BLA20" s="1100" t="s">
        <v>5854</v>
      </c>
      <c r="BLB20" s="10" t="s">
        <v>5864</v>
      </c>
      <c r="BLC20" s="10"/>
      <c r="BMA20" s="1005" t="s">
        <v>4806</v>
      </c>
      <c r="BMB20" t="s">
        <v>4811</v>
      </c>
      <c r="BMC20" t="s">
        <v>4816</v>
      </c>
      <c r="BMD20" t="s">
        <v>428</v>
      </c>
      <c r="BOA20" s="1025" t="s">
        <v>542</v>
      </c>
      <c r="BOB20" s="112" t="s">
        <v>4895</v>
      </c>
      <c r="BOC20" s="15" t="s">
        <v>4896</v>
      </c>
      <c r="BPA20" s="1005" t="s">
        <v>4900</v>
      </c>
      <c r="BPB20" t="s">
        <v>4905</v>
      </c>
      <c r="BPC20" t="s">
        <v>4910</v>
      </c>
      <c r="BPD20" t="s">
        <v>4927</v>
      </c>
      <c r="BPE20" s="1026">
        <v>50</v>
      </c>
      <c r="BPZ20" t="s">
        <v>4998</v>
      </c>
      <c r="BQA20" s="1005" t="s">
        <v>4931</v>
      </c>
      <c r="BQB20" t="s">
        <v>4932</v>
      </c>
      <c r="BQC20" t="s">
        <v>4979</v>
      </c>
      <c r="BRB20" s="171" t="s">
        <v>4988</v>
      </c>
      <c r="BWA20" s="1175" t="s">
        <v>4527</v>
      </c>
      <c r="BWB20" s="1188"/>
      <c r="BWC20" s="1186" t="s">
        <v>6594</v>
      </c>
      <c r="BWD20" s="1185" t="s">
        <v>1221</v>
      </c>
      <c r="BWE20" s="1233"/>
      <c r="BWF20" s="1235"/>
      <c r="BWG20" s="1189" t="s">
        <v>6362</v>
      </c>
      <c r="BWH20" s="1189" t="s">
        <v>6362</v>
      </c>
      <c r="BWI20" s="1189" t="s">
        <v>6362</v>
      </c>
      <c r="BWJ20" s="235">
        <v>15</v>
      </c>
      <c r="BXA20" s="1192" t="s">
        <v>145</v>
      </c>
      <c r="BXB20" t="s">
        <v>6535</v>
      </c>
      <c r="BXC20" t="s">
        <v>6536</v>
      </c>
      <c r="BYA20" s="10" t="s">
        <v>4553</v>
      </c>
      <c r="BYB20" s="10" t="s">
        <v>5823</v>
      </c>
      <c r="BYC20" s="10" t="s">
        <v>5823</v>
      </c>
      <c r="BYD20" s="10" t="s">
        <v>6571</v>
      </c>
      <c r="BYE20" s="10" t="s">
        <v>6559</v>
      </c>
      <c r="BYF20" s="10"/>
    </row>
    <row r="21" spans="1:1017 1042:2008 2810:2814" ht="30" customHeight="1">
      <c r="A21" s="1323" t="s">
        <v>1261</v>
      </c>
      <c r="B21" s="1305">
        <v>16</v>
      </c>
      <c r="C21" s="1306" t="s">
        <v>11</v>
      </c>
      <c r="D21" s="317" t="s">
        <v>3802</v>
      </c>
      <c r="E21" s="1310" t="s">
        <v>4104</v>
      </c>
      <c r="F21" s="2508" t="s">
        <v>233</v>
      </c>
      <c r="G21" s="1312"/>
      <c r="H21" s="1312"/>
      <c r="I21" s="1312"/>
      <c r="J21" s="1312"/>
      <c r="K21" s="198"/>
      <c r="L21" s="2506">
        <f>MATCH(C31, $A$1:$DZG$1,0)</f>
        <v>704</v>
      </c>
      <c r="M21" t="str">
        <f>SUBSTITUTE(ADDRESS(1, L31, 4), "1", "")</f>
        <v>AAB</v>
      </c>
      <c r="N21" s="198"/>
      <c r="O21" s="198"/>
      <c r="P21" s="198"/>
      <c r="Q21" s="198"/>
      <c r="R21" s="198"/>
      <c r="S21" s="198"/>
      <c r="T21" s="198"/>
      <c r="U21" s="198"/>
      <c r="V21" s="198"/>
      <c r="W21" s="198"/>
      <c r="AA21" s="457"/>
      <c r="BA21" t="s">
        <v>4140</v>
      </c>
      <c r="BC21" s="457" t="s">
        <v>655</v>
      </c>
      <c r="CA21" t="s">
        <v>631</v>
      </c>
      <c r="CB21" t="s">
        <v>632</v>
      </c>
      <c r="DA21" s="10" t="s">
        <v>633</v>
      </c>
      <c r="DB21" s="441" t="s">
        <v>634</v>
      </c>
      <c r="DC21" s="944"/>
      <c r="EA21" s="848">
        <v>6015</v>
      </c>
      <c r="EB21" s="10" t="s">
        <v>574</v>
      </c>
      <c r="EC21" s="10" t="s">
        <v>542</v>
      </c>
      <c r="FA21" s="1249" t="s">
        <v>4146</v>
      </c>
      <c r="FB21" s="1250"/>
      <c r="FC21" s="1250"/>
      <c r="FD21" s="1250"/>
      <c r="FE21" s="1250"/>
      <c r="FF21" s="1250"/>
      <c r="FG21" s="1337"/>
      <c r="FH21" s="1337"/>
      <c r="FI21" s="1337"/>
      <c r="GA21" s="1502"/>
      <c r="GB21" s="1502"/>
      <c r="GC21" s="1502"/>
      <c r="GD21" s="1502"/>
      <c r="GE21" s="1502"/>
      <c r="HA21" s="440" t="s">
        <v>4725</v>
      </c>
      <c r="HB21" s="10" t="s">
        <v>4729</v>
      </c>
      <c r="HC21" s="10" t="s">
        <v>5980</v>
      </c>
      <c r="HD21" s="1592" t="s">
        <v>4726</v>
      </c>
      <c r="HE21" s="1592" t="s">
        <v>5975</v>
      </c>
      <c r="HF21" s="1592" t="s">
        <v>5985</v>
      </c>
      <c r="KA21" s="10" t="s">
        <v>678</v>
      </c>
      <c r="KB21" s="10" t="s">
        <v>678</v>
      </c>
      <c r="LA21" s="10" t="s">
        <v>697</v>
      </c>
      <c r="LB21" s="10" t="s">
        <v>698</v>
      </c>
      <c r="MA21" s="10" t="s">
        <v>681</v>
      </c>
      <c r="MB21" s="10" t="s">
        <v>682</v>
      </c>
      <c r="OA21" s="10" t="s">
        <v>537</v>
      </c>
      <c r="OB21" s="10" t="s">
        <v>537</v>
      </c>
      <c r="PA21" s="10" t="s">
        <v>666</v>
      </c>
      <c r="PB21" s="10" t="s">
        <v>667</v>
      </c>
      <c r="PC21" s="10" t="s">
        <v>644</v>
      </c>
      <c r="PD21" s="10" t="s">
        <v>4173</v>
      </c>
      <c r="PE21" s="71" t="s">
        <v>4174</v>
      </c>
      <c r="RB21" s="1532" t="s">
        <v>4199</v>
      </c>
      <c r="RC21" s="1532"/>
      <c r="RD21" s="1532"/>
      <c r="RE21" s="1532"/>
      <c r="SA21" s="10" t="s">
        <v>597</v>
      </c>
      <c r="SB21" s="10" t="s">
        <v>598</v>
      </c>
      <c r="SC21" s="10" t="s">
        <v>574</v>
      </c>
      <c r="SD21" s="10" t="s">
        <v>599</v>
      </c>
      <c r="SE21" s="10"/>
      <c r="SF21" s="10">
        <v>14</v>
      </c>
      <c r="SG21" s="10">
        <v>14</v>
      </c>
      <c r="SH21" s="10"/>
      <c r="UA21" s="10" t="s">
        <v>647</v>
      </c>
      <c r="UB21" s="10" t="s">
        <v>4265</v>
      </c>
      <c r="UC21" s="10" t="s">
        <v>599</v>
      </c>
      <c r="UD21" s="443" t="s">
        <v>599</v>
      </c>
      <c r="UE21" s="10"/>
      <c r="UF21" s="10">
        <v>2</v>
      </c>
      <c r="UG21" s="10"/>
      <c r="WC21" s="1"/>
      <c r="XA21" s="66" t="s">
        <v>205</v>
      </c>
      <c r="XB21" s="10" t="s">
        <v>7634</v>
      </c>
      <c r="XC21" s="10" t="s">
        <v>7635</v>
      </c>
      <c r="XD21" s="10" t="s">
        <v>7636</v>
      </c>
      <c r="XE21" s="291" t="s">
        <v>7622</v>
      </c>
      <c r="YA21" s="10" t="s">
        <v>516</v>
      </c>
      <c r="YB21" s="10" t="s">
        <v>517</v>
      </c>
      <c r="YC21" s="970">
        <v>12</v>
      </c>
      <c r="YD21" s="1643" t="s">
        <v>7605</v>
      </c>
      <c r="YE21" s="1502"/>
      <c r="ZB21" s="10" t="s">
        <v>4773</v>
      </c>
      <c r="ZC21" s="10" t="s">
        <v>4782</v>
      </c>
      <c r="ZD21" s="291"/>
      <c r="ADB21" s="62" t="s">
        <v>4317</v>
      </c>
      <c r="ADC21" s="62" t="s">
        <v>4330</v>
      </c>
      <c r="ADD21" s="10" t="s">
        <v>2693</v>
      </c>
      <c r="ADE21" s="1495"/>
      <c r="ADF21" s="1496"/>
      <c r="AEB21" s="973" t="s">
        <v>4315</v>
      </c>
      <c r="AEC21" s="974" t="s">
        <v>4316</v>
      </c>
      <c r="AED21" s="10" t="s">
        <v>4344</v>
      </c>
      <c r="AEE21" s="10" t="s">
        <v>2693</v>
      </c>
      <c r="AEF21" s="975"/>
      <c r="AEG21" s="855"/>
      <c r="AEH21" s="855"/>
      <c r="AEI21" s="855"/>
      <c r="AEJ21" s="855"/>
      <c r="AEK21" s="855"/>
      <c r="AEL21" s="855"/>
      <c r="AEM21" s="855"/>
      <c r="AEN21" s="855"/>
      <c r="AEO21" s="855"/>
      <c r="AEP21" s="855"/>
      <c r="AEQ21" s="855"/>
      <c r="AER21" s="855"/>
      <c r="AES21" s="855"/>
      <c r="AET21" s="855"/>
      <c r="AEU21" s="855"/>
      <c r="AEV21" s="855"/>
      <c r="AEW21" s="855"/>
      <c r="AEX21" s="855"/>
      <c r="AHB21" s="1525" t="s">
        <v>4380</v>
      </c>
      <c r="AHC21" s="1525"/>
      <c r="AHD21" s="1525" t="s">
        <v>4388</v>
      </c>
      <c r="AHE21" s="1525"/>
      <c r="AOG21" s="66" t="s">
        <v>2693</v>
      </c>
      <c r="AQA21" s="848" t="s">
        <v>603</v>
      </c>
      <c r="AQB21" s="848" t="s">
        <v>4521</v>
      </c>
      <c r="AQC21" s="10" t="s">
        <v>525</v>
      </c>
      <c r="AQD21" s="10" t="s">
        <v>4510</v>
      </c>
      <c r="AQE21" s="10"/>
      <c r="AQF21" s="10" t="s">
        <v>4515</v>
      </c>
      <c r="AQG21" s="986">
        <v>43960</v>
      </c>
      <c r="AQH21" s="986"/>
      <c r="AQI21" s="987">
        <v>2500</v>
      </c>
      <c r="AQJ21" s="2"/>
      <c r="AQK21" s="2"/>
      <c r="AQL21" s="2"/>
      <c r="AQM21" s="2"/>
      <c r="AQN21" s="2"/>
      <c r="AQO21" s="2"/>
      <c r="AQP21" s="2"/>
      <c r="AQQ21" s="2"/>
      <c r="AQR21" s="2"/>
      <c r="AQS21" s="2"/>
      <c r="AQT21" s="2"/>
      <c r="AQU21" s="2"/>
      <c r="AQV21" s="2"/>
      <c r="AQW21" s="2"/>
      <c r="AQX21" s="2"/>
      <c r="AQY21" s="2"/>
      <c r="AQZ21" s="129"/>
      <c r="ARA21" s="1501" t="s">
        <v>7766</v>
      </c>
      <c r="ARB21" s="1501"/>
      <c r="ARC21" s="1501"/>
      <c r="ARD21" s="1501"/>
      <c r="ARE21" s="1501"/>
      <c r="ARF21" s="2502"/>
      <c r="ARG21" s="2"/>
      <c r="ARH21" s="2"/>
      <c r="ARI21" s="2"/>
      <c r="ARJ21" s="2"/>
      <c r="ARK21" s="2"/>
      <c r="ARL21" s="2"/>
      <c r="ARM21" s="2"/>
      <c r="ARN21" s="2"/>
      <c r="ARO21" s="2"/>
      <c r="ARP21" s="2"/>
      <c r="ARQ21" s="2"/>
      <c r="ARR21" s="2"/>
      <c r="ARS21" s="2"/>
      <c r="ART21" s="2"/>
      <c r="ARU21" s="2"/>
      <c r="ARV21" s="2"/>
      <c r="ARW21" s="2"/>
      <c r="ARX21" s="2"/>
      <c r="ARY21" s="2"/>
      <c r="ARZ21" s="2"/>
      <c r="ASA21" s="2"/>
      <c r="ASB21" s="2"/>
      <c r="ASC21" s="2"/>
      <c r="ASD21" s="2"/>
      <c r="ASE21" s="2"/>
      <c r="ASF21" s="2"/>
      <c r="ASG21" s="2"/>
      <c r="ASH21" s="2"/>
      <c r="ASI21" s="2"/>
      <c r="ASJ21" s="2"/>
      <c r="ASK21" s="2"/>
      <c r="ASL21" s="2"/>
      <c r="ASM21" s="2"/>
      <c r="ASN21" s="2"/>
      <c r="ASO21" s="2"/>
      <c r="ASP21" s="2"/>
      <c r="ASQ21" s="2"/>
      <c r="ASR21" s="2"/>
      <c r="ASS21" s="2"/>
      <c r="AST21" s="2"/>
      <c r="ASU21" s="2"/>
      <c r="ASV21" s="2"/>
      <c r="ASW21" s="2"/>
      <c r="ASX21" s="2"/>
      <c r="ASY21" s="2"/>
      <c r="ASZ21" s="2"/>
      <c r="ATA21" s="221" t="s">
        <v>6881</v>
      </c>
      <c r="ATB21" s="230" t="s">
        <v>5821</v>
      </c>
      <c r="ATC21" s="442"/>
      <c r="ATD21" s="985">
        <v>13</v>
      </c>
      <c r="ATE21" s="1711" t="s">
        <v>6888</v>
      </c>
      <c r="ATF21" s="1711"/>
      <c r="ATG21" s="1711"/>
      <c r="ATH21" s="1711"/>
      <c r="ATI21" s="2"/>
      <c r="ATJ21" s="2"/>
      <c r="ATK21" s="2"/>
      <c r="ATL21" s="2"/>
      <c r="ATM21" s="2"/>
      <c r="ATN21" s="2"/>
      <c r="ATO21" s="2"/>
      <c r="ATP21" s="2"/>
      <c r="ATQ21" s="2"/>
      <c r="ATR21" s="2"/>
      <c r="ATS21" s="2"/>
      <c r="ATT21" s="2"/>
      <c r="ATU21" s="2"/>
      <c r="ATV21" s="2"/>
      <c r="ATW21" s="2"/>
      <c r="ATX21" s="2"/>
      <c r="ATY21" s="2"/>
      <c r="ATZ21" s="2"/>
      <c r="AUA21" s="848"/>
      <c r="AUB21" s="848"/>
      <c r="AUC21" s="10"/>
      <c r="AUD21" s="10"/>
      <c r="AUF21" s="133"/>
      <c r="AUG21" s="133"/>
      <c r="AUH21" s="2"/>
      <c r="AUI21" s="2"/>
      <c r="AUJ21" s="2"/>
      <c r="AUK21" s="2"/>
      <c r="AUL21" s="2"/>
      <c r="AUM21" s="2"/>
      <c r="AUN21" s="2"/>
      <c r="AUO21" s="2"/>
      <c r="AUP21" s="2"/>
      <c r="AUQ21" s="2"/>
      <c r="AUR21" s="2"/>
      <c r="AUS21" s="2"/>
      <c r="AUT21" s="2"/>
      <c r="AUU21" s="2"/>
      <c r="AUV21" s="2"/>
      <c r="AUW21" s="2"/>
      <c r="AUX21" s="2"/>
      <c r="AUY21" s="2"/>
      <c r="AUZ21" s="2"/>
      <c r="AVA21" s="7"/>
      <c r="AVB21" s="7"/>
      <c r="AVC21" s="7"/>
      <c r="AVD21" s="7"/>
      <c r="AVG21" s="2"/>
      <c r="AVH21" s="2"/>
      <c r="AVI21" s="2"/>
      <c r="AVJ21" s="2"/>
      <c r="AVK21" s="2"/>
      <c r="AVL21" s="2"/>
      <c r="AVM21" s="2"/>
      <c r="AVN21" s="2"/>
      <c r="AVO21" s="2"/>
      <c r="AVP21" s="2"/>
      <c r="AVQ21" s="2"/>
      <c r="AVR21" s="2"/>
      <c r="AVS21" s="2"/>
      <c r="AVT21" s="2"/>
      <c r="AVU21" s="2"/>
      <c r="AVV21" s="2"/>
      <c r="AVW21" s="2"/>
      <c r="AVX21" s="2"/>
      <c r="AVY21" s="2"/>
      <c r="AVZ21" s="2"/>
      <c r="AWA21" s="7"/>
      <c r="AWB21" s="7"/>
      <c r="AWF21" s="2"/>
      <c r="AWG21" s="2"/>
      <c r="AWH21" s="2"/>
      <c r="AWI21" s="133"/>
      <c r="AWJ21" s="2"/>
      <c r="AWK21" s="2"/>
      <c r="AWL21" s="2"/>
      <c r="AWM21" s="2"/>
      <c r="AWN21" s="2"/>
      <c r="AWO21" s="2"/>
      <c r="AWP21" s="2"/>
      <c r="AWQ21" s="2"/>
      <c r="AWR21" s="2"/>
      <c r="AWS21" s="2"/>
      <c r="AWT21" s="2"/>
      <c r="AWU21" s="2"/>
      <c r="AWV21" s="2"/>
      <c r="AWW21" s="2"/>
      <c r="AWX21" s="2"/>
      <c r="AWY21" s="2"/>
      <c r="AWZ21" s="2"/>
      <c r="AXA21" s="1528" t="s">
        <v>4146</v>
      </c>
      <c r="AXB21" s="1529"/>
      <c r="AXC21" s="1529"/>
      <c r="AXD21" s="1529"/>
      <c r="AXE21" s="1529"/>
      <c r="AXF21" s="1529"/>
      <c r="AXG21" s="1529"/>
      <c r="AXH21" s="110"/>
      <c r="AXI21" s="110"/>
      <c r="AXJ21" s="110"/>
      <c r="AXK21" s="110"/>
      <c r="AXL21" s="2"/>
      <c r="AXM21" s="2"/>
      <c r="AXN21" s="2"/>
      <c r="AXO21" s="2"/>
      <c r="AXP21" s="2"/>
      <c r="AXQ21" s="2"/>
      <c r="AXR21" s="2"/>
      <c r="AXS21" s="2"/>
      <c r="AXT21" s="2"/>
      <c r="AXU21" s="2"/>
      <c r="AXV21" s="2"/>
      <c r="AXW21" s="2"/>
      <c r="AXX21" s="2"/>
      <c r="AXY21" s="2"/>
      <c r="AXZ21" s="2"/>
      <c r="AYA21" s="1004" t="s">
        <v>4604</v>
      </c>
      <c r="AYB21" s="7" t="s">
        <v>687</v>
      </c>
      <c r="AYC21" t="s">
        <v>384</v>
      </c>
      <c r="AYG21" s="7"/>
      <c r="BAA21" s="221" t="s">
        <v>1087</v>
      </c>
      <c r="BAB21" s="1067" t="s">
        <v>4655</v>
      </c>
      <c r="BAC21" s="1169"/>
      <c r="BAD21" s="225">
        <v>16</v>
      </c>
      <c r="BAE21" s="1545" t="s">
        <v>6679</v>
      </c>
      <c r="BAF21" s="1546"/>
      <c r="BBB21" s="1532" t="s">
        <v>6736</v>
      </c>
      <c r="BBC21" s="1532"/>
      <c r="BBD21" s="1532"/>
      <c r="BBE21" s="1532"/>
      <c r="BCA21" s="283"/>
      <c r="BCB21" s="283"/>
      <c r="BCC21" s="171"/>
      <c r="BCD21" s="171"/>
      <c r="BCE21" s="951"/>
      <c r="BCF21" s="180"/>
      <c r="BCG21" s="1267"/>
      <c r="BCH21" s="1267"/>
      <c r="BDF21" s="1532" t="s">
        <v>6793</v>
      </c>
      <c r="BDG21" s="1532"/>
      <c r="BDH21" s="1532"/>
      <c r="BDI21" s="1532"/>
      <c r="BDJ21" s="1532"/>
      <c r="BDK21" s="1532"/>
      <c r="BEA21" t="s">
        <v>4666</v>
      </c>
      <c r="BEB21">
        <v>1</v>
      </c>
      <c r="BEC21">
        <v>1</v>
      </c>
      <c r="BED21">
        <v>0</v>
      </c>
      <c r="BEE21" s="1008">
        <v>125900</v>
      </c>
      <c r="BEF21" s="210" t="s">
        <v>4668</v>
      </c>
      <c r="BFA21" t="s">
        <v>4666</v>
      </c>
      <c r="BFB21" t="s">
        <v>4683</v>
      </c>
      <c r="BFC21" t="s">
        <v>4680</v>
      </c>
      <c r="BFD21">
        <v>10</v>
      </c>
      <c r="BFE21">
        <f>22*65</f>
        <v>1430</v>
      </c>
      <c r="BFF21">
        <v>1100</v>
      </c>
      <c r="BFG21">
        <v>3</v>
      </c>
      <c r="BFH21">
        <v>3</v>
      </c>
      <c r="BFI21">
        <v>2</v>
      </c>
      <c r="BFJ21" s="445">
        <v>160000</v>
      </c>
      <c r="BFK21" s="1012"/>
      <c r="BFL21" s="1012"/>
      <c r="BFM21" s="1012"/>
      <c r="BFN21" s="1012"/>
      <c r="BFO21" s="1012"/>
      <c r="BFP21" s="1012"/>
      <c r="BFQ21" s="1012"/>
      <c r="BFR21" s="1012"/>
      <c r="BFS21" s="1012"/>
      <c r="BFT21" s="1012"/>
      <c r="BFU21" s="1012"/>
      <c r="BFV21" s="1012"/>
      <c r="BFW21" s="1012"/>
      <c r="BFX21" s="1012"/>
      <c r="BFY21" s="1012"/>
      <c r="BFZ21" s="1012"/>
      <c r="BGB21" s="171"/>
      <c r="BGE21" s="133"/>
      <c r="BGF21" s="133"/>
      <c r="BHG21" s="2"/>
      <c r="BHH21" s="2"/>
      <c r="BHI21" s="133"/>
      <c r="BHJ21" s="2"/>
      <c r="BHK21" s="2"/>
      <c r="BHL21" s="2"/>
      <c r="BHM21" s="2"/>
      <c r="BHN21" s="2"/>
      <c r="BHO21" s="2"/>
      <c r="BHP21" s="2"/>
      <c r="BHQ21" s="2"/>
      <c r="BHR21" s="2"/>
      <c r="BHS21" s="2"/>
      <c r="BHT21" s="2"/>
      <c r="BHU21" s="2"/>
      <c r="BHV21" s="2"/>
      <c r="BHW21" s="2"/>
      <c r="BHX21" s="2"/>
      <c r="BHY21" s="2"/>
      <c r="BHZ21" s="2"/>
      <c r="BIA21" s="2"/>
      <c r="BIF21" s="2"/>
      <c r="BJA21" s="848" t="s">
        <v>4561</v>
      </c>
      <c r="BJB21" s="848" t="s">
        <v>4563</v>
      </c>
      <c r="BJC21" s="10" t="s">
        <v>4692</v>
      </c>
      <c r="BJD21" s="10" t="s">
        <v>4700</v>
      </c>
      <c r="BJE21" s="10" t="s">
        <v>574</v>
      </c>
      <c r="BJF21" s="10" t="s">
        <v>428</v>
      </c>
      <c r="BKA21" s="10" t="s">
        <v>4756</v>
      </c>
      <c r="BKB21" s="10" t="s">
        <v>4764</v>
      </c>
      <c r="BKC21" s="10" t="s">
        <v>4754</v>
      </c>
      <c r="BKD21" s="10" t="s">
        <v>599</v>
      </c>
      <c r="BKE21" s="10" t="s">
        <v>428</v>
      </c>
      <c r="BLA21" s="1100" t="s">
        <v>5855</v>
      </c>
      <c r="BLB21" s="10" t="s">
        <v>5865</v>
      </c>
      <c r="BLC21" s="10"/>
      <c r="BMA21" s="1005" t="s">
        <v>4806</v>
      </c>
      <c r="BMB21" t="s">
        <v>1213</v>
      </c>
      <c r="BMC21" t="s">
        <v>4817</v>
      </c>
      <c r="BMD21" t="s">
        <v>428</v>
      </c>
      <c r="BNA21" s="246" t="s">
        <v>434</v>
      </c>
      <c r="BNB21" t="s">
        <v>4809</v>
      </c>
      <c r="BPA21" s="1005" t="s">
        <v>4901</v>
      </c>
      <c r="BPB21" t="s">
        <v>4906</v>
      </c>
      <c r="BPC21" t="s">
        <v>4911</v>
      </c>
      <c r="BPD21" t="s">
        <v>4927</v>
      </c>
      <c r="BPE21" s="1026">
        <v>10</v>
      </c>
      <c r="BPZ21" t="s">
        <v>4999</v>
      </c>
      <c r="BQA21" s="1005" t="s">
        <v>4933</v>
      </c>
      <c r="BQB21" t="s">
        <v>4934</v>
      </c>
      <c r="BRB21" s="171" t="s">
        <v>4989</v>
      </c>
      <c r="BWA21" s="1175" t="s">
        <v>5813</v>
      </c>
      <c r="BWB21" s="1188"/>
      <c r="BWC21" s="1186" t="s">
        <v>6595</v>
      </c>
      <c r="BWD21" s="1186" t="s">
        <v>6587</v>
      </c>
      <c r="BWE21" s="1233"/>
      <c r="BWF21" s="1235"/>
      <c r="BWG21" s="1189" t="s">
        <v>6362</v>
      </c>
      <c r="BWH21" s="1189" t="s">
        <v>6362</v>
      </c>
      <c r="BWI21" s="1189" t="s">
        <v>6362</v>
      </c>
      <c r="BWJ21" s="235">
        <v>16</v>
      </c>
      <c r="BYA21" s="10" t="s">
        <v>4553</v>
      </c>
      <c r="BYB21" s="10" t="s">
        <v>5823</v>
      </c>
      <c r="BYC21" s="10" t="s">
        <v>6572</v>
      </c>
      <c r="BYD21" s="10" t="s">
        <v>6555</v>
      </c>
      <c r="BYE21" s="10" t="s">
        <v>6560</v>
      </c>
      <c r="BYF21" s="10"/>
    </row>
    <row r="22" spans="1:1017 1042:2008 2810:2814" ht="30" customHeight="1">
      <c r="A22" s="1323" t="s">
        <v>1269</v>
      </c>
      <c r="B22" s="1305">
        <v>17</v>
      </c>
      <c r="C22" s="1313" t="s">
        <v>3719</v>
      </c>
      <c r="D22" s="672" t="s">
        <v>3803</v>
      </c>
      <c r="E22" s="1313" t="s">
        <v>4282</v>
      </c>
      <c r="F22" s="1307" t="s">
        <v>233</v>
      </c>
      <c r="G22" s="1308"/>
      <c r="H22" s="1308"/>
      <c r="I22" s="1308"/>
      <c r="J22" s="1308"/>
      <c r="K22" s="198"/>
      <c r="L22" s="2506">
        <f>MATCH(C33, $A$1:$DZG$1,0)</f>
        <v>1535</v>
      </c>
      <c r="M22" t="str">
        <f>SUBSTITUTE(ADDRESS(1, L33, 4), "1", "")</f>
        <v>BGA</v>
      </c>
      <c r="N22" s="198"/>
      <c r="O22" s="198"/>
      <c r="P22" s="198"/>
      <c r="Q22" s="198"/>
      <c r="R22" s="198"/>
      <c r="S22" s="198"/>
      <c r="T22" s="198"/>
      <c r="U22" s="198"/>
      <c r="V22" s="198"/>
      <c r="W22" s="198"/>
      <c r="BA22" t="s">
        <v>4140</v>
      </c>
      <c r="BC22" s="457" t="s">
        <v>674</v>
      </c>
      <c r="CA22" t="s">
        <v>656</v>
      </c>
      <c r="CB22" t="s">
        <v>657</v>
      </c>
      <c r="CC22" t="s">
        <v>658</v>
      </c>
      <c r="DA22" s="10" t="s">
        <v>659</v>
      </c>
      <c r="DB22" s="441" t="s">
        <v>660</v>
      </c>
      <c r="DC22" s="944"/>
      <c r="EA22" s="848">
        <v>6016</v>
      </c>
      <c r="EB22" s="10" t="s">
        <v>574</v>
      </c>
      <c r="EC22" s="10" t="s">
        <v>542</v>
      </c>
      <c r="FA22" s="1135" t="s">
        <v>4152</v>
      </c>
      <c r="FB22" s="1135" t="s">
        <v>4153</v>
      </c>
      <c r="FC22" s="221" t="s">
        <v>432</v>
      </c>
      <c r="FD22" s="221" t="s">
        <v>6928</v>
      </c>
      <c r="FE22" s="432" t="s">
        <v>6929</v>
      </c>
      <c r="FF22" s="1340" t="s">
        <v>6613</v>
      </c>
      <c r="FG22" s="957"/>
      <c r="FH22" s="957"/>
      <c r="FI22" s="957"/>
      <c r="KA22" s="10" t="s">
        <v>689</v>
      </c>
      <c r="KB22" s="10" t="s">
        <v>689</v>
      </c>
      <c r="LA22" s="10" t="s">
        <v>708</v>
      </c>
      <c r="LB22" s="10" t="s">
        <v>709</v>
      </c>
      <c r="OA22" s="10" t="s">
        <v>4168</v>
      </c>
      <c r="OB22" s="10" t="s">
        <v>4168</v>
      </c>
      <c r="PA22" s="10" t="s">
        <v>465</v>
      </c>
      <c r="PB22" s="10" t="s">
        <v>465</v>
      </c>
      <c r="PC22" s="10" t="s">
        <v>644</v>
      </c>
      <c r="PD22" s="10" t="s">
        <v>4173</v>
      </c>
      <c r="PE22" s="71" t="s">
        <v>4174</v>
      </c>
      <c r="RA22" s="1604" t="s">
        <v>4146</v>
      </c>
      <c r="RB22" s="1605"/>
      <c r="RC22" s="1605"/>
      <c r="RD22" s="1605"/>
      <c r="RE22" s="1605"/>
      <c r="RF22" s="1605"/>
      <c r="RG22" s="1605"/>
      <c r="SA22" s="10" t="s">
        <v>620</v>
      </c>
      <c r="SB22" s="10" t="s">
        <v>621</v>
      </c>
      <c r="SC22" s="10" t="s">
        <v>574</v>
      </c>
      <c r="SD22" s="10" t="s">
        <v>599</v>
      </c>
      <c r="SE22" s="10"/>
      <c r="SF22" s="10">
        <v>60</v>
      </c>
      <c r="SG22" s="10">
        <v>60</v>
      </c>
      <c r="SH22" s="10"/>
      <c r="UA22" s="10" t="s">
        <v>670</v>
      </c>
      <c r="UB22" s="10" t="s">
        <v>4266</v>
      </c>
      <c r="UC22" s="10" t="s">
        <v>574</v>
      </c>
      <c r="UD22" s="443" t="s">
        <v>574</v>
      </c>
      <c r="UE22" s="443">
        <v>45334</v>
      </c>
      <c r="UF22" s="10">
        <v>1</v>
      </c>
      <c r="UG22" s="10"/>
      <c r="XA22" s="66" t="s">
        <v>7623</v>
      </c>
      <c r="XB22" s="10" t="s">
        <v>720</v>
      </c>
      <c r="XC22" s="10" t="s">
        <v>7626</v>
      </c>
      <c r="XD22" s="10" t="s">
        <v>704</v>
      </c>
      <c r="XE22" s="291" t="s">
        <v>7622</v>
      </c>
      <c r="YA22" s="10" t="s">
        <v>547</v>
      </c>
      <c r="YB22" s="10" t="s">
        <v>548</v>
      </c>
      <c r="YC22" s="970">
        <v>4.55</v>
      </c>
      <c r="YD22" s="1643" t="s">
        <v>7608</v>
      </c>
      <c r="YE22" s="1502"/>
      <c r="ZB22" s="10" t="s">
        <v>4774</v>
      </c>
      <c r="ZC22" s="10" t="s">
        <v>4783</v>
      </c>
      <c r="ZD22" s="291"/>
      <c r="ADB22" s="62" t="s">
        <v>4318</v>
      </c>
      <c r="ADC22" s="62" t="s">
        <v>4331</v>
      </c>
      <c r="ADD22" s="10" t="s">
        <v>2693</v>
      </c>
      <c r="ADE22" s="1495"/>
      <c r="ADF22" s="1496"/>
      <c r="AEB22" s="973" t="s">
        <v>4317</v>
      </c>
      <c r="AEC22" s="974" t="s">
        <v>4316</v>
      </c>
      <c r="AED22" s="10" t="s">
        <v>4344</v>
      </c>
      <c r="AEE22" s="10" t="s">
        <v>2693</v>
      </c>
      <c r="AEF22" s="975"/>
      <c r="AEG22" s="855"/>
      <c r="AEH22" s="855"/>
      <c r="AEI22" s="855"/>
      <c r="AEJ22" s="855"/>
      <c r="AEK22" s="855"/>
      <c r="AEL22" s="855"/>
      <c r="AEM22" s="855"/>
      <c r="AEN22" s="855"/>
      <c r="AEO22" s="855"/>
      <c r="AEP22" s="855"/>
      <c r="AEQ22" s="855"/>
      <c r="AER22" s="855"/>
      <c r="AES22" s="855"/>
      <c r="AET22" s="855"/>
      <c r="AEU22" s="855"/>
      <c r="AEV22" s="855"/>
      <c r="AEW22" s="855"/>
      <c r="AEX22" s="855"/>
      <c r="AOG22" s="66" t="s">
        <v>2693</v>
      </c>
      <c r="APU22" s="7"/>
      <c r="APV22" s="7"/>
      <c r="APW22" s="7"/>
      <c r="APX22" s="7"/>
      <c r="APY22" s="7"/>
      <c r="APZ22" s="7"/>
      <c r="AQA22" s="848" t="s">
        <v>627</v>
      </c>
      <c r="AQB22" s="848" t="s">
        <v>4512</v>
      </c>
      <c r="AQC22" s="10" t="s">
        <v>695</v>
      </c>
      <c r="AQD22" s="10" t="s">
        <v>4511</v>
      </c>
      <c r="AQE22" s="10"/>
      <c r="AQF22" s="10" t="s">
        <v>4516</v>
      </c>
      <c r="AQG22" s="986">
        <v>44686</v>
      </c>
      <c r="AQH22" s="986"/>
      <c r="AQI22" s="987">
        <v>300</v>
      </c>
      <c r="AQJ22" s="2"/>
      <c r="AQK22" s="2"/>
      <c r="AQL22" s="2"/>
      <c r="AQM22" s="2"/>
      <c r="AQN22" s="2"/>
      <c r="AQO22" s="2"/>
      <c r="AQP22" s="2"/>
      <c r="AQQ22" s="2"/>
      <c r="AQR22" s="2"/>
      <c r="AQS22" s="2"/>
      <c r="AQT22" s="2"/>
      <c r="AQU22" s="2"/>
      <c r="AQV22" s="2"/>
      <c r="AQW22" s="2"/>
      <c r="AQX22" s="2"/>
      <c r="AQY22" s="2"/>
      <c r="AQZ22" s="129"/>
      <c r="ARA22" s="1734" t="s">
        <v>7767</v>
      </c>
      <c r="ARB22" s="1734"/>
      <c r="ARC22" s="1734"/>
      <c r="ARD22" s="1734"/>
      <c r="ARE22" s="1734"/>
      <c r="ARG22" s="2"/>
      <c r="ARH22" s="2"/>
      <c r="ARI22" s="2"/>
      <c r="ARJ22" s="2"/>
      <c r="ARK22" s="2"/>
      <c r="ARL22" s="2"/>
      <c r="ARM22" s="2"/>
      <c r="ARN22" s="2"/>
      <c r="ARO22" s="2"/>
      <c r="ARP22" s="2"/>
      <c r="ARQ22" s="2"/>
      <c r="ARR22" s="2"/>
      <c r="ARS22" s="2"/>
      <c r="ART22" s="2"/>
      <c r="ARU22" s="2"/>
      <c r="ARV22" s="2"/>
      <c r="ARW22" s="2"/>
      <c r="ARX22" s="2"/>
      <c r="ARY22" s="2"/>
      <c r="ARZ22" s="2"/>
      <c r="ASA22" s="2"/>
      <c r="ASB22" s="2"/>
      <c r="ASC22" s="2"/>
      <c r="ASD22" s="2"/>
      <c r="ASE22" s="2"/>
      <c r="ASF22" s="2"/>
      <c r="ASG22" s="2"/>
      <c r="ASH22" s="2"/>
      <c r="ASI22" s="2"/>
      <c r="ASJ22" s="2"/>
      <c r="ASK22" s="2"/>
      <c r="ASL22" s="2"/>
      <c r="ASM22" s="2"/>
      <c r="ASN22" s="2"/>
      <c r="ASO22" s="2"/>
      <c r="ASP22" s="2"/>
      <c r="ASQ22" s="2"/>
      <c r="ASR22" s="2"/>
      <c r="ASS22" s="2"/>
      <c r="AST22" s="2"/>
      <c r="ASU22" s="2"/>
      <c r="ASV22" s="2"/>
      <c r="ASW22" s="2"/>
      <c r="ASX22" s="2"/>
      <c r="ASY22" s="2"/>
      <c r="ASZ22" s="2"/>
      <c r="ATI22" s="2"/>
      <c r="ATJ22" s="2"/>
      <c r="ATK22" s="2"/>
      <c r="ATL22" s="2"/>
      <c r="ATM22" s="2"/>
      <c r="ATN22" s="2"/>
      <c r="ATO22" s="2"/>
      <c r="ATP22" s="2"/>
      <c r="ATQ22" s="2"/>
      <c r="ATR22" s="2"/>
      <c r="ATS22" s="2"/>
      <c r="ATT22" s="2"/>
      <c r="ATU22" s="2"/>
      <c r="ATV22" s="2"/>
      <c r="ATW22" s="2"/>
      <c r="ATX22" s="2"/>
      <c r="ATY22" s="2"/>
      <c r="ATZ22" s="2"/>
      <c r="AUA22" s="848"/>
      <c r="AUB22" s="848"/>
      <c r="AUC22" s="10"/>
      <c r="AUD22" s="10"/>
      <c r="AUG22" s="2"/>
      <c r="AUH22" s="2"/>
      <c r="AUI22" s="2"/>
      <c r="AUJ22" s="2"/>
      <c r="AUK22" s="2"/>
      <c r="AUL22" s="2"/>
      <c r="AUM22" s="2"/>
      <c r="AUN22" s="2"/>
      <c r="AUO22" s="2"/>
      <c r="AUP22" s="2"/>
      <c r="AUQ22" s="2"/>
      <c r="AUR22" s="2"/>
      <c r="AUS22" s="2"/>
      <c r="AUT22" s="2"/>
      <c r="AUU22" s="2"/>
      <c r="AUV22" s="2"/>
      <c r="AUW22" s="2"/>
      <c r="AUX22" s="2"/>
      <c r="AUY22" s="2"/>
      <c r="AUZ22" s="2"/>
      <c r="AVA22" s="1530" t="s">
        <v>4146</v>
      </c>
      <c r="AVB22" s="1531"/>
      <c r="AVC22" s="1531"/>
      <c r="AVD22" s="1531"/>
      <c r="AVE22" s="1531"/>
      <c r="AVF22" s="133"/>
      <c r="AVG22" s="2"/>
      <c r="AVH22" s="2"/>
      <c r="AVI22" s="2"/>
      <c r="AVJ22" s="2"/>
      <c r="AVK22" s="2"/>
      <c r="AVL22" s="2"/>
      <c r="AVM22" s="2"/>
      <c r="AVN22" s="2"/>
      <c r="AVO22" s="2"/>
      <c r="AVP22" s="2"/>
      <c r="AVQ22" s="2"/>
      <c r="AVR22" s="2"/>
      <c r="AVS22" s="2"/>
      <c r="AVT22" s="2"/>
      <c r="AVU22" s="2"/>
      <c r="AVV22" s="2"/>
      <c r="AVW22" s="2"/>
      <c r="AVX22" s="2"/>
      <c r="AVY22" s="2"/>
      <c r="AVZ22" s="2"/>
      <c r="AWA22" s="7"/>
      <c r="AWB22" s="7"/>
      <c r="AWF22" s="2"/>
      <c r="AWG22" s="2"/>
      <c r="AWH22" s="2"/>
      <c r="AWI22" s="133"/>
      <c r="AWJ22" s="2"/>
      <c r="AWK22" s="2"/>
      <c r="AWL22" s="2"/>
      <c r="AWM22" s="2"/>
      <c r="AWN22" s="2"/>
      <c r="AWO22" s="2"/>
      <c r="AWP22" s="2"/>
      <c r="AWQ22" s="2"/>
      <c r="AWR22" s="2"/>
      <c r="AWS22" s="2"/>
      <c r="AWT22" s="2"/>
      <c r="AWU22" s="2"/>
      <c r="AWV22" s="2"/>
      <c r="AWW22" s="2"/>
      <c r="AWX22" s="2"/>
      <c r="AWY22" s="2"/>
      <c r="AWZ22" s="2"/>
      <c r="AXA22" s="493">
        <v>1</v>
      </c>
      <c r="AXB22" s="493">
        <v>2</v>
      </c>
      <c r="AXC22" s="493">
        <v>3</v>
      </c>
      <c r="AXD22" s="493">
        <v>4</v>
      </c>
      <c r="AXE22" s="493">
        <v>5</v>
      </c>
      <c r="AXF22" s="493">
        <v>6</v>
      </c>
      <c r="AXG22" s="493">
        <v>7</v>
      </c>
      <c r="AXH22" s="133"/>
      <c r="AXI22" s="133"/>
      <c r="AXJ22" s="133"/>
      <c r="AXK22" s="133"/>
      <c r="AXL22" s="2"/>
      <c r="AXM22" s="2"/>
      <c r="AXN22" s="2"/>
      <c r="AXO22" s="2"/>
      <c r="AXP22" s="2"/>
      <c r="AXQ22" s="2"/>
      <c r="AXR22" s="2"/>
      <c r="AXS22" s="2"/>
      <c r="AXT22" s="2"/>
      <c r="AXU22" s="2"/>
      <c r="AXV22" s="2"/>
      <c r="AXW22" s="2"/>
      <c r="AXX22" s="2"/>
      <c r="AXY22" s="2"/>
      <c r="AXZ22" s="2"/>
      <c r="AYA22" s="1005" t="s">
        <v>4601</v>
      </c>
      <c r="AYB22" t="s">
        <v>4601</v>
      </c>
      <c r="AYC22" s="1005" t="s">
        <v>783</v>
      </c>
      <c r="AYE22" s="7"/>
      <c r="BAE22" s="969"/>
      <c r="BCA22" s="221" t="s">
        <v>6752</v>
      </c>
      <c r="BCB22" s="1111" t="s">
        <v>6722</v>
      </c>
      <c r="BCC22" s="1111"/>
      <c r="BCD22" s="1111"/>
      <c r="BCE22" s="1268"/>
      <c r="BCF22" s="157">
        <v>15</v>
      </c>
      <c r="BDE22" s="246" t="s">
        <v>4865</v>
      </c>
      <c r="BEA22" t="s">
        <v>4666</v>
      </c>
      <c r="BEB22">
        <v>1</v>
      </c>
      <c r="BEC22">
        <v>1</v>
      </c>
      <c r="BED22">
        <v>0</v>
      </c>
      <c r="BEE22" s="1008">
        <v>125900</v>
      </c>
      <c r="BEF22" s="210" t="s">
        <v>4668</v>
      </c>
      <c r="BFA22" t="s">
        <v>4666</v>
      </c>
      <c r="BFB22" t="s">
        <v>4684</v>
      </c>
      <c r="BFC22" t="s">
        <v>4681</v>
      </c>
      <c r="BFD22">
        <v>15</v>
      </c>
      <c r="BFE22">
        <f>22*70</f>
        <v>1540</v>
      </c>
      <c r="BFF22">
        <v>1300</v>
      </c>
      <c r="BFG22">
        <v>3</v>
      </c>
      <c r="BFH22">
        <v>3</v>
      </c>
      <c r="BFI22">
        <v>2</v>
      </c>
      <c r="BFJ22" s="445">
        <v>185000</v>
      </c>
      <c r="BFK22" s="1012"/>
      <c r="BFL22" s="1012"/>
      <c r="BFM22" s="1012"/>
      <c r="BFN22" s="1012"/>
      <c r="BFO22" s="1012"/>
      <c r="BFP22" s="1012"/>
      <c r="BFQ22" s="1012"/>
      <c r="BFR22" s="1012"/>
      <c r="BFS22" s="1012"/>
      <c r="BFT22" s="1012"/>
      <c r="BFU22" s="1012"/>
      <c r="BFV22" s="1012"/>
      <c r="BFW22" s="1012"/>
      <c r="BFX22" s="1012"/>
      <c r="BFY22" s="1012"/>
      <c r="BFZ22" s="1012"/>
      <c r="BGJ22" s="445"/>
      <c r="BGK22" s="445"/>
      <c r="BGL22" s="445"/>
      <c r="BGM22" s="445"/>
      <c r="BHI22" s="133"/>
      <c r="BHJ22" s="2"/>
      <c r="BHK22" s="2"/>
      <c r="BHL22" s="2"/>
      <c r="BHM22" s="2"/>
      <c r="BHN22" s="2"/>
      <c r="BHO22" s="2"/>
      <c r="BHP22" s="2"/>
      <c r="BHQ22" s="2"/>
      <c r="BHR22" s="2"/>
      <c r="BHS22" s="2"/>
      <c r="BHT22" s="2"/>
      <c r="BHU22" s="2"/>
      <c r="BHV22" s="2"/>
      <c r="BHW22" s="2"/>
      <c r="BHX22" s="2"/>
      <c r="BHY22" s="2"/>
      <c r="BHZ22" s="2"/>
      <c r="BIA22" s="2"/>
      <c r="BIF22" s="2"/>
      <c r="BJA22" s="848" t="s">
        <v>4562</v>
      </c>
      <c r="BJB22" s="848" t="s">
        <v>1190</v>
      </c>
      <c r="BJC22" s="10" t="s">
        <v>4697</v>
      </c>
      <c r="BJD22" s="10" t="s">
        <v>4705</v>
      </c>
      <c r="BJE22" s="10" t="s">
        <v>599</v>
      </c>
      <c r="BJF22" s="10" t="s">
        <v>428</v>
      </c>
      <c r="BKA22" s="10" t="s">
        <v>4756</v>
      </c>
      <c r="BKB22" s="10" t="s">
        <v>4753</v>
      </c>
      <c r="BKC22" s="10" t="s">
        <v>4755</v>
      </c>
      <c r="BKD22" s="10" t="s">
        <v>599</v>
      </c>
      <c r="BKE22" s="10" t="s">
        <v>428</v>
      </c>
      <c r="BLA22" s="1100" t="s">
        <v>1171</v>
      </c>
      <c r="BLB22" s="10" t="s">
        <v>5866</v>
      </c>
      <c r="BLC22" s="10"/>
      <c r="BMA22" s="1005" t="s">
        <v>4806</v>
      </c>
      <c r="BMB22" t="s">
        <v>4812</v>
      </c>
      <c r="BMC22" t="s">
        <v>4818</v>
      </c>
      <c r="BMD22" t="s">
        <v>428</v>
      </c>
      <c r="BPA22" s="1005" t="s">
        <v>4902</v>
      </c>
      <c r="BPB22" t="s">
        <v>4907</v>
      </c>
      <c r="BPC22" t="s">
        <v>4912</v>
      </c>
      <c r="BPD22" t="s">
        <v>4923</v>
      </c>
      <c r="BPE22" s="1027">
        <v>100</v>
      </c>
      <c r="BPZ22" t="s">
        <v>5000</v>
      </c>
      <c r="BQA22" s="1005" t="s">
        <v>4935</v>
      </c>
      <c r="BQB22" t="s">
        <v>4936</v>
      </c>
      <c r="BRB22" s="171" t="s">
        <v>4990</v>
      </c>
      <c r="BRE22" t="s">
        <v>5390</v>
      </c>
      <c r="BWA22" s="1175" t="s">
        <v>6319</v>
      </c>
      <c r="BWB22" s="1188"/>
      <c r="BWC22" s="1186" t="s">
        <v>6596</v>
      </c>
      <c r="BWD22" s="1186" t="s">
        <v>6588</v>
      </c>
      <c r="BWE22" s="1233"/>
      <c r="BWF22" s="1235"/>
      <c r="BWG22" s="1189" t="s">
        <v>6362</v>
      </c>
      <c r="BWH22" s="1189" t="s">
        <v>6362</v>
      </c>
      <c r="BWI22" s="1189" t="s">
        <v>6362</v>
      </c>
      <c r="BWJ22" s="235">
        <v>17</v>
      </c>
      <c r="BYA22" s="10" t="s">
        <v>4553</v>
      </c>
      <c r="BYB22" s="10" t="s">
        <v>6295</v>
      </c>
      <c r="BYC22" s="10" t="s">
        <v>6557</v>
      </c>
      <c r="BYD22" s="10" t="s">
        <v>6556</v>
      </c>
      <c r="BYE22" s="10" t="s">
        <v>6561</v>
      </c>
      <c r="BYF22" s="10"/>
    </row>
    <row r="23" spans="1:1017 1042:2008 2810:2814" ht="30" customHeight="1">
      <c r="A23" s="1323" t="s">
        <v>3768</v>
      </c>
      <c r="B23" s="1305">
        <v>18</v>
      </c>
      <c r="C23" s="1310" t="s">
        <v>4332</v>
      </c>
      <c r="D23" s="317" t="s">
        <v>3804</v>
      </c>
      <c r="E23" s="1310" t="s">
        <v>3684</v>
      </c>
      <c r="F23" s="1311" t="s">
        <v>233</v>
      </c>
      <c r="G23" s="1312"/>
      <c r="H23" s="1312"/>
      <c r="I23" s="1312"/>
      <c r="J23" s="1312"/>
      <c r="K23" s="416"/>
      <c r="L23" s="2506">
        <f>MATCH(C33, $A$1:$DZG$1,0)</f>
        <v>1535</v>
      </c>
      <c r="M23" t="str">
        <f t="shared" ref="M23:M29" si="1">SUBSTITUTE(ADDRESS(1, L33, 4), "1", "")</f>
        <v>BGA</v>
      </c>
      <c r="N23" s="416"/>
      <c r="O23" s="416"/>
      <c r="P23" s="416"/>
      <c r="Q23" s="416"/>
      <c r="R23" s="416"/>
      <c r="S23" s="416"/>
      <c r="T23" s="416"/>
      <c r="U23" s="416"/>
      <c r="V23" s="416"/>
      <c r="W23" s="416"/>
      <c r="BA23" t="s">
        <v>4140</v>
      </c>
      <c r="BC23" s="457" t="s">
        <v>688</v>
      </c>
      <c r="CA23" t="s">
        <v>4119</v>
      </c>
      <c r="CB23" t="s">
        <v>4120</v>
      </c>
      <c r="DA23" s="10" t="s">
        <v>676</v>
      </c>
      <c r="DB23" s="441" t="s">
        <v>677</v>
      </c>
      <c r="DC23" s="944"/>
      <c r="EA23" s="848">
        <v>6017</v>
      </c>
      <c r="EB23" s="10" t="s">
        <v>574</v>
      </c>
      <c r="EC23" s="10" t="s">
        <v>542</v>
      </c>
      <c r="FA23" s="440" t="s">
        <v>748</v>
      </c>
      <c r="FB23" s="10" t="s">
        <v>749</v>
      </c>
      <c r="FC23" s="10" t="s">
        <v>574</v>
      </c>
      <c r="FD23" s="1336" t="s">
        <v>599</v>
      </c>
      <c r="FE23" s="1241" t="s">
        <v>599</v>
      </c>
      <c r="FF23" s="291" t="s">
        <v>6930</v>
      </c>
      <c r="FG23" s="1338"/>
      <c r="FH23" s="1338"/>
      <c r="HA23" s="289"/>
      <c r="KA23" s="10" t="s">
        <v>696</v>
      </c>
      <c r="KB23" s="10" t="s">
        <v>696</v>
      </c>
      <c r="OA23" s="954" t="s">
        <v>4169</v>
      </c>
      <c r="OB23" t="s">
        <v>4170</v>
      </c>
      <c r="PA23" s="10" t="s">
        <v>4175</v>
      </c>
      <c r="PB23" s="10" t="s">
        <v>4176</v>
      </c>
      <c r="PC23" s="10" t="s">
        <v>644</v>
      </c>
      <c r="PD23" s="10" t="s">
        <v>599</v>
      </c>
      <c r="PE23" s="71" t="s">
        <v>4177</v>
      </c>
      <c r="RA23" s="246" t="s">
        <v>4200</v>
      </c>
      <c r="RB23" s="246" t="s">
        <v>4201</v>
      </c>
      <c r="RC23" s="221" t="s">
        <v>370</v>
      </c>
      <c r="RD23" s="359" t="s">
        <v>443</v>
      </c>
      <c r="RE23" s="1001" t="s">
        <v>455</v>
      </c>
      <c r="RF23" s="901" t="s">
        <v>465</v>
      </c>
      <c r="RG23" t="s">
        <v>428</v>
      </c>
      <c r="SA23" s="10" t="s">
        <v>645</v>
      </c>
      <c r="SB23" s="10" t="s">
        <v>646</v>
      </c>
      <c r="SC23" s="10" t="s">
        <v>599</v>
      </c>
      <c r="SD23" s="10" t="s">
        <v>599</v>
      </c>
      <c r="SE23" s="10"/>
      <c r="SF23" s="10">
        <v>0</v>
      </c>
      <c r="SG23" s="10">
        <v>0</v>
      </c>
      <c r="SH23" s="10"/>
      <c r="UA23" s="10" t="s">
        <v>685</v>
      </c>
      <c r="UB23" s="10" t="s">
        <v>685</v>
      </c>
      <c r="UC23" s="10" t="s">
        <v>599</v>
      </c>
      <c r="UD23" s="443" t="s">
        <v>599</v>
      </c>
      <c r="UE23" s="10"/>
      <c r="UF23" s="10">
        <v>1</v>
      </c>
      <c r="UG23" s="10"/>
      <c r="XA23" s="66" t="s">
        <v>7623</v>
      </c>
      <c r="XB23" s="10" t="s">
        <v>547</v>
      </c>
      <c r="XC23" s="10" t="s">
        <v>7606</v>
      </c>
      <c r="XD23" s="10" t="s">
        <v>694</v>
      </c>
      <c r="XE23" s="291" t="s">
        <v>7622</v>
      </c>
      <c r="YA23" s="10" t="s">
        <v>517</v>
      </c>
      <c r="YB23" s="10" t="s">
        <v>580</v>
      </c>
      <c r="YC23" s="970">
        <v>2.54</v>
      </c>
      <c r="YD23" s="1737"/>
      <c r="YE23" s="1738"/>
      <c r="ZB23" s="10" t="s">
        <v>4775</v>
      </c>
      <c r="ZC23" s="10" t="s">
        <v>4784</v>
      </c>
      <c r="ZD23" s="291"/>
      <c r="AEB23" s="973" t="s">
        <v>4318</v>
      </c>
      <c r="AEC23" s="974" t="s">
        <v>4316</v>
      </c>
      <c r="AED23" s="10" t="s">
        <v>4344</v>
      </c>
      <c r="AEE23" s="10" t="s">
        <v>2693</v>
      </c>
      <c r="AEF23" s="975"/>
      <c r="AEG23" s="855"/>
      <c r="AEH23" s="855"/>
      <c r="AEI23" s="855"/>
      <c r="AEJ23" s="855"/>
      <c r="AEK23" s="855"/>
      <c r="AEL23" s="855"/>
      <c r="AEM23" s="855"/>
      <c r="AEN23" s="855"/>
      <c r="AEO23" s="855"/>
      <c r="AEP23" s="855"/>
      <c r="AEQ23" s="855"/>
      <c r="AER23" s="855"/>
      <c r="AES23" s="855"/>
      <c r="AET23" s="855"/>
      <c r="AEU23" s="855"/>
      <c r="AEV23" s="855"/>
      <c r="AEW23" s="855"/>
      <c r="AEX23" s="855"/>
      <c r="AOG23" s="66" t="s">
        <v>2693</v>
      </c>
      <c r="APT23" s="7"/>
      <c r="APU23" s="7"/>
      <c r="APV23" s="7"/>
      <c r="APW23" s="7"/>
      <c r="APX23" s="7"/>
      <c r="APY23" s="7"/>
      <c r="APZ23" s="7"/>
      <c r="ARA23" s="1734"/>
      <c r="ARB23" s="1734"/>
      <c r="ARC23" s="1734"/>
      <c r="ARD23" s="1734"/>
      <c r="ARE23" s="1734"/>
      <c r="ATA23" s="246" t="s">
        <v>434</v>
      </c>
      <c r="ATB23" s="112" t="s">
        <v>6889</v>
      </c>
      <c r="AUA23" s="848"/>
      <c r="AUB23" s="848"/>
      <c r="AUC23" s="10"/>
      <c r="AUD23" s="10"/>
      <c r="AUG23" s="2"/>
      <c r="AVA23" s="493">
        <v>1</v>
      </c>
      <c r="AVB23" s="493">
        <v>2</v>
      </c>
      <c r="AVC23" s="493">
        <v>3</v>
      </c>
      <c r="AVD23" s="493">
        <v>4</v>
      </c>
      <c r="AVE23" s="493">
        <v>5</v>
      </c>
      <c r="AVF23" s="1240" t="s">
        <v>6646</v>
      </c>
      <c r="AVG23" s="493">
        <v>10</v>
      </c>
      <c r="AVH23" s="493">
        <v>11</v>
      </c>
      <c r="AWA23" s="7"/>
      <c r="AWB23" s="7"/>
      <c r="AWI23" s="133"/>
      <c r="AXA23" s="848" t="s">
        <v>5419</v>
      </c>
      <c r="AXB23" s="848" t="s">
        <v>5417</v>
      </c>
      <c r="AXC23" s="848" t="s">
        <v>469</v>
      </c>
      <c r="AXD23" s="848" t="s">
        <v>4812</v>
      </c>
      <c r="AXE23" s="10" t="s">
        <v>5422</v>
      </c>
      <c r="AXF23" s="10" t="s">
        <v>1152</v>
      </c>
      <c r="AXG23" s="10">
        <v>55</v>
      </c>
      <c r="AYA23" s="1005" t="s">
        <v>785</v>
      </c>
      <c r="AYB23" s="1005" t="s">
        <v>4618</v>
      </c>
      <c r="AYC23" s="1005" t="s">
        <v>783</v>
      </c>
      <c r="AYF23" s="7"/>
      <c r="BAA23" s="246" t="s">
        <v>434</v>
      </c>
      <c r="BAB23" s="1532" t="s">
        <v>6677</v>
      </c>
      <c r="BAC23" s="1532"/>
      <c r="BAD23" s="1532"/>
      <c r="BAE23" s="1532"/>
      <c r="BBA23" s="983" t="s">
        <v>4146</v>
      </c>
      <c r="BBB23" s="984"/>
      <c r="BBC23" s="984"/>
      <c r="BCB23" s="1262"/>
      <c r="BCC23" s="1262"/>
      <c r="BCD23" s="1262"/>
      <c r="BCE23" s="951"/>
      <c r="BCF23" s="133"/>
      <c r="BEA23" t="s">
        <v>4666</v>
      </c>
      <c r="BEB23">
        <v>1</v>
      </c>
      <c r="BEC23">
        <v>1</v>
      </c>
      <c r="BED23">
        <v>0</v>
      </c>
      <c r="BEE23" s="1008">
        <v>160000</v>
      </c>
      <c r="BEF23" s="210" t="s">
        <v>3769</v>
      </c>
      <c r="BHH23" s="133"/>
      <c r="BJA23" s="848" t="s">
        <v>4562</v>
      </c>
      <c r="BJB23" s="848" t="s">
        <v>1190</v>
      </c>
      <c r="BJC23" s="10" t="s">
        <v>4698</v>
      </c>
      <c r="BJD23" s="10" t="s">
        <v>4706</v>
      </c>
      <c r="BJE23" s="10" t="s">
        <v>599</v>
      </c>
      <c r="BJF23" s="10" t="s">
        <v>428</v>
      </c>
      <c r="BKA23" s="10" t="s">
        <v>4756</v>
      </c>
      <c r="BKB23" s="10" t="s">
        <v>2925</v>
      </c>
      <c r="BKC23" s="10" t="s">
        <v>2926</v>
      </c>
      <c r="BKD23" s="10" t="s">
        <v>599</v>
      </c>
      <c r="BKE23" s="10" t="s">
        <v>428</v>
      </c>
      <c r="BLA23" s="1100" t="s">
        <v>5856</v>
      </c>
      <c r="BLB23" s="10" t="s">
        <v>5867</v>
      </c>
      <c r="BLC23" s="10"/>
      <c r="BMA23" s="1005" t="s">
        <v>4806</v>
      </c>
      <c r="BMB23" t="s">
        <v>1202</v>
      </c>
      <c r="BMC23" t="s">
        <v>4819</v>
      </c>
      <c r="BMD23" t="s">
        <v>428</v>
      </c>
      <c r="BNA23" s="1528" t="s">
        <v>4146</v>
      </c>
      <c r="BNB23" s="1529"/>
      <c r="BNC23" s="1529"/>
      <c r="BND23" s="1529"/>
      <c r="BNE23" s="110"/>
      <c r="BPA23" s="1005" t="s">
        <v>4904</v>
      </c>
      <c r="BPB23" t="s">
        <v>4908</v>
      </c>
      <c r="BPC23" t="s">
        <v>4913</v>
      </c>
      <c r="BPD23" t="s">
        <v>4927</v>
      </c>
      <c r="BPE23" s="1027">
        <v>50</v>
      </c>
      <c r="BPZ23" t="s">
        <v>5001</v>
      </c>
      <c r="BQA23" s="1005" t="s">
        <v>4937</v>
      </c>
      <c r="BQB23" t="s">
        <v>4938</v>
      </c>
      <c r="BRB23" s="171" t="s">
        <v>4991</v>
      </c>
      <c r="BWA23" s="1175" t="s">
        <v>6318</v>
      </c>
      <c r="BWB23" s="1188"/>
      <c r="BWC23" s="1186" t="s">
        <v>6596</v>
      </c>
      <c r="BWD23" s="1186" t="s">
        <v>6588</v>
      </c>
      <c r="BWE23" s="1233"/>
      <c r="BWF23" s="1235"/>
      <c r="BWG23" s="1189" t="s">
        <v>6362</v>
      </c>
      <c r="BWH23" s="1189" t="s">
        <v>6362</v>
      </c>
      <c r="BWI23" s="1189" t="s">
        <v>6362</v>
      </c>
      <c r="BWJ23" s="235">
        <v>18</v>
      </c>
      <c r="BYA23" s="10" t="s">
        <v>4553</v>
      </c>
      <c r="BYB23" s="10"/>
      <c r="BYC23" s="10"/>
      <c r="BYD23" s="10"/>
      <c r="BYE23" s="10"/>
      <c r="BYF23" s="10"/>
    </row>
    <row r="24" spans="1:1017 1042:2008 2810:2814" ht="30" customHeight="1">
      <c r="A24" s="1323" t="s">
        <v>3768</v>
      </c>
      <c r="B24" s="1305">
        <v>19</v>
      </c>
      <c r="C24" s="1313" t="s">
        <v>4321</v>
      </c>
      <c r="D24" s="672" t="s">
        <v>3805</v>
      </c>
      <c r="E24" s="1313" t="s">
        <v>7781</v>
      </c>
      <c r="F24" s="1307" t="s">
        <v>233</v>
      </c>
      <c r="G24" s="1308"/>
      <c r="H24" s="1308"/>
      <c r="I24" s="1308"/>
      <c r="J24" s="1308"/>
      <c r="K24" s="198"/>
      <c r="L24" s="2506">
        <f>MATCH(C34, $A$1:$DZG$1,0)</f>
        <v>1509</v>
      </c>
      <c r="M24" t="str">
        <f t="shared" si="1"/>
        <v>BFA</v>
      </c>
      <c r="N24" s="198"/>
      <c r="O24" s="198"/>
      <c r="P24" s="198"/>
      <c r="Q24" s="198"/>
      <c r="R24" s="198"/>
      <c r="S24" s="198"/>
      <c r="T24" s="198"/>
      <c r="U24" s="198"/>
      <c r="V24" s="198"/>
      <c r="W24" s="198"/>
      <c r="BA24" t="s">
        <v>4140</v>
      </c>
      <c r="BC24" s="457" t="s">
        <v>695</v>
      </c>
      <c r="CA24" t="s">
        <v>4121</v>
      </c>
      <c r="CB24" t="s">
        <v>4124</v>
      </c>
      <c r="EA24" s="848">
        <v>6018</v>
      </c>
      <c r="EB24" s="10" t="s">
        <v>574</v>
      </c>
      <c r="EC24" s="10" t="s">
        <v>542</v>
      </c>
      <c r="EY24" s="446"/>
      <c r="EZ24" s="446"/>
      <c r="FA24" s="440" t="s">
        <v>753</v>
      </c>
      <c r="FB24" s="10" t="s">
        <v>754</v>
      </c>
      <c r="FC24" s="10" t="s">
        <v>574</v>
      </c>
      <c r="FD24" s="1336" t="s">
        <v>599</v>
      </c>
      <c r="FE24" s="1242" t="s">
        <v>574</v>
      </c>
      <c r="FF24" s="291">
        <v>50</v>
      </c>
      <c r="FG24" s="1338"/>
      <c r="FH24" s="1338"/>
      <c r="HA24" s="1107"/>
      <c r="HB24" s="442"/>
      <c r="HC24" s="442"/>
      <c r="HD24" s="442"/>
      <c r="HE24" s="442"/>
      <c r="KA24" s="10" t="s">
        <v>707</v>
      </c>
      <c r="KB24" s="10" t="s">
        <v>707</v>
      </c>
      <c r="PA24" s="10" t="s">
        <v>4179</v>
      </c>
      <c r="PB24" s="10" t="s">
        <v>4180</v>
      </c>
      <c r="PC24" s="10" t="s">
        <v>540</v>
      </c>
      <c r="PD24" s="10" t="s">
        <v>599</v>
      </c>
      <c r="PE24" s="10"/>
      <c r="RA24" s="10" t="s">
        <v>4205</v>
      </c>
      <c r="RB24" s="10" t="s">
        <v>4204</v>
      </c>
      <c r="RC24" s="10" t="s">
        <v>695</v>
      </c>
      <c r="RD24" s="10" t="s">
        <v>574</v>
      </c>
      <c r="RE24" s="291" t="s">
        <v>574</v>
      </c>
      <c r="RF24" t="s">
        <v>574</v>
      </c>
      <c r="SA24" s="10" t="s">
        <v>668</v>
      </c>
      <c r="SB24" s="10" t="s">
        <v>669</v>
      </c>
      <c r="SC24" s="10" t="s">
        <v>599</v>
      </c>
      <c r="SD24" s="10" t="s">
        <v>599</v>
      </c>
      <c r="SE24" s="10"/>
      <c r="SF24" s="10">
        <v>0</v>
      </c>
      <c r="SG24" s="10"/>
      <c r="SH24" s="10"/>
      <c r="UA24" s="10" t="s">
        <v>693</v>
      </c>
      <c r="UB24" s="10" t="s">
        <v>4267</v>
      </c>
      <c r="UC24" s="10" t="s">
        <v>599</v>
      </c>
      <c r="UD24" s="443" t="s">
        <v>599</v>
      </c>
      <c r="UE24" s="10"/>
      <c r="UF24" s="10"/>
      <c r="UG24" s="10"/>
      <c r="UX24" s="253"/>
      <c r="XA24" s="66" t="s">
        <v>7623</v>
      </c>
      <c r="XB24" s="10" t="s">
        <v>703</v>
      </c>
      <c r="XC24" s="10" t="s">
        <v>703</v>
      </c>
      <c r="XD24" s="10" t="s">
        <v>7637</v>
      </c>
      <c r="XE24" s="291" t="s">
        <v>7622</v>
      </c>
      <c r="XY24" s="1"/>
      <c r="YA24" s="10" t="s">
        <v>517</v>
      </c>
      <c r="YB24" s="10" t="s">
        <v>601</v>
      </c>
      <c r="YC24" s="970">
        <v>25.4</v>
      </c>
      <c r="YD24" s="1737"/>
      <c r="YE24" s="1738"/>
      <c r="ZB24" s="10" t="s">
        <v>4776</v>
      </c>
      <c r="ZC24" s="10" t="s">
        <v>4786</v>
      </c>
      <c r="ZD24" s="291"/>
      <c r="AEB24" s="973" t="s">
        <v>4318</v>
      </c>
      <c r="AEC24" s="974" t="s">
        <v>4319</v>
      </c>
      <c r="AED24" s="10" t="s">
        <v>4344</v>
      </c>
      <c r="AEE24" s="10" t="s">
        <v>2693</v>
      </c>
      <c r="AEF24" s="975"/>
      <c r="AEG24" s="855"/>
      <c r="AEH24" s="855"/>
      <c r="AEI24" s="855"/>
      <c r="AEJ24" s="855"/>
      <c r="AEK24" s="855"/>
      <c r="AEL24" s="855"/>
      <c r="AEM24" s="855"/>
      <c r="AEN24" s="855"/>
      <c r="AEO24" s="855"/>
      <c r="AEP24" s="855"/>
      <c r="AEQ24" s="855"/>
      <c r="AER24" s="855"/>
      <c r="AES24" s="855"/>
      <c r="AET24" s="855"/>
      <c r="AEU24" s="855"/>
      <c r="AEV24" s="855"/>
      <c r="AEW24" s="855"/>
      <c r="AEX24" s="855"/>
      <c r="AOG24" s="66" t="s">
        <v>2693</v>
      </c>
      <c r="AQZ24" s="246" t="s">
        <v>4865</v>
      </c>
      <c r="ARA24" s="1532" t="s">
        <v>7768</v>
      </c>
      <c r="ARB24" s="1532"/>
      <c r="ARC24" s="1532"/>
      <c r="ARD24" s="1532"/>
      <c r="ARE24" s="1532"/>
      <c r="ATA24" s="7"/>
      <c r="ATB24" s="1501" t="s">
        <v>6890</v>
      </c>
      <c r="ATC24" s="1501"/>
      <c r="ATD24" s="1501"/>
      <c r="ATE24" s="1501"/>
      <c r="ATF24" s="1501"/>
      <c r="ATG24" s="1501"/>
      <c r="AUG24" s="2"/>
      <c r="AVA24" s="848" t="s">
        <v>4553</v>
      </c>
      <c r="AVB24" s="848" t="s">
        <v>6632</v>
      </c>
      <c r="AVC24" s="848" t="s">
        <v>6630</v>
      </c>
      <c r="AVD24" s="10" t="s">
        <v>4796</v>
      </c>
      <c r="AVE24" s="10" t="s">
        <v>6634</v>
      </c>
      <c r="AVF24" s="178" t="s">
        <v>6636</v>
      </c>
      <c r="AVG24" s="10">
        <v>0</v>
      </c>
      <c r="AVH24" s="10" t="s">
        <v>2693</v>
      </c>
      <c r="AWA24" s="7"/>
      <c r="AWB24" s="7"/>
      <c r="AWI24" s="133"/>
      <c r="AXA24" s="848" t="s">
        <v>5419</v>
      </c>
      <c r="AXB24" s="848" t="s">
        <v>5417</v>
      </c>
      <c r="AXC24" s="848" t="s">
        <v>469</v>
      </c>
      <c r="AXD24" s="848" t="s">
        <v>1174</v>
      </c>
      <c r="AXE24" s="986" t="s">
        <v>1220</v>
      </c>
      <c r="AXF24" s="848" t="s">
        <v>625</v>
      </c>
      <c r="AXG24" s="10">
        <v>8</v>
      </c>
      <c r="AYA24" s="1005" t="s">
        <v>4605</v>
      </c>
      <c r="AYB24" s="7" t="s">
        <v>4612</v>
      </c>
      <c r="AYC24" t="s">
        <v>384</v>
      </c>
      <c r="AYF24" s="7"/>
      <c r="AZD24" s="976"/>
      <c r="AZE24" s="976"/>
      <c r="BAB24" s="1527" t="s">
        <v>6842</v>
      </c>
      <c r="BAC24" s="1527"/>
      <c r="BAD24" s="1527"/>
      <c r="BAE24" s="1527"/>
      <c r="BBA24" s="493">
        <v>1</v>
      </c>
      <c r="BBB24" s="493">
        <v>2</v>
      </c>
      <c r="BBC24" s="894">
        <v>3</v>
      </c>
      <c r="BCA24" s="246" t="s">
        <v>434</v>
      </c>
      <c r="BCB24" s="1500" t="s">
        <v>6858</v>
      </c>
      <c r="BCC24" s="1500"/>
      <c r="BCD24" s="1500"/>
      <c r="BCE24" s="1500"/>
      <c r="BCF24" s="1500"/>
      <c r="BCG24" s="1500"/>
      <c r="BCH24" s="1500"/>
      <c r="BDE24" s="983" t="s">
        <v>4146</v>
      </c>
      <c r="BDF24" s="984"/>
      <c r="BDG24" s="984"/>
      <c r="BDH24" s="1237"/>
      <c r="BDI24" s="969"/>
      <c r="BEA24" t="s">
        <v>4666</v>
      </c>
      <c r="BEB24">
        <v>2</v>
      </c>
      <c r="BEC24">
        <v>1</v>
      </c>
      <c r="BED24">
        <v>0</v>
      </c>
      <c r="BEE24" s="1008">
        <v>160000</v>
      </c>
      <c r="BEF24" s="210" t="s">
        <v>3769</v>
      </c>
      <c r="BGA24" s="63"/>
      <c r="BGB24" s="63"/>
      <c r="BGC24" s="63"/>
      <c r="BGD24" s="63"/>
      <c r="BGE24" s="63"/>
      <c r="BGF24" s="63"/>
      <c r="BGG24" s="63"/>
      <c r="BGH24" s="63"/>
      <c r="BGI24" s="63"/>
      <c r="BJA24" s="848" t="s">
        <v>4562</v>
      </c>
      <c r="BJB24" s="848" t="s">
        <v>1190</v>
      </c>
      <c r="BJC24" s="10" t="s">
        <v>4699</v>
      </c>
      <c r="BJD24" s="10" t="s">
        <v>4704</v>
      </c>
      <c r="BJE24" s="10" t="s">
        <v>599</v>
      </c>
      <c r="BJF24" s="10" t="s">
        <v>428</v>
      </c>
      <c r="BKA24" s="10" t="s">
        <v>4561</v>
      </c>
      <c r="BKB24" s="10" t="s">
        <v>4761</v>
      </c>
      <c r="BKC24" s="10" t="s">
        <v>4762</v>
      </c>
      <c r="BKD24" s="10" t="s">
        <v>599</v>
      </c>
      <c r="BKE24" s="10" t="s">
        <v>428</v>
      </c>
      <c r="BLA24" s="1100" t="s">
        <v>5857</v>
      </c>
      <c r="BLB24" s="10" t="s">
        <v>593</v>
      </c>
      <c r="BLC24" s="10"/>
      <c r="BNA24" s="493">
        <v>1</v>
      </c>
      <c r="BNB24" s="493">
        <v>2</v>
      </c>
      <c r="BNC24" s="894">
        <v>3</v>
      </c>
      <c r="BND24" s="493">
        <v>4</v>
      </c>
      <c r="BNE24" s="493">
        <v>5</v>
      </c>
      <c r="BNF24" s="493">
        <v>6</v>
      </c>
      <c r="BNG24" s="894">
        <v>7</v>
      </c>
      <c r="BNH24" s="493">
        <v>8</v>
      </c>
      <c r="BPA24" s="1005" t="s">
        <v>4903</v>
      </c>
      <c r="BPB24" t="s">
        <v>4909</v>
      </c>
      <c r="BPC24" t="s">
        <v>4914</v>
      </c>
      <c r="BPD24" t="s">
        <v>4927</v>
      </c>
      <c r="BPE24" s="1027">
        <v>50</v>
      </c>
      <c r="BPZ24" t="s">
        <v>5002</v>
      </c>
      <c r="BQA24" t="s">
        <v>4939</v>
      </c>
      <c r="BQB24" t="s">
        <v>4940</v>
      </c>
      <c r="BRB24" s="171" t="s">
        <v>4992</v>
      </c>
      <c r="BWA24" s="1175" t="s">
        <v>5823</v>
      </c>
      <c r="BWB24" s="1186" t="s">
        <v>6602</v>
      </c>
      <c r="BWC24" s="1186"/>
      <c r="BWD24" s="1186"/>
      <c r="BWE24" s="1233"/>
      <c r="BWF24" s="1234" t="s">
        <v>6603</v>
      </c>
      <c r="BWG24" s="1189" t="s">
        <v>6362</v>
      </c>
      <c r="BWH24" s="1189" t="s">
        <v>6362</v>
      </c>
      <c r="BWI24" s="1189" t="s">
        <v>6362</v>
      </c>
      <c r="BWJ24" s="235">
        <v>19</v>
      </c>
      <c r="BYA24" s="10" t="s">
        <v>4553</v>
      </c>
      <c r="BYB24" s="10"/>
      <c r="BYC24" s="10"/>
      <c r="BYD24" s="10"/>
      <c r="BYE24" s="10"/>
      <c r="BYF24" s="10"/>
    </row>
    <row r="25" spans="1:1017 1042:2008 2810:2814" ht="30" customHeight="1">
      <c r="A25" s="1323" t="s">
        <v>1261</v>
      </c>
      <c r="B25" s="1309">
        <v>30</v>
      </c>
      <c r="C25" s="1306" t="s">
        <v>4589</v>
      </c>
      <c r="D25" s="672" t="s">
        <v>3816</v>
      </c>
      <c r="E25" s="1313" t="s">
        <v>3715</v>
      </c>
      <c r="F25" s="1307" t="s">
        <v>233</v>
      </c>
      <c r="G25" s="1308"/>
      <c r="H25" s="1308"/>
      <c r="I25" s="1308"/>
      <c r="J25" s="1308"/>
      <c r="K25" s="416"/>
      <c r="L25" s="2506">
        <f>MATCH(C35, $A$1:$DZG$1,0)</f>
        <v>1431</v>
      </c>
      <c r="M25" t="str">
        <f t="shared" si="1"/>
        <v>BCA</v>
      </c>
      <c r="N25" s="416"/>
      <c r="O25" s="416"/>
      <c r="P25" s="416"/>
      <c r="Q25" s="416"/>
      <c r="R25" s="416"/>
      <c r="S25" s="416"/>
      <c r="T25" s="416"/>
      <c r="U25" s="416"/>
      <c r="V25" s="416"/>
      <c r="W25" s="416"/>
      <c r="BA25" t="s">
        <v>4140</v>
      </c>
      <c r="BC25" s="457" t="s">
        <v>706</v>
      </c>
      <c r="CA25" t="s">
        <v>4122</v>
      </c>
      <c r="CB25" t="s">
        <v>4125</v>
      </c>
      <c r="EA25" s="848">
        <v>6083</v>
      </c>
      <c r="EB25" s="10" t="s">
        <v>574</v>
      </c>
      <c r="EC25" s="10" t="s">
        <v>4139</v>
      </c>
      <c r="FA25" s="10" t="s">
        <v>758</v>
      </c>
      <c r="FB25" s="10" t="s">
        <v>759</v>
      </c>
      <c r="FC25" s="10" t="s">
        <v>574</v>
      </c>
      <c r="FD25" s="1243" t="s">
        <v>574</v>
      </c>
      <c r="FE25" s="1242" t="s">
        <v>599</v>
      </c>
      <c r="FF25" s="291">
        <v>3</v>
      </c>
      <c r="FG25" s="1338"/>
      <c r="FH25" s="1338"/>
      <c r="HA25" s="7"/>
      <c r="HB25" s="7"/>
      <c r="HC25" s="7"/>
      <c r="HD25" s="7"/>
      <c r="HE25" s="7"/>
      <c r="PA25" s="10" t="s">
        <v>668</v>
      </c>
      <c r="PB25" s="10" t="s">
        <v>669</v>
      </c>
      <c r="PC25" s="10" t="s">
        <v>644</v>
      </c>
      <c r="PD25" s="10" t="s">
        <v>599</v>
      </c>
      <c r="PE25" s="10"/>
      <c r="RA25" s="10" t="s">
        <v>4202</v>
      </c>
      <c r="RB25" s="10" t="s">
        <v>4203</v>
      </c>
      <c r="RC25" s="10" t="s">
        <v>525</v>
      </c>
      <c r="RD25" s="10" t="s">
        <v>574</v>
      </c>
      <c r="RE25" s="291" t="s">
        <v>574</v>
      </c>
      <c r="RF25" t="s">
        <v>574</v>
      </c>
      <c r="SA25" s="10" t="s">
        <v>683</v>
      </c>
      <c r="SB25" s="10" t="s">
        <v>684</v>
      </c>
      <c r="SC25" s="10" t="s">
        <v>574</v>
      </c>
      <c r="SD25" s="10" t="s">
        <v>599</v>
      </c>
      <c r="SE25" s="10"/>
      <c r="SF25" s="10">
        <v>92</v>
      </c>
      <c r="SG25" s="10">
        <v>92</v>
      </c>
      <c r="SH25" s="10"/>
      <c r="UA25" s="10" t="s">
        <v>701</v>
      </c>
      <c r="UB25" s="10" t="s">
        <v>4268</v>
      </c>
      <c r="UC25" s="10" t="s">
        <v>599</v>
      </c>
      <c r="UD25" s="443" t="s">
        <v>599</v>
      </c>
      <c r="UE25" s="10"/>
      <c r="UF25" s="10"/>
      <c r="UG25" s="10"/>
      <c r="UX25" s="253"/>
      <c r="XA25" s="66" t="s">
        <v>7623</v>
      </c>
      <c r="XB25" s="10" t="s">
        <v>7624</v>
      </c>
      <c r="XC25" s="10" t="s">
        <v>7625</v>
      </c>
      <c r="XD25" s="10" t="s">
        <v>546</v>
      </c>
      <c r="XE25" s="291" t="s">
        <v>7622</v>
      </c>
      <c r="YA25" s="10" t="s">
        <v>625</v>
      </c>
      <c r="YB25" s="10" t="s">
        <v>626</v>
      </c>
      <c r="YC25" s="970">
        <v>1000</v>
      </c>
      <c r="YD25" s="1737"/>
      <c r="YE25" s="1738"/>
      <c r="ZB25" s="10" t="s">
        <v>4787</v>
      </c>
      <c r="ZC25" s="10" t="s">
        <v>4789</v>
      </c>
      <c r="ZD25" s="291"/>
      <c r="AEB25" s="973" t="s">
        <v>4318</v>
      </c>
      <c r="AEC25" s="974" t="s">
        <v>4320</v>
      </c>
      <c r="AED25" s="10" t="s">
        <v>4319</v>
      </c>
      <c r="AEE25" s="10" t="s">
        <v>2693</v>
      </c>
      <c r="AEF25" s="975"/>
      <c r="AEG25" s="855"/>
      <c r="AEH25" s="855"/>
      <c r="AEI25" s="855"/>
      <c r="AEJ25" s="855"/>
      <c r="AEK25" s="855"/>
      <c r="AEL25" s="855"/>
      <c r="AEM25" s="855"/>
      <c r="AEN25" s="855"/>
      <c r="AEO25" s="855"/>
      <c r="AEP25" s="855"/>
      <c r="AEQ25" s="855"/>
      <c r="AER25" s="855"/>
      <c r="AES25" s="855"/>
      <c r="AET25" s="855"/>
      <c r="AEU25" s="855"/>
      <c r="AEV25" s="855"/>
      <c r="AEW25" s="855"/>
      <c r="AEX25" s="855"/>
      <c r="AOG25" s="66" t="s">
        <v>2693</v>
      </c>
      <c r="ARA25" s="1501" t="s">
        <v>7769</v>
      </c>
      <c r="ARB25" s="1501"/>
      <c r="ARC25" s="1501"/>
      <c r="ARD25" s="1501"/>
      <c r="ARE25" s="1501"/>
      <c r="ATA25" s="7"/>
      <c r="ATB25" s="1717" t="s">
        <v>6891</v>
      </c>
      <c r="ATC25" s="1717"/>
      <c r="ATD25" s="1717"/>
      <c r="ATE25" s="1717"/>
      <c r="ATF25" s="1717"/>
      <c r="ATG25" s="1717"/>
      <c r="ATI25" s="133"/>
      <c r="AVA25" s="848" t="s">
        <v>153</v>
      </c>
      <c r="AVB25" s="848" t="s">
        <v>6633</v>
      </c>
      <c r="AVC25" s="848" t="s">
        <v>6631</v>
      </c>
      <c r="AVD25" s="10" t="s">
        <v>2090</v>
      </c>
      <c r="AVE25" s="10" t="s">
        <v>6627</v>
      </c>
      <c r="AVF25" s="178" t="s">
        <v>6637</v>
      </c>
      <c r="AVG25" s="10">
        <v>0</v>
      </c>
      <c r="AVH25" s="10" t="s">
        <v>2693</v>
      </c>
      <c r="AXA25" s="848" t="s">
        <v>5419</v>
      </c>
      <c r="AXB25" s="848" t="s">
        <v>5417</v>
      </c>
      <c r="AXC25" s="848" t="s">
        <v>469</v>
      </c>
      <c r="AXD25" s="848" t="s">
        <v>5420</v>
      </c>
      <c r="AXE25" s="10" t="s">
        <v>4851</v>
      </c>
      <c r="AXF25" s="848" t="s">
        <v>546</v>
      </c>
      <c r="AXG25" s="10">
        <v>0.03</v>
      </c>
      <c r="AYA25" s="1005" t="s">
        <v>4606</v>
      </c>
      <c r="AYB25" s="7" t="s">
        <v>4613</v>
      </c>
      <c r="AYC25" t="s">
        <v>384</v>
      </c>
      <c r="AZD25" s="976"/>
      <c r="AZE25" s="976"/>
      <c r="BAA25" s="246" t="s">
        <v>4865</v>
      </c>
      <c r="BAB25" s="1533" t="s">
        <v>6749</v>
      </c>
      <c r="BAC25" s="1533"/>
      <c r="BAD25" t="s">
        <v>6750</v>
      </c>
      <c r="BAE25" s="110"/>
      <c r="BCB25" s="1500" t="s">
        <v>6856</v>
      </c>
      <c r="BCC25" s="1500"/>
      <c r="BCD25" s="1500"/>
      <c r="BCE25" s="1500"/>
      <c r="BCF25" s="1500"/>
      <c r="BCG25" s="1500"/>
      <c r="BCH25" s="1500"/>
      <c r="BDE25" s="493">
        <v>1</v>
      </c>
      <c r="BDF25" s="493">
        <v>2</v>
      </c>
      <c r="BDG25" s="894">
        <v>3</v>
      </c>
      <c r="BDH25" s="1271"/>
      <c r="BDI25" s="110"/>
      <c r="BEA25" t="s">
        <v>4666</v>
      </c>
      <c r="BEB25">
        <v>2</v>
      </c>
      <c r="BEC25">
        <v>1</v>
      </c>
      <c r="BED25">
        <v>0</v>
      </c>
      <c r="BEE25" s="1008">
        <v>125900</v>
      </c>
      <c r="BEF25" s="210" t="s">
        <v>4668</v>
      </c>
      <c r="BKA25" s="10" t="s">
        <v>4561</v>
      </c>
      <c r="BKB25" s="10" t="s">
        <v>4759</v>
      </c>
      <c r="BKC25" s="10" t="s">
        <v>4760</v>
      </c>
      <c r="BKD25" s="10" t="s">
        <v>599</v>
      </c>
      <c r="BKE25" s="10" t="s">
        <v>428</v>
      </c>
      <c r="BLA25" s="1100" t="s">
        <v>5858</v>
      </c>
      <c r="BLB25" s="10" t="s">
        <v>5868</v>
      </c>
      <c r="BLC25" s="10"/>
      <c r="BNA25" s="1005" t="s">
        <v>4806</v>
      </c>
      <c r="BNB25" t="s">
        <v>1174</v>
      </c>
      <c r="BNC25" t="s">
        <v>1220</v>
      </c>
      <c r="BND25" t="s">
        <v>4854</v>
      </c>
      <c r="BPZ25" t="s">
        <v>5003</v>
      </c>
      <c r="BQA25" t="s">
        <v>4941</v>
      </c>
      <c r="BQB25" t="s">
        <v>4942</v>
      </c>
      <c r="BRB25" s="171"/>
      <c r="BWA25" s="1175" t="s">
        <v>5815</v>
      </c>
      <c r="BWB25" s="1186" t="s">
        <v>6600</v>
      </c>
      <c r="BWC25" s="1186" t="s">
        <v>6598</v>
      </c>
      <c r="BWD25" s="1186"/>
      <c r="BWE25" s="1233"/>
      <c r="BWF25" s="1235"/>
      <c r="BWG25" s="1189" t="s">
        <v>6362</v>
      </c>
      <c r="BWH25" s="1189" t="s">
        <v>6362</v>
      </c>
      <c r="BWI25" s="1189" t="s">
        <v>6362</v>
      </c>
      <c r="BWJ25" s="235">
        <v>20</v>
      </c>
    </row>
    <row r="26" spans="1:1017 1042:2008 2810:2814" ht="30" customHeight="1">
      <c r="A26" s="1323" t="s">
        <v>3768</v>
      </c>
      <c r="B26" s="1305">
        <v>33</v>
      </c>
      <c r="C26" s="1313" t="s">
        <v>4868</v>
      </c>
      <c r="D26" s="672" t="s">
        <v>3819</v>
      </c>
      <c r="E26" s="1313" t="s">
        <v>4092</v>
      </c>
      <c r="F26" s="1307" t="s">
        <v>233</v>
      </c>
      <c r="G26" s="1308"/>
      <c r="H26" s="1308"/>
      <c r="I26" s="1308"/>
      <c r="J26" s="1308"/>
      <c r="K26" s="198"/>
      <c r="L26" s="2506" t="e">
        <f>MATCH(C36, $A$1:$DZG$1,0)</f>
        <v>#N/A</v>
      </c>
      <c r="M26" t="e">
        <f t="shared" si="1"/>
        <v>#N/A</v>
      </c>
      <c r="N26" s="198"/>
      <c r="O26" s="198"/>
      <c r="P26" s="198"/>
      <c r="Q26" s="198"/>
      <c r="R26" s="198"/>
      <c r="S26" s="198"/>
      <c r="T26" s="198"/>
      <c r="U26" s="198"/>
      <c r="V26" s="198"/>
      <c r="W26" s="198"/>
      <c r="BA26" t="s">
        <v>4140</v>
      </c>
      <c r="BC26" s="457" t="s">
        <v>716</v>
      </c>
      <c r="BD26" t="s">
        <v>717</v>
      </c>
      <c r="CA26" t="s">
        <v>4123</v>
      </c>
      <c r="CB26" t="s">
        <v>4126</v>
      </c>
      <c r="EA26" s="848">
        <v>6084</v>
      </c>
      <c r="EB26" s="10" t="s">
        <v>574</v>
      </c>
      <c r="EC26" s="10" t="s">
        <v>4139</v>
      </c>
      <c r="FA26" s="10" t="s">
        <v>4156</v>
      </c>
      <c r="FB26" s="10" t="s">
        <v>760</v>
      </c>
      <c r="FC26" s="10" t="s">
        <v>574</v>
      </c>
      <c r="FD26" s="1243" t="s">
        <v>574</v>
      </c>
      <c r="FE26" s="1242" t="s">
        <v>599</v>
      </c>
      <c r="FF26" s="291">
        <v>5</v>
      </c>
      <c r="FG26" s="1338"/>
      <c r="FH26" s="1338"/>
      <c r="GS26" s="289"/>
      <c r="GU26" s="1014"/>
      <c r="GV26" s="1012"/>
      <c r="OS26" s="10" t="s">
        <v>4185</v>
      </c>
      <c r="OT26" s="10" t="s">
        <v>4187</v>
      </c>
      <c r="OU26" s="10" t="s">
        <v>644</v>
      </c>
      <c r="OV26" s="10" t="s">
        <v>599</v>
      </c>
      <c r="OW26" s="10"/>
      <c r="QS26" s="10" t="s">
        <v>4206</v>
      </c>
      <c r="QT26" s="10" t="s">
        <v>4210</v>
      </c>
      <c r="QU26" s="10" t="s">
        <v>525</v>
      </c>
      <c r="QV26" s="10" t="s">
        <v>574</v>
      </c>
      <c r="QW26" s="291" t="s">
        <v>574</v>
      </c>
      <c r="QX26" t="s">
        <v>574</v>
      </c>
      <c r="RS26" s="10" t="s">
        <v>4220</v>
      </c>
      <c r="RT26" s="10" t="s">
        <v>692</v>
      </c>
      <c r="RU26" s="10" t="s">
        <v>574</v>
      </c>
      <c r="RV26" s="10" t="s">
        <v>574</v>
      </c>
      <c r="RW26" s="10" t="s">
        <v>599</v>
      </c>
      <c r="RX26" s="10">
        <v>0</v>
      </c>
      <c r="RY26" s="10">
        <v>0</v>
      </c>
      <c r="RZ26" s="10" t="s">
        <v>4223</v>
      </c>
      <c r="TS26" s="10" t="s">
        <v>712</v>
      </c>
      <c r="TT26" s="10" t="s">
        <v>4269</v>
      </c>
      <c r="TU26" s="10" t="s">
        <v>599</v>
      </c>
      <c r="TV26" s="443" t="s">
        <v>599</v>
      </c>
      <c r="TW26" s="10"/>
      <c r="TX26" s="10"/>
      <c r="TY26" s="10"/>
      <c r="UA26" s="253"/>
      <c r="WS26" s="10" t="s">
        <v>544</v>
      </c>
      <c r="WT26" s="10" t="s">
        <v>720</v>
      </c>
      <c r="WU26" s="10" t="s">
        <v>4298</v>
      </c>
      <c r="WV26" s="10" t="s">
        <v>704</v>
      </c>
      <c r="WW26" s="10"/>
      <c r="XA26" s="66" t="s">
        <v>577</v>
      </c>
      <c r="XB26" s="10" t="s">
        <v>727</v>
      </c>
      <c r="XC26" s="10" t="s">
        <v>727</v>
      </c>
      <c r="XD26" s="10" t="s">
        <v>1175</v>
      </c>
      <c r="XE26" s="291" t="s">
        <v>7622</v>
      </c>
      <c r="XS26" s="10" t="s">
        <v>544</v>
      </c>
      <c r="XT26" s="10" t="s">
        <v>703</v>
      </c>
      <c r="XU26" s="10" t="s">
        <v>702</v>
      </c>
      <c r="XV26" s="970"/>
      <c r="YA26" s="10" t="s">
        <v>625</v>
      </c>
      <c r="YB26" s="10" t="s">
        <v>650</v>
      </c>
      <c r="YC26" s="970">
        <v>2.2046199999999998</v>
      </c>
      <c r="YD26" s="1737"/>
      <c r="YE26" s="1738"/>
      <c r="YT26" s="10" t="s">
        <v>4788</v>
      </c>
      <c r="YU26" s="10" t="s">
        <v>4790</v>
      </c>
      <c r="YV26" s="291"/>
      <c r="ADT26" s="973" t="s">
        <v>4307</v>
      </c>
      <c r="ADU26" s="974" t="s">
        <v>261</v>
      </c>
      <c r="ADV26" s="62" t="s">
        <v>4320</v>
      </c>
      <c r="ADW26" s="10" t="s">
        <v>4337</v>
      </c>
      <c r="ADX26" s="975"/>
      <c r="ADY26" s="855"/>
      <c r="ADZ26" s="855"/>
      <c r="AEA26" s="855"/>
      <c r="AEB26" s="855"/>
      <c r="AEC26" s="855"/>
      <c r="AED26" s="855"/>
      <c r="AEE26" s="855"/>
      <c r="AEF26" s="855"/>
      <c r="AEG26" s="855"/>
      <c r="AEH26" s="855"/>
      <c r="AEI26" s="855"/>
      <c r="AEJ26" s="855"/>
      <c r="AEK26" s="855"/>
      <c r="AEL26" s="855"/>
      <c r="AEM26" s="855"/>
      <c r="AEN26" s="855"/>
      <c r="AEO26" s="855"/>
      <c r="AEP26" s="855"/>
      <c r="ARA26" s="1501" t="s">
        <v>7770</v>
      </c>
      <c r="ARB26" s="1501"/>
      <c r="ARC26" s="1501"/>
      <c r="ARD26" s="1501"/>
      <c r="ARE26" s="1501"/>
      <c r="ATA26" s="7"/>
      <c r="ATB26" s="1712" t="s">
        <v>6875</v>
      </c>
      <c r="ATC26" s="1712"/>
      <c r="ATD26" s="1712"/>
      <c r="ATE26" s="1712"/>
      <c r="ATF26" s="133"/>
      <c r="AVA26" s="848" t="s">
        <v>151</v>
      </c>
      <c r="AVB26" s="848" t="s">
        <v>151</v>
      </c>
      <c r="AVC26" s="1239" t="s">
        <v>4550</v>
      </c>
      <c r="AVD26" s="10" t="s">
        <v>2090</v>
      </c>
      <c r="AVE26" s="10" t="s">
        <v>6512</v>
      </c>
      <c r="AVF26" s="178" t="s">
        <v>6638</v>
      </c>
      <c r="AVG26" s="10">
        <v>0</v>
      </c>
      <c r="AVH26" s="10" t="s">
        <v>2693</v>
      </c>
      <c r="AWS26" s="848" t="s">
        <v>2925</v>
      </c>
      <c r="AWT26" s="848" t="s">
        <v>5421</v>
      </c>
      <c r="AWU26" s="848" t="s">
        <v>469</v>
      </c>
      <c r="AWV26" s="848" t="s">
        <v>5420</v>
      </c>
      <c r="AWW26" s="10" t="s">
        <v>4851</v>
      </c>
      <c r="AWX26" s="10" t="s">
        <v>546</v>
      </c>
      <c r="AWY26" s="10">
        <v>0.2</v>
      </c>
      <c r="AXS26" s="976" t="s">
        <v>714</v>
      </c>
      <c r="AXT26" s="7" t="s">
        <v>715</v>
      </c>
      <c r="AXU26" t="s">
        <v>384</v>
      </c>
      <c r="AZS26" s="246"/>
      <c r="AZT26" t="s">
        <v>6333</v>
      </c>
      <c r="AZW26" s="110"/>
      <c r="BAD26" s="969"/>
      <c r="BCB26" s="1733" t="s">
        <v>6857</v>
      </c>
      <c r="BCC26" s="1733"/>
      <c r="BCD26" s="1733"/>
      <c r="BCE26" s="1733"/>
      <c r="BCF26" s="1733"/>
      <c r="BCG26" s="1733"/>
      <c r="BCH26" s="1733"/>
      <c r="BEA26" t="s">
        <v>4666</v>
      </c>
      <c r="BEB26">
        <v>2</v>
      </c>
      <c r="BEC26">
        <v>1</v>
      </c>
      <c r="BED26">
        <v>0</v>
      </c>
      <c r="BEE26" s="1008">
        <v>125900</v>
      </c>
      <c r="BEF26" s="210" t="s">
        <v>4668</v>
      </c>
      <c r="BLA26" s="1100" t="s">
        <v>5859</v>
      </c>
      <c r="BLB26" s="10" t="s">
        <v>5869</v>
      </c>
      <c r="BLC26" s="10"/>
      <c r="BNA26" s="1005" t="s">
        <v>4806</v>
      </c>
      <c r="BNB26" t="s">
        <v>1197</v>
      </c>
      <c r="BNC26" t="s">
        <v>4823</v>
      </c>
      <c r="BND26" t="s">
        <v>4855</v>
      </c>
      <c r="BPZ26" t="s">
        <v>5004</v>
      </c>
      <c r="BQA26" t="s">
        <v>315</v>
      </c>
      <c r="BQB26" t="s">
        <v>4943</v>
      </c>
      <c r="BRA26" s="1528" t="s">
        <v>4146</v>
      </c>
      <c r="BRB26" s="1529"/>
      <c r="BRC26" s="1529"/>
      <c r="BRD26" s="1529"/>
      <c r="BWA26" s="1175" t="s">
        <v>5814</v>
      </c>
      <c r="BWB26" s="1186" t="s">
        <v>6600</v>
      </c>
      <c r="BWC26" s="1186" t="s">
        <v>6598</v>
      </c>
      <c r="BWD26" s="1186"/>
      <c r="BWE26" s="1233"/>
      <c r="BWF26" s="1235"/>
      <c r="BWG26" s="1189" t="s">
        <v>6362</v>
      </c>
      <c r="BWH26" s="1189" t="s">
        <v>6362</v>
      </c>
      <c r="BWI26" s="1189" t="s">
        <v>6362</v>
      </c>
      <c r="BWJ26" s="235">
        <v>21</v>
      </c>
    </row>
    <row r="27" spans="1:1017 1042:2008 2810:2814" ht="30" customHeight="1">
      <c r="B27" s="1305">
        <v>73</v>
      </c>
      <c r="C27" s="1310" t="s">
        <v>3770</v>
      </c>
      <c r="D27" s="1318" t="s">
        <v>7782</v>
      </c>
      <c r="E27" s="1313" t="s">
        <v>7783</v>
      </c>
      <c r="F27" s="317"/>
      <c r="G27" s="1315"/>
      <c r="H27" s="1315"/>
      <c r="I27" s="1315"/>
      <c r="J27" s="1315"/>
      <c r="K27" s="198"/>
      <c r="L27" s="2506">
        <f>MATCH(C37, $A$1:$DZG$1,0)</f>
        <v>391</v>
      </c>
      <c r="M27" t="str">
        <f t="shared" si="1"/>
        <v>OA</v>
      </c>
      <c r="N27" s="198"/>
      <c r="O27" s="198"/>
      <c r="P27" s="198"/>
      <c r="Q27" s="198"/>
      <c r="R27" s="198"/>
      <c r="S27" s="198"/>
      <c r="T27" s="198"/>
      <c r="U27" s="198"/>
      <c r="V27" s="198"/>
      <c r="W27" s="198"/>
      <c r="BA27" t="s">
        <v>4140</v>
      </c>
      <c r="BC27" s="457" t="s">
        <v>722</v>
      </c>
      <c r="EA27" s="848">
        <v>6085</v>
      </c>
      <c r="EB27" s="10" t="s">
        <v>574</v>
      </c>
      <c r="EC27" s="10" t="s">
        <v>4139</v>
      </c>
      <c r="FA27" s="10" t="s">
        <v>763</v>
      </c>
      <c r="FB27" s="10" t="s">
        <v>764</v>
      </c>
      <c r="FC27" s="10" t="s">
        <v>574</v>
      </c>
      <c r="FD27" s="1243" t="s">
        <v>574</v>
      </c>
      <c r="FE27" s="1242" t="s">
        <v>599</v>
      </c>
      <c r="FF27" s="291">
        <v>10</v>
      </c>
      <c r="FG27" s="1338"/>
      <c r="FH27" s="1338"/>
      <c r="GU27" s="1013"/>
      <c r="GV27" s="1012"/>
      <c r="GW27" s="9"/>
      <c r="OS27" s="10" t="s">
        <v>4184</v>
      </c>
      <c r="OT27" s="10" t="s">
        <v>4188</v>
      </c>
      <c r="OU27" s="10" t="s">
        <v>644</v>
      </c>
      <c r="OV27" s="10" t="s">
        <v>599</v>
      </c>
      <c r="OW27" s="10"/>
      <c r="QS27" s="10" t="s">
        <v>4207</v>
      </c>
      <c r="QT27" s="10" t="s">
        <v>4211</v>
      </c>
      <c r="QU27" s="10" t="s">
        <v>695</v>
      </c>
      <c r="QV27" s="10" t="s">
        <v>574</v>
      </c>
      <c r="QW27" s="291" t="s">
        <v>574</v>
      </c>
      <c r="QX27" t="s">
        <v>574</v>
      </c>
      <c r="RS27" s="10" t="s">
        <v>699</v>
      </c>
      <c r="RT27" s="10" t="s">
        <v>700</v>
      </c>
      <c r="RU27" s="10" t="s">
        <v>599</v>
      </c>
      <c r="RV27" s="10" t="s">
        <v>599</v>
      </c>
      <c r="RW27" s="10"/>
      <c r="RX27" s="10">
        <v>0</v>
      </c>
      <c r="RY27" s="10">
        <v>0</v>
      </c>
      <c r="RZ27" s="10"/>
      <c r="TS27" s="10" t="s">
        <v>719</v>
      </c>
      <c r="TT27" s="10" t="s">
        <v>4270</v>
      </c>
      <c r="TU27" s="10" t="s">
        <v>599</v>
      </c>
      <c r="TV27" s="443" t="s">
        <v>599</v>
      </c>
      <c r="TW27" s="443"/>
      <c r="TX27" s="10"/>
      <c r="TY27" s="10"/>
      <c r="UA27" s="253"/>
      <c r="WS27" s="10" t="s">
        <v>577</v>
      </c>
      <c r="WT27" s="10" t="s">
        <v>626</v>
      </c>
      <c r="WU27" s="10" t="s">
        <v>626</v>
      </c>
      <c r="WV27" s="10" t="s">
        <v>723</v>
      </c>
      <c r="WW27" s="10"/>
      <c r="XA27" s="66"/>
      <c r="XB27" s="10"/>
      <c r="XC27" s="10"/>
      <c r="XD27" s="10"/>
      <c r="XE27" s="291"/>
      <c r="XS27" s="10" t="s">
        <v>544</v>
      </c>
      <c r="XT27" s="10" t="s">
        <v>546</v>
      </c>
      <c r="XU27" s="10" t="s">
        <v>702</v>
      </c>
      <c r="XV27" s="970">
        <v>1000</v>
      </c>
      <c r="YA27" s="10" t="s">
        <v>671</v>
      </c>
      <c r="YB27" s="10" t="s">
        <v>624</v>
      </c>
      <c r="YC27" s="970">
        <v>1000</v>
      </c>
      <c r="YD27" s="1737"/>
      <c r="YE27" s="1738"/>
      <c r="YT27" s="10"/>
      <c r="YU27" s="10"/>
      <c r="YV27" s="291"/>
      <c r="ADT27" s="973" t="s">
        <v>1190</v>
      </c>
      <c r="ADU27" s="974" t="s">
        <v>261</v>
      </c>
      <c r="ADV27" s="62" t="s">
        <v>4345</v>
      </c>
      <c r="ADW27" s="10" t="s">
        <v>2693</v>
      </c>
      <c r="ADX27" s="975"/>
      <c r="ADY27" s="855"/>
      <c r="ADZ27" s="855"/>
      <c r="AEA27" s="855"/>
      <c r="AEB27" s="855"/>
      <c r="AEC27" s="855"/>
      <c r="AED27" s="855"/>
      <c r="AEE27" s="855"/>
      <c r="AEF27" s="855"/>
      <c r="AEG27" s="855"/>
      <c r="AEH27" s="855"/>
      <c r="AEI27" s="855"/>
      <c r="AEJ27" s="855"/>
      <c r="AEK27" s="855"/>
      <c r="AEL27" s="855"/>
      <c r="AEM27" s="855"/>
      <c r="AEN27" s="855"/>
      <c r="AEO27" s="855"/>
      <c r="AEP27" s="855"/>
      <c r="ARA27" s="1532" t="s">
        <v>7771</v>
      </c>
      <c r="ARB27" s="1532"/>
      <c r="ARC27" s="1532"/>
      <c r="ARD27" s="1532"/>
      <c r="ARE27" s="1532"/>
      <c r="AVA27" s="848" t="s">
        <v>4547</v>
      </c>
      <c r="AVB27" s="848" t="s">
        <v>4547</v>
      </c>
      <c r="AVC27" s="848" t="s">
        <v>4551</v>
      </c>
      <c r="AVD27" s="10" t="s">
        <v>4528</v>
      </c>
      <c r="AVE27" s="10" t="s">
        <v>1221</v>
      </c>
      <c r="AVF27" s="178" t="s">
        <v>6639</v>
      </c>
      <c r="AVG27" s="10">
        <v>0</v>
      </c>
      <c r="AVH27" s="10" t="s">
        <v>2693</v>
      </c>
      <c r="AWS27" s="848" t="s">
        <v>2925</v>
      </c>
      <c r="AWT27" s="848" t="s">
        <v>5421</v>
      </c>
      <c r="AWU27" s="848" t="s">
        <v>469</v>
      </c>
      <c r="AWV27" s="848" t="s">
        <v>1174</v>
      </c>
      <c r="AWW27" s="986" t="s">
        <v>1220</v>
      </c>
      <c r="AWX27" s="848" t="s">
        <v>625</v>
      </c>
      <c r="AWY27" s="10">
        <f>(6/12)*20</f>
        <v>10</v>
      </c>
      <c r="AXS27" s="976" t="s">
        <v>4607</v>
      </c>
      <c r="AXT27" s="7" t="s">
        <v>4614</v>
      </c>
      <c r="AXU27" s="1005" t="s">
        <v>783</v>
      </c>
      <c r="AXX27" s="7"/>
      <c r="AZS27" s="246"/>
      <c r="AZT27" t="s">
        <v>4661</v>
      </c>
      <c r="AZW27" s="110"/>
      <c r="BAA27" s="983" t="s">
        <v>4146</v>
      </c>
      <c r="BAB27" s="984"/>
      <c r="BAC27" s="984"/>
      <c r="BAD27" s="110"/>
      <c r="BCA27" s="246" t="s">
        <v>4865</v>
      </c>
      <c r="BCB27" s="1734"/>
      <c r="BCC27" s="1734"/>
      <c r="BCD27" s="1734"/>
      <c r="BCE27" s="1734"/>
      <c r="BCF27" s="1734"/>
      <c r="BCG27" s="1734"/>
      <c r="BCH27" s="1734"/>
      <c r="BEA27" t="s">
        <v>4666</v>
      </c>
      <c r="BEB27">
        <v>2</v>
      </c>
      <c r="BEC27">
        <v>1</v>
      </c>
      <c r="BED27">
        <v>0</v>
      </c>
      <c r="BEE27" s="1008">
        <v>125900</v>
      </c>
      <c r="BEF27" s="210" t="s">
        <v>4668</v>
      </c>
      <c r="BLA27" s="10" t="s">
        <v>5860</v>
      </c>
      <c r="BLB27" s="10" t="s">
        <v>5870</v>
      </c>
      <c r="BLC27" s="10"/>
      <c r="BNA27" s="1005" t="s">
        <v>4806</v>
      </c>
      <c r="BNB27" t="s">
        <v>1165</v>
      </c>
      <c r="BNC27" t="s">
        <v>4824</v>
      </c>
      <c r="BND27" t="s">
        <v>4824</v>
      </c>
      <c r="BPA27" s="1005" t="s">
        <v>4921</v>
      </c>
      <c r="BPB27" t="s">
        <v>4922</v>
      </c>
      <c r="BPZ27" t="s">
        <v>5005</v>
      </c>
      <c r="BQA27" t="s">
        <v>4944</v>
      </c>
      <c r="BQB27" t="s">
        <v>4945</v>
      </c>
      <c r="BRA27" s="493">
        <v>1</v>
      </c>
      <c r="BRB27" s="493">
        <v>2</v>
      </c>
      <c r="BRC27" s="894">
        <v>3</v>
      </c>
      <c r="BRD27" s="493">
        <v>4</v>
      </c>
      <c r="BRE27" s="894">
        <v>5</v>
      </c>
      <c r="BRF27" s="493">
        <v>6</v>
      </c>
      <c r="BRG27" s="894">
        <v>7</v>
      </c>
      <c r="BRH27" s="493">
        <v>8</v>
      </c>
      <c r="BWA27" s="1175" t="s">
        <v>5834</v>
      </c>
      <c r="BWB27" s="1188"/>
      <c r="BWC27" s="1186" t="s">
        <v>1221</v>
      </c>
      <c r="BWD27" s="1186"/>
      <c r="BWE27" s="1233"/>
      <c r="BWF27" s="1235"/>
      <c r="BWG27" s="1189" t="s">
        <v>6362</v>
      </c>
      <c r="BWH27" s="1189" t="s">
        <v>6362</v>
      </c>
      <c r="BWI27" s="1189" t="s">
        <v>6362</v>
      </c>
      <c r="BWJ27" s="235">
        <v>22</v>
      </c>
    </row>
    <row r="28" spans="1:1017 1042:2008 2810:2814" ht="30" customHeight="1">
      <c r="A28" s="1323" t="s">
        <v>1261</v>
      </c>
      <c r="B28" s="1305">
        <v>34</v>
      </c>
      <c r="C28" s="1306" t="s">
        <v>17</v>
      </c>
      <c r="D28" s="317" t="s">
        <v>3820</v>
      </c>
      <c r="E28" s="1310" t="s">
        <v>4093</v>
      </c>
      <c r="F28" s="1311" t="s">
        <v>233</v>
      </c>
      <c r="G28" s="1312"/>
      <c r="H28" s="1312"/>
      <c r="I28" s="1312"/>
      <c r="J28" s="1312"/>
      <c r="K28" s="198"/>
      <c r="L28" s="2506">
        <f>MATCH(C38, $A$1:$DZG$1,0)</f>
        <v>339</v>
      </c>
      <c r="M28" t="str">
        <f t="shared" si="1"/>
        <v>MA</v>
      </c>
      <c r="N28" s="198"/>
      <c r="O28" s="198"/>
      <c r="P28" s="198"/>
      <c r="Q28" s="198"/>
      <c r="R28" s="198"/>
      <c r="S28" s="198"/>
      <c r="T28" s="198"/>
      <c r="U28" s="198"/>
      <c r="V28" s="198"/>
      <c r="W28" s="198"/>
      <c r="BA28" t="s">
        <v>4140</v>
      </c>
      <c r="BC28" s="457" t="s">
        <v>726</v>
      </c>
      <c r="EA28" s="848">
        <v>6086</v>
      </c>
      <c r="EB28" s="10" t="s">
        <v>599</v>
      </c>
      <c r="EC28" s="10" t="s">
        <v>4139</v>
      </c>
      <c r="FA28" s="10" t="s">
        <v>768</v>
      </c>
      <c r="FB28" s="10" t="s">
        <v>769</v>
      </c>
      <c r="FC28" s="10" t="s">
        <v>574</v>
      </c>
      <c r="FD28" s="1243" t="s">
        <v>574</v>
      </c>
      <c r="FE28" s="1242" t="s">
        <v>599</v>
      </c>
      <c r="FF28" s="291">
        <v>5</v>
      </c>
      <c r="FG28" s="1338"/>
      <c r="FH28" s="1339"/>
      <c r="PA28" s="10" t="s">
        <v>4186</v>
      </c>
      <c r="PB28" s="10" t="s">
        <v>4189</v>
      </c>
      <c r="PC28" s="10" t="s">
        <v>644</v>
      </c>
      <c r="PD28" s="10" t="s">
        <v>599</v>
      </c>
      <c r="PE28" s="10"/>
      <c r="RA28" s="10" t="s">
        <v>4208</v>
      </c>
      <c r="RB28" s="10" t="s">
        <v>4212</v>
      </c>
      <c r="RC28" s="10" t="s">
        <v>525</v>
      </c>
      <c r="RD28" s="10" t="s">
        <v>599</v>
      </c>
      <c r="RE28" s="291" t="s">
        <v>599</v>
      </c>
      <c r="RF28" t="s">
        <v>599</v>
      </c>
      <c r="SA28" s="10" t="s">
        <v>710</v>
      </c>
      <c r="SB28" s="10" t="s">
        <v>711</v>
      </c>
      <c r="SC28" s="10" t="s">
        <v>574</v>
      </c>
      <c r="SD28" s="10" t="s">
        <v>599</v>
      </c>
      <c r="SE28" s="10"/>
      <c r="SF28" s="10">
        <v>3</v>
      </c>
      <c r="SG28" s="10">
        <v>3</v>
      </c>
      <c r="SH28" s="10"/>
      <c r="UA28" s="10" t="s">
        <v>730</v>
      </c>
      <c r="UB28" s="10" t="s">
        <v>4271</v>
      </c>
      <c r="UC28" s="10" t="s">
        <v>599</v>
      </c>
      <c r="UD28" s="443" t="s">
        <v>599</v>
      </c>
      <c r="UE28" s="443"/>
      <c r="UF28" s="10">
        <v>1</v>
      </c>
      <c r="UG28" s="10"/>
      <c r="XA28" s="1463"/>
      <c r="XB28" s="136"/>
      <c r="XC28" s="136"/>
      <c r="XD28" s="136"/>
      <c r="XE28" s="1383"/>
      <c r="YA28" s="10" t="s">
        <v>469</v>
      </c>
      <c r="YB28" s="10" t="s">
        <v>686</v>
      </c>
      <c r="YC28" s="970">
        <v>10000</v>
      </c>
      <c r="YD28" s="1737"/>
      <c r="YE28" s="1738"/>
      <c r="ZB28" s="10"/>
      <c r="ZC28" s="10"/>
      <c r="ZD28" s="291"/>
      <c r="AEB28" s="973" t="s">
        <v>1190</v>
      </c>
      <c r="AEC28" s="974" t="s">
        <v>2925</v>
      </c>
      <c r="AED28" s="10" t="s">
        <v>4345</v>
      </c>
      <c r="AEE28" s="10" t="s">
        <v>2693</v>
      </c>
      <c r="AEF28" s="975"/>
      <c r="AEG28" s="855"/>
      <c r="AEH28" s="855"/>
      <c r="AEI28" s="855"/>
      <c r="AEJ28" s="855"/>
      <c r="AEK28" s="855"/>
      <c r="AEL28" s="855"/>
      <c r="AEM28" s="855"/>
      <c r="AEN28" s="855"/>
      <c r="AEO28" s="855"/>
      <c r="AEP28" s="855"/>
      <c r="AEQ28" s="855"/>
      <c r="AER28" s="855"/>
      <c r="AES28" s="855"/>
      <c r="AET28" s="855"/>
      <c r="AEU28" s="855"/>
      <c r="AEV28" s="855"/>
      <c r="AEW28" s="855"/>
      <c r="AEX28" s="855"/>
      <c r="AQZ28" s="246" t="s">
        <v>7616</v>
      </c>
      <c r="ARA28" s="2503" t="s">
        <v>7772</v>
      </c>
      <c r="ARB28" s="2503"/>
      <c r="ARC28" s="2503"/>
      <c r="ARD28" s="2503"/>
      <c r="ARE28" s="2503"/>
      <c r="ATA28" s="1165" t="s">
        <v>4146</v>
      </c>
      <c r="ATB28" s="1166"/>
      <c r="ATC28" s="1166"/>
      <c r="ATD28" s="1166"/>
      <c r="ATE28" s="1166"/>
      <c r="ATF28" s="1710" t="s">
        <v>5789</v>
      </c>
      <c r="ATG28" s="1710"/>
      <c r="AVA28" s="848" t="s">
        <v>4548</v>
      </c>
      <c r="AVB28" s="848" t="s">
        <v>4552</v>
      </c>
      <c r="AVC28" s="848" t="s">
        <v>4552</v>
      </c>
      <c r="AVD28" s="10" t="s">
        <v>5823</v>
      </c>
      <c r="AVE28" s="10" t="s">
        <v>1221</v>
      </c>
      <c r="AVF28" s="178" t="s">
        <v>6640</v>
      </c>
      <c r="AVG28" s="10">
        <v>0</v>
      </c>
      <c r="AVH28" s="10" t="s">
        <v>2693</v>
      </c>
      <c r="AXA28" s="848" t="s">
        <v>5419</v>
      </c>
      <c r="AXB28" s="848" t="s">
        <v>5423</v>
      </c>
      <c r="AXC28" s="848" t="s">
        <v>469</v>
      </c>
      <c r="AXD28" s="848" t="s">
        <v>4812</v>
      </c>
      <c r="AXE28" s="10" t="s">
        <v>5422</v>
      </c>
      <c r="AXF28" s="10" t="s">
        <v>1152</v>
      </c>
      <c r="AXG28" s="10">
        <v>110</v>
      </c>
      <c r="AYA28" s="976" t="s">
        <v>724</v>
      </c>
      <c r="AYB28" s="7" t="s">
        <v>725</v>
      </c>
      <c r="AYC28" t="s">
        <v>384</v>
      </c>
      <c r="AYF28" s="7"/>
      <c r="BAA28" s="493">
        <v>1</v>
      </c>
      <c r="BAB28" s="493">
        <v>2</v>
      </c>
      <c r="BAC28" s="894">
        <v>3</v>
      </c>
      <c r="BAD28" s="448"/>
      <c r="BEA28" t="s">
        <v>4666</v>
      </c>
      <c r="BEB28">
        <v>2</v>
      </c>
      <c r="BEC28">
        <v>1</v>
      </c>
      <c r="BED28">
        <v>0</v>
      </c>
      <c r="BEE28" s="1008">
        <v>125900</v>
      </c>
      <c r="BEF28" s="210" t="s">
        <v>4668</v>
      </c>
      <c r="BLA28" s="10" t="s">
        <v>5876</v>
      </c>
      <c r="BLB28" s="10" t="s">
        <v>5871</v>
      </c>
      <c r="BLC28" s="10"/>
      <c r="BNA28" s="1005" t="s">
        <v>4806</v>
      </c>
      <c r="BNB28" t="s">
        <v>1209</v>
      </c>
      <c r="BNC28" t="s">
        <v>4825</v>
      </c>
      <c r="BND28" t="s">
        <v>4856</v>
      </c>
      <c r="BPA28" s="1005" t="s">
        <v>4924</v>
      </c>
      <c r="BPB28" t="s">
        <v>4923</v>
      </c>
      <c r="BPZ28" t="s">
        <v>5006</v>
      </c>
      <c r="BQA28" t="s">
        <v>4946</v>
      </c>
      <c r="BQB28" t="s">
        <v>4947</v>
      </c>
      <c r="BQZ28" t="s">
        <v>4995</v>
      </c>
      <c r="BRA28" s="1005" t="s">
        <v>5030</v>
      </c>
      <c r="BRB28" t="s">
        <v>5031</v>
      </c>
      <c r="BRC28" t="s">
        <v>599</v>
      </c>
      <c r="BRD28">
        <v>1</v>
      </c>
      <c r="BRE28" t="s">
        <v>5266</v>
      </c>
      <c r="BRF28" t="s">
        <v>5397</v>
      </c>
      <c r="BWA28" s="1175" t="s">
        <v>4528</v>
      </c>
      <c r="BWB28" s="1188"/>
      <c r="BWC28" s="1186" t="s">
        <v>1221</v>
      </c>
      <c r="BWD28" s="1186"/>
      <c r="BWE28" s="1234" t="s">
        <v>6604</v>
      </c>
      <c r="BWF28" s="1235"/>
      <c r="BWG28" s="1189" t="s">
        <v>6362</v>
      </c>
      <c r="BWH28" s="1189" t="s">
        <v>6362</v>
      </c>
      <c r="BWI28" s="1189" t="s">
        <v>6362</v>
      </c>
      <c r="BWJ28" s="235">
        <v>23</v>
      </c>
    </row>
    <row r="29" spans="1:1017 1042:2008 2810:2814" ht="30" customHeight="1">
      <c r="A29" s="1323" t="s">
        <v>1269</v>
      </c>
      <c r="B29" s="1309">
        <v>35</v>
      </c>
      <c r="C29" s="1313" t="s">
        <v>18</v>
      </c>
      <c r="D29" s="672" t="s">
        <v>3821</v>
      </c>
      <c r="E29" s="1313" t="s">
        <v>4094</v>
      </c>
      <c r="F29" s="1307" t="s">
        <v>233</v>
      </c>
      <c r="G29" s="1308"/>
      <c r="H29" s="1308"/>
      <c r="I29" s="1308"/>
      <c r="J29" s="1308"/>
      <c r="K29" s="416"/>
      <c r="L29" s="2506">
        <f>MATCH(C39, $A$1:$DZG$1,0)</f>
        <v>1144</v>
      </c>
      <c r="M29" t="str">
        <f t="shared" si="1"/>
        <v>AQZ</v>
      </c>
      <c r="N29" s="416"/>
      <c r="O29" s="416"/>
      <c r="P29" s="416"/>
      <c r="Q29" s="416"/>
      <c r="R29" s="416"/>
      <c r="S29" s="416"/>
      <c r="T29" s="416"/>
      <c r="U29" s="416"/>
      <c r="V29" s="416"/>
      <c r="W29" s="416"/>
      <c r="FA29" s="10" t="s">
        <v>4157</v>
      </c>
      <c r="FB29" s="10" t="s">
        <v>770</v>
      </c>
      <c r="FC29" s="10" t="s">
        <v>574</v>
      </c>
      <c r="FD29" s="1243" t="s">
        <v>574</v>
      </c>
      <c r="FE29" s="1242" t="s">
        <v>599</v>
      </c>
      <c r="FF29" s="291">
        <v>5</v>
      </c>
      <c r="FG29" s="1338"/>
      <c r="FH29" s="1339"/>
      <c r="RA29" s="10" t="s">
        <v>4209</v>
      </c>
      <c r="RB29" s="10" t="s">
        <v>4213</v>
      </c>
      <c r="RC29" s="10" t="s">
        <v>695</v>
      </c>
      <c r="RD29" s="10" t="s">
        <v>599</v>
      </c>
      <c r="RE29" s="291" t="s">
        <v>599</v>
      </c>
      <c r="RF29" t="s">
        <v>599</v>
      </c>
      <c r="SA29" s="62" t="s">
        <v>4221</v>
      </c>
      <c r="SB29" s="62" t="s">
        <v>718</v>
      </c>
      <c r="SC29" s="62" t="s">
        <v>574</v>
      </c>
      <c r="SD29" s="62" t="s">
        <v>574</v>
      </c>
      <c r="SE29" s="62" t="s">
        <v>599</v>
      </c>
      <c r="SF29" s="10">
        <v>0</v>
      </c>
      <c r="SG29" s="10">
        <v>0</v>
      </c>
      <c r="SH29" s="10" t="s">
        <v>4222</v>
      </c>
      <c r="UA29" s="10" t="s">
        <v>734</v>
      </c>
      <c r="UB29" s="10" t="s">
        <v>4272</v>
      </c>
      <c r="UC29" s="10" t="s">
        <v>599</v>
      </c>
      <c r="UD29" s="443" t="s">
        <v>574</v>
      </c>
      <c r="UE29" s="443">
        <v>45535</v>
      </c>
      <c r="UF29" s="10">
        <v>1</v>
      </c>
      <c r="UG29" s="10"/>
      <c r="YA29" s="10" t="s">
        <v>547</v>
      </c>
      <c r="YB29" s="10" t="s">
        <v>7607</v>
      </c>
      <c r="YC29" s="970">
        <v>4.5460900000000004</v>
      </c>
      <c r="YD29" s="1737"/>
      <c r="YE29" s="1738"/>
      <c r="ZB29" s="10"/>
      <c r="ZC29" s="10"/>
      <c r="ZD29" s="291"/>
      <c r="AEB29" s="973" t="s">
        <v>1190</v>
      </c>
      <c r="AEC29" s="974" t="s">
        <v>4310</v>
      </c>
      <c r="AED29" s="10" t="s">
        <v>4346</v>
      </c>
      <c r="AEE29" s="10" t="s">
        <v>4337</v>
      </c>
      <c r="AEF29" s="975"/>
      <c r="AEG29" s="855"/>
      <c r="AEH29" s="855"/>
      <c r="AEI29" s="855"/>
      <c r="AEJ29" s="855"/>
      <c r="AEK29" s="855"/>
      <c r="AEL29" s="855"/>
      <c r="AEM29" s="855"/>
      <c r="AEN29" s="855"/>
      <c r="AEO29" s="855"/>
      <c r="AEP29" s="855"/>
      <c r="AEQ29" s="855"/>
      <c r="AER29" s="855"/>
      <c r="AES29" s="855"/>
      <c r="AET29" s="855"/>
      <c r="AEU29" s="855"/>
      <c r="AEV29" s="855"/>
      <c r="AEW29" s="855"/>
      <c r="AEX29" s="855"/>
      <c r="ARA29" s="91"/>
      <c r="ARB29" s="91"/>
      <c r="ARC29" s="91"/>
      <c r="ARD29" s="91"/>
      <c r="ARE29" s="91"/>
      <c r="ATA29" s="1200" t="s">
        <v>4570</v>
      </c>
      <c r="ATB29" s="1200" t="s">
        <v>4570</v>
      </c>
      <c r="ATC29" s="1200" t="s">
        <v>6574</v>
      </c>
      <c r="ATD29" s="1224" t="s">
        <v>6573</v>
      </c>
      <c r="ATE29" s="1199" t="s">
        <v>6302</v>
      </c>
      <c r="ATF29" s="1199" t="s">
        <v>6512</v>
      </c>
      <c r="ATG29" s="1199" t="s">
        <v>6063</v>
      </c>
      <c r="ATH29" s="1199" t="s">
        <v>234</v>
      </c>
      <c r="AVA29" s="848" t="s">
        <v>6345</v>
      </c>
      <c r="AVB29" s="848" t="s">
        <v>6349</v>
      </c>
      <c r="AVC29" s="848" t="s">
        <v>6349</v>
      </c>
      <c r="AVD29" s="10" t="s">
        <v>1221</v>
      </c>
      <c r="AVE29" s="10" t="s">
        <v>1221</v>
      </c>
      <c r="AVF29" s="178" t="s">
        <v>6641</v>
      </c>
      <c r="AVG29" s="10">
        <v>0</v>
      </c>
      <c r="AVH29" s="10" t="s">
        <v>2693</v>
      </c>
      <c r="AXA29" s="848" t="s">
        <v>5419</v>
      </c>
      <c r="AXB29" s="848" t="s">
        <v>5423</v>
      </c>
      <c r="AXC29" s="848" t="s">
        <v>469</v>
      </c>
      <c r="AXD29" s="848" t="s">
        <v>1174</v>
      </c>
      <c r="AXE29" s="986" t="s">
        <v>1220</v>
      </c>
      <c r="AXF29" s="848" t="s">
        <v>625</v>
      </c>
      <c r="AXG29" s="10">
        <v>16</v>
      </c>
      <c r="AYA29" s="976" t="s">
        <v>728</v>
      </c>
      <c r="AYB29" s="7" t="s">
        <v>729</v>
      </c>
      <c r="AYC29" t="s">
        <v>384</v>
      </c>
      <c r="AYF29" s="7"/>
      <c r="BAA29" s="1005"/>
      <c r="BCA29" s="983" t="s">
        <v>4146</v>
      </c>
      <c r="BCB29" s="984"/>
      <c r="BCC29" s="984"/>
      <c r="BCD29" s="984"/>
      <c r="BCE29" s="984"/>
      <c r="BCF29" s="969"/>
      <c r="BEA29" t="s">
        <v>4666</v>
      </c>
      <c r="BEB29">
        <v>2</v>
      </c>
      <c r="BEC29">
        <v>1</v>
      </c>
      <c r="BED29">
        <v>0</v>
      </c>
      <c r="BEE29" s="1008">
        <v>125900</v>
      </c>
      <c r="BEF29" s="210" t="s">
        <v>4668</v>
      </c>
      <c r="BLA29" s="10" t="s">
        <v>5877</v>
      </c>
      <c r="BLB29" s="10" t="s">
        <v>5872</v>
      </c>
      <c r="BLC29" s="10"/>
      <c r="BNA29" s="1005" t="s">
        <v>4806</v>
      </c>
      <c r="BNB29" t="s">
        <v>4810</v>
      </c>
      <c r="BNC29" t="s">
        <v>4826</v>
      </c>
      <c r="BND29" t="s">
        <v>4857</v>
      </c>
      <c r="BPZ29" t="s">
        <v>5007</v>
      </c>
      <c r="BQA29" t="s">
        <v>4948</v>
      </c>
      <c r="BQB29" t="s">
        <v>4949</v>
      </c>
      <c r="BQZ29" t="s">
        <v>4996</v>
      </c>
      <c r="BRA29" s="1005" t="s">
        <v>4493</v>
      </c>
      <c r="BRB29" t="s">
        <v>5032</v>
      </c>
      <c r="BRC29" t="s">
        <v>574</v>
      </c>
      <c r="BRD29">
        <v>1</v>
      </c>
      <c r="BRE29" t="s">
        <v>5267</v>
      </c>
      <c r="BRF29" t="s">
        <v>5398</v>
      </c>
      <c r="BWA29" s="1175" t="s">
        <v>6324</v>
      </c>
      <c r="BWB29" s="1188"/>
      <c r="BWC29" s="1186" t="s">
        <v>6596</v>
      </c>
      <c r="BWD29" s="1186"/>
      <c r="BWE29" s="1233"/>
      <c r="BWF29" s="1235"/>
      <c r="BWG29" s="1189" t="s">
        <v>6362</v>
      </c>
      <c r="BWH29" s="1189" t="s">
        <v>6362</v>
      </c>
      <c r="BWI29" s="1189" t="s">
        <v>6362</v>
      </c>
      <c r="BWJ29" s="235">
        <v>24</v>
      </c>
    </row>
    <row r="30" spans="1:1017 1042:2008 2810:2814" ht="30" customHeight="1">
      <c r="A30" s="1323" t="s">
        <v>1269</v>
      </c>
      <c r="B30" s="1305">
        <v>36</v>
      </c>
      <c r="C30" s="1310" t="s">
        <v>4590</v>
      </c>
      <c r="D30" s="317" t="s">
        <v>3822</v>
      </c>
      <c r="E30" s="1310" t="s">
        <v>3713</v>
      </c>
      <c r="F30" s="1311" t="s">
        <v>233</v>
      </c>
      <c r="G30" s="1319"/>
      <c r="H30" s="1319"/>
      <c r="I30" s="1319"/>
      <c r="J30" s="1319"/>
      <c r="K30" s="433"/>
      <c r="L30" s="2506">
        <f>MATCH(C30, $A$1:$DZG$1,0)</f>
        <v>547</v>
      </c>
      <c r="M30" t="str">
        <f t="shared" si="0"/>
        <v>UA</v>
      </c>
      <c r="N30" s="433"/>
      <c r="O30" s="433"/>
      <c r="P30" s="433"/>
      <c r="Q30" s="433"/>
      <c r="R30" s="433"/>
      <c r="S30" s="433"/>
      <c r="T30" s="433"/>
      <c r="U30" s="433"/>
      <c r="V30" s="433"/>
      <c r="W30" s="433"/>
      <c r="FA30" s="10" t="s">
        <v>773</v>
      </c>
      <c r="FB30" s="10" t="s">
        <v>774</v>
      </c>
      <c r="FC30" s="10" t="s">
        <v>574</v>
      </c>
      <c r="FD30" s="1243" t="s">
        <v>574</v>
      </c>
      <c r="FE30" s="1242" t="s">
        <v>599</v>
      </c>
      <c r="FF30" s="291">
        <v>5</v>
      </c>
      <c r="FG30" s="1338"/>
      <c r="FH30" s="1339"/>
      <c r="PA30" t="s">
        <v>4183</v>
      </c>
      <c r="RA30" s="901"/>
      <c r="SA30" s="10" t="s">
        <v>4228</v>
      </c>
      <c r="SB30" s="10" t="s">
        <v>4229</v>
      </c>
      <c r="SC30" s="10" t="s">
        <v>574</v>
      </c>
      <c r="SD30" s="10" t="s">
        <v>574</v>
      </c>
      <c r="SE30" s="10" t="s">
        <v>574</v>
      </c>
      <c r="SF30" s="10">
        <v>0</v>
      </c>
      <c r="SG30" s="10">
        <v>0</v>
      </c>
      <c r="SH30" s="10" t="s">
        <v>4231</v>
      </c>
      <c r="UA30" s="10" t="s">
        <v>736</v>
      </c>
      <c r="UB30" s="10" t="s">
        <v>4273</v>
      </c>
      <c r="UC30" s="10" t="s">
        <v>599</v>
      </c>
      <c r="UD30" s="443" t="s">
        <v>599</v>
      </c>
      <c r="UE30" s="10"/>
      <c r="UF30" s="10">
        <v>1</v>
      </c>
      <c r="UG30" s="443"/>
      <c r="YA30" s="10" t="s">
        <v>546</v>
      </c>
      <c r="YB30" s="10" t="s">
        <v>713</v>
      </c>
      <c r="YC30" s="970">
        <v>1000</v>
      </c>
      <c r="YD30" s="1737"/>
      <c r="YE30" s="1738"/>
      <c r="ZB30" s="10"/>
      <c r="ZC30" s="10"/>
      <c r="ZD30" s="291"/>
      <c r="AEB30" s="973" t="s">
        <v>4312</v>
      </c>
      <c r="AEC30" s="974" t="s">
        <v>4310</v>
      </c>
      <c r="AED30" s="10" t="s">
        <v>4347</v>
      </c>
      <c r="AEE30" s="10" t="s">
        <v>4337</v>
      </c>
      <c r="AEF30" s="975"/>
      <c r="AEG30" s="855"/>
      <c r="AEH30" s="855"/>
      <c r="AEI30" s="855"/>
      <c r="AEJ30" s="855"/>
      <c r="AEK30" s="855"/>
      <c r="AEL30" s="855"/>
      <c r="AEM30" s="855"/>
      <c r="AEN30" s="855"/>
      <c r="AEO30" s="855"/>
      <c r="AEP30" s="855"/>
      <c r="AEQ30" s="855"/>
      <c r="AER30" s="855"/>
      <c r="AES30" s="855"/>
      <c r="AET30" s="855"/>
      <c r="AEU30" s="855"/>
      <c r="AEV30" s="855"/>
      <c r="AEW30" s="855"/>
      <c r="AEX30" s="855"/>
      <c r="AQZ30" s="2504" t="s">
        <v>7773</v>
      </c>
      <c r="ARA30" s="112" t="s">
        <v>7774</v>
      </c>
      <c r="ARB30" s="2501" t="s">
        <v>7763</v>
      </c>
      <c r="ARC30" s="112"/>
      <c r="ATA30" s="848" t="s">
        <v>6295</v>
      </c>
      <c r="ATB30" s="10" t="s">
        <v>6295</v>
      </c>
      <c r="ATC30" s="848" t="s">
        <v>6533</v>
      </c>
      <c r="ATD30" s="839" t="s">
        <v>6056</v>
      </c>
      <c r="ATE30" s="10" t="s">
        <v>599</v>
      </c>
      <c r="ATF30" s="10" t="s">
        <v>4173</v>
      </c>
      <c r="ATG30" s="10" t="s">
        <v>2090</v>
      </c>
      <c r="ATH30" s="27" t="s">
        <v>6534</v>
      </c>
      <c r="AVA30" s="848" t="s">
        <v>6346</v>
      </c>
      <c r="AVB30" s="10" t="s">
        <v>6350</v>
      </c>
      <c r="AVC30" s="10" t="s">
        <v>6350</v>
      </c>
      <c r="AVD30" s="10" t="s">
        <v>1221</v>
      </c>
      <c r="AVE30" s="10" t="s">
        <v>1221</v>
      </c>
      <c r="AVF30" s="178" t="s">
        <v>6642</v>
      </c>
      <c r="AVG30" s="10">
        <v>0</v>
      </c>
      <c r="AVH30" s="10" t="s">
        <v>2693</v>
      </c>
      <c r="AXA30" s="848" t="s">
        <v>5419</v>
      </c>
      <c r="AXB30" s="848" t="s">
        <v>5423</v>
      </c>
      <c r="AXC30" s="848" t="s">
        <v>469</v>
      </c>
      <c r="AXD30" s="848" t="s">
        <v>5420</v>
      </c>
      <c r="AXE30" s="10" t="s">
        <v>4851</v>
      </c>
      <c r="AXF30" s="848" t="s">
        <v>546</v>
      </c>
      <c r="AXG30" s="10">
        <v>0.06</v>
      </c>
      <c r="AYA30" s="1005" t="s">
        <v>4602</v>
      </c>
      <c r="AYB30" t="s">
        <v>4602</v>
      </c>
      <c r="AYC30" s="1005" t="s">
        <v>783</v>
      </c>
      <c r="AYF30" s="7"/>
      <c r="BAA30" s="1005"/>
      <c r="BCA30" s="493">
        <v>1</v>
      </c>
      <c r="BCB30" s="493">
        <v>2</v>
      </c>
      <c r="BCC30" s="894"/>
      <c r="BCD30" s="894"/>
      <c r="BCE30" s="894">
        <v>3</v>
      </c>
      <c r="BCF30" s="110"/>
      <c r="BEA30" t="s">
        <v>4666</v>
      </c>
      <c r="BEB30">
        <v>2</v>
      </c>
      <c r="BEC30">
        <v>1</v>
      </c>
      <c r="BED30">
        <v>0</v>
      </c>
      <c r="BEE30" s="1008">
        <v>160000</v>
      </c>
      <c r="BEF30" s="210" t="s">
        <v>3769</v>
      </c>
      <c r="BLA30" s="10" t="s">
        <v>5861</v>
      </c>
      <c r="BLB30" s="10" t="s">
        <v>5873</v>
      </c>
      <c r="BLC30" s="10"/>
      <c r="BNA30" s="1005" t="s">
        <v>4806</v>
      </c>
      <c r="BNB30" t="s">
        <v>4811</v>
      </c>
      <c r="BNC30" t="s">
        <v>4827</v>
      </c>
      <c r="BND30" t="s">
        <v>4827</v>
      </c>
      <c r="BPZ30" t="s">
        <v>5008</v>
      </c>
      <c r="BQA30" t="s">
        <v>4950</v>
      </c>
      <c r="BQB30" t="s">
        <v>4951</v>
      </c>
      <c r="BQZ30" t="s">
        <v>4996</v>
      </c>
      <c r="BRA30" s="1005" t="s">
        <v>5033</v>
      </c>
      <c r="BRB30" t="s">
        <v>5034</v>
      </c>
      <c r="BRC30" t="s">
        <v>574</v>
      </c>
      <c r="BRD30">
        <v>1</v>
      </c>
      <c r="BRE30" t="s">
        <v>5268</v>
      </c>
      <c r="BWA30" s="1175" t="s">
        <v>5817</v>
      </c>
      <c r="BWB30" s="1188"/>
      <c r="BWC30" s="1186" t="s">
        <v>6596</v>
      </c>
      <c r="BWD30" s="1186"/>
      <c r="BWE30" s="1233"/>
      <c r="BWF30" s="1235"/>
      <c r="BWG30" s="1189" t="s">
        <v>6362</v>
      </c>
      <c r="BWH30" s="1189" t="s">
        <v>6362</v>
      </c>
      <c r="BWI30" s="1189" t="s">
        <v>6362</v>
      </c>
      <c r="BWJ30" s="235">
        <v>25</v>
      </c>
    </row>
    <row r="31" spans="1:1017 1042:2008 2810:2814" ht="30" customHeight="1">
      <c r="A31" s="1323" t="s">
        <v>1269</v>
      </c>
      <c r="B31" s="1305">
        <v>31</v>
      </c>
      <c r="C31" s="1310" t="s">
        <v>3730</v>
      </c>
      <c r="D31" s="317" t="s">
        <v>3817</v>
      </c>
      <c r="E31" s="1310" t="s">
        <v>3731</v>
      </c>
      <c r="F31" s="1311" t="s">
        <v>233</v>
      </c>
      <c r="G31" s="1312"/>
      <c r="H31" s="1312"/>
      <c r="I31" s="1312"/>
      <c r="J31" s="1312"/>
      <c r="K31" s="198"/>
      <c r="L31" s="2506">
        <f>MATCH(C31, $A$1:$DZG$1,0)</f>
        <v>704</v>
      </c>
      <c r="M31" t="str">
        <f t="shared" si="0"/>
        <v>AAB</v>
      </c>
      <c r="N31" s="198"/>
      <c r="O31" s="198"/>
      <c r="P31" s="198"/>
      <c r="Q31" s="198"/>
      <c r="R31" s="198"/>
      <c r="S31" s="198"/>
      <c r="T31" s="198"/>
      <c r="U31" s="198"/>
      <c r="V31" s="198"/>
      <c r="W31" s="198"/>
      <c r="FA31" s="440" t="s">
        <v>777</v>
      </c>
      <c r="FB31" s="10" t="s">
        <v>778</v>
      </c>
      <c r="FC31" s="10" t="s">
        <v>574</v>
      </c>
      <c r="FD31" s="1336" t="s">
        <v>599</v>
      </c>
      <c r="FE31" s="1241" t="s">
        <v>599</v>
      </c>
      <c r="FF31" s="291" t="s">
        <v>6930</v>
      </c>
      <c r="FG31" s="1338"/>
      <c r="RA31" s="901"/>
      <c r="SA31" s="10" t="s">
        <v>4233</v>
      </c>
      <c r="SB31" s="10"/>
      <c r="SC31" s="10" t="s">
        <v>574</v>
      </c>
      <c r="SD31" s="10" t="s">
        <v>574</v>
      </c>
      <c r="SE31" s="10" t="s">
        <v>574</v>
      </c>
      <c r="SF31" s="10">
        <v>0</v>
      </c>
      <c r="SG31" s="10">
        <v>0</v>
      </c>
      <c r="SH31" s="10"/>
      <c r="UA31" s="10" t="s">
        <v>739</v>
      </c>
      <c r="UB31" s="10" t="s">
        <v>4274</v>
      </c>
      <c r="UC31" s="10" t="s">
        <v>574</v>
      </c>
      <c r="UD31" s="443" t="s">
        <v>574</v>
      </c>
      <c r="UE31" s="443">
        <v>45551</v>
      </c>
      <c r="UF31" s="10">
        <v>1</v>
      </c>
      <c r="UG31" s="443"/>
      <c r="YA31" s="10" t="s">
        <v>579</v>
      </c>
      <c r="YB31" s="10" t="s">
        <v>624</v>
      </c>
      <c r="YC31" s="970">
        <v>1.6093</v>
      </c>
      <c r="YD31" s="1737"/>
      <c r="YE31" s="1738"/>
      <c r="AEB31" s="973" t="s">
        <v>4313</v>
      </c>
      <c r="AEC31" s="974" t="s">
        <v>4314</v>
      </c>
      <c r="AED31" s="10" t="s">
        <v>4347</v>
      </c>
      <c r="AEE31" s="10" t="s">
        <v>2693</v>
      </c>
      <c r="AEF31" s="975"/>
      <c r="AEG31" s="855"/>
      <c r="AEH31" s="855"/>
      <c r="AEI31" s="855"/>
      <c r="AEJ31" s="855"/>
      <c r="AEK31" s="855"/>
      <c r="AEL31" s="855"/>
      <c r="AEM31" s="855"/>
      <c r="AEN31" s="855"/>
      <c r="AEO31" s="855"/>
      <c r="AEP31" s="855"/>
      <c r="AEQ31" s="855"/>
      <c r="AER31" s="855"/>
      <c r="AES31" s="855"/>
      <c r="AET31" s="855"/>
      <c r="AEU31" s="855"/>
      <c r="AEV31" s="855"/>
      <c r="AEW31" s="855"/>
      <c r="AEX31" s="855"/>
      <c r="ATA31" s="848" t="s">
        <v>5833</v>
      </c>
      <c r="ATB31" s="10" t="s">
        <v>6242</v>
      </c>
      <c r="ATC31" s="848" t="s">
        <v>268</v>
      </c>
      <c r="ATD31" s="839" t="s">
        <v>6056</v>
      </c>
      <c r="ATE31" s="10" t="s">
        <v>599</v>
      </c>
      <c r="ATF31" s="10" t="s">
        <v>599</v>
      </c>
      <c r="ATG31" s="10"/>
      <c r="ATH31" s="27" t="s">
        <v>5835</v>
      </c>
      <c r="AVA31" s="848" t="s">
        <v>6347</v>
      </c>
      <c r="AVB31" s="986" t="s">
        <v>6351</v>
      </c>
      <c r="AVC31" s="986" t="s">
        <v>6351</v>
      </c>
      <c r="AVD31" s="10" t="s">
        <v>1221</v>
      </c>
      <c r="AVE31" s="10" t="s">
        <v>1221</v>
      </c>
      <c r="AVF31" s="178" t="s">
        <v>6643</v>
      </c>
      <c r="AVG31" s="10">
        <v>0</v>
      </c>
      <c r="AVH31" s="10" t="s">
        <v>2693</v>
      </c>
      <c r="AYA31" s="976" t="s">
        <v>732</v>
      </c>
      <c r="AYB31" s="7" t="s">
        <v>733</v>
      </c>
      <c r="AYC31" t="s">
        <v>384</v>
      </c>
      <c r="AYF31" s="7"/>
      <c r="BAA31" s="1005"/>
      <c r="BNA31" s="1005" t="s">
        <v>4806</v>
      </c>
      <c r="BNB31" t="s">
        <v>1213</v>
      </c>
      <c r="BNC31" t="s">
        <v>4851</v>
      </c>
      <c r="BND31" t="s">
        <v>4858</v>
      </c>
      <c r="BPZ31" t="s">
        <v>5009</v>
      </c>
      <c r="BQA31" t="s">
        <v>4952</v>
      </c>
      <c r="BQB31" t="s">
        <v>4953</v>
      </c>
      <c r="BQZ31" t="s">
        <v>4996</v>
      </c>
      <c r="BRA31" s="1005" t="s">
        <v>1025</v>
      </c>
      <c r="BRB31" t="s">
        <v>5035</v>
      </c>
      <c r="BRC31" t="s">
        <v>574</v>
      </c>
      <c r="BRD31">
        <v>2</v>
      </c>
      <c r="BRE31" t="s">
        <v>5269</v>
      </c>
      <c r="BWA31" s="1175" t="s">
        <v>6305</v>
      </c>
      <c r="BWB31" s="1188"/>
      <c r="BWC31" s="1186" t="s">
        <v>6597</v>
      </c>
      <c r="BWD31" s="1186"/>
      <c r="BWE31" s="1233"/>
      <c r="BWF31" s="1235"/>
      <c r="BWG31" s="1189" t="s">
        <v>6362</v>
      </c>
      <c r="BWH31" s="1189" t="s">
        <v>6362</v>
      </c>
      <c r="BWI31" s="1189" t="s">
        <v>6362</v>
      </c>
      <c r="BWJ31" s="235">
        <v>26</v>
      </c>
    </row>
    <row r="32" spans="1:1017 1042:2008 2810:2814" ht="30" customHeight="1">
      <c r="A32" s="1323" t="s">
        <v>1291</v>
      </c>
      <c r="B32" s="1305">
        <v>33</v>
      </c>
      <c r="C32" s="672" t="s">
        <v>4732</v>
      </c>
      <c r="D32" s="672" t="s">
        <v>3819</v>
      </c>
      <c r="E32" s="672" t="s">
        <v>4622</v>
      </c>
      <c r="F32" s="1307" t="s">
        <v>233</v>
      </c>
      <c r="G32" s="1308"/>
      <c r="H32" s="1308"/>
      <c r="I32" s="1308"/>
      <c r="J32" s="1308"/>
      <c r="K32" s="198"/>
      <c r="L32" s="2506">
        <f>MATCH(C33, $A$1:$DZG$1,0)</f>
        <v>1535</v>
      </c>
      <c r="M32" t="str">
        <f>SUBSTITUTE(ADDRESS(1, L33, 4), "1", "")</f>
        <v>BGA</v>
      </c>
      <c r="N32" s="198"/>
      <c r="O32" s="198"/>
      <c r="P32" s="198"/>
      <c r="Q32" s="198"/>
      <c r="R32" s="198"/>
      <c r="S32" s="198"/>
      <c r="T32" s="198"/>
      <c r="U32" s="198"/>
      <c r="V32" s="198"/>
      <c r="W32" s="198"/>
      <c r="FA32" s="440" t="s">
        <v>781</v>
      </c>
      <c r="FB32" s="10" t="s">
        <v>6184</v>
      </c>
      <c r="FC32" s="10" t="s">
        <v>574</v>
      </c>
      <c r="FD32" s="1336" t="s">
        <v>599</v>
      </c>
      <c r="FE32" s="1242" t="s">
        <v>574</v>
      </c>
      <c r="FF32" s="291">
        <v>0</v>
      </c>
      <c r="FG32" s="1339"/>
      <c r="RA32" s="901"/>
      <c r="SA32" s="10" t="s">
        <v>4234</v>
      </c>
      <c r="SB32" s="10"/>
      <c r="SC32" s="10" t="s">
        <v>574</v>
      </c>
      <c r="SD32" s="10" t="s">
        <v>574</v>
      </c>
      <c r="SE32" s="10" t="s">
        <v>574</v>
      </c>
      <c r="SF32" s="10">
        <v>0</v>
      </c>
      <c r="SG32" s="10">
        <v>0</v>
      </c>
      <c r="SH32" s="10" t="s">
        <v>4235</v>
      </c>
      <c r="UA32" s="10" t="s">
        <v>742</v>
      </c>
      <c r="UB32" s="10" t="s">
        <v>742</v>
      </c>
      <c r="UC32" s="10" t="s">
        <v>599</v>
      </c>
      <c r="UD32" s="443" t="s">
        <v>599</v>
      </c>
      <c r="UE32" s="10"/>
      <c r="UF32" s="10">
        <v>1</v>
      </c>
      <c r="UG32" s="443"/>
      <c r="YA32" s="10" t="s">
        <v>624</v>
      </c>
      <c r="YB32" s="10" t="s">
        <v>580</v>
      </c>
      <c r="YC32" s="970">
        <v>100</v>
      </c>
      <c r="YD32" s="1737"/>
      <c r="YE32" s="1738"/>
      <c r="AEB32" s="973" t="s">
        <v>4315</v>
      </c>
      <c r="AEC32" s="974" t="s">
        <v>4314</v>
      </c>
      <c r="AED32" s="10" t="s">
        <v>4314</v>
      </c>
      <c r="AEE32" s="10" t="s">
        <v>2693</v>
      </c>
      <c r="AEF32" s="975"/>
      <c r="AEG32" s="855"/>
      <c r="AEH32" s="855"/>
      <c r="AEI32" s="855"/>
      <c r="AEJ32" s="855"/>
      <c r="AEK32" s="855"/>
      <c r="AEL32" s="855"/>
      <c r="AEM32" s="855"/>
      <c r="AEN32" s="855"/>
      <c r="AEO32" s="855"/>
      <c r="AEP32" s="855"/>
      <c r="AEQ32" s="855"/>
      <c r="AER32" s="855"/>
      <c r="AES32" s="855"/>
      <c r="AET32" s="855"/>
      <c r="AEU32" s="855"/>
      <c r="AEV32" s="855"/>
      <c r="AEW32" s="855"/>
      <c r="AEX32" s="855"/>
      <c r="ATA32" s="848" t="s">
        <v>4796</v>
      </c>
      <c r="ATB32" s="10" t="s">
        <v>4801</v>
      </c>
      <c r="ATC32" s="848" t="s">
        <v>268</v>
      </c>
      <c r="ATD32" s="839" t="s">
        <v>6056</v>
      </c>
      <c r="ATE32" s="10" t="s">
        <v>599</v>
      </c>
      <c r="ATF32" s="10" t="s">
        <v>599</v>
      </c>
      <c r="ATG32" s="10"/>
      <c r="ATH32" s="27"/>
      <c r="AVA32" s="848" t="s">
        <v>4553</v>
      </c>
      <c r="AVB32" s="848" t="s">
        <v>6498</v>
      </c>
      <c r="AVC32" s="848" t="s">
        <v>6629</v>
      </c>
      <c r="AVD32" s="10" t="s">
        <v>4796</v>
      </c>
      <c r="AVE32" s="10" t="s">
        <v>6635</v>
      </c>
      <c r="AVF32" s="178" t="s">
        <v>6644</v>
      </c>
      <c r="AVG32" s="10">
        <v>0</v>
      </c>
      <c r="AVH32" s="10" t="s">
        <v>2693</v>
      </c>
      <c r="AYA32" s="976" t="s">
        <v>735</v>
      </c>
      <c r="AYB32" s="976" t="s">
        <v>4599</v>
      </c>
      <c r="AYC32" t="s">
        <v>384</v>
      </c>
      <c r="AYF32" s="7"/>
      <c r="BLA32" t="s">
        <v>5874</v>
      </c>
      <c r="BNA32" s="1005" t="s">
        <v>4806</v>
      </c>
      <c r="BNB32" t="s">
        <v>4812</v>
      </c>
      <c r="BNC32" t="s">
        <v>4852</v>
      </c>
      <c r="BND32" t="s">
        <v>4859</v>
      </c>
      <c r="BPZ32" t="s">
        <v>5010</v>
      </c>
      <c r="BQA32" t="s">
        <v>3561</v>
      </c>
      <c r="BQB32" t="s">
        <v>4954</v>
      </c>
      <c r="BQZ32" t="s">
        <v>4996</v>
      </c>
      <c r="BRA32" t="s">
        <v>5036</v>
      </c>
      <c r="BRB32" t="s">
        <v>5037</v>
      </c>
      <c r="BRC32" t="s">
        <v>574</v>
      </c>
      <c r="BRD32">
        <v>2</v>
      </c>
      <c r="BRE32" t="s">
        <v>5270</v>
      </c>
      <c r="BWA32" s="1175" t="s">
        <v>6304</v>
      </c>
      <c r="BWB32" s="1188"/>
      <c r="BWC32" s="1186" t="s">
        <v>6597</v>
      </c>
      <c r="BWD32" s="1186"/>
      <c r="BWE32" s="1233"/>
      <c r="BWF32" s="1235"/>
      <c r="BWG32" s="1189" t="s">
        <v>6362</v>
      </c>
      <c r="BWH32" s="1189" t="s">
        <v>6362</v>
      </c>
      <c r="BWI32" s="1189" t="s">
        <v>6362</v>
      </c>
      <c r="BWJ32" s="235">
        <v>27</v>
      </c>
    </row>
    <row r="33" spans="1:830 1197:1952" ht="30" customHeight="1">
      <c r="A33" s="1323" t="s">
        <v>1269</v>
      </c>
      <c r="B33" s="1309">
        <v>70</v>
      </c>
      <c r="C33" s="1310" t="s">
        <v>6762</v>
      </c>
      <c r="D33" s="317" t="s">
        <v>6763</v>
      </c>
      <c r="E33" s="317" t="s">
        <v>6764</v>
      </c>
      <c r="F33" s="1311" t="s">
        <v>233</v>
      </c>
      <c r="G33" s="1316"/>
      <c r="H33" s="1316"/>
      <c r="I33" s="1316"/>
      <c r="J33" s="1316"/>
      <c r="K33" s="416"/>
      <c r="L33" s="2506">
        <f>MATCH(C33, $A$1:$DZG$1,0)</f>
        <v>1535</v>
      </c>
      <c r="M33" t="str">
        <f t="shared" si="0"/>
        <v>BGA</v>
      </c>
      <c r="N33" s="416"/>
      <c r="O33" s="416"/>
      <c r="P33" s="416"/>
      <c r="Q33" s="416"/>
      <c r="R33" s="416"/>
      <c r="S33" s="416"/>
      <c r="T33" s="416"/>
      <c r="U33" s="416"/>
      <c r="V33" s="416"/>
      <c r="W33" s="416"/>
      <c r="FA33" s="440" t="s">
        <v>782</v>
      </c>
      <c r="FB33" s="10" t="s">
        <v>6185</v>
      </c>
      <c r="FC33" s="10" t="s">
        <v>599</v>
      </c>
      <c r="FD33" s="1243" t="s">
        <v>574</v>
      </c>
      <c r="FE33" s="1242" t="s">
        <v>599</v>
      </c>
      <c r="FF33" s="291">
        <v>0</v>
      </c>
      <c r="FG33" s="1339"/>
      <c r="UA33" s="10" t="s">
        <v>745</v>
      </c>
      <c r="UB33" s="10" t="s">
        <v>4275</v>
      </c>
      <c r="UC33" s="10" t="s">
        <v>599</v>
      </c>
      <c r="UD33" s="443" t="s">
        <v>599</v>
      </c>
      <c r="UE33" s="443">
        <v>45597</v>
      </c>
      <c r="UF33" s="10">
        <v>1</v>
      </c>
      <c r="UG33" s="443"/>
      <c r="YA33" s="10" t="s">
        <v>624</v>
      </c>
      <c r="YB33" s="10" t="s">
        <v>649</v>
      </c>
      <c r="YC33" s="970">
        <v>3.28</v>
      </c>
      <c r="YD33" s="1737"/>
      <c r="YE33" s="1738"/>
      <c r="AEB33" s="973" t="s">
        <v>4318</v>
      </c>
      <c r="AEC33" s="974" t="s">
        <v>4351</v>
      </c>
      <c r="AED33" s="10" t="s">
        <v>4314</v>
      </c>
      <c r="AEE33" s="10" t="s">
        <v>2693</v>
      </c>
      <c r="AEF33" s="975"/>
      <c r="AEG33" s="855"/>
      <c r="AEH33" s="855"/>
      <c r="AEI33" s="855"/>
      <c r="AEJ33" s="855"/>
      <c r="AEK33" s="855"/>
      <c r="AEL33" s="855"/>
      <c r="AEM33" s="855"/>
      <c r="AEN33" s="855"/>
      <c r="AEO33" s="855"/>
      <c r="AEP33" s="855"/>
      <c r="AEQ33" s="855"/>
      <c r="AER33" s="855"/>
      <c r="AES33" s="855"/>
      <c r="AET33" s="855"/>
      <c r="AEU33" s="855"/>
      <c r="AEV33" s="855"/>
      <c r="AEW33" s="855"/>
      <c r="AEX33" s="855"/>
      <c r="ATA33" s="848" t="s">
        <v>953</v>
      </c>
      <c r="ATB33" s="10" t="s">
        <v>5837</v>
      </c>
      <c r="ATC33" s="848" t="s">
        <v>4530</v>
      </c>
      <c r="ATD33" s="839" t="s">
        <v>6298</v>
      </c>
      <c r="ATE33" s="10" t="s">
        <v>599</v>
      </c>
      <c r="ATF33" s="10" t="s">
        <v>4173</v>
      </c>
      <c r="ATG33" s="10" t="s">
        <v>6537</v>
      </c>
      <c r="ATH33" s="27" t="s">
        <v>6301</v>
      </c>
      <c r="AVA33" s="848" t="s">
        <v>153</v>
      </c>
      <c r="AVB33" s="848" t="s">
        <v>6628</v>
      </c>
      <c r="AVC33" s="848" t="s">
        <v>6628</v>
      </c>
      <c r="AVD33" s="10" t="s">
        <v>2090</v>
      </c>
      <c r="AVE33" s="10" t="s">
        <v>6628</v>
      </c>
      <c r="AVF33" s="178" t="s">
        <v>6645</v>
      </c>
      <c r="AVG33" s="10">
        <v>0</v>
      </c>
      <c r="AVH33" s="10" t="s">
        <v>2693</v>
      </c>
      <c r="AYA33" s="976" t="s">
        <v>737</v>
      </c>
      <c r="AYB33" s="976" t="s">
        <v>4619</v>
      </c>
      <c r="AYC33" t="s">
        <v>384</v>
      </c>
      <c r="AYF33" s="7"/>
      <c r="BEA33" t="s">
        <v>4667</v>
      </c>
      <c r="BLA33" t="s">
        <v>5875</v>
      </c>
      <c r="BNA33" s="1005" t="s">
        <v>4806</v>
      </c>
      <c r="BNB33" t="s">
        <v>1202</v>
      </c>
      <c r="BNC33" t="s">
        <v>4853</v>
      </c>
      <c r="BND33" t="s">
        <v>4860</v>
      </c>
      <c r="BPZ33" t="s">
        <v>5011</v>
      </c>
      <c r="BQA33" t="s">
        <v>4955</v>
      </c>
      <c r="BQB33" t="s">
        <v>4956</v>
      </c>
      <c r="BQZ33" t="s">
        <v>4996</v>
      </c>
      <c r="BRA33" t="s">
        <v>5038</v>
      </c>
      <c r="BRB33" t="s">
        <v>5039</v>
      </c>
      <c r="BRC33" t="s">
        <v>599</v>
      </c>
      <c r="BRD33">
        <v>3</v>
      </c>
      <c r="BRE33" t="s">
        <v>5271</v>
      </c>
    </row>
    <row r="34" spans="1:830 1197:1952" ht="30" customHeight="1">
      <c r="A34" s="1323" t="s">
        <v>1269</v>
      </c>
      <c r="B34" s="1305">
        <v>34</v>
      </c>
      <c r="C34" s="672" t="s">
        <v>6697</v>
      </c>
      <c r="D34" s="672" t="s">
        <v>3820</v>
      </c>
      <c r="E34" s="672" t="s">
        <v>4633</v>
      </c>
      <c r="F34" s="1307" t="s">
        <v>233</v>
      </c>
      <c r="G34" s="1308"/>
      <c r="H34" s="1308"/>
      <c r="I34" s="1308"/>
      <c r="J34" s="1308"/>
      <c r="K34" s="416"/>
      <c r="L34" s="2506">
        <f>MATCH(C34, $A$1:$DZG$1,0)</f>
        <v>1509</v>
      </c>
      <c r="M34" t="str">
        <f t="shared" si="0"/>
        <v>BFA</v>
      </c>
      <c r="N34" s="416"/>
      <c r="O34" s="416"/>
      <c r="P34" s="416"/>
      <c r="Q34" s="416"/>
      <c r="R34" s="416"/>
      <c r="S34" s="416"/>
      <c r="T34" s="416"/>
      <c r="U34" s="416"/>
      <c r="V34" s="416"/>
      <c r="W34" s="416"/>
      <c r="FA34" s="440" t="s">
        <v>4158</v>
      </c>
      <c r="FB34" s="10" t="s">
        <v>4147</v>
      </c>
      <c r="FC34" s="10" t="s">
        <v>599</v>
      </c>
      <c r="FD34" s="1243" t="s">
        <v>574</v>
      </c>
      <c r="FE34" s="1242" t="s">
        <v>599</v>
      </c>
      <c r="FF34" s="291">
        <v>0</v>
      </c>
      <c r="FG34" s="1339"/>
      <c r="UA34" s="10" t="s">
        <v>750</v>
      </c>
      <c r="UB34" s="10" t="s">
        <v>4276</v>
      </c>
      <c r="UC34" s="10" t="s">
        <v>599</v>
      </c>
      <c r="UD34" s="443" t="s">
        <v>574</v>
      </c>
      <c r="UE34" s="443">
        <v>45651</v>
      </c>
      <c r="UF34" s="10">
        <v>1</v>
      </c>
      <c r="UG34" s="443"/>
      <c r="YA34" s="10" t="s">
        <v>624</v>
      </c>
      <c r="YB34" s="10" t="s">
        <v>517</v>
      </c>
      <c r="YC34" s="970">
        <v>39.36</v>
      </c>
      <c r="YD34" s="1737"/>
      <c r="YE34" s="1738"/>
      <c r="AEB34" s="973" t="s">
        <v>4307</v>
      </c>
      <c r="AEC34" s="974" t="s">
        <v>4308</v>
      </c>
      <c r="AED34" s="62" t="s">
        <v>4348</v>
      </c>
      <c r="AEE34" s="10" t="s">
        <v>2693</v>
      </c>
      <c r="AEF34" s="975"/>
      <c r="AEG34" s="855"/>
      <c r="AEH34" s="855"/>
      <c r="AEI34" s="855"/>
      <c r="AEJ34" s="855"/>
      <c r="AEK34" s="855"/>
      <c r="AEL34" s="855"/>
      <c r="AEM34" s="855"/>
      <c r="AEN34" s="855"/>
      <c r="AEO34" s="855"/>
      <c r="AEP34" s="855"/>
      <c r="AEQ34" s="855"/>
      <c r="AER34" s="855"/>
      <c r="AES34" s="855"/>
      <c r="AET34" s="855"/>
      <c r="AEU34" s="855"/>
      <c r="AEV34" s="855"/>
      <c r="AEW34" s="855"/>
      <c r="AEX34" s="855"/>
      <c r="ATA34" s="848" t="s">
        <v>949</v>
      </c>
      <c r="ATB34" s="10" t="s">
        <v>5838</v>
      </c>
      <c r="ATC34" s="848" t="s">
        <v>268</v>
      </c>
      <c r="ATD34" s="839" t="s">
        <v>6298</v>
      </c>
      <c r="ATE34" s="10" t="s">
        <v>599</v>
      </c>
      <c r="ATF34" s="10" t="s">
        <v>4173</v>
      </c>
      <c r="ATG34" s="10" t="s">
        <v>145</v>
      </c>
      <c r="ATH34" s="27" t="s">
        <v>5822</v>
      </c>
      <c r="AYA34" s="1005" t="s">
        <v>771</v>
      </c>
      <c r="AYB34" s="7" t="s">
        <v>772</v>
      </c>
      <c r="AYC34" t="s">
        <v>384</v>
      </c>
      <c r="BPZ34" t="s">
        <v>5012</v>
      </c>
      <c r="BQA34" t="s">
        <v>4957</v>
      </c>
      <c r="BQB34" t="s">
        <v>4958</v>
      </c>
      <c r="BQZ34" t="s">
        <v>4996</v>
      </c>
      <c r="BRA34" t="s">
        <v>5040</v>
      </c>
      <c r="BRB34" t="s">
        <v>5041</v>
      </c>
      <c r="BRC34" t="s">
        <v>599</v>
      </c>
      <c r="BRD34">
        <v>4</v>
      </c>
      <c r="BRE34" t="s">
        <v>5272</v>
      </c>
    </row>
    <row r="35" spans="1:830 1197:1952" ht="30" customHeight="1">
      <c r="A35" s="1323" t="s">
        <v>3768</v>
      </c>
      <c r="B35" s="1305">
        <v>33</v>
      </c>
      <c r="C35" s="672" t="s">
        <v>6778</v>
      </c>
      <c r="D35" s="2509" t="s">
        <v>3819</v>
      </c>
      <c r="E35" s="672" t="s">
        <v>4631</v>
      </c>
      <c r="F35" s="1307" t="s">
        <v>233</v>
      </c>
      <c r="G35" s="1308"/>
      <c r="H35" s="1308"/>
      <c r="I35" s="1308"/>
      <c r="J35" s="1308"/>
      <c r="K35" s="416"/>
      <c r="L35" s="2506">
        <f>MATCH(C35, $A$1:$DZG$1,0)</f>
        <v>1431</v>
      </c>
      <c r="M35" s="416"/>
      <c r="N35" s="416"/>
      <c r="O35" s="416"/>
      <c r="P35" s="416"/>
      <c r="Q35" s="416"/>
      <c r="R35" s="416"/>
      <c r="S35" s="416"/>
      <c r="T35" s="416"/>
      <c r="U35" s="416"/>
      <c r="V35" s="416"/>
      <c r="W35" s="416"/>
      <c r="SA35" s="1" t="s">
        <v>4249</v>
      </c>
      <c r="UA35" s="10" t="s">
        <v>755</v>
      </c>
      <c r="UB35" s="10" t="s">
        <v>4277</v>
      </c>
      <c r="UC35" s="10" t="s">
        <v>574</v>
      </c>
      <c r="UD35" s="443" t="s">
        <v>574</v>
      </c>
      <c r="UE35" s="443">
        <v>45413</v>
      </c>
      <c r="UF35" s="10">
        <v>1</v>
      </c>
      <c r="UG35" s="443"/>
      <c r="YA35" s="10" t="s">
        <v>624</v>
      </c>
      <c r="YB35" s="10" t="s">
        <v>601</v>
      </c>
      <c r="YC35" s="970">
        <v>1000</v>
      </c>
      <c r="YD35" s="1737"/>
      <c r="YE35" s="1738"/>
      <c r="AEB35" s="973" t="s">
        <v>1190</v>
      </c>
      <c r="AEC35" s="974" t="s">
        <v>4308</v>
      </c>
      <c r="AED35" s="10" t="s">
        <v>4349</v>
      </c>
      <c r="AEE35" s="10" t="s">
        <v>2693</v>
      </c>
      <c r="AEF35" s="975"/>
      <c r="AEG35" s="855"/>
      <c r="AEH35" s="855"/>
      <c r="AEI35" s="855"/>
      <c r="AEJ35" s="855"/>
      <c r="AEK35" s="855"/>
      <c r="AEL35" s="855"/>
      <c r="AEM35" s="855"/>
      <c r="AEN35" s="855"/>
      <c r="AEO35" s="855"/>
      <c r="AEP35" s="855"/>
      <c r="AEQ35" s="855"/>
      <c r="AER35" s="855"/>
      <c r="AES35" s="855"/>
      <c r="AET35" s="855"/>
      <c r="AEU35" s="855"/>
      <c r="AEV35" s="855"/>
      <c r="AEW35" s="855"/>
      <c r="AEX35" s="855"/>
      <c r="ATA35" s="848" t="s">
        <v>6293</v>
      </c>
      <c r="ATB35" s="10" t="s">
        <v>6296</v>
      </c>
      <c r="ATC35" s="848" t="s">
        <v>268</v>
      </c>
      <c r="ATD35" s="839" t="s">
        <v>6056</v>
      </c>
      <c r="ATE35" s="10" t="s">
        <v>599</v>
      </c>
      <c r="ATF35" s="10" t="s">
        <v>4173</v>
      </c>
      <c r="ATG35" s="10" t="s">
        <v>6538</v>
      </c>
      <c r="ATH35" s="27"/>
      <c r="AXZ35" s="976" t="s">
        <v>740</v>
      </c>
      <c r="AYA35" t="s">
        <v>741</v>
      </c>
      <c r="AYB35" s="1005" t="s">
        <v>783</v>
      </c>
      <c r="AYE35" s="7"/>
      <c r="BMZ35" s="1005" t="s">
        <v>4865</v>
      </c>
      <c r="BPY35" t="s">
        <v>5013</v>
      </c>
      <c r="BPZ35" t="s">
        <v>4959</v>
      </c>
      <c r="BQA35" t="s">
        <v>4960</v>
      </c>
      <c r="BQY35" t="s">
        <v>4996</v>
      </c>
      <c r="BQZ35" t="s">
        <v>5042</v>
      </c>
      <c r="BRA35" t="s">
        <v>5043</v>
      </c>
      <c r="BRB35" t="s">
        <v>599</v>
      </c>
      <c r="BRC35">
        <v>5</v>
      </c>
      <c r="BRD35" t="s">
        <v>5273</v>
      </c>
    </row>
    <row r="36" spans="1:830 1197:1952" ht="30" customHeight="1">
      <c r="A36" s="1323" t="s">
        <v>1261</v>
      </c>
      <c r="B36" s="1305">
        <v>38</v>
      </c>
      <c r="C36" s="1306" t="s">
        <v>7784</v>
      </c>
      <c r="D36" s="317" t="s">
        <v>3824</v>
      </c>
      <c r="E36" s="317" t="s">
        <v>6198</v>
      </c>
      <c r="F36" s="1311" t="s">
        <v>233</v>
      </c>
      <c r="G36" s="1316"/>
      <c r="H36" s="1316"/>
      <c r="I36" s="1316"/>
      <c r="J36" s="2510" t="s">
        <v>7785</v>
      </c>
      <c r="L36" s="2506" t="e">
        <f>MATCH(C36, $A$1:$DZG$1,0)</f>
        <v>#N/A</v>
      </c>
      <c r="M36" t="e">
        <f t="shared" si="0"/>
        <v>#N/A</v>
      </c>
      <c r="FA36" s="950" t="s">
        <v>6191</v>
      </c>
      <c r="SA36" s="1" t="s">
        <v>4252</v>
      </c>
      <c r="UE36" s="253"/>
      <c r="UF36" s="965"/>
      <c r="YA36" s="10" t="s">
        <v>731</v>
      </c>
      <c r="YB36" s="10" t="s">
        <v>625</v>
      </c>
      <c r="YC36" s="1461">
        <v>1000</v>
      </c>
      <c r="YD36" s="1737"/>
      <c r="YE36" s="1738"/>
      <c r="AEG36" s="855"/>
      <c r="AEH36" s="855"/>
      <c r="AEI36" s="855"/>
      <c r="AEJ36" s="855"/>
      <c r="AEK36" s="855"/>
      <c r="AEL36" s="855"/>
      <c r="AEM36" s="855"/>
      <c r="AEN36" s="855"/>
      <c r="AEO36" s="855"/>
      <c r="AEP36" s="855"/>
      <c r="AEQ36" s="855"/>
      <c r="AER36" s="855"/>
      <c r="AES36" s="855"/>
      <c r="AET36" s="855"/>
      <c r="AEU36" s="855"/>
      <c r="AEV36" s="855"/>
      <c r="AEW36" s="855"/>
      <c r="AEX36" s="855"/>
      <c r="ATA36" s="848" t="s">
        <v>6294</v>
      </c>
      <c r="ATB36" s="10" t="s">
        <v>6297</v>
      </c>
      <c r="ATC36" s="848" t="s">
        <v>4530</v>
      </c>
      <c r="ATD36" s="839" t="s">
        <v>6056</v>
      </c>
      <c r="ATE36" s="10" t="s">
        <v>599</v>
      </c>
      <c r="ATF36" s="10" t="s">
        <v>4173</v>
      </c>
      <c r="ATG36" s="10" t="s">
        <v>145</v>
      </c>
      <c r="ATH36" s="27" t="s">
        <v>5822</v>
      </c>
      <c r="AXZ36" s="976" t="s">
        <v>743</v>
      </c>
      <c r="AYA36" s="7" t="s">
        <v>744</v>
      </c>
      <c r="AYB36" t="s">
        <v>384</v>
      </c>
      <c r="BMZ36" s="1005" t="s">
        <v>4862</v>
      </c>
      <c r="BPY36" t="s">
        <v>5014</v>
      </c>
      <c r="BPZ36" t="s">
        <v>3851</v>
      </c>
      <c r="BQA36" t="s">
        <v>4961</v>
      </c>
      <c r="BQY36" t="s">
        <v>4996</v>
      </c>
      <c r="BQZ36" t="s">
        <v>5044</v>
      </c>
      <c r="BRA36" t="s">
        <v>5045</v>
      </c>
      <c r="BRB36" t="s">
        <v>599</v>
      </c>
      <c r="BRC36">
        <v>6</v>
      </c>
      <c r="BRD36" t="s">
        <v>5274</v>
      </c>
      <c r="BWA36" s="246" t="s">
        <v>434</v>
      </c>
      <c r="BWB36" t="s">
        <v>6361</v>
      </c>
    </row>
    <row r="37" spans="1:830 1197:1952" ht="30" customHeight="1">
      <c r="A37" s="1323" t="s">
        <v>1261</v>
      </c>
      <c r="B37" s="1305">
        <v>39</v>
      </c>
      <c r="C37" s="1306" t="s">
        <v>25</v>
      </c>
      <c r="D37" s="672" t="s">
        <v>3825</v>
      </c>
      <c r="E37" s="1313" t="s">
        <v>4105</v>
      </c>
      <c r="F37" s="1307" t="s">
        <v>233</v>
      </c>
      <c r="G37" s="1315"/>
      <c r="H37" s="1315"/>
      <c r="I37" s="1315"/>
      <c r="J37" s="1315"/>
      <c r="L37" s="2506">
        <f>MATCH(C37, $A$1:$DZG$1,0)</f>
        <v>391</v>
      </c>
      <c r="M37" t="str">
        <f t="shared" si="0"/>
        <v>OA</v>
      </c>
      <c r="FA37" s="289" t="s">
        <v>6186</v>
      </c>
      <c r="SA37" s="1" t="s">
        <v>4250</v>
      </c>
      <c r="UE37" s="253"/>
      <c r="UF37" s="253"/>
      <c r="AEG37" s="855"/>
      <c r="AEH37" s="855"/>
      <c r="AEI37" s="855"/>
      <c r="AEJ37" s="855"/>
      <c r="AEK37" s="855"/>
      <c r="AEL37" s="855"/>
      <c r="AEM37" s="855"/>
      <c r="AEN37" s="855"/>
      <c r="AEO37" s="855"/>
      <c r="AEP37" s="855"/>
      <c r="AEQ37" s="855"/>
      <c r="AER37" s="855"/>
      <c r="AES37" s="855"/>
      <c r="AET37" s="855"/>
      <c r="AEU37" s="855"/>
      <c r="AEV37" s="855"/>
      <c r="AEW37" s="855"/>
      <c r="AEX37" s="855"/>
      <c r="ATA37" s="848" t="s">
        <v>5827</v>
      </c>
      <c r="ATB37" s="10" t="s">
        <v>5839</v>
      </c>
      <c r="ATC37" s="848" t="s">
        <v>5818</v>
      </c>
      <c r="ATD37" s="839" t="s">
        <v>5818</v>
      </c>
      <c r="ATE37" s="10" t="s">
        <v>574</v>
      </c>
      <c r="ATF37" s="10" t="s">
        <v>4173</v>
      </c>
      <c r="ATG37" s="10" t="s">
        <v>6539</v>
      </c>
      <c r="ATH37" s="27" t="s">
        <v>5828</v>
      </c>
      <c r="AXZ37" s="1005" t="s">
        <v>746</v>
      </c>
      <c r="AYA37" t="s">
        <v>747</v>
      </c>
      <c r="AYB37" t="s">
        <v>384</v>
      </c>
      <c r="BMZ37" s="1005" t="s">
        <v>4863</v>
      </c>
      <c r="BPY37" t="s">
        <v>5015</v>
      </c>
      <c r="BPZ37" t="s">
        <v>4962</v>
      </c>
      <c r="BQA37" t="s">
        <v>4963</v>
      </c>
      <c r="BQY37" t="s">
        <v>4997</v>
      </c>
      <c r="BQZ37" t="s">
        <v>5046</v>
      </c>
      <c r="BRA37" t="s">
        <v>5047</v>
      </c>
      <c r="BRB37" t="s">
        <v>574</v>
      </c>
      <c r="BRC37">
        <v>1</v>
      </c>
      <c r="BRD37" t="s">
        <v>5275</v>
      </c>
      <c r="BWB37" t="s">
        <v>6363</v>
      </c>
    </row>
    <row r="38" spans="1:830 1197:1952" ht="30" customHeight="1">
      <c r="A38" s="1323" t="s">
        <v>1261</v>
      </c>
      <c r="B38" s="1309">
        <v>40</v>
      </c>
      <c r="C38" s="1306" t="s">
        <v>26</v>
      </c>
      <c r="D38" s="317" t="s">
        <v>3826</v>
      </c>
      <c r="E38" s="1310" t="s">
        <v>3682</v>
      </c>
      <c r="F38" s="1311" t="s">
        <v>233</v>
      </c>
      <c r="G38" s="1316"/>
      <c r="H38" s="1316"/>
      <c r="I38" s="1316"/>
      <c r="J38" s="1316"/>
      <c r="L38" s="2506">
        <f>MATCH(C38, $A$1:$DZG$1,0)</f>
        <v>339</v>
      </c>
      <c r="M38" t="str">
        <f t="shared" si="0"/>
        <v>MA</v>
      </c>
      <c r="FA38" s="289" t="s">
        <v>6192</v>
      </c>
      <c r="SA38" s="1" t="s">
        <v>4251</v>
      </c>
      <c r="UA38" t="s">
        <v>765</v>
      </c>
      <c r="AEG38" s="855"/>
      <c r="AEH38" s="855"/>
      <c r="AEI38" s="855"/>
      <c r="AEJ38" s="855"/>
      <c r="AEK38" s="855"/>
      <c r="AEL38" s="855"/>
      <c r="AEM38" s="855"/>
      <c r="AEN38" s="855"/>
      <c r="AEO38" s="855"/>
      <c r="AEP38" s="855"/>
      <c r="AEQ38" s="855"/>
      <c r="AER38" s="855"/>
      <c r="AES38" s="855"/>
      <c r="AET38" s="855"/>
      <c r="AEU38" s="855"/>
      <c r="AEV38" s="855"/>
      <c r="AEW38" s="855"/>
      <c r="AEX38" s="855"/>
      <c r="ATA38" s="848" t="s">
        <v>1173</v>
      </c>
      <c r="ATB38" s="10" t="s">
        <v>6309</v>
      </c>
      <c r="ATC38" s="848" t="s">
        <v>5818</v>
      </c>
      <c r="ATD38" s="839" t="s">
        <v>5818</v>
      </c>
      <c r="ATE38" s="10" t="s">
        <v>574</v>
      </c>
      <c r="ATF38" s="10" t="s">
        <v>599</v>
      </c>
      <c r="ATG38" s="10"/>
      <c r="ATH38" s="27" t="s">
        <v>6306</v>
      </c>
      <c r="AXZ38" s="1005" t="s">
        <v>756</v>
      </c>
      <c r="AYA38" s="7" t="s">
        <v>757</v>
      </c>
      <c r="AYB38" t="s">
        <v>384</v>
      </c>
      <c r="BMZ38" s="1005" t="s">
        <v>4864</v>
      </c>
      <c r="BPY38" t="s">
        <v>5016</v>
      </c>
      <c r="BPZ38" t="s">
        <v>4964</v>
      </c>
      <c r="BQA38" t="s">
        <v>4965</v>
      </c>
      <c r="BQY38" t="s">
        <v>4997</v>
      </c>
      <c r="BQZ38" t="s">
        <v>5048</v>
      </c>
      <c r="BRA38" t="s">
        <v>5049</v>
      </c>
      <c r="BRB38" t="s">
        <v>574</v>
      </c>
      <c r="BRC38">
        <v>1</v>
      </c>
      <c r="BRD38" t="s">
        <v>5276</v>
      </c>
      <c r="BWB38" t="s">
        <v>6368</v>
      </c>
    </row>
    <row r="39" spans="1:830 1197:1952" ht="30" customHeight="1">
      <c r="A39" s="1323" t="s">
        <v>1261</v>
      </c>
      <c r="B39" s="1305">
        <v>66</v>
      </c>
      <c r="C39" s="1306" t="s">
        <v>7739</v>
      </c>
      <c r="D39" s="317" t="s">
        <v>4623</v>
      </c>
      <c r="E39" s="1310" t="s">
        <v>7786</v>
      </c>
      <c r="F39" s="1311" t="s">
        <v>233</v>
      </c>
      <c r="G39" s="1316"/>
      <c r="H39" s="1316"/>
      <c r="I39" s="1316"/>
      <c r="J39" s="1316"/>
      <c r="L39" s="2506">
        <f>MATCH(C39, $A$1:$DZG$1,0)</f>
        <v>1144</v>
      </c>
      <c r="M39" t="str">
        <f t="shared" si="0"/>
        <v>AQZ</v>
      </c>
      <c r="FA39" s="448" t="s">
        <v>4149</v>
      </c>
      <c r="UA39" t="s">
        <v>4278</v>
      </c>
      <c r="AEG39" s="855"/>
      <c r="AEH39" s="855"/>
      <c r="AEI39" s="855"/>
      <c r="AEJ39" s="855"/>
      <c r="AEK39" s="855"/>
      <c r="AEL39" s="855"/>
      <c r="AEM39" s="855"/>
      <c r="AEN39" s="855"/>
      <c r="AEO39" s="855"/>
      <c r="AEP39" s="855"/>
      <c r="AEQ39" s="855"/>
      <c r="AER39" s="855"/>
      <c r="AES39" s="855"/>
      <c r="AET39" s="855"/>
      <c r="AEU39" s="855"/>
      <c r="AEV39" s="855"/>
      <c r="AEW39" s="855"/>
      <c r="AEX39" s="855"/>
      <c r="ATA39" s="848" t="s">
        <v>4527</v>
      </c>
      <c r="ATB39" s="10" t="s">
        <v>5840</v>
      </c>
      <c r="ATC39" s="848" t="s">
        <v>268</v>
      </c>
      <c r="ATD39" s="839" t="s">
        <v>6056</v>
      </c>
      <c r="ATE39" s="10" t="s">
        <v>599</v>
      </c>
      <c r="ATF39" s="10" t="s">
        <v>599</v>
      </c>
      <c r="ATG39" s="10"/>
      <c r="ATH39" s="27"/>
      <c r="AXZ39" s="1005" t="s">
        <v>751</v>
      </c>
      <c r="AYA39" t="s">
        <v>752</v>
      </c>
      <c r="AYB39" t="s">
        <v>384</v>
      </c>
      <c r="BMZ39" s="1005" t="s">
        <v>4866</v>
      </c>
      <c r="BPY39" t="s">
        <v>5017</v>
      </c>
      <c r="BPZ39" t="s">
        <v>4966</v>
      </c>
      <c r="BQA39" t="s">
        <v>4967</v>
      </c>
      <c r="BQY39" t="s">
        <v>4997</v>
      </c>
      <c r="BQZ39" t="s">
        <v>5050</v>
      </c>
      <c r="BRA39" t="s">
        <v>5051</v>
      </c>
      <c r="BRB39" t="s">
        <v>599</v>
      </c>
      <c r="BRC39">
        <v>2</v>
      </c>
      <c r="BRD39" t="s">
        <v>5277</v>
      </c>
    </row>
    <row r="40" spans="1:830 1197:1952" ht="30" customHeight="1">
      <c r="A40" s="1323" t="s">
        <v>1269</v>
      </c>
      <c r="B40" s="1305">
        <v>41</v>
      </c>
      <c r="C40" s="672" t="s">
        <v>5808</v>
      </c>
      <c r="D40" s="672" t="s">
        <v>3827</v>
      </c>
      <c r="E40" s="1320" t="s">
        <v>4766</v>
      </c>
      <c r="F40" s="1307" t="s">
        <v>233</v>
      </c>
      <c r="G40" s="1315"/>
      <c r="H40" s="1315"/>
      <c r="I40" s="1315"/>
      <c r="J40" s="1315"/>
      <c r="L40" s="2506">
        <f>MATCH(C40, $A$1:$DZG$1,0)</f>
        <v>834</v>
      </c>
      <c r="M40" t="str">
        <f t="shared" si="0"/>
        <v>AFB</v>
      </c>
      <c r="FA40" t="s">
        <v>5952</v>
      </c>
      <c r="UA40" t="s">
        <v>4279</v>
      </c>
      <c r="AEG40" s="855"/>
      <c r="AEH40" s="855"/>
      <c r="AEI40" s="855"/>
      <c r="AEJ40" s="855"/>
      <c r="AEK40" s="855"/>
      <c r="AEL40" s="855"/>
      <c r="AEM40" s="855"/>
      <c r="AEN40" s="855"/>
      <c r="AEO40" s="855"/>
      <c r="AEP40" s="855"/>
      <c r="AEQ40" s="855"/>
      <c r="AER40" s="855"/>
      <c r="AES40" s="855"/>
      <c r="AET40" s="855"/>
      <c r="AEU40" s="855"/>
      <c r="AEV40" s="855"/>
      <c r="AEW40" s="855"/>
      <c r="AEX40" s="855"/>
      <c r="ATA40" s="848" t="s">
        <v>5813</v>
      </c>
      <c r="ATB40" s="10" t="s">
        <v>5841</v>
      </c>
      <c r="ATC40" s="848" t="s">
        <v>5819</v>
      </c>
      <c r="ATD40" s="839" t="s">
        <v>6056</v>
      </c>
      <c r="ATE40" s="10" t="s">
        <v>599</v>
      </c>
      <c r="ATF40" s="10" t="s">
        <v>4173</v>
      </c>
      <c r="ATG40" s="10" t="s">
        <v>2090</v>
      </c>
      <c r="ATH40" s="27" t="s">
        <v>5832</v>
      </c>
      <c r="AXZ40" s="1005" t="s">
        <v>4600</v>
      </c>
      <c r="AYA40" s="7" t="s">
        <v>788</v>
      </c>
      <c r="AYB40" s="1005" t="s">
        <v>783</v>
      </c>
      <c r="BMZ40" s="1005" t="s">
        <v>4867</v>
      </c>
      <c r="BPY40" t="s">
        <v>5018</v>
      </c>
      <c r="BPZ40" t="s">
        <v>4968</v>
      </c>
      <c r="BQA40" t="s">
        <v>4969</v>
      </c>
      <c r="BQY40" t="s">
        <v>4997</v>
      </c>
      <c r="BQZ40" t="s">
        <v>5052</v>
      </c>
      <c r="BRA40" t="s">
        <v>5053</v>
      </c>
      <c r="BRB40" t="s">
        <v>599</v>
      </c>
      <c r="BRC40">
        <v>3</v>
      </c>
      <c r="BRD40" t="s">
        <v>5278</v>
      </c>
    </row>
    <row r="41" spans="1:830 1197:1952" ht="30" customHeight="1">
      <c r="A41" s="1323" t="s">
        <v>1269</v>
      </c>
      <c r="B41" s="1305">
        <v>43</v>
      </c>
      <c r="C41" s="1310" t="s">
        <v>5807</v>
      </c>
      <c r="D41" s="317" t="s">
        <v>3829</v>
      </c>
      <c r="E41" s="1321" t="s">
        <v>4096</v>
      </c>
      <c r="F41" s="1311" t="s">
        <v>233</v>
      </c>
      <c r="G41" s="1316"/>
      <c r="H41" s="1316"/>
      <c r="I41" s="1316"/>
      <c r="J41" s="1316"/>
      <c r="L41" s="2506">
        <f>MATCH(C41, $A$1:$DZG$1,0)</f>
        <v>860</v>
      </c>
      <c r="M41" t="str">
        <f t="shared" si="0"/>
        <v>AGB</v>
      </c>
      <c r="FA41" s="448" t="s">
        <v>4150</v>
      </c>
      <c r="AEG41" s="855"/>
      <c r="AEH41" s="855"/>
      <c r="AEI41" s="855"/>
      <c r="AEJ41" s="855"/>
      <c r="AEK41" s="855"/>
      <c r="AEL41" s="855"/>
      <c r="AEM41" s="855"/>
      <c r="AEN41" s="855"/>
      <c r="AEO41" s="855"/>
      <c r="AEP41" s="855"/>
      <c r="AEQ41" s="855"/>
      <c r="AER41" s="855"/>
      <c r="AES41" s="855"/>
      <c r="AET41" s="855"/>
      <c r="AEU41" s="855"/>
      <c r="AEV41" s="855"/>
      <c r="AEW41" s="855"/>
      <c r="AEX41" s="855"/>
      <c r="ATA41" s="848" t="s">
        <v>6319</v>
      </c>
      <c r="ATB41" s="10" t="s">
        <v>6321</v>
      </c>
      <c r="ATC41" s="848" t="s">
        <v>5816</v>
      </c>
      <c r="ATD41" s="839" t="s">
        <v>6057</v>
      </c>
      <c r="ATE41" s="10" t="s">
        <v>599</v>
      </c>
      <c r="ATF41" s="10" t="s">
        <v>4173</v>
      </c>
      <c r="ATG41" s="10" t="s">
        <v>6092</v>
      </c>
      <c r="ATH41" s="27" t="s">
        <v>6308</v>
      </c>
      <c r="AXZ41" s="1005" t="s">
        <v>4611</v>
      </c>
      <c r="AYA41" s="976" t="s">
        <v>4620</v>
      </c>
      <c r="AYB41" t="s">
        <v>384</v>
      </c>
      <c r="BPY41" t="s">
        <v>5019</v>
      </c>
      <c r="BPZ41" t="s">
        <v>4970</v>
      </c>
      <c r="BQA41" t="s">
        <v>4971</v>
      </c>
      <c r="BQY41" t="s">
        <v>4997</v>
      </c>
      <c r="BQZ41" t="s">
        <v>5054</v>
      </c>
      <c r="BRA41" t="s">
        <v>5055</v>
      </c>
      <c r="BRB41" t="s">
        <v>599</v>
      </c>
      <c r="BRC41">
        <v>4</v>
      </c>
      <c r="BRD41" t="s">
        <v>5279</v>
      </c>
    </row>
    <row r="42" spans="1:830 1197:1952" ht="30" customHeight="1">
      <c r="A42" s="1323" t="s">
        <v>1261</v>
      </c>
      <c r="B42" s="1305">
        <v>43</v>
      </c>
      <c r="C42" s="1306" t="s">
        <v>4020</v>
      </c>
      <c r="D42" s="672" t="s">
        <v>3829</v>
      </c>
      <c r="E42" s="1313" t="s">
        <v>4023</v>
      </c>
      <c r="F42" s="1307" t="s">
        <v>233</v>
      </c>
      <c r="G42" s="1315"/>
      <c r="H42" s="1315"/>
      <c r="I42" s="1315"/>
      <c r="J42" s="1315"/>
      <c r="L42" s="2506">
        <f>MATCH(C43, $A$1:$DZG$1,0)</f>
        <v>990</v>
      </c>
      <c r="M42" t="str">
        <f>SUBSTITUTE(ADDRESS(1, L43, 4), "1", "")</f>
        <v>ALB</v>
      </c>
      <c r="FA42" t="s">
        <v>5953</v>
      </c>
      <c r="AEG42" s="855"/>
      <c r="AEH42" s="855"/>
      <c r="AEI42" s="855"/>
      <c r="AEJ42" s="855"/>
      <c r="AEK42" s="855"/>
      <c r="AEL42" s="855"/>
      <c r="AEM42" s="855"/>
      <c r="AEN42" s="855"/>
      <c r="AEO42" s="855"/>
      <c r="AEP42" s="855"/>
      <c r="AEQ42" s="855"/>
      <c r="AER42" s="855"/>
      <c r="AES42" s="855"/>
      <c r="AET42" s="855"/>
      <c r="AEU42" s="855"/>
      <c r="AEV42" s="855"/>
      <c r="AEW42" s="855"/>
      <c r="AEX42" s="855"/>
      <c r="ATA42" s="848" t="s">
        <v>6318</v>
      </c>
      <c r="ATB42" s="10" t="s">
        <v>6320</v>
      </c>
      <c r="ATC42" s="848" t="s">
        <v>5818</v>
      </c>
      <c r="ATD42" s="839" t="s">
        <v>6057</v>
      </c>
      <c r="ATE42" s="10" t="s">
        <v>599</v>
      </c>
      <c r="ATF42" s="10" t="s">
        <v>4173</v>
      </c>
      <c r="ATG42" s="10" t="s">
        <v>6092</v>
      </c>
      <c r="ATH42" s="27" t="s">
        <v>6307</v>
      </c>
      <c r="AXZ42" s="1005" t="s">
        <v>784</v>
      </c>
      <c r="AYA42" s="7" t="s">
        <v>559</v>
      </c>
      <c r="AYB42" t="s">
        <v>384</v>
      </c>
      <c r="BPZ42" t="s">
        <v>4972</v>
      </c>
      <c r="BQA42" t="s">
        <v>4973</v>
      </c>
      <c r="BQY42" t="s">
        <v>4997</v>
      </c>
      <c r="BQZ42" t="s">
        <v>5056</v>
      </c>
      <c r="BRA42" t="s">
        <v>5057</v>
      </c>
      <c r="BRB42" t="s">
        <v>599</v>
      </c>
      <c r="BRC42">
        <v>5</v>
      </c>
      <c r="BRD42" t="s">
        <v>5280</v>
      </c>
    </row>
    <row r="43" spans="1:830 1197:1952" ht="30" customHeight="1">
      <c r="A43" s="1323" t="s">
        <v>1261</v>
      </c>
      <c r="B43" s="1305">
        <v>44</v>
      </c>
      <c r="C43" s="1306" t="s">
        <v>3722</v>
      </c>
      <c r="D43" s="317" t="s">
        <v>4038</v>
      </c>
      <c r="E43" s="1310" t="s">
        <v>4426</v>
      </c>
      <c r="F43" s="1311" t="s">
        <v>233</v>
      </c>
      <c r="G43" s="1316"/>
      <c r="H43" s="1316"/>
      <c r="I43" s="1316"/>
      <c r="J43" s="1316"/>
      <c r="L43" s="2506">
        <f>MATCH(C43, $A$1:$DZG$1,0)</f>
        <v>990</v>
      </c>
      <c r="M43" t="str">
        <f t="shared" si="0"/>
        <v>ALB</v>
      </c>
      <c r="FA43" t="s">
        <v>793</v>
      </c>
      <c r="AEG43" s="855"/>
      <c r="AEH43" s="855"/>
      <c r="AEI43" s="855"/>
      <c r="AEJ43" s="855"/>
      <c r="AEK43" s="855"/>
      <c r="AEL43" s="855"/>
      <c r="AEM43" s="855"/>
      <c r="AEN43" s="855"/>
      <c r="AEO43" s="855"/>
      <c r="AEP43" s="855"/>
      <c r="AEQ43" s="855"/>
      <c r="AER43" s="855"/>
      <c r="AES43" s="855"/>
      <c r="AET43" s="855"/>
      <c r="AEU43" s="855"/>
      <c r="AEV43" s="855"/>
      <c r="AEW43" s="855"/>
      <c r="AEX43" s="855"/>
      <c r="ATA43" s="848" t="s">
        <v>5823</v>
      </c>
      <c r="ATB43" s="10" t="s">
        <v>5842</v>
      </c>
      <c r="ATC43" s="848" t="s">
        <v>5818</v>
      </c>
      <c r="ATD43" s="839" t="s">
        <v>6299</v>
      </c>
      <c r="ATE43" s="10" t="s">
        <v>574</v>
      </c>
      <c r="ATF43" s="10" t="s">
        <v>599</v>
      </c>
      <c r="ATG43" s="10"/>
      <c r="ATH43" s="27" t="s">
        <v>5826</v>
      </c>
      <c r="AXZ43" s="1005" t="s">
        <v>4617</v>
      </c>
      <c r="AYA43" s="7" t="s">
        <v>4603</v>
      </c>
      <c r="AYB43" s="1005" t="s">
        <v>783</v>
      </c>
      <c r="BPZ43" t="s">
        <v>4974</v>
      </c>
      <c r="BQA43" t="s">
        <v>4975</v>
      </c>
      <c r="BQY43" t="s">
        <v>4997</v>
      </c>
      <c r="BQZ43" t="s">
        <v>5058</v>
      </c>
      <c r="BRA43" t="s">
        <v>5059</v>
      </c>
      <c r="BRB43" t="s">
        <v>599</v>
      </c>
      <c r="BRC43">
        <v>7</v>
      </c>
      <c r="BRD43" t="s">
        <v>5281</v>
      </c>
    </row>
    <row r="44" spans="1:830 1197:1952" ht="30" customHeight="1">
      <c r="B44" s="1305">
        <v>31</v>
      </c>
      <c r="C44" s="1306" t="s">
        <v>7337</v>
      </c>
      <c r="D44" s="1318" t="s">
        <v>3817</v>
      </c>
      <c r="E44" s="1310" t="s">
        <v>7343</v>
      </c>
      <c r="F44" s="1327" t="s">
        <v>233</v>
      </c>
      <c r="G44" s="1412"/>
      <c r="H44" s="1412"/>
      <c r="I44" s="1412"/>
      <c r="J44" s="1412" t="s">
        <v>6844</v>
      </c>
      <c r="L44" s="2506" t="e">
        <f>MATCH(C44, $A$1:$DZG$1,0)</f>
        <v>#N/A</v>
      </c>
      <c r="FA44" s="448" t="s">
        <v>6187</v>
      </c>
      <c r="AEG44" s="855"/>
      <c r="AEH44" s="855"/>
      <c r="AEI44" s="855"/>
      <c r="AEJ44" s="855"/>
      <c r="AEK44" s="855"/>
      <c r="AEL44" s="855"/>
      <c r="AEM44" s="855"/>
      <c r="AEN44" s="855"/>
      <c r="AEO44" s="855"/>
      <c r="AEP44" s="855"/>
      <c r="AEQ44" s="855"/>
      <c r="AER44" s="855"/>
      <c r="AES44" s="855"/>
      <c r="AET44" s="855"/>
      <c r="AEU44" s="855"/>
      <c r="AEV44" s="855"/>
      <c r="AEW44" s="855"/>
      <c r="AEX44" s="855"/>
      <c r="ATA44" s="848" t="s">
        <v>5815</v>
      </c>
      <c r="ATB44" s="10" t="s">
        <v>5843</v>
      </c>
      <c r="ATC44" s="848" t="s">
        <v>5816</v>
      </c>
      <c r="ATD44" s="839" t="s">
        <v>6300</v>
      </c>
      <c r="ATE44" s="10" t="s">
        <v>599</v>
      </c>
      <c r="ATF44" s="10" t="s">
        <v>4173</v>
      </c>
      <c r="ATG44" s="10" t="s">
        <v>6539</v>
      </c>
      <c r="ATH44" s="27" t="s">
        <v>5831</v>
      </c>
      <c r="AXZ44" s="1005" t="s">
        <v>4597</v>
      </c>
      <c r="AYA44" s="7" t="s">
        <v>4598</v>
      </c>
      <c r="AYB44" t="s">
        <v>384</v>
      </c>
      <c r="BPZ44" t="s">
        <v>4976</v>
      </c>
      <c r="BQA44" t="s">
        <v>4977</v>
      </c>
      <c r="BQY44" t="s">
        <v>4997</v>
      </c>
      <c r="BQZ44" t="s">
        <v>5060</v>
      </c>
      <c r="BRA44" t="s">
        <v>5061</v>
      </c>
      <c r="BRB44" t="s">
        <v>599</v>
      </c>
      <c r="BRC44">
        <v>8</v>
      </c>
      <c r="BRD44" t="s">
        <v>5282</v>
      </c>
    </row>
    <row r="45" spans="1:830 1197:1952" ht="30" customHeight="1">
      <c r="A45" s="1323" t="s">
        <v>1261</v>
      </c>
      <c r="B45" s="1309">
        <v>45</v>
      </c>
      <c r="C45" s="1306" t="s">
        <v>4037</v>
      </c>
      <c r="D45" s="317" t="s">
        <v>4078</v>
      </c>
      <c r="E45" s="1310" t="s">
        <v>4106</v>
      </c>
      <c r="F45" s="1311" t="s">
        <v>233</v>
      </c>
      <c r="G45" s="1316"/>
      <c r="H45" s="1316"/>
      <c r="I45" s="1316"/>
      <c r="J45" s="1316"/>
      <c r="L45" s="2506">
        <f>MATCH(C45, $A$1:$DZG$1,0)</f>
        <v>1016</v>
      </c>
      <c r="M45" t="str">
        <f t="shared" si="0"/>
        <v>AMB</v>
      </c>
      <c r="FA45" t="s">
        <v>6188</v>
      </c>
      <c r="AEG45" s="855"/>
      <c r="AEH45" s="855"/>
      <c r="AEI45" s="855"/>
      <c r="AEJ45" s="855"/>
      <c r="AEK45" s="855"/>
      <c r="AEL45" s="855"/>
      <c r="AEM45" s="855"/>
      <c r="AEN45" s="855"/>
      <c r="AEO45" s="855"/>
      <c r="AEP45" s="855"/>
      <c r="AEQ45" s="855"/>
      <c r="AER45" s="855"/>
      <c r="AES45" s="855"/>
      <c r="AET45" s="855"/>
      <c r="AEU45" s="855"/>
      <c r="AEV45" s="855"/>
      <c r="AEW45" s="855"/>
      <c r="AEX45" s="855"/>
      <c r="ATA45" s="848" t="s">
        <v>5814</v>
      </c>
      <c r="ATB45" s="10" t="s">
        <v>5844</v>
      </c>
      <c r="ATC45" s="848" t="s">
        <v>5818</v>
      </c>
      <c r="ATD45" s="839" t="s">
        <v>5818</v>
      </c>
      <c r="ATE45" s="10" t="s">
        <v>574</v>
      </c>
      <c r="ATF45" s="10" t="s">
        <v>4173</v>
      </c>
      <c r="ATG45" s="10" t="s">
        <v>6539</v>
      </c>
      <c r="ATH45" s="27" t="s">
        <v>5830</v>
      </c>
      <c r="AXZ45" s="1005" t="s">
        <v>761</v>
      </c>
      <c r="AYA45" s="7" t="s">
        <v>762</v>
      </c>
      <c r="AYB45" t="s">
        <v>384</v>
      </c>
      <c r="BQY45" t="s">
        <v>4997</v>
      </c>
      <c r="BQZ45" t="s">
        <v>5062</v>
      </c>
      <c r="BRA45" t="s">
        <v>5063</v>
      </c>
      <c r="BRB45" t="s">
        <v>599</v>
      </c>
      <c r="BRC45">
        <v>9</v>
      </c>
      <c r="BRD45" t="s">
        <v>5283</v>
      </c>
    </row>
    <row r="46" spans="1:830 1197:1952" ht="30" customHeight="1">
      <c r="A46" s="1323" t="s">
        <v>1261</v>
      </c>
      <c r="B46" s="1305">
        <v>46</v>
      </c>
      <c r="C46" s="1306" t="s">
        <v>5810</v>
      </c>
      <c r="D46" s="672" t="s">
        <v>4079</v>
      </c>
      <c r="E46" s="1313" t="s">
        <v>4022</v>
      </c>
      <c r="F46" s="1307" t="s">
        <v>233</v>
      </c>
      <c r="G46" s="1315"/>
      <c r="H46" s="1315"/>
      <c r="I46" s="1315"/>
      <c r="J46" s="1315"/>
      <c r="L46" s="2506">
        <f>MATCH(C46, $A$1:$DZG$1,0)</f>
        <v>886</v>
      </c>
      <c r="M46" t="str">
        <f t="shared" si="0"/>
        <v>AHB</v>
      </c>
      <c r="FA46" t="s">
        <v>4159</v>
      </c>
      <c r="AEG46" s="855"/>
      <c r="AEH46" s="855"/>
      <c r="AEI46" s="855"/>
      <c r="AEJ46" s="855"/>
      <c r="AEK46" s="855"/>
      <c r="AEL46" s="855"/>
      <c r="AEM46" s="855"/>
      <c r="AEN46" s="855"/>
      <c r="AEO46" s="855"/>
      <c r="AEP46" s="855"/>
      <c r="AEQ46" s="855"/>
      <c r="AER46" s="855"/>
      <c r="AES46" s="855"/>
      <c r="AET46" s="855"/>
      <c r="AEU46" s="855"/>
      <c r="AEV46" s="855"/>
      <c r="AEW46" s="855"/>
      <c r="AEX46" s="855"/>
      <c r="ATA46" s="848" t="s">
        <v>5834</v>
      </c>
      <c r="ATB46" s="10" t="s">
        <v>5847</v>
      </c>
      <c r="ATC46" s="848" t="s">
        <v>4530</v>
      </c>
      <c r="ATD46" s="839" t="s">
        <v>6056</v>
      </c>
      <c r="ATE46" s="10" t="s">
        <v>599</v>
      </c>
      <c r="ATF46" s="10" t="s">
        <v>599</v>
      </c>
      <c r="ATG46" s="10"/>
      <c r="ATH46" s="27" t="s">
        <v>5836</v>
      </c>
      <c r="AXZ46" s="1005" t="s">
        <v>766</v>
      </c>
      <c r="AYA46" s="7" t="s">
        <v>767</v>
      </c>
      <c r="AYB46" t="s">
        <v>384</v>
      </c>
      <c r="BQY46" t="s">
        <v>4999</v>
      </c>
      <c r="BQZ46" t="s">
        <v>5064</v>
      </c>
      <c r="BRA46" t="s">
        <v>5065</v>
      </c>
      <c r="BRB46" t="s">
        <v>599</v>
      </c>
      <c r="BRC46">
        <v>1</v>
      </c>
      <c r="BRD46" t="s">
        <v>5284</v>
      </c>
    </row>
    <row r="47" spans="1:830 1197:1952" ht="30" customHeight="1">
      <c r="A47" s="1323" t="s">
        <v>1269</v>
      </c>
      <c r="B47" s="1305">
        <v>47</v>
      </c>
      <c r="C47" s="1313" t="s">
        <v>5809</v>
      </c>
      <c r="D47" s="672" t="s">
        <v>4080</v>
      </c>
      <c r="E47" s="1313" t="s">
        <v>4107</v>
      </c>
      <c r="F47" s="1307" t="s">
        <v>233</v>
      </c>
      <c r="G47" s="1315"/>
      <c r="H47" s="1315"/>
      <c r="I47" s="1315"/>
      <c r="J47" s="1315"/>
      <c r="L47" s="2506">
        <f>MATCH(C47, $A$1:$DZG$1,0)</f>
        <v>938</v>
      </c>
      <c r="M47" t="str">
        <f t="shared" si="0"/>
        <v>AJB</v>
      </c>
      <c r="FA47" t="s">
        <v>4154</v>
      </c>
      <c r="AEG47" s="855"/>
      <c r="AEH47" s="855"/>
      <c r="AEI47" s="855"/>
      <c r="AEJ47" s="855"/>
      <c r="AEK47" s="855"/>
      <c r="AEL47" s="855"/>
      <c r="AEM47" s="855"/>
      <c r="AEN47" s="855"/>
      <c r="AEO47" s="855"/>
      <c r="AEP47" s="855"/>
      <c r="AEQ47" s="855"/>
      <c r="AER47" s="855"/>
      <c r="AES47" s="855"/>
      <c r="AET47" s="855"/>
      <c r="AEU47" s="855"/>
      <c r="AEV47" s="855"/>
      <c r="AEW47" s="855"/>
      <c r="AEX47" s="855"/>
      <c r="ATA47" s="848" t="s">
        <v>4528</v>
      </c>
      <c r="ATB47" s="10" t="s">
        <v>5845</v>
      </c>
      <c r="ATC47" s="848" t="s">
        <v>4529</v>
      </c>
      <c r="ATD47" s="1158" t="s">
        <v>6299</v>
      </c>
      <c r="ATE47" s="10" t="s">
        <v>599</v>
      </c>
      <c r="ATF47" s="10" t="s">
        <v>599</v>
      </c>
      <c r="ATG47" s="10"/>
      <c r="ATH47" s="27"/>
      <c r="AXZ47" s="1005" t="s">
        <v>4610</v>
      </c>
      <c r="AYA47" s="7" t="s">
        <v>786</v>
      </c>
      <c r="AYB47" s="1005" t="s">
        <v>783</v>
      </c>
      <c r="BQY47" t="s">
        <v>4999</v>
      </c>
      <c r="BQZ47" t="s">
        <v>5066</v>
      </c>
      <c r="BRA47" t="s">
        <v>5067</v>
      </c>
      <c r="BRB47" t="s">
        <v>599</v>
      </c>
      <c r="BRC47">
        <v>2</v>
      </c>
      <c r="BRD47" t="s">
        <v>5285</v>
      </c>
    </row>
    <row r="48" spans="1:830 1197:1952" ht="30" customHeight="1">
      <c r="A48" s="1323" t="s">
        <v>1261</v>
      </c>
      <c r="B48" s="1305">
        <v>48</v>
      </c>
      <c r="C48" s="1306" t="s">
        <v>3727</v>
      </c>
      <c r="D48" s="317" t="s">
        <v>4081</v>
      </c>
      <c r="E48" s="1310" t="s">
        <v>3964</v>
      </c>
      <c r="F48" s="1311" t="s">
        <v>233</v>
      </c>
      <c r="G48" s="1316"/>
      <c r="H48" s="1316"/>
      <c r="I48" s="1316"/>
      <c r="J48" s="1316"/>
      <c r="L48" s="2506">
        <f>MATCH(C48, $A$1:$DZG$1,0)</f>
        <v>912</v>
      </c>
      <c r="M48" t="str">
        <f t="shared" si="0"/>
        <v>AIB</v>
      </c>
      <c r="AEG48" s="855"/>
      <c r="AEH48" s="855"/>
      <c r="AEI48" s="855"/>
      <c r="AEJ48" s="855"/>
      <c r="AEK48" s="855"/>
      <c r="AEL48" s="855"/>
      <c r="AEM48" s="855"/>
      <c r="AEN48" s="855"/>
      <c r="AEO48" s="855"/>
      <c r="AEP48" s="855"/>
      <c r="AEQ48" s="855"/>
      <c r="AER48" s="855"/>
      <c r="AES48" s="855"/>
      <c r="AET48" s="855"/>
      <c r="AEU48" s="855"/>
      <c r="AEV48" s="855"/>
      <c r="AEW48" s="855"/>
      <c r="AEX48" s="855"/>
      <c r="ATA48" s="848" t="s">
        <v>6324</v>
      </c>
      <c r="ATB48" s="10" t="s">
        <v>6325</v>
      </c>
      <c r="ATC48" s="848" t="s">
        <v>5816</v>
      </c>
      <c r="ATD48" s="10"/>
      <c r="ATE48" s="10"/>
      <c r="ATF48" s="10" t="s">
        <v>4173</v>
      </c>
      <c r="ATG48" s="10" t="s">
        <v>6092</v>
      </c>
      <c r="ATH48" s="10"/>
      <c r="AXZ48" s="1005" t="s">
        <v>787</v>
      </c>
      <c r="AYA48" s="1005" t="s">
        <v>788</v>
      </c>
      <c r="AYB48" s="1005" t="s">
        <v>783</v>
      </c>
      <c r="BQY48" t="s">
        <v>4999</v>
      </c>
      <c r="BQZ48" t="s">
        <v>5068</v>
      </c>
      <c r="BRA48" t="s">
        <v>5069</v>
      </c>
      <c r="BRB48" t="s">
        <v>599</v>
      </c>
      <c r="BRC48">
        <v>3</v>
      </c>
      <c r="BRD48" t="s">
        <v>5286</v>
      </c>
    </row>
    <row r="49" spans="1:830 1197:1825" ht="30" customHeight="1">
      <c r="A49" s="1323" t="s">
        <v>1261</v>
      </c>
      <c r="B49" s="1305">
        <v>49</v>
      </c>
      <c r="C49" s="1306" t="s">
        <v>3725</v>
      </c>
      <c r="D49" s="672" t="s">
        <v>4082</v>
      </c>
      <c r="E49" s="1313" t="s">
        <v>3729</v>
      </c>
      <c r="F49" s="1307" t="s">
        <v>233</v>
      </c>
      <c r="G49" s="1315"/>
      <c r="H49" s="1315"/>
      <c r="I49" s="1315"/>
      <c r="J49" s="1315"/>
      <c r="L49" s="2506">
        <f>MATCH(C49, $A$1:$DZG$1,0)</f>
        <v>1042</v>
      </c>
      <c r="M49" t="str">
        <f t="shared" si="0"/>
        <v>ANB</v>
      </c>
      <c r="FA49" s="448" t="s">
        <v>586</v>
      </c>
      <c r="AEG49" s="855"/>
      <c r="AEH49" s="855"/>
      <c r="AEI49" s="855"/>
      <c r="AEJ49" s="855"/>
      <c r="AEK49" s="855"/>
      <c r="AEL49" s="855"/>
      <c r="AEM49" s="855"/>
      <c r="AEN49" s="855"/>
      <c r="AEO49" s="855"/>
      <c r="AEP49" s="855"/>
      <c r="AEQ49" s="855"/>
      <c r="AER49" s="855"/>
      <c r="AES49" s="855"/>
      <c r="AET49" s="855"/>
      <c r="AEU49" s="855"/>
      <c r="AEV49" s="855"/>
      <c r="AEW49" s="855"/>
      <c r="AEX49" s="855"/>
      <c r="ATA49" s="848" t="s">
        <v>5817</v>
      </c>
      <c r="ATB49" s="10" t="s">
        <v>5846</v>
      </c>
      <c r="ATC49" s="848" t="s">
        <v>5818</v>
      </c>
      <c r="ATD49" s="839" t="s">
        <v>5818</v>
      </c>
      <c r="ATE49" s="10" t="s">
        <v>599</v>
      </c>
      <c r="ATF49" s="10" t="s">
        <v>4173</v>
      </c>
      <c r="ATG49" s="10" t="s">
        <v>6092</v>
      </c>
      <c r="ATH49" s="27" t="s">
        <v>5829</v>
      </c>
      <c r="AXZ49" s="1005" t="s">
        <v>779</v>
      </c>
      <c r="AYA49" s="7" t="s">
        <v>780</v>
      </c>
      <c r="AYB49" t="s">
        <v>384</v>
      </c>
      <c r="BQY49" t="s">
        <v>4999</v>
      </c>
      <c r="BQZ49" t="s">
        <v>4794</v>
      </c>
      <c r="BRA49" t="s">
        <v>5070</v>
      </c>
      <c r="BRB49" t="s">
        <v>599</v>
      </c>
      <c r="BRC49">
        <v>4</v>
      </c>
      <c r="BRD49" t="s">
        <v>5287</v>
      </c>
    </row>
    <row r="50" spans="1:830 1197:1825" ht="30" customHeight="1">
      <c r="A50" s="1323" t="s">
        <v>1261</v>
      </c>
      <c r="B50" s="1309">
        <v>50</v>
      </c>
      <c r="C50" s="1306" t="s">
        <v>32</v>
      </c>
      <c r="D50" s="317" t="s">
        <v>4083</v>
      </c>
      <c r="E50" s="1310" t="s">
        <v>3683</v>
      </c>
      <c r="F50" s="1311" t="s">
        <v>233</v>
      </c>
      <c r="G50" s="1316"/>
      <c r="H50" s="1316"/>
      <c r="I50" s="1316"/>
      <c r="J50" s="1316"/>
      <c r="L50" s="2506">
        <f>MATCH(C50, $A$1:$DZG$1,0)</f>
        <v>365</v>
      </c>
      <c r="M50" t="str">
        <f t="shared" si="0"/>
        <v>NA</v>
      </c>
      <c r="FA50" t="s">
        <v>4148</v>
      </c>
      <c r="AEG50" s="855"/>
      <c r="AEH50" s="855"/>
      <c r="AEI50" s="855"/>
      <c r="AEJ50" s="855"/>
      <c r="AEK50" s="855"/>
      <c r="AEL50" s="855"/>
      <c r="AEM50" s="855"/>
      <c r="AEN50" s="855"/>
      <c r="AEO50" s="855"/>
      <c r="AEP50" s="855"/>
      <c r="AEQ50" s="855"/>
      <c r="AER50" s="855"/>
      <c r="AES50" s="855"/>
      <c r="AET50" s="855"/>
      <c r="AEU50" s="855"/>
      <c r="AEV50" s="855"/>
      <c r="AEW50" s="855"/>
      <c r="AEX50" s="855"/>
      <c r="ATA50" s="848" t="s">
        <v>7480</v>
      </c>
      <c r="ATB50" s="136" t="s">
        <v>7482</v>
      </c>
      <c r="ATC50" s="848" t="s">
        <v>5816</v>
      </c>
      <c r="ATD50" s="839" t="s">
        <v>6057</v>
      </c>
      <c r="ATE50" s="10" t="s">
        <v>599</v>
      </c>
      <c r="ATF50" s="10" t="s">
        <v>4173</v>
      </c>
      <c r="ATG50" s="10" t="s">
        <v>6538</v>
      </c>
      <c r="ATH50" s="27" t="s">
        <v>6303</v>
      </c>
      <c r="AXZ50" s="1005" t="s">
        <v>775</v>
      </c>
      <c r="AYA50" s="7" t="s">
        <v>776</v>
      </c>
      <c r="AYB50" s="1005" t="s">
        <v>783</v>
      </c>
      <c r="BQY50" t="s">
        <v>4999</v>
      </c>
      <c r="BQZ50" t="s">
        <v>5071</v>
      </c>
      <c r="BRA50" t="s">
        <v>5072</v>
      </c>
      <c r="BRB50" t="s">
        <v>599</v>
      </c>
      <c r="BRC50">
        <v>5</v>
      </c>
      <c r="BRD50" t="s">
        <v>5288</v>
      </c>
    </row>
    <row r="51" spans="1:830 1197:1825" ht="30" customHeight="1">
      <c r="A51" s="1323" t="s">
        <v>1269</v>
      </c>
      <c r="B51" s="1305">
        <v>51</v>
      </c>
      <c r="C51" s="1310" t="s">
        <v>339</v>
      </c>
      <c r="D51" s="317" t="s">
        <v>4084</v>
      </c>
      <c r="E51" s="1310" t="s">
        <v>4097</v>
      </c>
      <c r="F51" s="1311" t="s">
        <v>233</v>
      </c>
      <c r="G51" s="1316"/>
      <c r="H51" s="1316"/>
      <c r="I51" s="1316"/>
      <c r="J51" s="1316"/>
      <c r="L51" s="2506">
        <f>MATCH(C51, $A$1:$DZG$1,0)</f>
        <v>417</v>
      </c>
      <c r="M51" t="str">
        <f t="shared" si="0"/>
        <v>PA</v>
      </c>
      <c r="FA51" t="s">
        <v>4155</v>
      </c>
      <c r="AEG51" s="855"/>
      <c r="AEH51" s="855"/>
      <c r="AEI51" s="855"/>
      <c r="AEJ51" s="855"/>
      <c r="AEK51" s="855"/>
      <c r="AEL51" s="855"/>
      <c r="AEM51" s="855"/>
      <c r="AEN51" s="855"/>
      <c r="AEO51" s="855"/>
      <c r="AEP51" s="855"/>
      <c r="AEQ51" s="855"/>
      <c r="AER51" s="855"/>
      <c r="AES51" s="855"/>
      <c r="AET51" s="855"/>
      <c r="AEU51" s="855"/>
      <c r="AEV51" s="855"/>
      <c r="AEW51" s="855"/>
      <c r="AEX51" s="855"/>
      <c r="ATA51" s="1221" t="s">
        <v>7481</v>
      </c>
      <c r="ATB51" s="136" t="s">
        <v>7483</v>
      </c>
      <c r="ATC51" s="1221" t="s">
        <v>5818</v>
      </c>
      <c r="ATD51" s="1222" t="s">
        <v>6299</v>
      </c>
      <c r="ATE51" s="136" t="s">
        <v>574</v>
      </c>
      <c r="ATF51" s="10" t="s">
        <v>4173</v>
      </c>
      <c r="ATG51" s="10" t="s">
        <v>6538</v>
      </c>
      <c r="ATH51" s="1223" t="s">
        <v>6303</v>
      </c>
      <c r="BQY51" t="s">
        <v>4999</v>
      </c>
      <c r="BQZ51" t="s">
        <v>5073</v>
      </c>
      <c r="BRA51" t="s">
        <v>5074</v>
      </c>
      <c r="BRB51" t="s">
        <v>599</v>
      </c>
      <c r="BRC51">
        <v>6</v>
      </c>
      <c r="BRD51" t="s">
        <v>5289</v>
      </c>
    </row>
    <row r="52" spans="1:830 1197:1825" ht="30" customHeight="1">
      <c r="A52" s="1323" t="s">
        <v>1261</v>
      </c>
      <c r="B52" s="1305">
        <v>53</v>
      </c>
      <c r="C52" s="1306" t="s">
        <v>34</v>
      </c>
      <c r="D52" s="672" t="s">
        <v>4086</v>
      </c>
      <c r="E52" s="1313" t="s">
        <v>3965</v>
      </c>
      <c r="F52" s="1307" t="s">
        <v>233</v>
      </c>
      <c r="G52" s="1315"/>
      <c r="H52" s="1315"/>
      <c r="I52" s="1315"/>
      <c r="J52" s="1315"/>
      <c r="L52" s="2506" t="e">
        <f>MATCH(C53, $A$1:$DZG$1,0)</f>
        <v>#N/A</v>
      </c>
      <c r="M52" t="e">
        <f>SUBSTITUTE(ADDRESS(1, L53, 4), "1", "")</f>
        <v>#N/A</v>
      </c>
      <c r="FA52" t="s">
        <v>5954</v>
      </c>
      <c r="AEG52" s="855"/>
      <c r="AEH52" s="855"/>
      <c r="AEI52" s="855"/>
      <c r="AEJ52" s="855"/>
      <c r="AEK52" s="855"/>
      <c r="AEL52" s="855"/>
      <c r="AEM52" s="855"/>
      <c r="AEN52" s="855"/>
      <c r="AEO52" s="855"/>
      <c r="AEP52" s="855"/>
      <c r="AEQ52" s="855"/>
      <c r="AER52" s="855"/>
      <c r="AES52" s="855"/>
      <c r="AET52" s="855"/>
      <c r="AEU52" s="855"/>
      <c r="AEV52" s="855"/>
      <c r="AEW52" s="855"/>
      <c r="AEX52" s="855"/>
      <c r="ATA52" s="848" t="s">
        <v>5816</v>
      </c>
      <c r="ATB52" s="848" t="s">
        <v>6575</v>
      </c>
      <c r="ATC52" s="848" t="s">
        <v>5816</v>
      </c>
      <c r="ATD52" s="1158" t="s">
        <v>6057</v>
      </c>
      <c r="ATE52" s="10" t="s">
        <v>599</v>
      </c>
      <c r="ATF52" s="10" t="s">
        <v>435</v>
      </c>
      <c r="ATG52" s="10" t="s">
        <v>6576</v>
      </c>
      <c r="ATH52" s="10"/>
      <c r="AYC52" s="7"/>
      <c r="BQY52" t="s">
        <v>5000</v>
      </c>
      <c r="BQZ52" t="s">
        <v>5075</v>
      </c>
      <c r="BRA52" t="s">
        <v>5076</v>
      </c>
      <c r="BRB52" t="s">
        <v>599</v>
      </c>
      <c r="BRC52">
        <v>1</v>
      </c>
      <c r="BRD52" t="s">
        <v>5290</v>
      </c>
    </row>
    <row r="53" spans="1:830 1197:1825" ht="30" customHeight="1">
      <c r="A53" s="1323" t="s">
        <v>3768</v>
      </c>
      <c r="B53" s="1305">
        <v>71</v>
      </c>
      <c r="C53" s="672" t="s">
        <v>7787</v>
      </c>
      <c r="D53" s="672" t="s">
        <v>7782</v>
      </c>
      <c r="E53" s="672" t="s">
        <v>7788</v>
      </c>
      <c r="F53" s="1307" t="s">
        <v>233</v>
      </c>
      <c r="G53" s="1315"/>
      <c r="H53" s="1315"/>
      <c r="I53" s="1315"/>
      <c r="J53" s="1315"/>
      <c r="L53" s="2506" t="e">
        <f>MATCH(C53, $A$1:$DZG$1,0)</f>
        <v>#N/A</v>
      </c>
      <c r="M53" t="e">
        <f t="shared" si="0"/>
        <v>#N/A</v>
      </c>
      <c r="FA53" t="s">
        <v>6189</v>
      </c>
      <c r="BQY53" t="s">
        <v>5000</v>
      </c>
      <c r="BQZ53" t="s">
        <v>5077</v>
      </c>
      <c r="BRA53" t="s">
        <v>5078</v>
      </c>
      <c r="BRB53" t="s">
        <v>599</v>
      </c>
      <c r="BRC53">
        <v>2</v>
      </c>
      <c r="BRD53" t="s">
        <v>5291</v>
      </c>
    </row>
    <row r="54" spans="1:830 1197:1825" ht="30" customHeight="1">
      <c r="A54" s="1323" t="s">
        <v>1261</v>
      </c>
      <c r="B54" s="1309">
        <v>65</v>
      </c>
      <c r="C54" s="1306" t="s">
        <v>6063</v>
      </c>
      <c r="D54" s="317" t="s">
        <v>4621</v>
      </c>
      <c r="E54" s="1310" t="s">
        <v>5803</v>
      </c>
      <c r="F54" s="1311" t="s">
        <v>233</v>
      </c>
      <c r="G54" s="1316"/>
      <c r="H54" s="1316"/>
      <c r="I54" s="1316"/>
      <c r="J54" s="1316"/>
      <c r="L54" s="2506">
        <f>MATCH(C54, $A$1:$DZG$1,0)</f>
        <v>1977</v>
      </c>
      <c r="M54" t="str">
        <f t="shared" si="0"/>
        <v>BXA</v>
      </c>
      <c r="FA54" t="s">
        <v>6190</v>
      </c>
      <c r="BQY54" t="s">
        <v>5000</v>
      </c>
      <c r="BQZ54" t="s">
        <v>5079</v>
      </c>
      <c r="BRA54" t="s">
        <v>5080</v>
      </c>
      <c r="BRB54" t="s">
        <v>599</v>
      </c>
      <c r="BRC54">
        <v>3</v>
      </c>
      <c r="BRD54" t="s">
        <v>5292</v>
      </c>
    </row>
    <row r="55" spans="1:830 1197:1825" ht="30" customHeight="1">
      <c r="A55" s="1323" t="s">
        <v>1269</v>
      </c>
      <c r="B55" s="1305">
        <v>53</v>
      </c>
      <c r="C55" s="1310" t="s">
        <v>341</v>
      </c>
      <c r="D55" s="317" t="s">
        <v>4086</v>
      </c>
      <c r="E55" s="1310" t="s">
        <v>4098</v>
      </c>
      <c r="F55" s="1311" t="s">
        <v>233</v>
      </c>
      <c r="G55" s="1316"/>
      <c r="H55" s="1316"/>
      <c r="I55" s="1316"/>
      <c r="J55" s="1316"/>
      <c r="L55" s="2506">
        <f>MATCH(C55, $A$1:$DZG$1,0)</f>
        <v>521</v>
      </c>
      <c r="M55" t="str">
        <f t="shared" si="0"/>
        <v>TA</v>
      </c>
      <c r="FA55" t="s">
        <v>4160</v>
      </c>
      <c r="BQY55" t="s">
        <v>5000</v>
      </c>
      <c r="BQZ55" t="s">
        <v>5066</v>
      </c>
      <c r="BRA55" t="s">
        <v>5067</v>
      </c>
      <c r="BRB55" t="s">
        <v>599</v>
      </c>
      <c r="BRC55">
        <v>4</v>
      </c>
      <c r="BRD55" t="s">
        <v>5293</v>
      </c>
    </row>
    <row r="56" spans="1:830 1197:1825" ht="30" customHeight="1">
      <c r="A56" s="1323" t="s">
        <v>1261</v>
      </c>
      <c r="B56" s="1305">
        <v>54</v>
      </c>
      <c r="C56" s="1306" t="s">
        <v>39</v>
      </c>
      <c r="D56" s="672" t="s">
        <v>4087</v>
      </c>
      <c r="E56" s="1313" t="s">
        <v>3674</v>
      </c>
      <c r="F56" s="1307" t="s">
        <v>233</v>
      </c>
      <c r="G56" s="1315"/>
      <c r="H56" s="1315"/>
      <c r="I56" s="1315"/>
      <c r="J56" s="1315"/>
      <c r="L56" s="2506">
        <f>MATCH(C56, $A$1:$DZG$1,0)</f>
        <v>53</v>
      </c>
      <c r="M56" t="str">
        <f t="shared" si="0"/>
        <v>BA</v>
      </c>
      <c r="FA56" t="s">
        <v>789</v>
      </c>
      <c r="FB56" s="445">
        <v>10</v>
      </c>
      <c r="FC56" t="s">
        <v>6193</v>
      </c>
      <c r="BQY56" t="s">
        <v>5000</v>
      </c>
      <c r="BQZ56" t="s">
        <v>5081</v>
      </c>
      <c r="BRA56" t="s">
        <v>5082</v>
      </c>
      <c r="BRB56" t="s">
        <v>599</v>
      </c>
      <c r="BRC56">
        <v>5</v>
      </c>
      <c r="BRD56" t="s">
        <v>5294</v>
      </c>
    </row>
    <row r="57" spans="1:830 1197:1825" ht="30" customHeight="1">
      <c r="A57" s="1323" t="s">
        <v>1261</v>
      </c>
      <c r="B57" s="1309">
        <v>55</v>
      </c>
      <c r="C57" s="1317" t="s">
        <v>4588</v>
      </c>
      <c r="D57" s="317" t="s">
        <v>4088</v>
      </c>
      <c r="E57" s="317" t="s">
        <v>4132</v>
      </c>
      <c r="F57" s="1311" t="s">
        <v>233</v>
      </c>
      <c r="G57" s="1316"/>
      <c r="H57" s="1316"/>
      <c r="I57" s="1316"/>
      <c r="J57" s="1316"/>
      <c r="L57" s="2506">
        <f>MATCH(C57, $A$1:$DZG$1,0)</f>
        <v>131</v>
      </c>
      <c r="M57" t="str">
        <f t="shared" si="0"/>
        <v>EA</v>
      </c>
      <c r="FA57" t="s">
        <v>790</v>
      </c>
      <c r="FB57" s="445">
        <v>100</v>
      </c>
      <c r="BQY57" t="s">
        <v>5000</v>
      </c>
      <c r="BQZ57" t="s">
        <v>5083</v>
      </c>
      <c r="BRA57" t="s">
        <v>5084</v>
      </c>
      <c r="BRB57" t="s">
        <v>599</v>
      </c>
      <c r="BRC57">
        <v>6</v>
      </c>
      <c r="BRD57" t="s">
        <v>5295</v>
      </c>
    </row>
    <row r="58" spans="1:830 1197:1825" ht="30" customHeight="1">
      <c r="A58" s="1323" t="s">
        <v>1269</v>
      </c>
      <c r="B58" s="1305">
        <v>56</v>
      </c>
      <c r="C58" s="1313" t="s">
        <v>3724</v>
      </c>
      <c r="D58" s="672" t="s">
        <v>4089</v>
      </c>
      <c r="E58" s="1313" t="s">
        <v>3728</v>
      </c>
      <c r="F58" s="1307" t="s">
        <v>233</v>
      </c>
      <c r="G58" s="1315"/>
      <c r="H58" s="1315"/>
      <c r="I58" s="1315"/>
      <c r="J58" s="1315"/>
      <c r="L58" s="2506">
        <f>MATCH(C58, $A$1:$DZG$1,0)</f>
        <v>443</v>
      </c>
      <c r="M58" t="str">
        <f t="shared" si="0"/>
        <v>QA</v>
      </c>
      <c r="FA58" t="s">
        <v>791</v>
      </c>
      <c r="FB58" s="445">
        <v>1000</v>
      </c>
      <c r="BQY58" t="s">
        <v>5000</v>
      </c>
      <c r="BQZ58" t="s">
        <v>5085</v>
      </c>
      <c r="BRA58" t="s">
        <v>5086</v>
      </c>
      <c r="BRB58" t="s">
        <v>599</v>
      </c>
      <c r="BRC58">
        <v>7</v>
      </c>
      <c r="BRD58" t="s">
        <v>5296</v>
      </c>
    </row>
    <row r="59" spans="1:830 1197:1825" ht="30" customHeight="1">
      <c r="A59" s="1323" t="s">
        <v>1261</v>
      </c>
      <c r="B59" s="1305">
        <v>57</v>
      </c>
      <c r="C59" s="1306" t="s">
        <v>202</v>
      </c>
      <c r="D59" s="672" t="s">
        <v>4090</v>
      </c>
      <c r="E59" s="1313" t="s">
        <v>4099</v>
      </c>
      <c r="F59" s="1307" t="s">
        <v>233</v>
      </c>
      <c r="G59" s="1315"/>
      <c r="H59" s="1315"/>
      <c r="I59" s="1315"/>
      <c r="J59" s="1315"/>
      <c r="L59" s="2506">
        <f>MATCH(C59, $A$1:$DZG$1,0)</f>
        <v>651</v>
      </c>
      <c r="M59" t="str">
        <f t="shared" si="0"/>
        <v>YA</v>
      </c>
      <c r="FA59" t="s">
        <v>792</v>
      </c>
      <c r="FB59" s="445">
        <v>5000</v>
      </c>
      <c r="BQY59" t="s">
        <v>5001</v>
      </c>
      <c r="BQZ59" t="s">
        <v>5087</v>
      </c>
      <c r="BRA59" t="s">
        <v>5088</v>
      </c>
      <c r="BRB59" t="s">
        <v>599</v>
      </c>
      <c r="BRC59">
        <v>1</v>
      </c>
      <c r="BRD59" t="s">
        <v>5297</v>
      </c>
    </row>
    <row r="60" spans="1:830 1197:1825" ht="30" customHeight="1">
      <c r="A60" s="1323" t="s">
        <v>1261</v>
      </c>
      <c r="B60" s="1305">
        <v>58</v>
      </c>
      <c r="C60" s="1306" t="s">
        <v>41</v>
      </c>
      <c r="D60" s="317" t="s">
        <v>4091</v>
      </c>
      <c r="E60" s="1310" t="s">
        <v>4018</v>
      </c>
      <c r="F60" s="1311" t="s">
        <v>233</v>
      </c>
      <c r="G60" s="1316"/>
      <c r="H60" s="1316"/>
      <c r="I60" s="1316"/>
      <c r="J60" s="1316"/>
      <c r="L60" s="2506">
        <f>MATCH(C60, $A$1:$DZG$1,0)</f>
        <v>599</v>
      </c>
      <c r="M60" t="str">
        <f t="shared" si="0"/>
        <v>WA</v>
      </c>
      <c r="BQZ60" t="s">
        <v>5001</v>
      </c>
      <c r="BRA60" t="s">
        <v>5089</v>
      </c>
      <c r="BRB60" t="s">
        <v>5090</v>
      </c>
      <c r="BRC60" t="s">
        <v>574</v>
      </c>
      <c r="BRD60">
        <v>2</v>
      </c>
      <c r="BRE60" t="s">
        <v>5298</v>
      </c>
    </row>
    <row r="61" spans="1:830 1197:1825" ht="30" customHeight="1">
      <c r="A61" s="1323" t="s">
        <v>1261</v>
      </c>
      <c r="B61" s="1305">
        <v>59</v>
      </c>
      <c r="C61" s="1306" t="s">
        <v>342</v>
      </c>
      <c r="D61" s="317" t="s">
        <v>4131</v>
      </c>
      <c r="E61" s="1310" t="s">
        <v>7789</v>
      </c>
      <c r="F61" s="1311" t="s">
        <v>233</v>
      </c>
      <c r="G61" s="1316"/>
      <c r="H61" s="1316"/>
      <c r="I61" s="1316"/>
      <c r="J61" s="1316"/>
      <c r="L61" s="2506">
        <f>MATCH(C61, $A$1:$DZG$1,0)</f>
        <v>625</v>
      </c>
      <c r="M61" t="str">
        <f t="shared" si="0"/>
        <v>XA</v>
      </c>
      <c r="BQZ61" t="s">
        <v>5001</v>
      </c>
      <c r="BRA61" t="s">
        <v>5091</v>
      </c>
      <c r="BRB61" t="s">
        <v>5092</v>
      </c>
      <c r="BRC61" t="s">
        <v>574</v>
      </c>
      <c r="BRD61">
        <v>2</v>
      </c>
      <c r="BRE61" t="s">
        <v>5299</v>
      </c>
    </row>
    <row r="62" spans="1:830 1197:1825" ht="30" customHeight="1">
      <c r="A62" s="1323"/>
      <c r="B62" s="1305">
        <v>69</v>
      </c>
      <c r="C62" s="672" t="s">
        <v>6311</v>
      </c>
      <c r="D62" s="672" t="s">
        <v>4627</v>
      </c>
      <c r="E62" s="672" t="s">
        <v>6312</v>
      </c>
      <c r="F62" s="1307" t="s">
        <v>233</v>
      </c>
      <c r="G62" s="1315"/>
      <c r="H62" s="1315"/>
      <c r="I62" s="1315"/>
      <c r="J62" s="1315"/>
      <c r="L62" s="2506">
        <f>MATCH(C63, $A$1:$DZG$1,0)</f>
        <v>730</v>
      </c>
      <c r="M62" t="str">
        <f>SUBSTITUTE(ADDRESS(1, L63, 4), "1", "")</f>
        <v>ABB</v>
      </c>
      <c r="BQZ62" t="s">
        <v>5001</v>
      </c>
      <c r="BRA62" t="s">
        <v>5093</v>
      </c>
      <c r="BRB62" t="s">
        <v>5094</v>
      </c>
      <c r="BRC62" t="s">
        <v>574</v>
      </c>
      <c r="BRD62">
        <v>3</v>
      </c>
      <c r="BRE62" t="s">
        <v>5300</v>
      </c>
    </row>
    <row r="63" spans="1:830 1197:1825" ht="30" customHeight="1">
      <c r="A63" s="1323" t="s">
        <v>3768</v>
      </c>
      <c r="B63" s="1309">
        <v>60</v>
      </c>
      <c r="C63" s="1310" t="s">
        <v>42</v>
      </c>
      <c r="D63" s="317" t="s">
        <v>4531</v>
      </c>
      <c r="E63" s="1310" t="s">
        <v>4100</v>
      </c>
      <c r="F63" s="1311" t="s">
        <v>233</v>
      </c>
      <c r="G63" s="1316"/>
      <c r="H63" s="1316"/>
      <c r="I63" s="1316"/>
      <c r="J63" s="1316"/>
      <c r="L63" s="2506">
        <f>MATCH(C63, $A$1:$DZG$1,0)</f>
        <v>730</v>
      </c>
      <c r="M63" t="str">
        <f t="shared" si="0"/>
        <v>ABB</v>
      </c>
      <c r="BQZ63" t="s">
        <v>5001</v>
      </c>
      <c r="BRA63" t="s">
        <v>5095</v>
      </c>
      <c r="BRB63" t="s">
        <v>5096</v>
      </c>
      <c r="BRC63" t="s">
        <v>574</v>
      </c>
      <c r="BRD63">
        <v>3</v>
      </c>
      <c r="BRE63" t="s">
        <v>5301</v>
      </c>
    </row>
    <row r="64" spans="1:830 1197:1825" ht="30" customHeight="1">
      <c r="A64" s="1323" t="s">
        <v>1278</v>
      </c>
      <c r="B64" s="1305">
        <v>61</v>
      </c>
      <c r="C64" s="1313" t="s">
        <v>3744</v>
      </c>
      <c r="D64" s="672" t="s">
        <v>4538</v>
      </c>
      <c r="E64" s="1313" t="s">
        <v>3966</v>
      </c>
      <c r="F64" s="1307" t="s">
        <v>233</v>
      </c>
      <c r="G64" s="1315"/>
      <c r="H64" s="1315"/>
      <c r="I64" s="1315"/>
      <c r="J64" s="1315"/>
      <c r="L64" s="2506">
        <f>MATCH(C64, $A$1:$DZG$1,0)</f>
        <v>1743</v>
      </c>
      <c r="M64" t="str">
        <f t="shared" si="0"/>
        <v>BOA</v>
      </c>
      <c r="BQZ64" t="s">
        <v>5001</v>
      </c>
      <c r="BRA64" t="s">
        <v>5097</v>
      </c>
      <c r="BRB64" t="s">
        <v>5098</v>
      </c>
      <c r="BRC64" t="s">
        <v>599</v>
      </c>
      <c r="BRD64">
        <v>4</v>
      </c>
      <c r="BRE64" t="s">
        <v>5302</v>
      </c>
    </row>
    <row r="65" spans="1:13 1820:1825" ht="30" customHeight="1">
      <c r="A65" s="1323" t="s">
        <v>1278</v>
      </c>
      <c r="B65" s="1305">
        <v>63</v>
      </c>
      <c r="C65" s="1310" t="s">
        <v>4013</v>
      </c>
      <c r="D65" s="317" t="s">
        <v>4578</v>
      </c>
      <c r="E65" s="1310" t="s">
        <v>3967</v>
      </c>
      <c r="F65" s="1311" t="s">
        <v>233</v>
      </c>
      <c r="G65" s="1316"/>
      <c r="H65" s="1316"/>
      <c r="I65" s="1316"/>
      <c r="J65" s="1316"/>
      <c r="L65" s="2506">
        <f>MATCH(C65, $A$1:$DZG$1,0)</f>
        <v>1769</v>
      </c>
      <c r="M65" t="str">
        <f t="shared" si="0"/>
        <v>BPA</v>
      </c>
      <c r="BQZ65" t="s">
        <v>5001</v>
      </c>
      <c r="BRA65" t="s">
        <v>5099</v>
      </c>
      <c r="BRB65" t="s">
        <v>5100</v>
      </c>
      <c r="BRC65" t="s">
        <v>574</v>
      </c>
      <c r="BRD65">
        <v>5</v>
      </c>
      <c r="BRE65" t="s">
        <v>5303</v>
      </c>
    </row>
    <row r="66" spans="1:13 1820:1825" ht="30" customHeight="1">
      <c r="A66" s="1323" t="s">
        <v>1278</v>
      </c>
      <c r="B66" s="1305">
        <v>63</v>
      </c>
      <c r="C66" s="1313" t="s">
        <v>129</v>
      </c>
      <c r="D66" s="672" t="s">
        <v>4578</v>
      </c>
      <c r="E66" s="1313" t="s">
        <v>7790</v>
      </c>
      <c r="F66" s="1307" t="s">
        <v>233</v>
      </c>
      <c r="G66" s="1315"/>
      <c r="H66" s="1315"/>
      <c r="I66" s="1315"/>
      <c r="J66" s="1315"/>
      <c r="L66" s="2506">
        <f>MATCH(C66, $A$1:$DZG$1,0)</f>
        <v>1821</v>
      </c>
      <c r="M66" t="str">
        <f t="shared" si="0"/>
        <v>BRA</v>
      </c>
      <c r="BQZ66" t="s">
        <v>5001</v>
      </c>
      <c r="BRA66" t="s">
        <v>5101</v>
      </c>
      <c r="BRB66" t="s">
        <v>5102</v>
      </c>
      <c r="BRC66" t="s">
        <v>574</v>
      </c>
      <c r="BRD66">
        <v>5</v>
      </c>
      <c r="BRE66" t="s">
        <v>5304</v>
      </c>
    </row>
    <row r="67" spans="1:13 1820:1825" ht="30" customHeight="1">
      <c r="A67" s="1323" t="s">
        <v>1278</v>
      </c>
      <c r="B67" s="1305">
        <v>64</v>
      </c>
      <c r="C67" s="1310" t="s">
        <v>4980</v>
      </c>
      <c r="D67" s="317" t="s">
        <v>4591</v>
      </c>
      <c r="E67" s="1310" t="s">
        <v>4015</v>
      </c>
      <c r="F67" s="598" t="s">
        <v>233</v>
      </c>
      <c r="G67" s="1316"/>
      <c r="H67" s="1316"/>
      <c r="I67" s="1316"/>
      <c r="J67" s="1316"/>
      <c r="L67" s="2506">
        <f>MATCH(C67, $A$1:$DZG$1,0)</f>
        <v>1795</v>
      </c>
      <c r="M67" t="str">
        <f t="shared" si="0"/>
        <v>BQA</v>
      </c>
      <c r="BQZ67" t="s">
        <v>5002</v>
      </c>
      <c r="BRA67" t="s">
        <v>5103</v>
      </c>
      <c r="BRB67" t="s">
        <v>5104</v>
      </c>
      <c r="BRC67" t="s">
        <v>599</v>
      </c>
      <c r="BRD67">
        <v>1</v>
      </c>
      <c r="BRE67" t="s">
        <v>5305</v>
      </c>
    </row>
    <row r="68" spans="1:13 1820:1825" ht="30" customHeight="1">
      <c r="B68" s="1305">
        <v>7</v>
      </c>
      <c r="C68" s="1313" t="s">
        <v>7791</v>
      </c>
      <c r="D68" s="672" t="s">
        <v>3793</v>
      </c>
      <c r="E68" s="1320" t="s">
        <v>7792</v>
      </c>
      <c r="F68" s="598" t="s">
        <v>233</v>
      </c>
      <c r="G68" s="1315"/>
      <c r="H68" s="1315"/>
      <c r="I68" s="1315"/>
      <c r="J68" s="1315"/>
      <c r="L68" s="2506"/>
      <c r="BQZ68" t="s">
        <v>5002</v>
      </c>
      <c r="BRA68" t="s">
        <v>5105</v>
      </c>
      <c r="BRB68" t="s">
        <v>5106</v>
      </c>
      <c r="BRC68" t="s">
        <v>599</v>
      </c>
      <c r="BRD68">
        <v>2</v>
      </c>
      <c r="BRE68" t="s">
        <v>5306</v>
      </c>
    </row>
    <row r="69" spans="1:13 1820:1825" ht="30" customHeight="1">
      <c r="B69" s="1305">
        <v>14</v>
      </c>
      <c r="C69" s="1313"/>
      <c r="D69" s="672" t="s">
        <v>3800</v>
      </c>
      <c r="E69" s="1313"/>
      <c r="G69" s="1315"/>
      <c r="H69" s="1315"/>
      <c r="I69" s="1315"/>
      <c r="J69" s="1315"/>
      <c r="L69" s="2506"/>
      <c r="BQZ69" t="s">
        <v>5002</v>
      </c>
      <c r="BRA69" t="s">
        <v>5107</v>
      </c>
      <c r="BRB69" t="s">
        <v>5108</v>
      </c>
      <c r="BRC69" t="s">
        <v>599</v>
      </c>
      <c r="BRD69">
        <v>3</v>
      </c>
      <c r="BRE69" t="s">
        <v>5307</v>
      </c>
    </row>
    <row r="70" spans="1:13 1820:1825" ht="30" customHeight="1">
      <c r="B70" s="1309">
        <v>15</v>
      </c>
      <c r="C70" s="1313"/>
      <c r="D70" s="672" t="s">
        <v>3801</v>
      </c>
      <c r="E70" s="1313"/>
      <c r="G70" s="1315"/>
      <c r="H70" s="1315"/>
      <c r="I70" s="1315"/>
      <c r="J70" s="1315"/>
      <c r="L70" s="2506"/>
      <c r="BQZ70" t="s">
        <v>5002</v>
      </c>
      <c r="BRA70" t="s">
        <v>5109</v>
      </c>
      <c r="BRB70" t="s">
        <v>5110</v>
      </c>
      <c r="BRC70" t="s">
        <v>599</v>
      </c>
      <c r="BRD70">
        <v>4</v>
      </c>
      <c r="BRE70" t="s">
        <v>5308</v>
      </c>
    </row>
    <row r="71" spans="1:13 1820:1825" ht="30" customHeight="1">
      <c r="B71" s="1305">
        <v>33</v>
      </c>
      <c r="C71" s="2511"/>
      <c r="D71" s="672" t="s">
        <v>3819</v>
      </c>
      <c r="E71" s="2511"/>
      <c r="G71" s="2512"/>
      <c r="H71" s="2512"/>
      <c r="I71" s="2512"/>
      <c r="J71" s="2512"/>
      <c r="L71" s="2506"/>
      <c r="BQZ71" t="s">
        <v>5003</v>
      </c>
      <c r="BRA71" t="s">
        <v>5111</v>
      </c>
      <c r="BRB71" t="s">
        <v>5112</v>
      </c>
      <c r="BRC71" t="s">
        <v>599</v>
      </c>
      <c r="BRD71">
        <v>1</v>
      </c>
      <c r="BRE71" t="s">
        <v>5309</v>
      </c>
    </row>
    <row r="72" spans="1:13 1820:1825" ht="30" customHeight="1">
      <c r="B72" s="1305">
        <v>39</v>
      </c>
      <c r="C72" s="1313"/>
      <c r="D72" s="672" t="s">
        <v>3825</v>
      </c>
      <c r="E72" s="1313"/>
      <c r="G72" s="1315"/>
      <c r="H72" s="1315"/>
      <c r="I72" s="1315"/>
      <c r="J72" s="1315"/>
      <c r="L72" s="2506"/>
      <c r="BQZ72" t="s">
        <v>5003</v>
      </c>
      <c r="BRA72" t="s">
        <v>5113</v>
      </c>
      <c r="BRB72" t="s">
        <v>5114</v>
      </c>
      <c r="BRC72" t="s">
        <v>599</v>
      </c>
      <c r="BRD72">
        <v>2</v>
      </c>
      <c r="BRE72" t="s">
        <v>5310</v>
      </c>
    </row>
    <row r="73" spans="1:13 1820:1825" ht="30" customHeight="1">
      <c r="B73" s="1309">
        <v>30</v>
      </c>
      <c r="C73" s="2511"/>
      <c r="D73" s="672" t="s">
        <v>3816</v>
      </c>
      <c r="E73" s="2511"/>
      <c r="G73" s="2512"/>
      <c r="H73" s="2512"/>
      <c r="I73" s="2512"/>
      <c r="J73" s="2512"/>
      <c r="L73" s="2506"/>
      <c r="BQZ73" t="s">
        <v>5003</v>
      </c>
      <c r="BRA73" t="s">
        <v>5115</v>
      </c>
      <c r="BRB73" t="s">
        <v>5116</v>
      </c>
      <c r="BRC73" t="s">
        <v>599</v>
      </c>
      <c r="BRD73">
        <v>3</v>
      </c>
      <c r="BRE73" t="s">
        <v>5311</v>
      </c>
    </row>
    <row r="74" spans="1:13 1820:1825" ht="30" customHeight="1">
      <c r="B74" s="1305">
        <v>36</v>
      </c>
      <c r="C74" s="1313"/>
      <c r="D74" s="672" t="s">
        <v>3822</v>
      </c>
      <c r="E74" s="1313"/>
      <c r="G74" s="1315"/>
      <c r="H74" s="1315"/>
      <c r="I74" s="1315"/>
      <c r="J74" s="1315"/>
      <c r="L74" s="2506"/>
      <c r="BQZ74" t="s">
        <v>5003</v>
      </c>
      <c r="BRA74" t="s">
        <v>5117</v>
      </c>
      <c r="BRB74" t="s">
        <v>5118</v>
      </c>
      <c r="BRC74" t="s">
        <v>599</v>
      </c>
      <c r="BRD74">
        <v>4</v>
      </c>
      <c r="BRE74" t="s">
        <v>5312</v>
      </c>
    </row>
    <row r="75" spans="1:13 1820:1825" ht="30" customHeight="1">
      <c r="B75" s="1305">
        <v>67</v>
      </c>
      <c r="C75" s="1313"/>
      <c r="D75" s="672" t="s">
        <v>4624</v>
      </c>
      <c r="E75" s="1313"/>
      <c r="G75" s="1315"/>
      <c r="H75" s="1315"/>
      <c r="I75" s="1315"/>
      <c r="J75" s="1315"/>
      <c r="L75" s="2506"/>
      <c r="BQZ75" t="s">
        <v>5003</v>
      </c>
      <c r="BRA75" t="s">
        <v>5119</v>
      </c>
      <c r="BRB75" t="s">
        <v>5120</v>
      </c>
      <c r="BRC75" t="s">
        <v>599</v>
      </c>
      <c r="BRD75">
        <v>5</v>
      </c>
      <c r="BRE75" t="s">
        <v>5313</v>
      </c>
    </row>
    <row r="76" spans="1:13 1820:1825" ht="30" customHeight="1">
      <c r="B76" s="1305"/>
      <c r="C76" s="1313"/>
      <c r="D76" s="672" t="s">
        <v>4626</v>
      </c>
      <c r="E76" s="1313"/>
      <c r="G76" s="1315"/>
      <c r="H76" s="1315"/>
      <c r="I76" s="1315"/>
      <c r="J76" s="1315"/>
      <c r="L76" s="2506"/>
      <c r="BQZ76" t="s">
        <v>5004</v>
      </c>
      <c r="BRA76" t="s">
        <v>5121</v>
      </c>
      <c r="BRB76" t="s">
        <v>5122</v>
      </c>
      <c r="BRC76" t="s">
        <v>599</v>
      </c>
      <c r="BRD76">
        <v>1</v>
      </c>
      <c r="BRE76" t="s">
        <v>5314</v>
      </c>
    </row>
    <row r="77" spans="1:13 1820:1825" ht="30" customHeight="1">
      <c r="B77"/>
      <c r="C77"/>
      <c r="L77" s="2506"/>
      <c r="BQZ77" t="s">
        <v>5004</v>
      </c>
      <c r="BRA77" t="s">
        <v>5123</v>
      </c>
      <c r="BRB77" t="s">
        <v>5124</v>
      </c>
      <c r="BRC77" t="s">
        <v>599</v>
      </c>
      <c r="BRD77">
        <v>2</v>
      </c>
      <c r="BRE77" t="s">
        <v>5315</v>
      </c>
    </row>
    <row r="78" spans="1:13 1820:1825" ht="30" customHeight="1">
      <c r="B78"/>
      <c r="C78"/>
      <c r="L78" s="2506"/>
      <c r="BQZ78" t="s">
        <v>5004</v>
      </c>
      <c r="BRA78" t="s">
        <v>5125</v>
      </c>
      <c r="BRB78" t="s">
        <v>5126</v>
      </c>
      <c r="BRC78" t="s">
        <v>599</v>
      </c>
      <c r="BRD78">
        <v>3</v>
      </c>
      <c r="BRE78" t="s">
        <v>5316</v>
      </c>
    </row>
    <row r="79" spans="1:13 1820:1825" ht="30" customHeight="1">
      <c r="B79"/>
      <c r="C79"/>
      <c r="L79" s="2506"/>
      <c r="BQZ79" t="s">
        <v>5004</v>
      </c>
      <c r="BRA79" t="s">
        <v>5127</v>
      </c>
      <c r="BRB79" t="s">
        <v>5128</v>
      </c>
      <c r="BRC79" t="s">
        <v>599</v>
      </c>
      <c r="BRD79">
        <v>4</v>
      </c>
      <c r="BRE79" t="s">
        <v>5317</v>
      </c>
    </row>
    <row r="80" spans="1:13 1820:1825" ht="30" customHeight="1">
      <c r="B80"/>
      <c r="C80"/>
      <c r="L80" s="2506"/>
      <c r="BQZ80" t="s">
        <v>5004</v>
      </c>
      <c r="BRA80" t="s">
        <v>5129</v>
      </c>
      <c r="BRB80" t="s">
        <v>5130</v>
      </c>
      <c r="BRC80" t="s">
        <v>599</v>
      </c>
      <c r="BRD80">
        <v>5</v>
      </c>
      <c r="BRE80" t="s">
        <v>5318</v>
      </c>
    </row>
    <row r="81" spans="2:12 1820:1825" ht="30" customHeight="1">
      <c r="B81" s="7" t="s">
        <v>5685</v>
      </c>
      <c r="C81"/>
      <c r="D81"/>
      <c r="E81"/>
      <c r="L81" s="2506"/>
      <c r="BQZ81" t="s">
        <v>5004</v>
      </c>
      <c r="BRA81" t="s">
        <v>5131</v>
      </c>
      <c r="BRB81" t="s">
        <v>5132</v>
      </c>
      <c r="BRC81" t="s">
        <v>599</v>
      </c>
      <c r="BRD81">
        <v>6</v>
      </c>
      <c r="BRE81" t="s">
        <v>5319</v>
      </c>
    </row>
    <row r="82" spans="2:12 1820:1825" ht="30" customHeight="1">
      <c r="B82" s="7" t="s">
        <v>7093</v>
      </c>
      <c r="C82"/>
      <c r="D82"/>
      <c r="E82"/>
      <c r="L82" s="2506"/>
      <c r="BQZ82" t="s">
        <v>5007</v>
      </c>
      <c r="BRA82" t="s">
        <v>5133</v>
      </c>
      <c r="BRB82" t="s">
        <v>5134</v>
      </c>
      <c r="BRC82" t="s">
        <v>599</v>
      </c>
      <c r="BRD82">
        <v>1</v>
      </c>
      <c r="BRE82" t="s">
        <v>5320</v>
      </c>
    </row>
    <row r="83" spans="2:12 1820:1825" ht="30" customHeight="1">
      <c r="B83" s="7" t="s">
        <v>5521</v>
      </c>
      <c r="C83"/>
      <c r="D83"/>
      <c r="E83"/>
      <c r="L83" s="2506"/>
      <c r="BQZ83" t="s">
        <v>5008</v>
      </c>
      <c r="BRA83" t="s">
        <v>5135</v>
      </c>
      <c r="BRB83" t="s">
        <v>5136</v>
      </c>
      <c r="BRC83" t="s">
        <v>599</v>
      </c>
      <c r="BRD83">
        <v>1</v>
      </c>
      <c r="BRE83" t="s">
        <v>5321</v>
      </c>
    </row>
    <row r="84" spans="2:12 1820:1825" ht="30" customHeight="1">
      <c r="B84" s="7" t="s">
        <v>5700</v>
      </c>
      <c r="C84"/>
      <c r="D84"/>
      <c r="E84"/>
      <c r="L84" s="2506"/>
      <c r="BQZ84" t="s">
        <v>5008</v>
      </c>
      <c r="BRA84" t="s">
        <v>5137</v>
      </c>
      <c r="BRB84" t="s">
        <v>5138</v>
      </c>
      <c r="BRC84" t="s">
        <v>599</v>
      </c>
      <c r="BRD84">
        <v>2</v>
      </c>
      <c r="BRE84" t="s">
        <v>5322</v>
      </c>
    </row>
    <row r="85" spans="2:12 1820:1825" ht="30" customHeight="1">
      <c r="B85" s="7" t="s">
        <v>7094</v>
      </c>
      <c r="C85"/>
      <c r="D85"/>
      <c r="E85"/>
      <c r="L85" s="2506"/>
      <c r="BQZ85" t="s">
        <v>5008</v>
      </c>
      <c r="BRA85" t="s">
        <v>5139</v>
      </c>
      <c r="BRB85" t="s">
        <v>5140</v>
      </c>
      <c r="BRC85" t="s">
        <v>599</v>
      </c>
      <c r="BRD85">
        <v>3</v>
      </c>
      <c r="BRE85" t="s">
        <v>5323</v>
      </c>
    </row>
    <row r="86" spans="2:12 1820:1825" ht="30" customHeight="1">
      <c r="B86" s="7" t="s">
        <v>5529</v>
      </c>
      <c r="BQZ86" t="s">
        <v>5008</v>
      </c>
      <c r="BRA86" t="s">
        <v>5141</v>
      </c>
      <c r="BRB86" t="s">
        <v>5142</v>
      </c>
      <c r="BRC86" t="s">
        <v>599</v>
      </c>
      <c r="BRD86">
        <v>4</v>
      </c>
      <c r="BRE86" t="s">
        <v>5324</v>
      </c>
    </row>
    <row r="87" spans="2:12 1820:1825" ht="30" customHeight="1">
      <c r="B87"/>
      <c r="BQZ87" t="s">
        <v>5008</v>
      </c>
      <c r="BRA87" t="s">
        <v>5143</v>
      </c>
      <c r="BRB87" t="s">
        <v>5144</v>
      </c>
      <c r="BRC87" t="s">
        <v>599</v>
      </c>
      <c r="BRD87">
        <v>5</v>
      </c>
      <c r="BRE87" t="s">
        <v>5325</v>
      </c>
    </row>
    <row r="88" spans="2:12 1820:1825" ht="30" customHeight="1">
      <c r="B88" s="1077" t="s">
        <v>6932</v>
      </c>
      <c r="BQZ88" t="s">
        <v>5008</v>
      </c>
      <c r="BRA88" t="s">
        <v>5145</v>
      </c>
      <c r="BRB88" t="s">
        <v>5146</v>
      </c>
      <c r="BRC88" t="s">
        <v>599</v>
      </c>
      <c r="BRD88">
        <v>6</v>
      </c>
      <c r="BRE88" t="s">
        <v>5326</v>
      </c>
    </row>
    <row r="89" spans="2:12 1820:1825" ht="30" customHeight="1">
      <c r="B89" s="1077"/>
      <c r="BQZ89" t="s">
        <v>5008</v>
      </c>
      <c r="BRA89" t="s">
        <v>5147</v>
      </c>
      <c r="BRB89" t="s">
        <v>5148</v>
      </c>
      <c r="BRC89" t="s">
        <v>599</v>
      </c>
      <c r="BRD89">
        <v>7</v>
      </c>
      <c r="BRE89" t="s">
        <v>5327</v>
      </c>
    </row>
    <row r="90" spans="2:12 1820:1825" ht="30" customHeight="1">
      <c r="B90" s="1077" t="s">
        <v>5674</v>
      </c>
      <c r="BQZ90" t="s">
        <v>5008</v>
      </c>
      <c r="BRA90" t="s">
        <v>5149</v>
      </c>
      <c r="BRB90" t="s">
        <v>5150</v>
      </c>
      <c r="BRC90" t="s">
        <v>599</v>
      </c>
      <c r="BRD90">
        <v>8</v>
      </c>
      <c r="BRE90" t="s">
        <v>5328</v>
      </c>
    </row>
    <row r="91" spans="2:12 1820:1825" ht="30" customHeight="1">
      <c r="B91" s="7" t="s">
        <v>5678</v>
      </c>
      <c r="BQZ91" t="s">
        <v>5009</v>
      </c>
      <c r="BRA91" t="s">
        <v>5151</v>
      </c>
      <c r="BRB91" t="s">
        <v>5152</v>
      </c>
      <c r="BRC91" t="s">
        <v>599</v>
      </c>
      <c r="BRD91">
        <v>1</v>
      </c>
      <c r="BRE91" t="s">
        <v>5329</v>
      </c>
    </row>
    <row r="92" spans="2:12 1820:1825" ht="30" customHeight="1">
      <c r="B92" s="7" t="s">
        <v>5676</v>
      </c>
      <c r="BQZ92" t="s">
        <v>5009</v>
      </c>
      <c r="BRA92" t="s">
        <v>5153</v>
      </c>
      <c r="BRB92" t="s">
        <v>5154</v>
      </c>
      <c r="BRC92" t="s">
        <v>599</v>
      </c>
      <c r="BRD92">
        <v>2</v>
      </c>
      <c r="BRE92" t="s">
        <v>5330</v>
      </c>
    </row>
    <row r="93" spans="2:12 1820:1825" ht="30" customHeight="1">
      <c r="B93"/>
      <c r="BQZ93" t="s">
        <v>5009</v>
      </c>
      <c r="BRA93" t="s">
        <v>5155</v>
      </c>
      <c r="BRB93" t="s">
        <v>5156</v>
      </c>
      <c r="BRC93" t="s">
        <v>599</v>
      </c>
      <c r="BRD93">
        <v>3</v>
      </c>
      <c r="BRE93" t="s">
        <v>5331</v>
      </c>
    </row>
    <row r="94" spans="2:12 1820:1825" ht="30" customHeight="1">
      <c r="B94" s="1077" t="s">
        <v>5675</v>
      </c>
      <c r="BQZ94" t="s">
        <v>5009</v>
      </c>
      <c r="BRA94" t="s">
        <v>5157</v>
      </c>
      <c r="BRB94" t="s">
        <v>5158</v>
      </c>
      <c r="BRC94" t="s">
        <v>599</v>
      </c>
      <c r="BRD94">
        <v>4</v>
      </c>
      <c r="BRE94" t="s">
        <v>5332</v>
      </c>
    </row>
    <row r="95" spans="2:12 1820:1825" ht="30" customHeight="1">
      <c r="B95" s="7" t="s">
        <v>5679</v>
      </c>
      <c r="BQZ95" t="s">
        <v>5009</v>
      </c>
      <c r="BRA95" t="s">
        <v>5159</v>
      </c>
      <c r="BRB95" t="s">
        <v>5160</v>
      </c>
      <c r="BRC95" t="s">
        <v>599</v>
      </c>
      <c r="BRD95">
        <v>5</v>
      </c>
      <c r="BRE95" t="s">
        <v>5333</v>
      </c>
    </row>
    <row r="96" spans="2:12 1820:1825" ht="30" customHeight="1">
      <c r="B96" s="7" t="s">
        <v>5677</v>
      </c>
      <c r="BQZ96" t="s">
        <v>5009</v>
      </c>
      <c r="BRA96" t="s">
        <v>5161</v>
      </c>
      <c r="BRB96" t="s">
        <v>5162</v>
      </c>
      <c r="BRC96" t="s">
        <v>599</v>
      </c>
      <c r="BRD96">
        <v>6</v>
      </c>
      <c r="BRE96" t="s">
        <v>5334</v>
      </c>
    </row>
    <row r="97" spans="2:2 1820:1825" ht="30" customHeight="1">
      <c r="B97" s="7" t="s">
        <v>5680</v>
      </c>
      <c r="BQZ97" t="s">
        <v>5009</v>
      </c>
      <c r="BRA97" t="s">
        <v>5163</v>
      </c>
      <c r="BRB97" t="s">
        <v>5164</v>
      </c>
      <c r="BRC97" t="s">
        <v>599</v>
      </c>
      <c r="BRD97">
        <v>7</v>
      </c>
      <c r="BRE97" t="s">
        <v>5335</v>
      </c>
    </row>
    <row r="98" spans="2:2 1820:1825" ht="30" customHeight="1">
      <c r="B98" s="7" t="s">
        <v>5687</v>
      </c>
      <c r="BQZ98" t="s">
        <v>5010</v>
      </c>
      <c r="BRA98" t="s">
        <v>5165</v>
      </c>
      <c r="BRB98" t="s">
        <v>5166</v>
      </c>
      <c r="BRC98" t="s">
        <v>599</v>
      </c>
      <c r="BRD98">
        <v>1</v>
      </c>
      <c r="BRE98" t="s">
        <v>5336</v>
      </c>
    </row>
    <row r="99" spans="2:2 1820:1825" ht="30" customHeight="1">
      <c r="B99" s="7" t="s">
        <v>5688</v>
      </c>
      <c r="BQZ99" t="s">
        <v>5010</v>
      </c>
      <c r="BRA99" t="s">
        <v>5167</v>
      </c>
      <c r="BRB99" t="s">
        <v>5168</v>
      </c>
      <c r="BRC99" t="s">
        <v>599</v>
      </c>
      <c r="BRD99">
        <v>2</v>
      </c>
      <c r="BRE99" t="s">
        <v>5337</v>
      </c>
    </row>
    <row r="100" spans="2:2 1820:1825" ht="30" customHeight="1">
      <c r="B100" s="7" t="s">
        <v>5689</v>
      </c>
      <c r="BQZ100" t="s">
        <v>5010</v>
      </c>
      <c r="BRA100" t="s">
        <v>5169</v>
      </c>
      <c r="BRB100" t="s">
        <v>5170</v>
      </c>
      <c r="BRC100" t="s">
        <v>599</v>
      </c>
      <c r="BRD100">
        <v>3</v>
      </c>
      <c r="BRE100" t="s">
        <v>5338</v>
      </c>
    </row>
    <row r="101" spans="2:2 1820:1825" ht="30" customHeight="1">
      <c r="B101" s="7" t="s">
        <v>5690</v>
      </c>
      <c r="BQZ101" t="s">
        <v>5010</v>
      </c>
      <c r="BRA101" t="s">
        <v>5171</v>
      </c>
      <c r="BRB101" t="s">
        <v>5172</v>
      </c>
      <c r="BRC101" t="s">
        <v>599</v>
      </c>
      <c r="BRD101">
        <v>4</v>
      </c>
      <c r="BRE101" t="s">
        <v>5339</v>
      </c>
    </row>
    <row r="102" spans="2:2 1820:1825" ht="30" customHeight="1">
      <c r="B102" s="7" t="s">
        <v>5691</v>
      </c>
      <c r="BQZ102" t="s">
        <v>5010</v>
      </c>
      <c r="BRA102" t="s">
        <v>5173</v>
      </c>
      <c r="BRB102" t="s">
        <v>5174</v>
      </c>
      <c r="BRC102" t="s">
        <v>599</v>
      </c>
      <c r="BRD102">
        <v>5</v>
      </c>
      <c r="BRE102" t="s">
        <v>5340</v>
      </c>
    </row>
    <row r="103" spans="2:2 1820:1825" ht="30" customHeight="1">
      <c r="B103"/>
      <c r="BQZ103" t="s">
        <v>5011</v>
      </c>
      <c r="BRA103" t="s">
        <v>5175</v>
      </c>
      <c r="BRB103" t="s">
        <v>5176</v>
      </c>
      <c r="BRC103" t="s">
        <v>599</v>
      </c>
      <c r="BRD103">
        <v>1</v>
      </c>
      <c r="BRE103" t="s">
        <v>5341</v>
      </c>
    </row>
    <row r="104" spans="2:2 1820:1825" ht="30" customHeight="1">
      <c r="B104" s="1077" t="s">
        <v>5681</v>
      </c>
      <c r="BQZ104" t="s">
        <v>5011</v>
      </c>
      <c r="BRA104" t="s">
        <v>5177</v>
      </c>
      <c r="BRB104" t="s">
        <v>5178</v>
      </c>
      <c r="BRC104" t="s">
        <v>599</v>
      </c>
      <c r="BRD104">
        <v>2</v>
      </c>
      <c r="BRE104" t="s">
        <v>5342</v>
      </c>
    </row>
    <row r="105" spans="2:2 1820:1825" ht="30" customHeight="1">
      <c r="B105" s="7" t="s">
        <v>5679</v>
      </c>
      <c r="BQZ105" t="s">
        <v>5011</v>
      </c>
      <c r="BRA105" t="s">
        <v>5179</v>
      </c>
      <c r="BRB105" t="s">
        <v>5180</v>
      </c>
      <c r="BRC105" t="s">
        <v>599</v>
      </c>
      <c r="BRD105">
        <v>4</v>
      </c>
      <c r="BRE105" t="s">
        <v>5343</v>
      </c>
    </row>
    <row r="106" spans="2:2 1820:1825" ht="30" customHeight="1">
      <c r="B106" s="7" t="s">
        <v>5677</v>
      </c>
      <c r="BQZ106" t="s">
        <v>5011</v>
      </c>
      <c r="BRA106" t="s">
        <v>5181</v>
      </c>
      <c r="BRB106" t="s">
        <v>5182</v>
      </c>
      <c r="BRC106" t="s">
        <v>599</v>
      </c>
      <c r="BRD106">
        <v>5</v>
      </c>
      <c r="BRE106" t="s">
        <v>5344</v>
      </c>
    </row>
    <row r="107" spans="2:2 1820:1825" ht="30" customHeight="1">
      <c r="B107" s="7" t="s">
        <v>5693</v>
      </c>
      <c r="BQZ107" t="s">
        <v>5011</v>
      </c>
      <c r="BRA107" t="s">
        <v>5183</v>
      </c>
      <c r="BRB107" t="s">
        <v>5184</v>
      </c>
      <c r="BRC107" t="s">
        <v>599</v>
      </c>
      <c r="BRD107">
        <v>6</v>
      </c>
      <c r="BRE107" t="s">
        <v>5345</v>
      </c>
    </row>
    <row r="108" spans="2:2 1820:1825" ht="30" customHeight="1">
      <c r="B108" s="7" t="s">
        <v>5682</v>
      </c>
      <c r="BQZ108" t="s">
        <v>5012</v>
      </c>
      <c r="BRA108" t="s">
        <v>5185</v>
      </c>
      <c r="BRB108" t="s">
        <v>5186</v>
      </c>
      <c r="BRC108" t="s">
        <v>599</v>
      </c>
      <c r="BRD108">
        <v>1</v>
      </c>
      <c r="BRE108" t="s">
        <v>5346</v>
      </c>
    </row>
    <row r="109" spans="2:2 1820:1825" ht="30" customHeight="1">
      <c r="B109" s="7" t="s">
        <v>5677</v>
      </c>
      <c r="BQZ109" t="s">
        <v>5012</v>
      </c>
      <c r="BRA109" t="s">
        <v>5187</v>
      </c>
      <c r="BRB109" t="s">
        <v>5188</v>
      </c>
      <c r="BRC109" t="s">
        <v>599</v>
      </c>
      <c r="BRD109">
        <v>2</v>
      </c>
      <c r="BRE109" t="s">
        <v>5347</v>
      </c>
    </row>
    <row r="110" spans="2:2 1820:1825" ht="30" customHeight="1">
      <c r="B110" s="7" t="s">
        <v>5694</v>
      </c>
      <c r="BQZ110" t="s">
        <v>5012</v>
      </c>
      <c r="BRA110" t="s">
        <v>5189</v>
      </c>
      <c r="BRB110" t="s">
        <v>5190</v>
      </c>
      <c r="BRC110" t="s">
        <v>599</v>
      </c>
      <c r="BRD110">
        <v>3</v>
      </c>
      <c r="BRE110" t="s">
        <v>5348</v>
      </c>
    </row>
    <row r="111" spans="2:2 1820:1825" ht="30" customHeight="1">
      <c r="B111" s="7" t="s">
        <v>5680</v>
      </c>
      <c r="BQZ111" t="s">
        <v>5012</v>
      </c>
      <c r="BRA111" t="s">
        <v>5191</v>
      </c>
      <c r="BRB111" t="s">
        <v>5192</v>
      </c>
      <c r="BRC111" t="s">
        <v>599</v>
      </c>
      <c r="BRD111">
        <v>4</v>
      </c>
      <c r="BRE111" t="s">
        <v>5349</v>
      </c>
    </row>
    <row r="112" spans="2:2 1820:1825" ht="30" customHeight="1">
      <c r="B112" s="7" t="s">
        <v>5692</v>
      </c>
      <c r="BQZ112" t="s">
        <v>5013</v>
      </c>
      <c r="BRA112" t="s">
        <v>5193</v>
      </c>
      <c r="BRB112" t="s">
        <v>5194</v>
      </c>
      <c r="BRC112" t="s">
        <v>574</v>
      </c>
      <c r="BRD112">
        <v>1</v>
      </c>
      <c r="BRE112" t="s">
        <v>5350</v>
      </c>
    </row>
    <row r="113" spans="2:7 1820:1825" ht="30" customHeight="1">
      <c r="B113" s="7" t="s">
        <v>5695</v>
      </c>
      <c r="BQZ113" t="s">
        <v>5013</v>
      </c>
      <c r="BRA113" t="s">
        <v>5195</v>
      </c>
      <c r="BRB113" t="s">
        <v>5196</v>
      </c>
      <c r="BRC113" t="s">
        <v>574</v>
      </c>
      <c r="BRD113">
        <v>1</v>
      </c>
      <c r="BRE113" t="s">
        <v>5351</v>
      </c>
    </row>
    <row r="114" spans="2:7 1820:1825" ht="30" customHeight="1">
      <c r="B114"/>
      <c r="BQZ114" t="s">
        <v>5013</v>
      </c>
      <c r="BRA114" t="s">
        <v>5197</v>
      </c>
      <c r="BRB114" t="s">
        <v>5198</v>
      </c>
      <c r="BRC114" t="s">
        <v>599</v>
      </c>
      <c r="BRD114">
        <v>2</v>
      </c>
      <c r="BRE114" t="s">
        <v>5352</v>
      </c>
    </row>
    <row r="115" spans="2:7 1820:1825" ht="30" customHeight="1">
      <c r="B115" s="1077" t="s">
        <v>3214</v>
      </c>
      <c r="BQZ115" t="s">
        <v>5013</v>
      </c>
      <c r="BRA115" t="s">
        <v>5199</v>
      </c>
      <c r="BRB115" t="s">
        <v>5200</v>
      </c>
      <c r="BRC115" t="s">
        <v>599</v>
      </c>
      <c r="BRD115">
        <v>3</v>
      </c>
      <c r="BRE115" t="s">
        <v>5353</v>
      </c>
    </row>
    <row r="116" spans="2:7 1820:1825" ht="30" customHeight="1">
      <c r="B116" s="7" t="s">
        <v>5684</v>
      </c>
      <c r="BQZ116" t="s">
        <v>5013</v>
      </c>
      <c r="BRA116" t="s">
        <v>5201</v>
      </c>
      <c r="BRB116" t="s">
        <v>5202</v>
      </c>
      <c r="BRC116" t="s">
        <v>599</v>
      </c>
      <c r="BRD116">
        <v>4</v>
      </c>
      <c r="BRE116" t="s">
        <v>5354</v>
      </c>
    </row>
    <row r="117" spans="2:7 1820:1825" ht="30" customHeight="1">
      <c r="B117" s="7" t="s">
        <v>5703</v>
      </c>
      <c r="BQZ117" t="s">
        <v>5013</v>
      </c>
      <c r="BRA117" t="s">
        <v>5203</v>
      </c>
      <c r="BRB117" t="s">
        <v>5204</v>
      </c>
      <c r="BRC117" t="s">
        <v>599</v>
      </c>
      <c r="BRD117">
        <v>5</v>
      </c>
      <c r="BRE117" t="s">
        <v>5355</v>
      </c>
    </row>
    <row r="118" spans="2:7 1820:1825" ht="30" customHeight="1">
      <c r="B118" t="s">
        <v>5701</v>
      </c>
      <c r="BQZ118" t="s">
        <v>5013</v>
      </c>
      <c r="BRA118" t="s">
        <v>5205</v>
      </c>
      <c r="BRB118" t="s">
        <v>5206</v>
      </c>
      <c r="BRC118" t="s">
        <v>599</v>
      </c>
      <c r="BRD118">
        <v>6</v>
      </c>
      <c r="BRE118" t="s">
        <v>5356</v>
      </c>
    </row>
    <row r="119" spans="2:7 1820:1825" ht="30" customHeight="1">
      <c r="B119" t="s">
        <v>5704</v>
      </c>
      <c r="BQZ119" t="s">
        <v>5014</v>
      </c>
      <c r="BRA119" t="s">
        <v>4968</v>
      </c>
      <c r="BRB119" t="s">
        <v>4969</v>
      </c>
      <c r="BRC119" t="s">
        <v>599</v>
      </c>
      <c r="BRD119">
        <v>1</v>
      </c>
      <c r="BRE119" t="s">
        <v>5357</v>
      </c>
    </row>
    <row r="120" spans="2:7 1820:1825" ht="30" customHeight="1">
      <c r="B120" t="s">
        <v>5702</v>
      </c>
      <c r="BQZ120" t="s">
        <v>5014</v>
      </c>
      <c r="BRA120" t="s">
        <v>5207</v>
      </c>
      <c r="BRB120" t="s">
        <v>5208</v>
      </c>
      <c r="BRC120" t="s">
        <v>599</v>
      </c>
      <c r="BRD120">
        <v>2</v>
      </c>
      <c r="BRE120" t="s">
        <v>5358</v>
      </c>
    </row>
    <row r="121" spans="2:7 1820:1825" ht="30" customHeight="1">
      <c r="B121" t="s">
        <v>5705</v>
      </c>
      <c r="BQZ121" t="s">
        <v>5014</v>
      </c>
      <c r="BRA121" t="s">
        <v>5209</v>
      </c>
      <c r="BRB121" t="s">
        <v>5210</v>
      </c>
      <c r="BRC121" t="s">
        <v>599</v>
      </c>
      <c r="BRD121">
        <v>3</v>
      </c>
      <c r="BRE121" t="s">
        <v>5359</v>
      </c>
    </row>
    <row r="122" spans="2:7 1820:1825" ht="30" customHeight="1">
      <c r="B122" s="1078"/>
      <c r="BQZ122" t="s">
        <v>5014</v>
      </c>
      <c r="BRA122" t="s">
        <v>5211</v>
      </c>
      <c r="BRB122" t="s">
        <v>5212</v>
      </c>
      <c r="BRC122" t="s">
        <v>599</v>
      </c>
      <c r="BRD122">
        <v>4</v>
      </c>
      <c r="BRE122" t="s">
        <v>5360</v>
      </c>
    </row>
    <row r="123" spans="2:7 1820:1825" ht="30" customHeight="1">
      <c r="B123" s="409" t="s">
        <v>5706</v>
      </c>
      <c r="BQZ123" t="s">
        <v>5014</v>
      </c>
      <c r="BRA123" t="s">
        <v>5213</v>
      </c>
      <c r="BRB123" t="s">
        <v>5214</v>
      </c>
      <c r="BRC123" t="s">
        <v>599</v>
      </c>
      <c r="BRD123">
        <v>5</v>
      </c>
      <c r="BRE123" t="s">
        <v>5361</v>
      </c>
    </row>
    <row r="124" spans="2:7 1820:1825" ht="30" customHeight="1">
      <c r="B124" s="409" t="s">
        <v>5717</v>
      </c>
      <c r="BQZ124" t="s">
        <v>5014</v>
      </c>
      <c r="BRA124" t="s">
        <v>5215</v>
      </c>
      <c r="BRB124" t="s">
        <v>5216</v>
      </c>
      <c r="BRC124" t="s">
        <v>599</v>
      </c>
      <c r="BRD124">
        <v>6</v>
      </c>
      <c r="BRE124" t="s">
        <v>5362</v>
      </c>
    </row>
    <row r="125" spans="2:7 1820:1825" ht="30" customHeight="1">
      <c r="BQZ125" t="s">
        <v>5017</v>
      </c>
      <c r="BRA125" t="s">
        <v>5217</v>
      </c>
      <c r="BRB125" t="s">
        <v>5218</v>
      </c>
      <c r="BRC125" t="s">
        <v>599</v>
      </c>
      <c r="BRD125">
        <v>1</v>
      </c>
      <c r="BRE125" t="s">
        <v>5363</v>
      </c>
    </row>
    <row r="126" spans="2:7 1820:1825" ht="30" customHeight="1">
      <c r="B126" s="1080" t="s">
        <v>5707</v>
      </c>
      <c r="BQZ126" t="s">
        <v>5017</v>
      </c>
      <c r="BRA126" t="s">
        <v>5219</v>
      </c>
      <c r="BRB126" t="s">
        <v>5220</v>
      </c>
      <c r="BRC126" t="s">
        <v>599</v>
      </c>
      <c r="BRD126">
        <v>2</v>
      </c>
      <c r="BRE126" t="s">
        <v>5364</v>
      </c>
    </row>
    <row r="127" spans="2:7 1820:1825" ht="30" customHeight="1">
      <c r="B127" s="409" t="s">
        <v>5708</v>
      </c>
      <c r="C127" s="409" t="s">
        <v>5710</v>
      </c>
      <c r="D127" s="129" t="s">
        <v>233</v>
      </c>
      <c r="E127" s="129" t="s">
        <v>822</v>
      </c>
      <c r="F127" s="129" t="s">
        <v>5896</v>
      </c>
      <c r="G127" s="129" t="s">
        <v>5720</v>
      </c>
      <c r="BQZ127" t="s">
        <v>5017</v>
      </c>
      <c r="BRA127" t="s">
        <v>5221</v>
      </c>
      <c r="BRB127" t="s">
        <v>5222</v>
      </c>
      <c r="BRC127" t="s">
        <v>599</v>
      </c>
      <c r="BRD127">
        <v>3</v>
      </c>
      <c r="BRE127" t="s">
        <v>5365</v>
      </c>
    </row>
    <row r="128" spans="2:7 1820:1825" ht="30" customHeight="1">
      <c r="B128" s="409" t="s">
        <v>5713</v>
      </c>
      <c r="D128" s="1079" t="s">
        <v>5895</v>
      </c>
      <c r="BQZ128" t="s">
        <v>5017</v>
      </c>
      <c r="BRA128" t="s">
        <v>5223</v>
      </c>
      <c r="BRB128" t="s">
        <v>5224</v>
      </c>
      <c r="BRC128" t="s">
        <v>599</v>
      </c>
      <c r="BRD128">
        <v>4</v>
      </c>
      <c r="BRE128" t="s">
        <v>5366</v>
      </c>
    </row>
    <row r="129" spans="2:7 1820:1825" ht="30" customHeight="1">
      <c r="B129" s="409" t="s">
        <v>5718</v>
      </c>
      <c r="BQZ129" t="s">
        <v>5017</v>
      </c>
      <c r="BRA129" t="s">
        <v>5225</v>
      </c>
      <c r="BRB129" t="s">
        <v>5226</v>
      </c>
      <c r="BRC129" t="s">
        <v>599</v>
      </c>
      <c r="BRD129">
        <v>5</v>
      </c>
      <c r="BRE129" t="s">
        <v>5367</v>
      </c>
    </row>
    <row r="130" spans="2:7 1820:1825" ht="30" customHeight="1">
      <c r="B130" s="129" t="s">
        <v>5719</v>
      </c>
      <c r="BQZ130" t="s">
        <v>5017</v>
      </c>
      <c r="BRA130" t="s">
        <v>5227</v>
      </c>
      <c r="BRB130" t="s">
        <v>5228</v>
      </c>
      <c r="BRC130" t="s">
        <v>599</v>
      </c>
      <c r="BRD130">
        <v>6</v>
      </c>
      <c r="BRE130" t="s">
        <v>5368</v>
      </c>
    </row>
    <row r="131" spans="2:7 1820:1825" ht="30" customHeight="1">
      <c r="B131" s="129"/>
      <c r="BQZ131" t="s">
        <v>5017</v>
      </c>
      <c r="BRA131" t="s">
        <v>5229</v>
      </c>
      <c r="BRB131" t="s">
        <v>5230</v>
      </c>
      <c r="BRC131" t="s">
        <v>599</v>
      </c>
      <c r="BRD131">
        <v>7</v>
      </c>
      <c r="BRE131" t="s">
        <v>5369</v>
      </c>
    </row>
    <row r="132" spans="2:7 1820:1825" ht="30" customHeight="1">
      <c r="B132" s="1080" t="s">
        <v>5712</v>
      </c>
      <c r="BQZ132" t="s">
        <v>5017</v>
      </c>
      <c r="BRA132" t="s">
        <v>5231</v>
      </c>
      <c r="BRB132" t="s">
        <v>5232</v>
      </c>
      <c r="BRC132" t="s">
        <v>599</v>
      </c>
      <c r="BRD132">
        <v>8</v>
      </c>
      <c r="BRE132" t="s">
        <v>5370</v>
      </c>
    </row>
    <row r="133" spans="2:7 1820:1825" ht="30" customHeight="1">
      <c r="B133" s="409" t="s">
        <v>5708</v>
      </c>
      <c r="C133" s="409" t="s">
        <v>5710</v>
      </c>
      <c r="D133" s="129" t="s">
        <v>233</v>
      </c>
      <c r="E133" s="129" t="s">
        <v>822</v>
      </c>
      <c r="F133" s="129" t="s">
        <v>5896</v>
      </c>
      <c r="G133" s="129" t="s">
        <v>1910</v>
      </c>
      <c r="BQZ133" t="s">
        <v>5017</v>
      </c>
      <c r="BRA133" t="s">
        <v>5233</v>
      </c>
      <c r="BRB133" t="s">
        <v>5234</v>
      </c>
      <c r="BRC133" t="s">
        <v>599</v>
      </c>
      <c r="BRD133">
        <v>9</v>
      </c>
      <c r="BRE133" t="s">
        <v>5371</v>
      </c>
    </row>
    <row r="134" spans="2:7 1820:1825" ht="18">
      <c r="B134" s="409" t="s">
        <v>6482</v>
      </c>
      <c r="D134" s="1079" t="s">
        <v>5716</v>
      </c>
      <c r="BQZ134" t="s">
        <v>5017</v>
      </c>
      <c r="BRA134" t="s">
        <v>5235</v>
      </c>
      <c r="BRB134" t="s">
        <v>5236</v>
      </c>
      <c r="BRC134" t="s">
        <v>599</v>
      </c>
      <c r="BRD134">
        <v>10</v>
      </c>
      <c r="BRE134" t="s">
        <v>5372</v>
      </c>
    </row>
    <row r="135" spans="2:7 1820:1825">
      <c r="B135" s="409" t="s">
        <v>5715</v>
      </c>
      <c r="BQZ135" t="s">
        <v>5017</v>
      </c>
      <c r="BRA135" t="s">
        <v>5237</v>
      </c>
      <c r="BRB135" t="s">
        <v>5238</v>
      </c>
      <c r="BRC135" t="s">
        <v>599</v>
      </c>
      <c r="BRD135">
        <v>11</v>
      </c>
      <c r="BRE135" t="s">
        <v>5373</v>
      </c>
    </row>
    <row r="136" spans="2:7 1820:1825">
      <c r="BQZ136" t="s">
        <v>5017</v>
      </c>
      <c r="BRA136" t="s">
        <v>5239</v>
      </c>
      <c r="BRB136" t="s">
        <v>5240</v>
      </c>
      <c r="BRC136" t="s">
        <v>599</v>
      </c>
      <c r="BRD136">
        <v>12</v>
      </c>
      <c r="BRE136" t="s">
        <v>5374</v>
      </c>
    </row>
    <row r="137" spans="2:7 1820:1825" ht="18">
      <c r="B137" s="245" t="s">
        <v>5887</v>
      </c>
      <c r="C137" s="129" t="s">
        <v>5894</v>
      </c>
      <c r="BQZ137" t="s">
        <v>5018</v>
      </c>
      <c r="BRA137" t="s">
        <v>5241</v>
      </c>
      <c r="BRB137" t="s">
        <v>5242</v>
      </c>
      <c r="BRC137" t="s">
        <v>599</v>
      </c>
      <c r="BRD137">
        <v>1</v>
      </c>
      <c r="BRE137" t="s">
        <v>5375</v>
      </c>
    </row>
    <row r="138" spans="2:7 1820:1825">
      <c r="B138" s="129" t="s">
        <v>5888</v>
      </c>
      <c r="C138" s="129" t="s">
        <v>5890</v>
      </c>
      <c r="BQZ138" t="s">
        <v>5018</v>
      </c>
      <c r="BRA138" t="s">
        <v>5243</v>
      </c>
      <c r="BRB138" t="s">
        <v>5244</v>
      </c>
      <c r="BRC138" t="s">
        <v>599</v>
      </c>
      <c r="BRD138">
        <v>2</v>
      </c>
      <c r="BRE138" t="s">
        <v>5376</v>
      </c>
    </row>
    <row r="139" spans="2:7 1820:1825">
      <c r="B139" s="129" t="s">
        <v>5889</v>
      </c>
      <c r="C139" s="129" t="s">
        <v>5893</v>
      </c>
      <c r="BQZ139" t="s">
        <v>5018</v>
      </c>
      <c r="BRA139" t="s">
        <v>5245</v>
      </c>
      <c r="BRB139" t="s">
        <v>5246</v>
      </c>
      <c r="BRC139" t="s">
        <v>599</v>
      </c>
      <c r="BRD139">
        <v>3</v>
      </c>
      <c r="BRE139" t="s">
        <v>5377</v>
      </c>
    </row>
    <row r="140" spans="2:7 1820:1825">
      <c r="B140" s="129" t="s">
        <v>5891</v>
      </c>
      <c r="C140" s="129" t="s">
        <v>5892</v>
      </c>
      <c r="BQZ140" t="s">
        <v>5018</v>
      </c>
      <c r="BRA140" t="s">
        <v>5247</v>
      </c>
      <c r="BRB140" t="s">
        <v>5248</v>
      </c>
      <c r="BRC140" t="s">
        <v>599</v>
      </c>
      <c r="BRD140">
        <v>4</v>
      </c>
      <c r="BRE140" t="s">
        <v>5378</v>
      </c>
    </row>
    <row r="141" spans="2:7 1820:1825">
      <c r="BQZ141" t="s">
        <v>5018</v>
      </c>
      <c r="BRA141" t="s">
        <v>5249</v>
      </c>
      <c r="BRB141" t="s">
        <v>5250</v>
      </c>
      <c r="BRC141" t="s">
        <v>599</v>
      </c>
      <c r="BRD141">
        <v>5</v>
      </c>
      <c r="BRE141" t="s">
        <v>5379</v>
      </c>
    </row>
    <row r="142" spans="2:7 1820:1825" ht="18">
      <c r="B142" s="1104" t="s">
        <v>5897</v>
      </c>
      <c r="BQZ142" t="s">
        <v>5018</v>
      </c>
      <c r="BRA142" t="s">
        <v>5251</v>
      </c>
      <c r="BRB142" t="s">
        <v>5252</v>
      </c>
      <c r="BRC142" t="s">
        <v>599</v>
      </c>
      <c r="BRD142">
        <v>6</v>
      </c>
      <c r="BRE142" t="s">
        <v>5380</v>
      </c>
    </row>
    <row r="143" spans="2:7 1820:1825">
      <c r="B143" s="409" t="s">
        <v>5898</v>
      </c>
      <c r="BQZ143" t="s">
        <v>5018</v>
      </c>
      <c r="BRA143" t="s">
        <v>5253</v>
      </c>
      <c r="BRC143" t="s">
        <v>599</v>
      </c>
      <c r="BRD143">
        <v>7</v>
      </c>
      <c r="BRE143" t="s">
        <v>5381</v>
      </c>
    </row>
    <row r="144" spans="2:7 1820:1825">
      <c r="B144" s="409" t="s">
        <v>5903</v>
      </c>
      <c r="BQZ144" t="s">
        <v>5018</v>
      </c>
      <c r="BRA144" t="s">
        <v>5254</v>
      </c>
      <c r="BRB144" t="s">
        <v>5255</v>
      </c>
      <c r="BRC144" t="s">
        <v>599</v>
      </c>
      <c r="BRD144">
        <v>8</v>
      </c>
      <c r="BRE144" t="s">
        <v>5382</v>
      </c>
    </row>
    <row r="145" spans="2:3 1820:1825">
      <c r="BQZ145" t="s">
        <v>5019</v>
      </c>
      <c r="BRA145" t="s">
        <v>5256</v>
      </c>
      <c r="BRB145" t="s">
        <v>5257</v>
      </c>
      <c r="BRC145" t="s">
        <v>599</v>
      </c>
      <c r="BRD145">
        <v>1</v>
      </c>
      <c r="BRE145" t="s">
        <v>5383</v>
      </c>
    </row>
    <row r="146" spans="2:3 1820:1825" ht="18">
      <c r="B146" s="1104" t="s">
        <v>5902</v>
      </c>
      <c r="BQZ146" t="s">
        <v>5019</v>
      </c>
      <c r="BRA146" t="s">
        <v>5258</v>
      </c>
      <c r="BRB146" t="s">
        <v>5259</v>
      </c>
      <c r="BRC146" t="s">
        <v>599</v>
      </c>
      <c r="BRD146">
        <v>2</v>
      </c>
      <c r="BRE146" t="s">
        <v>5384</v>
      </c>
    </row>
    <row r="147" spans="2:3 1820:1825">
      <c r="B147" s="409" t="s">
        <v>5903</v>
      </c>
      <c r="BQZ147" t="s">
        <v>5019</v>
      </c>
      <c r="BRA147" t="s">
        <v>5260</v>
      </c>
      <c r="BRB147" t="s">
        <v>5261</v>
      </c>
      <c r="BRC147" t="s">
        <v>599</v>
      </c>
      <c r="BRD147">
        <v>3</v>
      </c>
      <c r="BRE147" t="s">
        <v>5385</v>
      </c>
    </row>
    <row r="148" spans="2:3 1820:1825">
      <c r="BQZ148" t="s">
        <v>5019</v>
      </c>
      <c r="BRA148" t="s">
        <v>5262</v>
      </c>
      <c r="BRB148" t="s">
        <v>5263</v>
      </c>
      <c r="BRC148" t="s">
        <v>599</v>
      </c>
      <c r="BRD148">
        <v>4</v>
      </c>
      <c r="BRE148" t="s">
        <v>5386</v>
      </c>
    </row>
    <row r="149" spans="2:3 1820:1825" ht="18">
      <c r="B149" s="1104" t="s">
        <v>5907</v>
      </c>
      <c r="BQZ149" t="s">
        <v>5019</v>
      </c>
      <c r="BRA149" t="s">
        <v>5264</v>
      </c>
      <c r="BRB149" t="s">
        <v>5265</v>
      </c>
      <c r="BRC149" t="s">
        <v>599</v>
      </c>
      <c r="BRD149">
        <v>5</v>
      </c>
      <c r="BRE149" t="s">
        <v>5387</v>
      </c>
    </row>
    <row r="150" spans="2:3 1820:1825">
      <c r="B150" s="409" t="s">
        <v>5908</v>
      </c>
    </row>
    <row r="151" spans="2:3 1820:1825">
      <c r="B151" s="409" t="s">
        <v>5909</v>
      </c>
      <c r="C151" s="129" t="s">
        <v>5910</v>
      </c>
    </row>
    <row r="152" spans="2:3 1820:1825">
      <c r="B152" s="409" t="s">
        <v>5911</v>
      </c>
      <c r="C152" s="129" t="s">
        <v>5912</v>
      </c>
    </row>
    <row r="153" spans="2:3 1820:1825">
      <c r="B153" s="409" t="s">
        <v>5913</v>
      </c>
      <c r="C153" s="129" t="s">
        <v>5915</v>
      </c>
    </row>
    <row r="154" spans="2:3 1820:1825">
      <c r="C154" s="129" t="s">
        <v>5914</v>
      </c>
    </row>
    <row r="156" spans="2:3 1820:1825" ht="18">
      <c r="B156" s="1104" t="s">
        <v>818</v>
      </c>
    </row>
    <row r="157" spans="2:3 1820:1825">
      <c r="B157" s="409" t="s">
        <v>5918</v>
      </c>
    </row>
    <row r="158" spans="2:3 1820:1825">
      <c r="B158" s="409" t="s">
        <v>5917</v>
      </c>
      <c r="C158" s="129" t="s">
        <v>5919</v>
      </c>
    </row>
    <row r="159" spans="2:3 1820:1825">
      <c r="B159" s="409" t="s">
        <v>5916</v>
      </c>
      <c r="C159" s="129" t="s">
        <v>5923</v>
      </c>
    </row>
    <row r="160" spans="2:3 1820:1825">
      <c r="B160" s="409" t="s">
        <v>5920</v>
      </c>
      <c r="C160" s="129" t="s">
        <v>5924</v>
      </c>
    </row>
    <row r="161" spans="2:3">
      <c r="B161" s="409" t="s">
        <v>5921</v>
      </c>
      <c r="C161" s="129" t="s">
        <v>5925</v>
      </c>
    </row>
    <row r="162" spans="2:3">
      <c r="C162" s="129" t="s">
        <v>5922</v>
      </c>
    </row>
    <row r="164" spans="2:3" ht="18">
      <c r="B164" s="1104" t="s">
        <v>6278</v>
      </c>
      <c r="C164"/>
    </row>
    <row r="165" spans="2:3">
      <c r="B165" t="s">
        <v>6274</v>
      </c>
      <c r="C165"/>
    </row>
    <row r="166" spans="2:3">
      <c r="B166" s="114"/>
      <c r="C166" t="s">
        <v>6275</v>
      </c>
    </row>
    <row r="167" spans="2:3">
      <c r="B167" s="221"/>
      <c r="C167" t="s">
        <v>6276</v>
      </c>
    </row>
    <row r="168" spans="2:3">
      <c r="B168" s="5"/>
      <c r="C168" t="s">
        <v>6277</v>
      </c>
    </row>
    <row r="169" spans="2:3">
      <c r="B169" s="1252"/>
      <c r="C169" s="129" t="s">
        <v>6681</v>
      </c>
    </row>
    <row r="171" spans="2:3" ht="18">
      <c r="B171" s="1104" t="s">
        <v>404</v>
      </c>
    </row>
    <row r="172" spans="2:3">
      <c r="B172" s="409" t="s">
        <v>1248</v>
      </c>
      <c r="C172" s="129" t="s">
        <v>260</v>
      </c>
    </row>
    <row r="173" spans="2:3">
      <c r="B173" s="409" t="s">
        <v>1249</v>
      </c>
      <c r="C173" s="129" t="s">
        <v>36</v>
      </c>
    </row>
    <row r="174" spans="2:3">
      <c r="B174" s="409" t="s">
        <v>696</v>
      </c>
      <c r="C174" s="129" t="s">
        <v>6682</v>
      </c>
    </row>
    <row r="175" spans="2:3">
      <c r="B175" s="409" t="s">
        <v>6432</v>
      </c>
      <c r="C175" s="129" t="s">
        <v>6683</v>
      </c>
    </row>
    <row r="176" spans="2:3">
      <c r="B176" s="409" t="s">
        <v>6684</v>
      </c>
      <c r="C176" s="129" t="s">
        <v>5789</v>
      </c>
    </row>
    <row r="177" spans="2:3">
      <c r="B177" s="409" t="s">
        <v>6685</v>
      </c>
      <c r="C177" s="129" t="s">
        <v>6686</v>
      </c>
    </row>
    <row r="178" spans="2:3">
      <c r="B178" s="409" t="s">
        <v>6433</v>
      </c>
      <c r="C178" s="129" t="s">
        <v>6687</v>
      </c>
    </row>
    <row r="179" spans="2:3">
      <c r="B179" s="409" t="s">
        <v>6434</v>
      </c>
      <c r="C179" s="129" t="s">
        <v>5811</v>
      </c>
    </row>
    <row r="180" spans="2:3">
      <c r="B180" s="409" t="s">
        <v>1383</v>
      </c>
      <c r="C180" s="129" t="s">
        <v>6688</v>
      </c>
    </row>
    <row r="181" spans="2:3">
      <c r="B181" s="409" t="s">
        <v>6689</v>
      </c>
      <c r="C181" s="129" t="s">
        <v>248</v>
      </c>
    </row>
    <row r="182" spans="2:3">
      <c r="B182" s="409" t="s">
        <v>2636</v>
      </c>
      <c r="C182" s="129" t="s">
        <v>112</v>
      </c>
    </row>
    <row r="183" spans="2:3">
      <c r="B183" s="409" t="s">
        <v>2514</v>
      </c>
      <c r="C183" s="129" t="s">
        <v>6690</v>
      </c>
    </row>
    <row r="186" spans="2:3" ht="18">
      <c r="B186" s="334" t="s">
        <v>6489</v>
      </c>
      <c r="C186"/>
    </row>
    <row r="187" spans="2:3">
      <c r="B187" t="s">
        <v>6490</v>
      </c>
      <c r="C187"/>
    </row>
    <row r="188" spans="2:3">
      <c r="B188" t="s">
        <v>6491</v>
      </c>
      <c r="C188"/>
    </row>
    <row r="189" spans="2:3">
      <c r="B189" t="s">
        <v>6495</v>
      </c>
      <c r="C189"/>
    </row>
    <row r="190" spans="2:3">
      <c r="B190" t="s">
        <v>6492</v>
      </c>
      <c r="C190"/>
    </row>
    <row r="191" spans="2:3">
      <c r="B191" t="s">
        <v>6496</v>
      </c>
      <c r="C191"/>
    </row>
    <row r="192" spans="2:3">
      <c r="B192" t="s">
        <v>6493</v>
      </c>
      <c r="C192"/>
    </row>
    <row r="193" spans="2:3">
      <c r="B193" t="s">
        <v>6494</v>
      </c>
      <c r="C193"/>
    </row>
    <row r="205" spans="2:3" ht="21">
      <c r="B205" s="635"/>
    </row>
    <row r="206" spans="2:3" ht="18">
      <c r="B206" s="2513"/>
    </row>
    <row r="207" spans="2:3" ht="18">
      <c r="B207" s="2513"/>
    </row>
    <row r="208" spans="2:3">
      <c r="B208" s="2"/>
    </row>
    <row r="209" spans="2:2" ht="18">
      <c r="B209" s="2513"/>
    </row>
    <row r="210" spans="2:2">
      <c r="B210" s="518"/>
    </row>
    <row r="211" spans="2:2">
      <c r="B211" s="198"/>
    </row>
    <row r="212" spans="2:2">
      <c r="B212" s="518"/>
    </row>
    <row r="213" spans="2:2" ht="15.6">
      <c r="B213" s="912" t="s">
        <v>7122</v>
      </c>
    </row>
    <row r="214" spans="2:2" ht="15.6">
      <c r="B214" s="1015" t="s">
        <v>6339</v>
      </c>
    </row>
    <row r="215" spans="2:2" ht="15.6">
      <c r="B215" s="1015" t="s">
        <v>6340</v>
      </c>
    </row>
    <row r="216" spans="2:2" ht="15.6">
      <c r="B216" s="1015" t="s">
        <v>4540</v>
      </c>
    </row>
    <row r="217" spans="2:2" ht="15.6">
      <c r="B217" s="1015" t="s">
        <v>6900</v>
      </c>
    </row>
    <row r="218" spans="2:2" ht="15.6">
      <c r="B218" s="1015" t="s">
        <v>6901</v>
      </c>
    </row>
    <row r="219" spans="2:2" ht="15.6">
      <c r="B219" s="1015" t="s">
        <v>4714</v>
      </c>
    </row>
    <row r="220" spans="2:2" ht="15.6">
      <c r="B220" s="1015" t="s">
        <v>4523</v>
      </c>
    </row>
    <row r="221" spans="2:2" ht="15.6">
      <c r="B221" s="1015" t="s">
        <v>7793</v>
      </c>
    </row>
    <row r="222" spans="2:2" ht="15.6">
      <c r="B222" s="1015" t="s">
        <v>6865</v>
      </c>
    </row>
    <row r="223" spans="2:2" ht="15.6">
      <c r="B223" s="1015" t="s">
        <v>6696</v>
      </c>
    </row>
    <row r="224" spans="2:2" ht="15.6">
      <c r="B224" s="1015" t="s">
        <v>5400</v>
      </c>
    </row>
    <row r="225" spans="1:2" ht="15.6">
      <c r="B225" s="1015" t="s">
        <v>4587</v>
      </c>
    </row>
    <row r="226" spans="1:2" ht="15.6">
      <c r="B226" s="1015" t="s">
        <v>7779</v>
      </c>
    </row>
    <row r="227" spans="1:2" ht="15.6">
      <c r="B227" s="1015" t="s">
        <v>9</v>
      </c>
    </row>
    <row r="228" spans="1:2" ht="15.6">
      <c r="B228" s="1015" t="s">
        <v>4745</v>
      </c>
    </row>
    <row r="229" spans="1:2" ht="15.6">
      <c r="B229" s="1015" t="s">
        <v>4744</v>
      </c>
    </row>
    <row r="230" spans="1:2" ht="15.6">
      <c r="B230" s="1015" t="s">
        <v>11</v>
      </c>
    </row>
    <row r="231" spans="1:2" ht="15.6">
      <c r="B231" s="2514" t="s">
        <v>3719</v>
      </c>
    </row>
    <row r="232" spans="1:2" ht="15.6">
      <c r="B232" s="2514" t="s">
        <v>4332</v>
      </c>
    </row>
    <row r="233" spans="1:2" ht="15.6">
      <c r="A233" s="129"/>
      <c r="B233" s="1015" t="s">
        <v>4321</v>
      </c>
    </row>
    <row r="234" spans="1:2" ht="15.6">
      <c r="A234" s="129"/>
      <c r="B234" s="1015" t="s">
        <v>4589</v>
      </c>
    </row>
    <row r="235" spans="1:2" ht="15.6">
      <c r="A235" s="129"/>
      <c r="B235" s="1015" t="s">
        <v>4868</v>
      </c>
    </row>
    <row r="236" spans="1:2" ht="15.6">
      <c r="A236" s="129"/>
      <c r="B236" s="1015" t="s">
        <v>3770</v>
      </c>
    </row>
    <row r="237" spans="1:2" ht="15.6">
      <c r="A237" s="129"/>
      <c r="B237" s="1015" t="s">
        <v>17</v>
      </c>
    </row>
    <row r="238" spans="1:2" ht="15.6">
      <c r="A238" s="129"/>
      <c r="B238" s="1015" t="s">
        <v>18</v>
      </c>
    </row>
    <row r="239" spans="1:2" ht="15.6">
      <c r="A239" s="129"/>
      <c r="B239" s="1015" t="s">
        <v>4590</v>
      </c>
    </row>
    <row r="240" spans="1:2" ht="15.6">
      <c r="A240" s="129"/>
      <c r="B240" s="1015" t="s">
        <v>3730</v>
      </c>
    </row>
    <row r="241" spans="1:2" ht="15.6">
      <c r="A241" s="129"/>
      <c r="B241" s="1015" t="s">
        <v>4732</v>
      </c>
    </row>
    <row r="242" spans="1:2" ht="15.6">
      <c r="A242" s="129"/>
      <c r="B242" s="1015" t="s">
        <v>6762</v>
      </c>
    </row>
    <row r="243" spans="1:2" ht="15.6">
      <c r="A243" s="129"/>
      <c r="B243" s="1015" t="s">
        <v>6697</v>
      </c>
    </row>
    <row r="244" spans="1:2" ht="15.6">
      <c r="A244" s="129"/>
      <c r="B244" s="1015" t="s">
        <v>7784</v>
      </c>
    </row>
    <row r="245" spans="1:2" ht="15.6">
      <c r="A245" s="129"/>
      <c r="B245" s="1015" t="s">
        <v>25</v>
      </c>
    </row>
    <row r="246" spans="1:2" ht="15.6">
      <c r="A246" s="129"/>
      <c r="B246" s="1015" t="s">
        <v>26</v>
      </c>
    </row>
    <row r="247" spans="1:2" ht="15.6">
      <c r="A247" s="129"/>
      <c r="B247" s="912" t="s">
        <v>7739</v>
      </c>
    </row>
    <row r="248" spans="1:2" ht="15.6">
      <c r="A248" s="129"/>
      <c r="B248" s="1015" t="s">
        <v>4354</v>
      </c>
    </row>
    <row r="249" spans="1:2" ht="15.6">
      <c r="A249" s="129"/>
      <c r="B249" s="1015" t="s">
        <v>4364</v>
      </c>
    </row>
    <row r="250" spans="1:2" ht="15.6">
      <c r="A250" s="129"/>
      <c r="B250" s="1015" t="s">
        <v>4020</v>
      </c>
    </row>
    <row r="251" spans="1:2" ht="15.6">
      <c r="A251" s="129"/>
      <c r="B251" s="1015" t="s">
        <v>3722</v>
      </c>
    </row>
    <row r="252" spans="1:2" ht="15.6">
      <c r="A252" s="129"/>
      <c r="B252" s="1015" t="s">
        <v>7345</v>
      </c>
    </row>
    <row r="253" spans="1:2" ht="15.6">
      <c r="A253" s="129"/>
      <c r="B253" s="1015" t="s">
        <v>4037</v>
      </c>
    </row>
    <row r="254" spans="1:2" ht="15.6">
      <c r="A254" s="129"/>
      <c r="B254" s="1015" t="s">
        <v>29</v>
      </c>
    </row>
    <row r="255" spans="1:2" ht="15.6">
      <c r="A255" s="129"/>
      <c r="B255" s="1015" t="s">
        <v>30</v>
      </c>
    </row>
    <row r="256" spans="1:2" ht="15.6">
      <c r="A256" s="129"/>
      <c r="B256" s="1015" t="s">
        <v>31</v>
      </c>
    </row>
    <row r="257" spans="1:2" ht="15.6">
      <c r="A257" s="129"/>
      <c r="B257" s="1015" t="s">
        <v>3725</v>
      </c>
    </row>
    <row r="258" spans="1:2" ht="15.6">
      <c r="A258" s="129"/>
      <c r="B258" s="1015" t="s">
        <v>32</v>
      </c>
    </row>
    <row r="259" spans="1:2" ht="15.6">
      <c r="A259" s="129"/>
      <c r="B259" s="1015" t="s">
        <v>339</v>
      </c>
    </row>
    <row r="260" spans="1:2" ht="15.6">
      <c r="A260" s="129"/>
      <c r="B260" s="1015" t="s">
        <v>34</v>
      </c>
    </row>
    <row r="261" spans="1:2" ht="15.6">
      <c r="A261" s="129"/>
      <c r="B261" s="1015" t="s">
        <v>7787</v>
      </c>
    </row>
    <row r="262" spans="1:2" ht="15.6">
      <c r="A262" s="129"/>
      <c r="B262" s="1015" t="s">
        <v>6063</v>
      </c>
    </row>
    <row r="263" spans="1:2" ht="15.6">
      <c r="A263" s="129"/>
      <c r="B263" s="1015" t="s">
        <v>341</v>
      </c>
    </row>
    <row r="264" spans="1:2" ht="15.6">
      <c r="A264" s="129"/>
      <c r="B264" s="1015" t="s">
        <v>39</v>
      </c>
    </row>
    <row r="265" spans="1:2" ht="15.6">
      <c r="A265" s="129"/>
      <c r="B265" s="1015" t="s">
        <v>4588</v>
      </c>
    </row>
    <row r="266" spans="1:2" ht="15.6">
      <c r="A266" s="129"/>
      <c r="B266" s="1015" t="s">
        <v>3724</v>
      </c>
    </row>
    <row r="267" spans="1:2" ht="15.6">
      <c r="A267" s="129"/>
      <c r="B267" s="1015" t="s">
        <v>202</v>
      </c>
    </row>
    <row r="268" spans="1:2" ht="15.6">
      <c r="A268" s="129"/>
      <c r="B268" s="1015" t="s">
        <v>41</v>
      </c>
    </row>
    <row r="269" spans="1:2" ht="15.6">
      <c r="A269" s="129"/>
      <c r="B269" s="1015" t="s">
        <v>342</v>
      </c>
    </row>
    <row r="270" spans="1:2" ht="15.6">
      <c r="A270" s="129"/>
      <c r="B270" s="1015" t="s">
        <v>6311</v>
      </c>
    </row>
    <row r="271" spans="1:2" ht="15.6">
      <c r="A271" s="129"/>
      <c r="B271" s="1015" t="s">
        <v>42</v>
      </c>
    </row>
    <row r="272" spans="1:2" ht="15.6">
      <c r="A272" s="129"/>
      <c r="B272" s="1015" t="s">
        <v>3744</v>
      </c>
    </row>
    <row r="273" spans="1:2" ht="15.6">
      <c r="A273" s="129"/>
      <c r="B273" s="1015" t="s">
        <v>4013</v>
      </c>
    </row>
    <row r="274" spans="1:2" ht="15.6">
      <c r="A274" s="129"/>
      <c r="B274" s="1015" t="s">
        <v>129</v>
      </c>
    </row>
    <row r="275" spans="1:2" ht="15.6">
      <c r="A275" s="129"/>
      <c r="B275" s="1015" t="s">
        <v>4980</v>
      </c>
    </row>
    <row r="276" spans="1:2" ht="15.6">
      <c r="A276" s="129"/>
      <c r="B276" s="2515"/>
    </row>
    <row r="277" spans="1:2" ht="15.6">
      <c r="A277" s="129"/>
      <c r="B277" s="1015"/>
    </row>
    <row r="278" spans="1:2" ht="15.6">
      <c r="A278" s="129"/>
      <c r="B278" s="912"/>
    </row>
    <row r="279" spans="1:2" ht="15.6">
      <c r="A279" s="129"/>
      <c r="B279" s="912"/>
    </row>
    <row r="280" spans="1:2" ht="15.6">
      <c r="A280" s="129"/>
      <c r="B280" s="2516"/>
    </row>
    <row r="281" spans="1:2" ht="15.6">
      <c r="A281" s="129"/>
      <c r="B281" s="1490"/>
    </row>
    <row r="282" spans="1:2" ht="15.6">
      <c r="A282" s="129"/>
      <c r="B282" s="1089"/>
    </row>
    <row r="283" spans="1:2" ht="15.6">
      <c r="A283" s="129"/>
      <c r="B283" s="2517"/>
    </row>
    <row r="284" spans="1:2" ht="18">
      <c r="A284" s="129"/>
      <c r="B284" s="252"/>
    </row>
    <row r="285" spans="1:2">
      <c r="A285" s="129"/>
      <c r="B285" s="1"/>
    </row>
    <row r="286" spans="1:2" ht="18">
      <c r="A286" s="129"/>
      <c r="B286" s="2518"/>
    </row>
    <row r="287" spans="1:2">
      <c r="A287" s="129"/>
      <c r="B287" s="129"/>
    </row>
    <row r="288" spans="1:2">
      <c r="A288" s="129"/>
      <c r="B288" s="129"/>
    </row>
    <row r="289" spans="1:6">
      <c r="A289" s="129"/>
      <c r="B289" s="129"/>
    </row>
    <row r="290" spans="1:6">
      <c r="A290" s="129"/>
      <c r="B290" s="129"/>
    </row>
    <row r="291" spans="1:6">
      <c r="A291" s="129"/>
      <c r="B291" s="129"/>
    </row>
    <row r="292" spans="1:6">
      <c r="A292" s="129"/>
      <c r="B292" s="129"/>
    </row>
    <row r="293" spans="1:6">
      <c r="A293" s="129"/>
      <c r="B293" s="129"/>
    </row>
    <row r="294" spans="1:6">
      <c r="A294" s="129"/>
      <c r="B294" s="129"/>
    </row>
    <row r="295" spans="1:6">
      <c r="A295" s="129"/>
      <c r="B295" s="129"/>
    </row>
    <row r="296" spans="1:6">
      <c r="A296" s="129"/>
      <c r="B296" s="129"/>
    </row>
    <row r="297" spans="1:6">
      <c r="B297" s="312"/>
    </row>
    <row r="298" spans="1:6">
      <c r="B298" s="312"/>
    </row>
    <row r="299" spans="1:6">
      <c r="B299" s="312"/>
    </row>
    <row r="300" spans="1:6">
      <c r="B300" s="312"/>
    </row>
    <row r="301" spans="1:6">
      <c r="B301" s="317"/>
    </row>
    <row r="302" spans="1:6">
      <c r="B302" s="129"/>
    </row>
    <row r="303" spans="1:6" ht="18">
      <c r="A303" s="871"/>
      <c r="B303" s="129"/>
    </row>
    <row r="304" spans="1:6" ht="18">
      <c r="A304" s="871"/>
      <c r="B304" s="129"/>
      <c r="C304" s="237"/>
      <c r="D304" s="237"/>
      <c r="E304" s="237"/>
      <c r="F304" s="237"/>
    </row>
    <row r="305" spans="2:2">
      <c r="B305" s="129"/>
    </row>
    <row r="306" spans="2:2">
      <c r="B306" s="129"/>
    </row>
    <row r="307" spans="2:2">
      <c r="B307" s="2519"/>
    </row>
    <row r="308" spans="2:2">
      <c r="B308" s="312"/>
    </row>
    <row r="309" spans="2:2">
      <c r="B309" s="312"/>
    </row>
    <row r="310" spans="2:2">
      <c r="B310" s="312"/>
    </row>
    <row r="311" spans="2:2">
      <c r="B311" s="312"/>
    </row>
    <row r="312" spans="2:2">
      <c r="B312" s="312"/>
    </row>
    <row r="313" spans="2:2">
      <c r="B313" s="129"/>
    </row>
    <row r="314" spans="2:2">
      <c r="B314" s="312"/>
    </row>
    <row r="315" spans="2:2">
      <c r="B315" s="312"/>
    </row>
    <row r="316" spans="2:2">
      <c r="B316" s="312"/>
    </row>
    <row r="317" spans="2:2">
      <c r="B317" s="312"/>
    </row>
    <row r="318" spans="2:2">
      <c r="B318" s="312"/>
    </row>
    <row r="319" spans="2:2">
      <c r="B319" s="312"/>
    </row>
    <row r="320" spans="2:2">
      <c r="B320" s="312"/>
    </row>
    <row r="321" spans="2:2">
      <c r="B321" s="312"/>
    </row>
    <row r="322" spans="2:2">
      <c r="B322" s="312"/>
    </row>
    <row r="323" spans="2:2">
      <c r="B323" s="312"/>
    </row>
    <row r="324" spans="2:2">
      <c r="B324" s="312"/>
    </row>
    <row r="325" spans="2:2">
      <c r="B325" s="312"/>
    </row>
    <row r="326" spans="2:2">
      <c r="B326" s="312"/>
    </row>
    <row r="327" spans="2:2">
      <c r="B327" s="312"/>
    </row>
    <row r="328" spans="2:2">
      <c r="B328" s="312"/>
    </row>
    <row r="329" spans="2:2">
      <c r="B329" s="312"/>
    </row>
    <row r="330" spans="2:2">
      <c r="B330" s="312"/>
    </row>
    <row r="331" spans="2:2">
      <c r="B331" s="312"/>
    </row>
    <row r="332" spans="2:2">
      <c r="B332" s="312"/>
    </row>
    <row r="333" spans="2:2">
      <c r="B333" s="312"/>
    </row>
    <row r="334" spans="2:2">
      <c r="B334" s="312"/>
    </row>
    <row r="335" spans="2:2">
      <c r="B335" s="312"/>
    </row>
    <row r="336" spans="2:2">
      <c r="B336" s="312"/>
    </row>
    <row r="337" spans="2:2">
      <c r="B337" s="312"/>
    </row>
    <row r="338" spans="2:2">
      <c r="B338" s="312"/>
    </row>
    <row r="339" spans="2:2">
      <c r="B339" s="129"/>
    </row>
    <row r="340" spans="2:2">
      <c r="B340" s="312"/>
    </row>
    <row r="341" spans="2:2">
      <c r="B341" s="312"/>
    </row>
    <row r="342" spans="2:2">
      <c r="B342" s="312"/>
    </row>
    <row r="343" spans="2:2">
      <c r="B343" s="312"/>
    </row>
    <row r="344" spans="2:2">
      <c r="B344" s="312"/>
    </row>
    <row r="345" spans="2:2">
      <c r="B345" s="312"/>
    </row>
    <row r="346" spans="2:2">
      <c r="B346" s="312"/>
    </row>
    <row r="347" spans="2:2">
      <c r="B347" s="312"/>
    </row>
    <row r="348" spans="2:2">
      <c r="B348" s="312"/>
    </row>
    <row r="349" spans="2:2">
      <c r="B349" s="312"/>
    </row>
    <row r="350" spans="2:2">
      <c r="B350" s="312"/>
    </row>
    <row r="351" spans="2:2" ht="21">
      <c r="B351" s="2520"/>
    </row>
    <row r="352" spans="2:2">
      <c r="B352" s="312"/>
    </row>
    <row r="353" spans="2:2" ht="21">
      <c r="B353" s="2521"/>
    </row>
    <row r="354" spans="2:2" ht="21">
      <c r="B354" s="2521"/>
    </row>
    <row r="355" spans="2:2" ht="21">
      <c r="B355" s="2521"/>
    </row>
    <row r="356" spans="2:2" ht="21">
      <c r="B356" s="2521"/>
    </row>
    <row r="357" spans="2:2" ht="21">
      <c r="B357" s="2521"/>
    </row>
    <row r="358" spans="2:2" ht="21">
      <c r="B358" s="2521"/>
    </row>
    <row r="359" spans="2:2" ht="21">
      <c r="B359" s="2521"/>
    </row>
    <row r="360" spans="2:2" ht="21">
      <c r="B360" s="2521"/>
    </row>
    <row r="361" spans="2:2" ht="21">
      <c r="B361" s="2521"/>
    </row>
    <row r="362" spans="2:2" ht="21">
      <c r="B362" s="2521"/>
    </row>
    <row r="363" spans="2:2" ht="21">
      <c r="B363" s="2521"/>
    </row>
    <row r="364" spans="2:2" ht="21">
      <c r="B364" s="2521"/>
    </row>
    <row r="365" spans="2:2" ht="21">
      <c r="B365" s="456"/>
    </row>
    <row r="366" spans="2:2" ht="21">
      <c r="B366" s="2521"/>
    </row>
    <row r="367" spans="2:2" ht="21">
      <c r="B367" s="2521"/>
    </row>
    <row r="368" spans="2:2" ht="21">
      <c r="B368" s="2521"/>
    </row>
    <row r="369" spans="2:2" ht="21">
      <c r="B369" s="2521"/>
    </row>
    <row r="370" spans="2:2" ht="21">
      <c r="B370" s="2521"/>
    </row>
    <row r="371" spans="2:2">
      <c r="B371" s="2506"/>
    </row>
    <row r="372" spans="2:2">
      <c r="B372" s="2506"/>
    </row>
    <row r="373" spans="2:2">
      <c r="B373" s="2506"/>
    </row>
    <row r="374" spans="2:2" ht="18">
      <c r="B374" s="243"/>
    </row>
    <row r="375" spans="2:2">
      <c r="B375" s="2506"/>
    </row>
    <row r="376" spans="2:2" ht="18">
      <c r="B376" s="243"/>
    </row>
    <row r="377" spans="2:2">
      <c r="B377" s="941"/>
    </row>
    <row r="378" spans="2:2">
      <c r="B378" s="941"/>
    </row>
    <row r="379" spans="2:2">
      <c r="B379" s="941"/>
    </row>
    <row r="380" spans="2:2">
      <c r="B380" s="941"/>
    </row>
    <row r="381" spans="2:2">
      <c r="B381" s="941"/>
    </row>
    <row r="382" spans="2:2">
      <c r="B382" s="941"/>
    </row>
    <row r="383" spans="2:2">
      <c r="B383" s="941"/>
    </row>
    <row r="384" spans="2:2">
      <c r="B384" s="941"/>
    </row>
    <row r="385" spans="2:2">
      <c r="B385" s="941"/>
    </row>
    <row r="386" spans="2:2">
      <c r="B386" s="941"/>
    </row>
    <row r="387" spans="2:2">
      <c r="B387" s="941"/>
    </row>
    <row r="388" spans="2:2">
      <c r="B388" s="941"/>
    </row>
    <row r="389" spans="2:2">
      <c r="B389" s="941"/>
    </row>
    <row r="390" spans="2:2">
      <c r="B390" s="941"/>
    </row>
    <row r="391" spans="2:2">
      <c r="B391" s="632"/>
    </row>
    <row r="392" spans="2:2">
      <c r="B392" s="941"/>
    </row>
    <row r="393" spans="2:2">
      <c r="B393" s="941"/>
    </row>
    <row r="394" spans="2:2" ht="18">
      <c r="B394" s="243"/>
    </row>
    <row r="395" spans="2:2" ht="18">
      <c r="B395" s="243"/>
    </row>
    <row r="396" spans="2:2" ht="18">
      <c r="B396" s="243"/>
    </row>
    <row r="397" spans="2:2" ht="18">
      <c r="B397" s="243"/>
    </row>
    <row r="398" spans="2:2">
      <c r="B398" s="2506"/>
    </row>
    <row r="399" spans="2:2">
      <c r="B399" s="2506"/>
    </row>
    <row r="400" spans="2:2">
      <c r="B400" s="2506"/>
    </row>
    <row r="401" spans="2:2">
      <c r="B401" s="941"/>
    </row>
    <row r="402" spans="2:2">
      <c r="B402" s="941"/>
    </row>
    <row r="403" spans="2:2">
      <c r="B403" s="941"/>
    </row>
    <row r="404" spans="2:2">
      <c r="B404" s="941"/>
    </row>
    <row r="405" spans="2:2">
      <c r="B405" s="941"/>
    </row>
    <row r="406" spans="2:2">
      <c r="B406" s="941"/>
    </row>
    <row r="407" spans="2:2">
      <c r="B407" s="941"/>
    </row>
    <row r="408" spans="2:2">
      <c r="B408" s="941"/>
    </row>
    <row r="409" spans="2:2">
      <c r="B409" s="941"/>
    </row>
    <row r="410" spans="2:2">
      <c r="B410" s="941"/>
    </row>
    <row r="411" spans="2:2">
      <c r="B411" s="941"/>
    </row>
    <row r="412" spans="2:2">
      <c r="B412" s="941"/>
    </row>
    <row r="413" spans="2:2">
      <c r="B413" s="941"/>
    </row>
    <row r="414" spans="2:2">
      <c r="B414" s="941"/>
    </row>
    <row r="415" spans="2:2">
      <c r="B415" s="941"/>
    </row>
    <row r="416" spans="2:2">
      <c r="B416" s="941"/>
    </row>
    <row r="417" spans="2:2">
      <c r="B417" s="632"/>
    </row>
    <row r="418" spans="2:2">
      <c r="B418" s="941"/>
    </row>
    <row r="419" spans="2:2" ht="18">
      <c r="B419" s="243"/>
    </row>
    <row r="420" spans="2:2" ht="18">
      <c r="B420" s="243"/>
    </row>
    <row r="421" spans="2:2" ht="18">
      <c r="B421" s="243"/>
    </row>
    <row r="422" spans="2:2" ht="18">
      <c r="B422" s="243"/>
    </row>
    <row r="423" spans="2:2" ht="18">
      <c r="B423" s="243"/>
    </row>
    <row r="424" spans="2:2" ht="18">
      <c r="B424" s="243"/>
    </row>
    <row r="425" spans="2:2" ht="18">
      <c r="B425" s="243"/>
    </row>
    <row r="426" spans="2:2" ht="18">
      <c r="B426" s="243"/>
    </row>
    <row r="427" spans="2:2" ht="18">
      <c r="B427" s="243"/>
    </row>
    <row r="428" spans="2:2" ht="18">
      <c r="B428" s="243"/>
    </row>
    <row r="429" spans="2:2" ht="18">
      <c r="B429" s="243"/>
    </row>
    <row r="430" spans="2:2" ht="18">
      <c r="B430" s="243"/>
    </row>
    <row r="431" spans="2:2" ht="18">
      <c r="B431" s="243"/>
    </row>
    <row r="432" spans="2:2" ht="18">
      <c r="B432" s="243"/>
    </row>
    <row r="433" spans="2:2" ht="18">
      <c r="B433" s="243"/>
    </row>
    <row r="434" spans="2:2" ht="18">
      <c r="B434" s="243"/>
    </row>
    <row r="435" spans="2:2" ht="18">
      <c r="B435" s="243"/>
    </row>
    <row r="436" spans="2:2" ht="18">
      <c r="B436" s="243"/>
    </row>
    <row r="437" spans="2:2" ht="18">
      <c r="B437" s="243"/>
    </row>
    <row r="438" spans="2:2" ht="18">
      <c r="B438" s="243"/>
    </row>
    <row r="439" spans="2:2" ht="18">
      <c r="B439" s="243"/>
    </row>
    <row r="440" spans="2:2" ht="18">
      <c r="B440" s="243"/>
    </row>
    <row r="441" spans="2:2" ht="18">
      <c r="B441" s="243"/>
    </row>
    <row r="442" spans="2:2" ht="18">
      <c r="B442" s="243"/>
    </row>
    <row r="443" spans="2:2" ht="18">
      <c r="B443" s="243"/>
    </row>
    <row r="444" spans="2:2" ht="18">
      <c r="B444" s="243"/>
    </row>
    <row r="445" spans="2:2" ht="18">
      <c r="B445" s="243"/>
    </row>
    <row r="446" spans="2:2" ht="18">
      <c r="B446" s="243"/>
    </row>
    <row r="447" spans="2:2" ht="18">
      <c r="B447" s="243"/>
    </row>
    <row r="448" spans="2:2" ht="18">
      <c r="B448" s="243"/>
    </row>
    <row r="449" spans="2:2" ht="18">
      <c r="B449" s="243"/>
    </row>
    <row r="450" spans="2:2" ht="18">
      <c r="B450" s="243"/>
    </row>
    <row r="451" spans="2:2" ht="18">
      <c r="B451" s="243"/>
    </row>
    <row r="452" spans="2:2" ht="18">
      <c r="B452" s="243"/>
    </row>
    <row r="453" spans="2:2" ht="18">
      <c r="B453" s="243"/>
    </row>
    <row r="454" spans="2:2" ht="18">
      <c r="B454" s="243"/>
    </row>
    <row r="455" spans="2:2" ht="18">
      <c r="B455" s="243"/>
    </row>
    <row r="456" spans="2:2" ht="18">
      <c r="B456" s="243"/>
    </row>
    <row r="457" spans="2:2" ht="18">
      <c r="B457" s="243"/>
    </row>
    <row r="458" spans="2:2" ht="18">
      <c r="B458" s="243"/>
    </row>
    <row r="459" spans="2:2" ht="18">
      <c r="B459" s="243"/>
    </row>
    <row r="460" spans="2:2" ht="18">
      <c r="B460" s="243"/>
    </row>
    <row r="461" spans="2:2" ht="18">
      <c r="B461" s="243"/>
    </row>
    <row r="462" spans="2:2" ht="18">
      <c r="B462" s="243"/>
    </row>
    <row r="463" spans="2:2" ht="18">
      <c r="B463" s="243"/>
    </row>
    <row r="464" spans="2:2" ht="18">
      <c r="B464" s="243"/>
    </row>
    <row r="465" spans="2:2" ht="18">
      <c r="B465" s="243"/>
    </row>
    <row r="466" spans="2:2" ht="18">
      <c r="B466" s="243"/>
    </row>
    <row r="467" spans="2:2" ht="18">
      <c r="B467" s="243"/>
    </row>
    <row r="468" spans="2:2" ht="18">
      <c r="B468" s="243"/>
    </row>
    <row r="469" spans="2:2" ht="18">
      <c r="B469" s="243"/>
    </row>
    <row r="470" spans="2:2" ht="18">
      <c r="B470" s="243"/>
    </row>
    <row r="471" spans="2:2" ht="18">
      <c r="B471" s="243"/>
    </row>
    <row r="472" spans="2:2" ht="18">
      <c r="B472" s="243"/>
    </row>
    <row r="473" spans="2:2" ht="18">
      <c r="B473" s="243"/>
    </row>
    <row r="474" spans="2:2" ht="18">
      <c r="B474" s="243"/>
    </row>
    <row r="475" spans="2:2" ht="18">
      <c r="B475" s="243"/>
    </row>
    <row r="476" spans="2:2" ht="18">
      <c r="B476" s="243"/>
    </row>
    <row r="477" spans="2:2" ht="18">
      <c r="B477" s="243"/>
    </row>
    <row r="478" spans="2:2" ht="18">
      <c r="B478" s="243"/>
    </row>
    <row r="479" spans="2:2" ht="18">
      <c r="B479" s="243"/>
    </row>
    <row r="480" spans="2:2" ht="18">
      <c r="B480" s="243"/>
    </row>
    <row r="481" spans="2:2" ht="18">
      <c r="B481" s="243"/>
    </row>
    <row r="482" spans="2:2" ht="18">
      <c r="B482" s="243"/>
    </row>
    <row r="483" spans="2:2" ht="18">
      <c r="B483" s="243"/>
    </row>
    <row r="484" spans="2:2" ht="18">
      <c r="B484" s="243"/>
    </row>
    <row r="485" spans="2:2" ht="18">
      <c r="B485" s="243"/>
    </row>
    <row r="486" spans="2:2" ht="18">
      <c r="B486" s="243"/>
    </row>
    <row r="487" spans="2:2" ht="18">
      <c r="B487" s="243"/>
    </row>
    <row r="488" spans="2:2" ht="18">
      <c r="B488" s="243"/>
    </row>
    <row r="489" spans="2:2" ht="18">
      <c r="B489" s="243"/>
    </row>
    <row r="490" spans="2:2" ht="18">
      <c r="B490" s="243"/>
    </row>
    <row r="491" spans="2:2" ht="18">
      <c r="B491" s="243"/>
    </row>
    <row r="492" spans="2:2" ht="18">
      <c r="B492" s="243"/>
    </row>
    <row r="493" spans="2:2" ht="18">
      <c r="B493" s="243"/>
    </row>
    <row r="494" spans="2:2" ht="18">
      <c r="B494" s="243"/>
    </row>
    <row r="495" spans="2:2" ht="18">
      <c r="B495" s="252"/>
    </row>
    <row r="496" spans="2:2" ht="18">
      <c r="B496" s="252"/>
    </row>
    <row r="497" spans="2:2" ht="18">
      <c r="B497" s="252"/>
    </row>
    <row r="498" spans="2:2" ht="18">
      <c r="B498" s="252"/>
    </row>
    <row r="499" spans="2:2" ht="18">
      <c r="B499" s="252"/>
    </row>
    <row r="500" spans="2:2" ht="18">
      <c r="B500" s="252"/>
    </row>
    <row r="501" spans="2:2" ht="18">
      <c r="B501" s="252"/>
    </row>
    <row r="502" spans="2:2" ht="18">
      <c r="B502" s="252"/>
    </row>
    <row r="503" spans="2:2" ht="18">
      <c r="B503" s="252"/>
    </row>
    <row r="504" spans="2:2" ht="18">
      <c r="B504" s="252"/>
    </row>
    <row r="505" spans="2:2" ht="18">
      <c r="B505" s="252"/>
    </row>
    <row r="506" spans="2:2" ht="18">
      <c r="B506" s="252"/>
    </row>
    <row r="507" spans="2:2" ht="18">
      <c r="B507" s="252"/>
    </row>
    <row r="508" spans="2:2" ht="18">
      <c r="B508" s="252"/>
    </row>
    <row r="509" spans="2:2" ht="18">
      <c r="B509" s="252"/>
    </row>
    <row r="510" spans="2:2" ht="18">
      <c r="B510" s="252"/>
    </row>
    <row r="511" spans="2:2" ht="18">
      <c r="B511" s="252"/>
    </row>
    <row r="512" spans="2:2" ht="18">
      <c r="B512" s="252"/>
    </row>
    <row r="513" spans="2:2" ht="18">
      <c r="B513" s="243"/>
    </row>
    <row r="514" spans="2:2" ht="18">
      <c r="B514" s="243"/>
    </row>
    <row r="515" spans="2:2" ht="18">
      <c r="B515" s="243"/>
    </row>
    <row r="516" spans="2:2" ht="18">
      <c r="B516" s="243"/>
    </row>
    <row r="517" spans="2:2" ht="18">
      <c r="B517" s="243"/>
    </row>
    <row r="518" spans="2:2" ht="18">
      <c r="B518" s="243"/>
    </row>
    <row r="519" spans="2:2" ht="18">
      <c r="B519" s="243"/>
    </row>
    <row r="520" spans="2:2" ht="18">
      <c r="B520" s="243"/>
    </row>
    <row r="521" spans="2:2" ht="18">
      <c r="B521" s="252"/>
    </row>
    <row r="522" spans="2:2" ht="18">
      <c r="B522" s="252"/>
    </row>
    <row r="523" spans="2:2" ht="18">
      <c r="B523" s="252"/>
    </row>
    <row r="524" spans="2:2" ht="18">
      <c r="B524" s="252"/>
    </row>
    <row r="525" spans="2:2" ht="18">
      <c r="B525" s="252"/>
    </row>
    <row r="526" spans="2:2" ht="18">
      <c r="B526" s="252"/>
    </row>
    <row r="527" spans="2:2" ht="18">
      <c r="B527" s="252"/>
    </row>
    <row r="528" spans="2:2" ht="18">
      <c r="B528" s="252"/>
    </row>
    <row r="529" spans="2:2" ht="18">
      <c r="B529" s="252"/>
    </row>
    <row r="530" spans="2:2" ht="18">
      <c r="B530" s="252"/>
    </row>
    <row r="531" spans="2:2" ht="18">
      <c r="B531" s="252"/>
    </row>
    <row r="532" spans="2:2" ht="18">
      <c r="B532" s="252"/>
    </row>
    <row r="533" spans="2:2" ht="18">
      <c r="B533" s="252"/>
    </row>
    <row r="534" spans="2:2" ht="18">
      <c r="B534" s="252"/>
    </row>
    <row r="535" spans="2:2" ht="18">
      <c r="B535" s="252"/>
    </row>
    <row r="536" spans="2:2" ht="18">
      <c r="B536" s="252"/>
    </row>
    <row r="537" spans="2:2" ht="18">
      <c r="B537" s="252"/>
    </row>
    <row r="538" spans="2:2" ht="18">
      <c r="B538" s="252"/>
    </row>
    <row r="539" spans="2:2" ht="18">
      <c r="B539" s="252"/>
    </row>
    <row r="540" spans="2:2" ht="18">
      <c r="B540" s="252"/>
    </row>
    <row r="541" spans="2:2" ht="18">
      <c r="B541" s="252"/>
    </row>
    <row r="542" spans="2:2" ht="18">
      <c r="B542" s="252"/>
    </row>
    <row r="543" spans="2:2" ht="18">
      <c r="B543" s="243"/>
    </row>
    <row r="544" spans="2:2" ht="18">
      <c r="B544" s="243"/>
    </row>
    <row r="545" spans="2:2" ht="18">
      <c r="B545" s="243"/>
    </row>
    <row r="546" spans="2:2" ht="18">
      <c r="B546" s="243"/>
    </row>
    <row r="547" spans="2:2" ht="18">
      <c r="B547" s="252"/>
    </row>
    <row r="548" spans="2:2" ht="18">
      <c r="B548" s="252"/>
    </row>
    <row r="549" spans="2:2" ht="18">
      <c r="B549" s="252"/>
    </row>
    <row r="550" spans="2:2" ht="18">
      <c r="B550" s="252"/>
    </row>
    <row r="551" spans="2:2" ht="18">
      <c r="B551" s="252"/>
    </row>
    <row r="552" spans="2:2" ht="18">
      <c r="B552" s="252"/>
    </row>
    <row r="553" spans="2:2" ht="18">
      <c r="B553" s="252"/>
    </row>
    <row r="554" spans="2:2" ht="18">
      <c r="B554" s="252"/>
    </row>
    <row r="555" spans="2:2" ht="18">
      <c r="B555" s="252"/>
    </row>
    <row r="556" spans="2:2" ht="18">
      <c r="B556" s="252"/>
    </row>
    <row r="557" spans="2:2" ht="18">
      <c r="B557" s="252"/>
    </row>
    <row r="558" spans="2:2" ht="18">
      <c r="B558" s="252"/>
    </row>
    <row r="559" spans="2:2" ht="18">
      <c r="B559" s="252"/>
    </row>
    <row r="560" spans="2:2" ht="18">
      <c r="B560" s="252"/>
    </row>
    <row r="561" spans="2:2" ht="18">
      <c r="B561" s="252"/>
    </row>
    <row r="562" spans="2:2" ht="18">
      <c r="B562" s="252"/>
    </row>
    <row r="563" spans="2:2" ht="18">
      <c r="B563" s="252"/>
    </row>
    <row r="564" spans="2:2" ht="18">
      <c r="B564" s="252"/>
    </row>
    <row r="565" spans="2:2" ht="18">
      <c r="B565" s="252"/>
    </row>
    <row r="566" spans="2:2" ht="18">
      <c r="B566" s="252"/>
    </row>
    <row r="567" spans="2:2" ht="18">
      <c r="B567" s="252"/>
    </row>
    <row r="568" spans="2:2" ht="18">
      <c r="B568" s="252"/>
    </row>
    <row r="569" spans="2:2" ht="18">
      <c r="B569" s="243"/>
    </row>
    <row r="570" spans="2:2" ht="18">
      <c r="B570" s="243"/>
    </row>
    <row r="571" spans="2:2" ht="18">
      <c r="B571" s="243"/>
    </row>
    <row r="572" spans="2:2" ht="18">
      <c r="B572" s="243"/>
    </row>
    <row r="573" spans="2:2" ht="18">
      <c r="B573" s="252"/>
    </row>
    <row r="574" spans="2:2" ht="18">
      <c r="B574" s="252"/>
    </row>
    <row r="575" spans="2:2" ht="18">
      <c r="B575" s="252"/>
    </row>
    <row r="576" spans="2:2" ht="18">
      <c r="B576" s="252"/>
    </row>
    <row r="577" spans="2:2" ht="18">
      <c r="B577" s="252"/>
    </row>
    <row r="578" spans="2:2" ht="18">
      <c r="B578" s="252"/>
    </row>
    <row r="579" spans="2:2" ht="18">
      <c r="B579" s="252"/>
    </row>
    <row r="580" spans="2:2" ht="18">
      <c r="B580" s="252"/>
    </row>
    <row r="581" spans="2:2" ht="18">
      <c r="B581" s="252"/>
    </row>
    <row r="582" spans="2:2" ht="18">
      <c r="B582" s="252"/>
    </row>
    <row r="583" spans="2:2" ht="18">
      <c r="B583" s="252"/>
    </row>
    <row r="584" spans="2:2" ht="18">
      <c r="B584" s="252"/>
    </row>
    <row r="585" spans="2:2" ht="18">
      <c r="B585" s="252"/>
    </row>
    <row r="586" spans="2:2" ht="18">
      <c r="B586" s="252"/>
    </row>
    <row r="587" spans="2:2" ht="18">
      <c r="B587" s="252"/>
    </row>
    <row r="588" spans="2:2" ht="18">
      <c r="B588" s="252"/>
    </row>
    <row r="589" spans="2:2" ht="18">
      <c r="B589" s="252"/>
    </row>
    <row r="590" spans="2:2" ht="18">
      <c r="B590" s="252"/>
    </row>
    <row r="591" spans="2:2" ht="18">
      <c r="B591" s="252"/>
    </row>
    <row r="592" spans="2:2" ht="18">
      <c r="B592" s="252"/>
    </row>
    <row r="593" spans="2:2" ht="18">
      <c r="B593" s="252"/>
    </row>
    <row r="594" spans="2:2" ht="18">
      <c r="B594" s="252"/>
    </row>
    <row r="595" spans="2:2" ht="18">
      <c r="B595" s="243"/>
    </row>
    <row r="596" spans="2:2" ht="18">
      <c r="B596" s="243"/>
    </row>
    <row r="597" spans="2:2" ht="18">
      <c r="B597" s="243"/>
    </row>
    <row r="598" spans="2:2" ht="18">
      <c r="B598" s="243"/>
    </row>
    <row r="599" spans="2:2" ht="18">
      <c r="B599" s="252"/>
    </row>
    <row r="600" spans="2:2" ht="18">
      <c r="B600" s="252"/>
    </row>
    <row r="601" spans="2:2" ht="18">
      <c r="B601" s="252"/>
    </row>
    <row r="602" spans="2:2" ht="18">
      <c r="B602" s="252"/>
    </row>
    <row r="603" spans="2:2" ht="18">
      <c r="B603" s="252"/>
    </row>
    <row r="604" spans="2:2" ht="18">
      <c r="B604" s="252"/>
    </row>
    <row r="605" spans="2:2" ht="18">
      <c r="B605" s="252"/>
    </row>
    <row r="606" spans="2:2" ht="18">
      <c r="B606" s="252"/>
    </row>
    <row r="607" spans="2:2" ht="18">
      <c r="B607" s="252"/>
    </row>
    <row r="608" spans="2:2" ht="18">
      <c r="B608" s="252"/>
    </row>
    <row r="609" spans="2:2" ht="18">
      <c r="B609" s="252"/>
    </row>
    <row r="610" spans="2:2" ht="18">
      <c r="B610" s="252"/>
    </row>
    <row r="611" spans="2:2" ht="18">
      <c r="B611" s="252"/>
    </row>
    <row r="612" spans="2:2" ht="18">
      <c r="B612" s="252"/>
    </row>
    <row r="613" spans="2:2" ht="18">
      <c r="B613" s="252"/>
    </row>
    <row r="614" spans="2:2" ht="18">
      <c r="B614" s="252"/>
    </row>
    <row r="615" spans="2:2" ht="18">
      <c r="B615" s="252"/>
    </row>
    <row r="616" spans="2:2" ht="18">
      <c r="B616" s="252"/>
    </row>
    <row r="617" spans="2:2" ht="18">
      <c r="B617" s="252"/>
    </row>
    <row r="618" spans="2:2" ht="18">
      <c r="B618" s="252"/>
    </row>
    <row r="619" spans="2:2" ht="18">
      <c r="B619" s="252"/>
    </row>
    <row r="620" spans="2:2" ht="18">
      <c r="B620" s="252"/>
    </row>
    <row r="621" spans="2:2">
      <c r="B621" s="2522"/>
    </row>
    <row r="622" spans="2:2">
      <c r="B622" s="2522"/>
    </row>
    <row r="623" spans="2:2">
      <c r="B623" s="2522"/>
    </row>
    <row r="624" spans="2:2">
      <c r="B624" s="2522"/>
    </row>
    <row r="625" spans="2:2">
      <c r="B625" s="249"/>
    </row>
    <row r="626" spans="2:2">
      <c r="B626" s="249"/>
    </row>
    <row r="627" spans="2:2">
      <c r="B627" s="249"/>
    </row>
    <row r="628" spans="2:2">
      <c r="B628" s="249"/>
    </row>
    <row r="629" spans="2:2">
      <c r="B629" s="249"/>
    </row>
    <row r="630" spans="2:2">
      <c r="B630" s="249"/>
    </row>
    <row r="631" spans="2:2">
      <c r="B631" s="249"/>
    </row>
    <row r="632" spans="2:2">
      <c r="B632" s="249"/>
    </row>
    <row r="633" spans="2:2">
      <c r="B633" s="249"/>
    </row>
    <row r="634" spans="2:2">
      <c r="B634" s="249"/>
    </row>
    <row r="635" spans="2:2">
      <c r="B635" s="249"/>
    </row>
    <row r="636" spans="2:2">
      <c r="B636" s="249"/>
    </row>
    <row r="637" spans="2:2">
      <c r="B637" s="249"/>
    </row>
    <row r="638" spans="2:2" ht="18">
      <c r="B638" s="252"/>
    </row>
    <row r="639" spans="2:2" ht="18">
      <c r="B639" s="252"/>
    </row>
    <row r="640" spans="2:2" ht="18">
      <c r="B640" s="252"/>
    </row>
    <row r="641" spans="2:2" ht="18">
      <c r="B641" s="252"/>
    </row>
    <row r="642" spans="2:2" ht="18">
      <c r="B642" s="252"/>
    </row>
    <row r="643" spans="2:2" ht="18">
      <c r="B643" s="252"/>
    </row>
    <row r="644" spans="2:2" ht="18">
      <c r="B644" s="252"/>
    </row>
    <row r="645" spans="2:2">
      <c r="B645" s="248"/>
    </row>
    <row r="646" spans="2:2">
      <c r="B646" s="248"/>
    </row>
    <row r="647" spans="2:2">
      <c r="B647" s="248"/>
    </row>
    <row r="648" spans="2:2">
      <c r="B648" s="248"/>
    </row>
    <row r="649" spans="2:2">
      <c r="B649" s="248"/>
    </row>
    <row r="650" spans="2:2">
      <c r="B650" s="248"/>
    </row>
    <row r="651" spans="2:2">
      <c r="B651" s="248"/>
    </row>
    <row r="652" spans="2:2">
      <c r="B652" s="248"/>
    </row>
    <row r="653" spans="2:2">
      <c r="B653" s="248"/>
    </row>
    <row r="654" spans="2:2">
      <c r="B654" s="248"/>
    </row>
    <row r="655" spans="2:2">
      <c r="B655" s="248"/>
    </row>
    <row r="656" spans="2:2">
      <c r="B656" s="248"/>
    </row>
    <row r="657" spans="2:2">
      <c r="B657" s="248"/>
    </row>
    <row r="658" spans="2:2">
      <c r="B658" s="248"/>
    </row>
    <row r="659" spans="2:2">
      <c r="B659" s="248"/>
    </row>
    <row r="660" spans="2:2">
      <c r="B660" s="248"/>
    </row>
    <row r="661" spans="2:2">
      <c r="B661" s="248"/>
    </row>
    <row r="662" spans="2:2">
      <c r="B662" s="248"/>
    </row>
    <row r="663" spans="2:2">
      <c r="B663" s="248"/>
    </row>
    <row r="664" spans="2:2">
      <c r="B664" s="248"/>
    </row>
    <row r="665" spans="2:2">
      <c r="B665" s="248"/>
    </row>
    <row r="666" spans="2:2" ht="18">
      <c r="B666" s="252"/>
    </row>
    <row r="667" spans="2:2" ht="18">
      <c r="B667" s="252"/>
    </row>
    <row r="668" spans="2:2" ht="18">
      <c r="B668" s="252"/>
    </row>
    <row r="669" spans="2:2">
      <c r="B669" s="248"/>
    </row>
    <row r="670" spans="2:2">
      <c r="B670" s="248"/>
    </row>
    <row r="671" spans="2:2">
      <c r="B671" s="248"/>
    </row>
    <row r="672" spans="2:2">
      <c r="B672" s="248"/>
    </row>
    <row r="673" spans="2:2">
      <c r="B673" s="248"/>
    </row>
    <row r="674" spans="2:2">
      <c r="B674" s="248"/>
    </row>
    <row r="675" spans="2:2">
      <c r="B675" s="2523"/>
    </row>
    <row r="676" spans="2:2">
      <c r="B676" s="2523"/>
    </row>
    <row r="677" spans="2:2">
      <c r="B677" s="248"/>
    </row>
    <row r="678" spans="2:2">
      <c r="B678" s="248"/>
    </row>
    <row r="679" spans="2:2">
      <c r="B679" s="248"/>
    </row>
    <row r="680" spans="2:2">
      <c r="B680" s="248"/>
    </row>
    <row r="681" spans="2:2">
      <c r="B681" s="248"/>
    </row>
    <row r="682" spans="2:2">
      <c r="B682" s="248"/>
    </row>
    <row r="683" spans="2:2">
      <c r="B683" s="248"/>
    </row>
    <row r="684" spans="2:2">
      <c r="B684" s="248"/>
    </row>
    <row r="685" spans="2:2">
      <c r="B685" s="248"/>
    </row>
    <row r="686" spans="2:2">
      <c r="B686" s="248"/>
    </row>
    <row r="687" spans="2:2">
      <c r="B687" s="248"/>
    </row>
    <row r="688" spans="2:2">
      <c r="B688" s="248"/>
    </row>
    <row r="689" spans="2:2">
      <c r="B689" s="248"/>
    </row>
    <row r="690" spans="2:2" ht="18">
      <c r="B690" s="252"/>
    </row>
    <row r="691" spans="2:2" ht="18">
      <c r="B691" s="252"/>
    </row>
    <row r="692" spans="2:2" ht="18">
      <c r="B692" s="252"/>
    </row>
    <row r="693" spans="2:2">
      <c r="B693" s="248"/>
    </row>
    <row r="694" spans="2:2">
      <c r="B694" s="248"/>
    </row>
    <row r="695" spans="2:2">
      <c r="B695" s="248"/>
    </row>
    <row r="696" spans="2:2">
      <c r="B696" s="248"/>
    </row>
    <row r="697" spans="2:2">
      <c r="B697" s="248"/>
    </row>
    <row r="698" spans="2:2">
      <c r="B698" s="248"/>
    </row>
    <row r="699" spans="2:2">
      <c r="B699" s="2523"/>
    </row>
    <row r="700" spans="2:2">
      <c r="B700" s="2523"/>
    </row>
    <row r="701" spans="2:2">
      <c r="B701" s="2523"/>
    </row>
    <row r="702" spans="2:2">
      <c r="B702" s="2523"/>
    </row>
    <row r="703" spans="2:2">
      <c r="B703" s="248"/>
    </row>
    <row r="704" spans="2:2">
      <c r="B704" s="248"/>
    </row>
    <row r="705" spans="2:2">
      <c r="B705" s="248"/>
    </row>
    <row r="706" spans="2:2">
      <c r="B706" s="248"/>
    </row>
    <row r="707" spans="2:2">
      <c r="B707" s="248"/>
    </row>
    <row r="708" spans="2:2">
      <c r="B708" s="248"/>
    </row>
    <row r="709" spans="2:2">
      <c r="B709" s="248"/>
    </row>
    <row r="710" spans="2:2">
      <c r="B710" s="248"/>
    </row>
    <row r="711" spans="2:2">
      <c r="B711" s="248"/>
    </row>
    <row r="712" spans="2:2">
      <c r="B712" s="248"/>
    </row>
    <row r="713" spans="2:2">
      <c r="B713" s="248"/>
    </row>
    <row r="714" spans="2:2" ht="18">
      <c r="B714" s="252"/>
    </row>
    <row r="715" spans="2:2" ht="18">
      <c r="B715" s="252"/>
    </row>
    <row r="716" spans="2:2" ht="18">
      <c r="B716" s="252"/>
    </row>
    <row r="717" spans="2:2">
      <c r="B717"/>
    </row>
    <row r="718" spans="2:2">
      <c r="B718"/>
    </row>
    <row r="719" spans="2:2">
      <c r="B719"/>
    </row>
    <row r="720" spans="2:2">
      <c r="B720"/>
    </row>
    <row r="721" spans="2:2">
      <c r="B721"/>
    </row>
    <row r="722" spans="2:2">
      <c r="B722"/>
    </row>
    <row r="723" spans="2:2">
      <c r="B723"/>
    </row>
    <row r="724" spans="2:2">
      <c r="B724"/>
    </row>
    <row r="725" spans="2:2">
      <c r="B725" s="2506"/>
    </row>
    <row r="726" spans="2:2">
      <c r="B726" s="2506"/>
    </row>
    <row r="727" spans="2:2">
      <c r="B727" s="2506"/>
    </row>
    <row r="728" spans="2:2">
      <c r="B728" s="2506"/>
    </row>
    <row r="729" spans="2:2">
      <c r="B729" s="2506"/>
    </row>
    <row r="730" spans="2:2">
      <c r="B730" s="2506"/>
    </row>
    <row r="731" spans="2:2">
      <c r="B731"/>
    </row>
    <row r="732" spans="2:2">
      <c r="B732" s="2506"/>
    </row>
    <row r="733" spans="2:2">
      <c r="B733" s="2506"/>
    </row>
    <row r="734" spans="2:2">
      <c r="B734" s="2506"/>
    </row>
    <row r="735" spans="2:2">
      <c r="B735" s="2506"/>
    </row>
    <row r="736" spans="2:2">
      <c r="B736" s="2506"/>
    </row>
    <row r="737" spans="2:2">
      <c r="B737" s="2506"/>
    </row>
    <row r="738" spans="2:2" ht="18">
      <c r="B738" s="243"/>
    </row>
    <row r="739" spans="2:2" ht="18">
      <c r="B739" s="243"/>
    </row>
    <row r="740" spans="2:2" ht="18">
      <c r="B740" s="243"/>
    </row>
    <row r="741" spans="2:2">
      <c r="B741" s="2522"/>
    </row>
    <row r="742" spans="2:2">
      <c r="B742" s="2522"/>
    </row>
    <row r="743" spans="2:2">
      <c r="B743" s="2522"/>
    </row>
    <row r="744" spans="2:2">
      <c r="B744" s="2522"/>
    </row>
    <row r="745" spans="2:2">
      <c r="B745" s="2522"/>
    </row>
    <row r="746" spans="2:2">
      <c r="B746" s="2522"/>
    </row>
    <row r="747" spans="2:2">
      <c r="B747" s="2522"/>
    </row>
    <row r="748" spans="2:2">
      <c r="B748" s="2522"/>
    </row>
    <row r="749" spans="2:2">
      <c r="B749" s="2522"/>
    </row>
    <row r="750" spans="2:2">
      <c r="B750" s="2522"/>
    </row>
    <row r="751" spans="2:2">
      <c r="B751" s="2522"/>
    </row>
    <row r="752" spans="2:2">
      <c r="B752" s="2522"/>
    </row>
    <row r="753" spans="2:2">
      <c r="B753" s="2522"/>
    </row>
    <row r="754" spans="2:2">
      <c r="B754" s="2522"/>
    </row>
    <row r="755" spans="2:2">
      <c r="B755" s="249"/>
    </row>
    <row r="756" spans="2:2">
      <c r="B756" s="2522"/>
    </row>
    <row r="757" spans="2:2">
      <c r="B757" s="2522"/>
    </row>
    <row r="758" spans="2:2">
      <c r="B758" s="249"/>
    </row>
    <row r="759" spans="2:2">
      <c r="B759" s="2522"/>
    </row>
    <row r="760" spans="2:2">
      <c r="B760" s="2522"/>
    </row>
    <row r="761" spans="2:2">
      <c r="B761" s="2522"/>
    </row>
    <row r="762" spans="2:2" ht="18">
      <c r="B762" s="243"/>
    </row>
    <row r="763" spans="2:2">
      <c r="B763" s="2522"/>
    </row>
    <row r="764" spans="2:2">
      <c r="B764" s="2522"/>
    </row>
    <row r="765" spans="2:2">
      <c r="B765" s="2522"/>
    </row>
    <row r="766" spans="2:2">
      <c r="B766" s="2522"/>
    </row>
    <row r="767" spans="2:2">
      <c r="B767" s="2522"/>
    </row>
    <row r="768" spans="2:2">
      <c r="B768" s="2522"/>
    </row>
    <row r="769" spans="2:2">
      <c r="B769" s="2522"/>
    </row>
    <row r="770" spans="2:2">
      <c r="B770" s="2522"/>
    </row>
    <row r="771" spans="2:2">
      <c r="B771" s="2522"/>
    </row>
    <row r="772" spans="2:2">
      <c r="B772" s="2522"/>
    </row>
    <row r="773" spans="2:2">
      <c r="B773" s="2522"/>
    </row>
    <row r="774" spans="2:2">
      <c r="B774" s="2522"/>
    </row>
    <row r="775" spans="2:2">
      <c r="B775" s="2522"/>
    </row>
    <row r="776" spans="2:2">
      <c r="B776" s="2522"/>
    </row>
    <row r="777" spans="2:2">
      <c r="B777" s="2522"/>
    </row>
    <row r="778" spans="2:2">
      <c r="B778" s="2522"/>
    </row>
    <row r="779" spans="2:2">
      <c r="B779" s="2522"/>
    </row>
    <row r="780" spans="2:2">
      <c r="B780" s="2522"/>
    </row>
    <row r="781" spans="2:2">
      <c r="B781" s="249"/>
    </row>
    <row r="782" spans="2:2">
      <c r="B782" s="249"/>
    </row>
    <row r="783" spans="2:2">
      <c r="B783" s="249"/>
    </row>
    <row r="784" spans="2:2">
      <c r="B784" s="249"/>
    </row>
    <row r="785" spans="2:2">
      <c r="B785" s="249"/>
    </row>
    <row r="786" spans="2:2" ht="18">
      <c r="B786" s="252"/>
    </row>
    <row r="787" spans="2:2">
      <c r="B787" s="729"/>
    </row>
    <row r="788" spans="2:2" ht="18">
      <c r="B788" s="252"/>
    </row>
    <row r="789" spans="2:2">
      <c r="B789" s="1002"/>
    </row>
    <row r="790" spans="2:2">
      <c r="B790" s="2506"/>
    </row>
    <row r="791" spans="2:2">
      <c r="B791" s="2522"/>
    </row>
    <row r="792" spans="2:2">
      <c r="B792" s="249"/>
    </row>
    <row r="793" spans="2:2">
      <c r="B793" s="249"/>
    </row>
    <row r="794" spans="2:2">
      <c r="B794" s="249"/>
    </row>
    <row r="795" spans="2:2">
      <c r="B795" s="249"/>
    </row>
    <row r="796" spans="2:2">
      <c r="B796" s="249"/>
    </row>
    <row r="797" spans="2:2">
      <c r="B797" s="249"/>
    </row>
    <row r="798" spans="2:2">
      <c r="B798" s="249"/>
    </row>
    <row r="799" spans="2:2">
      <c r="B799" s="249"/>
    </row>
    <row r="800" spans="2:2">
      <c r="B800" s="249"/>
    </row>
    <row r="801" spans="2:2">
      <c r="B801" s="249"/>
    </row>
    <row r="802" spans="2:2">
      <c r="B802" s="249"/>
    </row>
    <row r="803" spans="2:2">
      <c r="B803" s="2522"/>
    </row>
    <row r="804" spans="2:2">
      <c r="B804" s="2522"/>
    </row>
    <row r="805" spans="2:2">
      <c r="B805" s="2522"/>
    </row>
    <row r="806" spans="2:2">
      <c r="B806" s="2522"/>
    </row>
    <row r="807" spans="2:2">
      <c r="B807" s="249"/>
    </row>
    <row r="808" spans="2:2">
      <c r="B808" s="249"/>
    </row>
    <row r="809" spans="2:2">
      <c r="B809" s="249"/>
    </row>
    <row r="810" spans="2:2" ht="18">
      <c r="B810" s="252"/>
    </row>
    <row r="811" spans="2:2" ht="18">
      <c r="B811" s="252"/>
    </row>
    <row r="812" spans="2:2" ht="18">
      <c r="B812" s="252"/>
    </row>
    <row r="813" spans="2:2" ht="18">
      <c r="B813" s="252"/>
    </row>
    <row r="814" spans="2:2" ht="18">
      <c r="B814" s="252"/>
    </row>
    <row r="815" spans="2:2" ht="18">
      <c r="B815" s="252"/>
    </row>
    <row r="816" spans="2:2" ht="18">
      <c r="B816" s="252"/>
    </row>
    <row r="817" spans="2:2" ht="18">
      <c r="B817" s="252"/>
    </row>
    <row r="818" spans="2:2" ht="18">
      <c r="B818" s="252"/>
    </row>
    <row r="819" spans="2:2" ht="18">
      <c r="B819" s="252"/>
    </row>
    <row r="820" spans="2:2" ht="18">
      <c r="B820" s="252"/>
    </row>
    <row r="821" spans="2:2" ht="18">
      <c r="B821" s="252"/>
    </row>
    <row r="822" spans="2:2" ht="18">
      <c r="B822" s="252"/>
    </row>
    <row r="823" spans="2:2" ht="18">
      <c r="B823" s="252"/>
    </row>
    <row r="824" spans="2:2" ht="18">
      <c r="B824" s="252"/>
    </row>
    <row r="825" spans="2:2" ht="18">
      <c r="B825" s="252"/>
    </row>
    <row r="826" spans="2:2" ht="18">
      <c r="B826" s="243"/>
    </row>
    <row r="827" spans="2:2" ht="18">
      <c r="B827" s="243"/>
    </row>
    <row r="828" spans="2:2" ht="18">
      <c r="B828" s="243"/>
    </row>
    <row r="829" spans="2:2" ht="18">
      <c r="B829" s="243"/>
    </row>
    <row r="830" spans="2:2" ht="18">
      <c r="B830" s="243"/>
    </row>
    <row r="831" spans="2:2" ht="18">
      <c r="B831" s="243"/>
    </row>
    <row r="832" spans="2:2" ht="18">
      <c r="B832" s="243"/>
    </row>
    <row r="833" spans="2:2">
      <c r="B833"/>
    </row>
    <row r="834" spans="2:2" ht="18">
      <c r="B834" s="252"/>
    </row>
    <row r="835" spans="2:2" ht="18">
      <c r="B835" s="252"/>
    </row>
    <row r="836" spans="2:2">
      <c r="B836" s="729"/>
    </row>
    <row r="837" spans="2:2" ht="18">
      <c r="B837" s="252"/>
    </row>
    <row r="838" spans="2:2" ht="18">
      <c r="B838" s="252"/>
    </row>
    <row r="839" spans="2:2" ht="18">
      <c r="B839" s="252"/>
    </row>
    <row r="840" spans="2:2" ht="18">
      <c r="B840" s="252"/>
    </row>
    <row r="841" spans="2:2" ht="18">
      <c r="B841" s="252"/>
    </row>
    <row r="842" spans="2:2" ht="18">
      <c r="B842" s="252"/>
    </row>
    <row r="843" spans="2:2" ht="18">
      <c r="B843" s="252"/>
    </row>
    <row r="844" spans="2:2" ht="18">
      <c r="B844" s="252"/>
    </row>
    <row r="845" spans="2:2" ht="18">
      <c r="B845" s="252"/>
    </row>
    <row r="846" spans="2:2" ht="18">
      <c r="B846" s="252"/>
    </row>
    <row r="847" spans="2:2" ht="18">
      <c r="B847" s="252"/>
    </row>
    <row r="848" spans="2:2" ht="18">
      <c r="B848" s="252"/>
    </row>
    <row r="849" spans="2:2" ht="18">
      <c r="B849" s="252"/>
    </row>
    <row r="850" spans="2:2" ht="18">
      <c r="B850" s="252"/>
    </row>
    <row r="851" spans="2:2" ht="18">
      <c r="B851" s="252"/>
    </row>
    <row r="852" spans="2:2" ht="18">
      <c r="B852" s="243"/>
    </row>
    <row r="853" spans="2:2" ht="18">
      <c r="B853" s="243"/>
    </row>
    <row r="854" spans="2:2" ht="18">
      <c r="B854" s="243"/>
    </row>
    <row r="855" spans="2:2" ht="18">
      <c r="B855" s="243"/>
    </row>
    <row r="856" spans="2:2" ht="18">
      <c r="B856" s="252"/>
    </row>
    <row r="857" spans="2:2" ht="18">
      <c r="B857" s="243"/>
    </row>
    <row r="858" spans="2:2">
      <c r="B858" s="435"/>
    </row>
    <row r="859" spans="2:2" ht="18">
      <c r="B859" s="252"/>
    </row>
    <row r="860" spans="2:2" ht="18">
      <c r="B860" s="243"/>
    </row>
    <row r="861" spans="2:2" ht="18">
      <c r="B861" s="243"/>
    </row>
    <row r="862" spans="2:2" ht="18">
      <c r="B862" s="243"/>
    </row>
    <row r="863" spans="2:2" ht="18">
      <c r="B863" s="243"/>
    </row>
    <row r="864" spans="2:2" ht="18">
      <c r="B864" s="243"/>
    </row>
    <row r="865" spans="2:2" ht="18">
      <c r="B865" s="243"/>
    </row>
    <row r="866" spans="2:2" ht="18">
      <c r="B866" s="243"/>
    </row>
    <row r="867" spans="2:2" ht="18">
      <c r="B867" s="243"/>
    </row>
    <row r="868" spans="2:2" ht="18">
      <c r="B868" s="243"/>
    </row>
    <row r="869" spans="2:2" ht="18">
      <c r="B869" s="243"/>
    </row>
    <row r="870" spans="2:2" ht="18">
      <c r="B870" s="243"/>
    </row>
    <row r="871" spans="2:2" ht="18">
      <c r="B871" s="243"/>
    </row>
    <row r="872" spans="2:2" ht="18">
      <c r="B872" s="243"/>
    </row>
    <row r="873" spans="2:2" ht="18">
      <c r="B873" s="243"/>
    </row>
    <row r="874" spans="2:2" ht="18">
      <c r="B874" s="243"/>
    </row>
    <row r="875" spans="2:2" ht="18">
      <c r="B875" s="243"/>
    </row>
    <row r="876" spans="2:2" ht="18">
      <c r="B876" s="243"/>
    </row>
    <row r="877" spans="2:2" ht="18">
      <c r="B877" s="243"/>
    </row>
    <row r="878" spans="2:2" ht="18">
      <c r="B878" s="243"/>
    </row>
    <row r="879" spans="2:2" ht="18">
      <c r="B879" s="243"/>
    </row>
    <row r="880" spans="2:2" ht="18">
      <c r="B880" s="243"/>
    </row>
    <row r="881" spans="2:2" ht="18">
      <c r="B881" s="243"/>
    </row>
    <row r="882" spans="2:2" ht="18">
      <c r="B882" s="243"/>
    </row>
    <row r="883" spans="2:2">
      <c r="B883" s="2523"/>
    </row>
    <row r="884" spans="2:2">
      <c r="B884" s="2523"/>
    </row>
    <row r="885" spans="2:2">
      <c r="B885" s="248"/>
    </row>
    <row r="886" spans="2:2">
      <c r="B886" s="2523"/>
    </row>
    <row r="887" spans="2:2">
      <c r="B887" s="2523"/>
    </row>
    <row r="888" spans="2:2">
      <c r="B888" s="2523"/>
    </row>
    <row r="889" spans="2:2">
      <c r="B889" s="2523"/>
    </row>
    <row r="890" spans="2:2">
      <c r="B890" s="2523"/>
    </row>
    <row r="891" spans="2:2" ht="18">
      <c r="B891" s="243"/>
    </row>
    <row r="892" spans="2:2" ht="18">
      <c r="B892" s="243"/>
    </row>
    <row r="893" spans="2:2" ht="18">
      <c r="B893" s="243"/>
    </row>
    <row r="894" spans="2:2" ht="18">
      <c r="B894" s="243"/>
    </row>
    <row r="895" spans="2:2" ht="18">
      <c r="B895" s="243"/>
    </row>
    <row r="896" spans="2:2" ht="18">
      <c r="B896" s="243"/>
    </row>
    <row r="897" spans="2:2" ht="18">
      <c r="B897" s="243"/>
    </row>
    <row r="898" spans="2:2" ht="18">
      <c r="B898" s="243"/>
    </row>
    <row r="899" spans="2:2" ht="18">
      <c r="B899" s="243"/>
    </row>
    <row r="900" spans="2:2">
      <c r="B900" s="2506"/>
    </row>
    <row r="901" spans="2:2">
      <c r="B901" s="2523"/>
    </row>
    <row r="902" spans="2:2">
      <c r="B902" s="2506"/>
    </row>
    <row r="903" spans="2:2">
      <c r="B903" s="2506"/>
    </row>
    <row r="904" spans="2:2" ht="18">
      <c r="B904" s="243"/>
    </row>
    <row r="905" spans="2:2" ht="18">
      <c r="B905" s="243"/>
    </row>
    <row r="906" spans="2:2" ht="18">
      <c r="B906" s="243"/>
    </row>
    <row r="907" spans="2:2">
      <c r="B907" s="2506"/>
    </row>
    <row r="908" spans="2:2">
      <c r="B908" s="2506"/>
    </row>
    <row r="909" spans="2:2">
      <c r="B909" s="2506"/>
    </row>
    <row r="910" spans="2:2">
      <c r="B910" s="2506"/>
    </row>
    <row r="911" spans="2:2">
      <c r="B911"/>
    </row>
    <row r="912" spans="2:2">
      <c r="B912"/>
    </row>
    <row r="913" spans="2:2">
      <c r="B913"/>
    </row>
    <row r="914" spans="2:2">
      <c r="B914"/>
    </row>
    <row r="915" spans="2:2">
      <c r="B915"/>
    </row>
    <row r="916" spans="2:2">
      <c r="B916"/>
    </row>
    <row r="917" spans="2:2">
      <c r="B917"/>
    </row>
    <row r="918" spans="2:2">
      <c r="B918"/>
    </row>
    <row r="919" spans="2:2">
      <c r="B919"/>
    </row>
    <row r="920" spans="2:2">
      <c r="B920"/>
    </row>
    <row r="921" spans="2:2">
      <c r="B921"/>
    </row>
    <row r="922" spans="2:2">
      <c r="B922"/>
    </row>
    <row r="923" spans="2:2">
      <c r="B923"/>
    </row>
    <row r="924" spans="2:2">
      <c r="B924"/>
    </row>
    <row r="925" spans="2:2" ht="18">
      <c r="B925" s="252"/>
    </row>
    <row r="926" spans="2:2" ht="18">
      <c r="B926" s="252"/>
    </row>
    <row r="927" spans="2:2" ht="18">
      <c r="B927" s="252"/>
    </row>
    <row r="928" spans="2:2" ht="18">
      <c r="B928" s="252"/>
    </row>
    <row r="929" spans="2:2" ht="18">
      <c r="B929" s="252"/>
    </row>
    <row r="930" spans="2:2" ht="18">
      <c r="B930" s="252"/>
    </row>
    <row r="931" spans="2:2">
      <c r="B931" s="249"/>
    </row>
    <row r="932" spans="2:2">
      <c r="B932" s="249"/>
    </row>
    <row r="933" spans="2:2">
      <c r="B933" s="2522"/>
    </row>
    <row r="934" spans="2:2">
      <c r="B934" s="2522"/>
    </row>
    <row r="935" spans="2:2">
      <c r="B935" s="2522"/>
    </row>
    <row r="936" spans="2:2">
      <c r="B936" s="2522"/>
    </row>
    <row r="937" spans="2:2">
      <c r="B937"/>
    </row>
    <row r="938" spans="2:2">
      <c r="B938"/>
    </row>
    <row r="939" spans="2:2">
      <c r="B939"/>
    </row>
    <row r="940" spans="2:2">
      <c r="B940"/>
    </row>
    <row r="941" spans="2:2">
      <c r="B941"/>
    </row>
    <row r="942" spans="2:2">
      <c r="B942"/>
    </row>
    <row r="943" spans="2:2">
      <c r="B943"/>
    </row>
    <row r="944" spans="2:2">
      <c r="B944"/>
    </row>
    <row r="945" spans="2:2">
      <c r="B945"/>
    </row>
    <row r="946" spans="2:2">
      <c r="B946"/>
    </row>
    <row r="947" spans="2:2">
      <c r="B947"/>
    </row>
    <row r="948" spans="2:2">
      <c r="B948"/>
    </row>
    <row r="949" spans="2:2" ht="18">
      <c r="B949" s="252"/>
    </row>
    <row r="950" spans="2:2" ht="18">
      <c r="B950" s="252"/>
    </row>
    <row r="951" spans="2:2" ht="18">
      <c r="B951" s="252"/>
    </row>
    <row r="952" spans="2:2">
      <c r="B952"/>
    </row>
    <row r="953" spans="2:2" ht="18">
      <c r="B953" s="252"/>
    </row>
    <row r="954" spans="2:2" ht="18">
      <c r="B954" s="252"/>
    </row>
    <row r="955" spans="2:2" ht="18">
      <c r="B955" s="252"/>
    </row>
    <row r="956" spans="2:2" ht="18">
      <c r="B956" s="252"/>
    </row>
    <row r="957" spans="2:2" ht="18">
      <c r="B957" s="243"/>
    </row>
    <row r="958" spans="2:2" ht="18">
      <c r="B958" s="243"/>
    </row>
    <row r="959" spans="2:2" ht="18">
      <c r="B959" s="243"/>
    </row>
    <row r="960" spans="2:2" ht="18">
      <c r="B960" s="243"/>
    </row>
    <row r="961" spans="2:2" ht="18">
      <c r="B961" s="243"/>
    </row>
    <row r="962" spans="2:2" ht="18">
      <c r="B962" s="243"/>
    </row>
    <row r="963" spans="2:2" ht="18">
      <c r="B963" s="252"/>
    </row>
    <row r="964" spans="2:2" ht="18">
      <c r="B964" s="243"/>
    </row>
    <row r="965" spans="2:2" ht="18">
      <c r="B965" s="243"/>
    </row>
    <row r="966" spans="2:2" ht="18">
      <c r="B966" s="243"/>
    </row>
    <row r="967" spans="2:2" ht="18">
      <c r="B967" s="243"/>
    </row>
    <row r="968" spans="2:2" ht="18">
      <c r="B968" s="243"/>
    </row>
    <row r="969" spans="2:2" ht="18">
      <c r="B969" s="243"/>
    </row>
    <row r="970" spans="2:2" ht="18">
      <c r="B970" s="243"/>
    </row>
    <row r="971" spans="2:2" ht="18">
      <c r="B971" s="243"/>
    </row>
    <row r="972" spans="2:2" ht="18">
      <c r="B972" s="243"/>
    </row>
    <row r="973" spans="2:2" ht="18">
      <c r="B973" s="243"/>
    </row>
    <row r="974" spans="2:2" ht="18">
      <c r="B974" s="243"/>
    </row>
    <row r="975" spans="2:2" ht="18">
      <c r="B975" s="243"/>
    </row>
    <row r="976" spans="2:2" ht="18">
      <c r="B976" s="243"/>
    </row>
    <row r="977" spans="2:2" ht="18">
      <c r="B977" s="243"/>
    </row>
    <row r="978" spans="2:2" ht="18">
      <c r="B978" s="243"/>
    </row>
    <row r="979" spans="2:2" ht="18">
      <c r="B979" s="243"/>
    </row>
    <row r="980" spans="2:2" ht="18">
      <c r="B980" s="243"/>
    </row>
    <row r="981" spans="2:2" ht="18">
      <c r="B981" s="243"/>
    </row>
    <row r="982" spans="2:2" ht="18">
      <c r="B982" s="243"/>
    </row>
    <row r="983" spans="2:2" ht="18">
      <c r="B983" s="243"/>
    </row>
    <row r="984" spans="2:2" ht="18">
      <c r="B984" s="243"/>
    </row>
    <row r="985" spans="2:2" ht="18">
      <c r="B985" s="243"/>
    </row>
    <row r="986" spans="2:2" ht="18">
      <c r="B986" s="243"/>
    </row>
    <row r="987" spans="2:2" ht="18">
      <c r="B987" s="243"/>
    </row>
    <row r="988" spans="2:2" ht="18">
      <c r="B988" s="243"/>
    </row>
    <row r="989" spans="2:2" ht="18">
      <c r="B989" s="252"/>
    </row>
    <row r="990" spans="2:2" ht="18">
      <c r="B990" s="252"/>
    </row>
    <row r="991" spans="2:2" ht="18">
      <c r="B991" s="252"/>
    </row>
    <row r="992" spans="2:2" ht="18">
      <c r="B992" s="252"/>
    </row>
    <row r="993" spans="2:2" ht="18">
      <c r="B993" s="252"/>
    </row>
    <row r="994" spans="2:2" ht="18">
      <c r="B994" s="252"/>
    </row>
    <row r="995" spans="2:2" ht="18">
      <c r="B995" s="252"/>
    </row>
    <row r="996" spans="2:2" ht="18">
      <c r="B996" s="252"/>
    </row>
    <row r="997" spans="2:2" ht="18">
      <c r="B997" s="252"/>
    </row>
    <row r="998" spans="2:2" ht="18">
      <c r="B998" s="252"/>
    </row>
    <row r="999" spans="2:2" ht="18">
      <c r="B999" s="252"/>
    </row>
    <row r="1000" spans="2:2" ht="18">
      <c r="B1000" s="252"/>
    </row>
    <row r="1001" spans="2:2" ht="18">
      <c r="B1001" s="252"/>
    </row>
    <row r="1002" spans="2:2">
      <c r="B1002"/>
    </row>
    <row r="1003" spans="2:2">
      <c r="B1003"/>
    </row>
    <row r="1004" spans="2:2">
      <c r="B1004"/>
    </row>
    <row r="1005" spans="2:2">
      <c r="B1005"/>
    </row>
    <row r="1006" spans="2:2">
      <c r="B1006"/>
    </row>
    <row r="1007" spans="2:2">
      <c r="B1007"/>
    </row>
    <row r="1008" spans="2:2">
      <c r="B1008" s="2506"/>
    </row>
    <row r="1009" spans="2:2">
      <c r="B1009" s="2506"/>
    </row>
    <row r="1010" spans="2:2">
      <c r="B1010" s="2506"/>
    </row>
    <row r="1011" spans="2:2">
      <c r="B1011" s="2506"/>
    </row>
    <row r="1012" spans="2:2">
      <c r="B1012" s="2506"/>
    </row>
    <row r="1013" spans="2:2">
      <c r="B1013" s="2506"/>
    </row>
    <row r="1014" spans="2:2">
      <c r="B1014" s="2506"/>
    </row>
    <row r="1015" spans="2:2">
      <c r="B1015"/>
    </row>
    <row r="1016" spans="2:2">
      <c r="B1016" s="2506"/>
    </row>
    <row r="1017" spans="2:2">
      <c r="B1017" s="2506"/>
    </row>
    <row r="1018" spans="2:2">
      <c r="B1018" s="2506"/>
    </row>
    <row r="1019" spans="2:2">
      <c r="B1019" s="2506"/>
    </row>
    <row r="1020" spans="2:2">
      <c r="B1020" s="2506"/>
    </row>
    <row r="1021" spans="2:2">
      <c r="B1021" s="2506"/>
    </row>
    <row r="1022" spans="2:2">
      <c r="B1022" s="2506"/>
    </row>
    <row r="1023" spans="2:2" ht="18">
      <c r="B1023" s="243"/>
    </row>
    <row r="1024" spans="2:2" ht="18">
      <c r="B1024" s="243"/>
    </row>
    <row r="1025" spans="2:2" ht="18">
      <c r="B1025" s="243"/>
    </row>
    <row r="1026" spans="2:2">
      <c r="B1026" s="2506"/>
    </row>
    <row r="1027" spans="2:2">
      <c r="B1027" s="2506"/>
    </row>
    <row r="1028" spans="2:2">
      <c r="B1028" s="2506"/>
    </row>
    <row r="1029" spans="2:2">
      <c r="B1029" s="2506"/>
    </row>
    <row r="1030" spans="2:2">
      <c r="B1030" s="2506"/>
    </row>
    <row r="1031" spans="2:2">
      <c r="B1031" s="2506"/>
    </row>
    <row r="1032" spans="2:2">
      <c r="B1032" s="2506"/>
    </row>
    <row r="1033" spans="2:2">
      <c r="B1033" s="2506"/>
    </row>
    <row r="1034" spans="2:2">
      <c r="B1034" s="2506"/>
    </row>
    <row r="1035" spans="2:2">
      <c r="B1035" s="2506"/>
    </row>
    <row r="1036" spans="2:2">
      <c r="B1036" s="2506"/>
    </row>
    <row r="1037" spans="2:2">
      <c r="B1037" s="2506"/>
    </row>
    <row r="1038" spans="2:2">
      <c r="B1038" s="2506"/>
    </row>
    <row r="1039" spans="2:2">
      <c r="B1039" s="2506"/>
    </row>
    <row r="1040" spans="2:2">
      <c r="B1040" s="2506"/>
    </row>
    <row r="1041" spans="2:2">
      <c r="B1041"/>
    </row>
    <row r="1042" spans="2:2">
      <c r="B1042" s="2506"/>
    </row>
    <row r="1043" spans="2:2">
      <c r="B1043" s="2506"/>
    </row>
    <row r="1044" spans="2:2">
      <c r="B1044" s="2506"/>
    </row>
    <row r="1045" spans="2:2" ht="18">
      <c r="B1045" s="243"/>
    </row>
    <row r="1046" spans="2:2" ht="18">
      <c r="B1046" s="243"/>
    </row>
    <row r="1047" spans="2:2" ht="18">
      <c r="B1047" s="243"/>
    </row>
    <row r="1048" spans="2:2" ht="18">
      <c r="B1048" s="243"/>
    </row>
    <row r="1049" spans="2:2" ht="18">
      <c r="B1049" s="243"/>
    </row>
    <row r="1050" spans="2:2" ht="18">
      <c r="B1050" s="243"/>
    </row>
    <row r="1051" spans="2:2" ht="18">
      <c r="B1051" s="243"/>
    </row>
    <row r="1052" spans="2:2" ht="18">
      <c r="B1052" s="243"/>
    </row>
    <row r="1053" spans="2:2" ht="18">
      <c r="B1053" s="243"/>
    </row>
    <row r="1054" spans="2:2" ht="18">
      <c r="B1054" s="243"/>
    </row>
    <row r="1055" spans="2:2" ht="18">
      <c r="B1055" s="243"/>
    </row>
    <row r="1056" spans="2:2" ht="18">
      <c r="B1056" s="243"/>
    </row>
    <row r="1057" spans="2:2" ht="18">
      <c r="B1057" s="243"/>
    </row>
    <row r="1058" spans="2:2" ht="18">
      <c r="B1058" s="243"/>
    </row>
    <row r="1059" spans="2:2" ht="18">
      <c r="B1059" s="243"/>
    </row>
    <row r="1060" spans="2:2" ht="18">
      <c r="B1060" s="243"/>
    </row>
    <row r="1061" spans="2:2" ht="18">
      <c r="B1061" s="243"/>
    </row>
    <row r="1062" spans="2:2" ht="18">
      <c r="B1062" s="243"/>
    </row>
    <row r="1063" spans="2:2" ht="18">
      <c r="B1063" s="243"/>
    </row>
    <row r="1064" spans="2:2" ht="18">
      <c r="B1064" s="243"/>
    </row>
    <row r="1065" spans="2:2" ht="18">
      <c r="B1065" s="243"/>
    </row>
    <row r="1066" spans="2:2" ht="18">
      <c r="B1066" s="243"/>
    </row>
    <row r="1067" spans="2:2" ht="18">
      <c r="B1067" s="252"/>
    </row>
    <row r="1068" spans="2:2" ht="18">
      <c r="B1068" s="243"/>
    </row>
    <row r="1069" spans="2:2" ht="18">
      <c r="B1069" s="243"/>
    </row>
    <row r="1070" spans="2:2" ht="18">
      <c r="B1070" s="243"/>
    </row>
    <row r="1071" spans="2:2" ht="18">
      <c r="B1071" s="243"/>
    </row>
    <row r="1072" spans="2:2" ht="18">
      <c r="B1072" s="243"/>
    </row>
    <row r="1073" spans="2:2" ht="18">
      <c r="B1073" s="243"/>
    </row>
    <row r="1074" spans="2:2">
      <c r="B1074" s="2522"/>
    </row>
    <row r="1075" spans="2:2">
      <c r="B1075" s="2522"/>
    </row>
    <row r="1076" spans="2:2">
      <c r="B1076" s="2522"/>
    </row>
    <row r="1077" spans="2:2">
      <c r="B1077" s="2522"/>
    </row>
    <row r="1078" spans="2:2">
      <c r="B1078" s="2522"/>
    </row>
    <row r="1079" spans="2:2">
      <c r="B1079" s="2522"/>
    </row>
    <row r="1080" spans="2:2">
      <c r="B1080" s="2522"/>
    </row>
    <row r="1081" spans="2:2">
      <c r="B1081" s="2522"/>
    </row>
    <row r="1082" spans="2:2">
      <c r="B1082" s="2522"/>
    </row>
    <row r="1083" spans="2:2">
      <c r="B1083" s="2522"/>
    </row>
    <row r="1084" spans="2:2">
      <c r="B1084" s="2522"/>
    </row>
    <row r="1085" spans="2:2">
      <c r="B1085" s="2522"/>
    </row>
    <row r="1086" spans="2:2">
      <c r="B1086" s="2522"/>
    </row>
    <row r="1087" spans="2:2">
      <c r="B1087" s="2522"/>
    </row>
    <row r="1088" spans="2:2">
      <c r="B1088" s="2522"/>
    </row>
    <row r="1089" spans="2:2">
      <c r="B1089" s="2522"/>
    </row>
    <row r="1090" spans="2:2">
      <c r="B1090" s="2522"/>
    </row>
    <row r="1091" spans="2:2">
      <c r="B1091" s="2522"/>
    </row>
    <row r="1092" spans="2:2" ht="18">
      <c r="B1092" s="243"/>
    </row>
    <row r="1093" spans="2:2" ht="18">
      <c r="B1093" s="252"/>
    </row>
    <row r="1094" spans="2:2" ht="18">
      <c r="B1094" s="243"/>
    </row>
    <row r="1095" spans="2:2" ht="18">
      <c r="B1095" s="243"/>
    </row>
    <row r="1096" spans="2:2" ht="18">
      <c r="B1096" s="243"/>
    </row>
    <row r="1097" spans="2:2" ht="18">
      <c r="B1097" s="243"/>
    </row>
    <row r="1098" spans="2:2" ht="18">
      <c r="B1098" s="243"/>
    </row>
    <row r="1099" spans="2:2" ht="18">
      <c r="B1099" s="243"/>
    </row>
    <row r="1100" spans="2:2" ht="18">
      <c r="B1100" s="243"/>
    </row>
    <row r="1101" spans="2:2" ht="18">
      <c r="B1101" s="243"/>
    </row>
    <row r="1102" spans="2:2" ht="18">
      <c r="B1102" s="243"/>
    </row>
    <row r="1103" spans="2:2" ht="18">
      <c r="B1103" s="243"/>
    </row>
    <row r="1104" spans="2:2" ht="18">
      <c r="B1104" s="243"/>
    </row>
    <row r="1105" spans="2:2" ht="18">
      <c r="B1105" s="243"/>
    </row>
    <row r="1106" spans="2:2" ht="18">
      <c r="B1106" s="243"/>
    </row>
    <row r="1107" spans="2:2" ht="18">
      <c r="B1107" s="243"/>
    </row>
    <row r="1108" spans="2:2" ht="18">
      <c r="B1108" s="243"/>
    </row>
    <row r="1109" spans="2:2" ht="18">
      <c r="B1109" s="243"/>
    </row>
    <row r="1110" spans="2:2" ht="18">
      <c r="B1110" s="243"/>
    </row>
    <row r="1111" spans="2:2" ht="18">
      <c r="B1111" s="243"/>
    </row>
    <row r="1112" spans="2:2" ht="18">
      <c r="B1112" s="243"/>
    </row>
    <row r="1113" spans="2:2" ht="18">
      <c r="B1113" s="243"/>
    </row>
    <row r="1114" spans="2:2" ht="18">
      <c r="B1114" s="243"/>
    </row>
    <row r="1115" spans="2:2" ht="18">
      <c r="B1115" s="243"/>
    </row>
    <row r="1116" spans="2:2" ht="18">
      <c r="B1116" s="243"/>
    </row>
    <row r="1117" spans="2:2" ht="18">
      <c r="B1117" s="243"/>
    </row>
    <row r="1118" spans="2:2" ht="18">
      <c r="B1118" s="243"/>
    </row>
    <row r="1119" spans="2:2" ht="18">
      <c r="B1119" s="252"/>
    </row>
    <row r="1120" spans="2:2" ht="18">
      <c r="B1120" s="243"/>
    </row>
    <row r="1121" spans="2:2" ht="18">
      <c r="B1121" s="243"/>
    </row>
    <row r="1122" spans="2:2" ht="18">
      <c r="B1122" s="243"/>
    </row>
    <row r="1123" spans="2:2" ht="18">
      <c r="B1123" s="243"/>
    </row>
    <row r="1124" spans="2:2" ht="18">
      <c r="B1124" s="243"/>
    </row>
    <row r="1125" spans="2:2" ht="18">
      <c r="B1125" s="243"/>
    </row>
    <row r="1126" spans="2:2" ht="18">
      <c r="B1126" s="243"/>
    </row>
    <row r="1127" spans="2:2" ht="18">
      <c r="B1127" s="243"/>
    </row>
    <row r="1128" spans="2:2" ht="18">
      <c r="B1128" s="243"/>
    </row>
    <row r="1129" spans="2:2" ht="18">
      <c r="B1129" s="243"/>
    </row>
    <row r="1130" spans="2:2" ht="18">
      <c r="B1130" s="243"/>
    </row>
    <row r="1131" spans="2:2" ht="18">
      <c r="B1131" s="243"/>
    </row>
    <row r="1132" spans="2:2" ht="18">
      <c r="B1132" s="243"/>
    </row>
    <row r="1133" spans="2:2" ht="18">
      <c r="B1133" s="243"/>
    </row>
    <row r="1134" spans="2:2" ht="18">
      <c r="B1134" s="243"/>
    </row>
    <row r="1135" spans="2:2" ht="18">
      <c r="B1135" s="243"/>
    </row>
    <row r="1136" spans="2:2" ht="18">
      <c r="B1136" s="243"/>
    </row>
    <row r="1137" spans="2:2" ht="18">
      <c r="B1137" s="243"/>
    </row>
    <row r="1138" spans="2:2" ht="18">
      <c r="B1138" s="243"/>
    </row>
    <row r="1139" spans="2:2" ht="18">
      <c r="B1139" s="243"/>
    </row>
    <row r="1140" spans="2:2" ht="18">
      <c r="B1140" s="243"/>
    </row>
    <row r="1141" spans="2:2" ht="18">
      <c r="B1141" s="243"/>
    </row>
    <row r="1142" spans="2:2" ht="18">
      <c r="B1142" s="243"/>
    </row>
    <row r="1143" spans="2:2" ht="18">
      <c r="B1143" s="243"/>
    </row>
    <row r="1144" spans="2:2" ht="18">
      <c r="B1144" s="243"/>
    </row>
    <row r="1145" spans="2:2" ht="18">
      <c r="B1145" s="252"/>
    </row>
    <row r="1146" spans="2:2" ht="18">
      <c r="B1146" s="243"/>
    </row>
    <row r="1147" spans="2:2" ht="18">
      <c r="B1147" s="243"/>
    </row>
    <row r="1148" spans="2:2" ht="18">
      <c r="B1148" s="243"/>
    </row>
    <row r="1149" spans="2:2" ht="18">
      <c r="B1149" s="243"/>
    </row>
    <row r="1150" spans="2:2" ht="18">
      <c r="B1150" s="243"/>
    </row>
    <row r="1151" spans="2:2" ht="18">
      <c r="B1151" s="243"/>
    </row>
    <row r="1152" spans="2:2" ht="18">
      <c r="B1152" s="243"/>
    </row>
    <row r="1153" spans="2:2" ht="18">
      <c r="B1153" s="243"/>
    </row>
    <row r="1154" spans="2:2" ht="18">
      <c r="B1154" s="243"/>
    </row>
    <row r="1155" spans="2:2" ht="18">
      <c r="B1155" s="243"/>
    </row>
    <row r="1156" spans="2:2" ht="18">
      <c r="B1156" s="252"/>
    </row>
    <row r="1157" spans="2:2" ht="18">
      <c r="B1157" s="243"/>
    </row>
    <row r="1158" spans="2:2" ht="18">
      <c r="B1158" s="243"/>
    </row>
    <row r="1159" spans="2:2" ht="18">
      <c r="B1159" s="243"/>
    </row>
    <row r="1160" spans="2:2" ht="18">
      <c r="B1160" s="243"/>
    </row>
    <row r="1161" spans="2:2" ht="18">
      <c r="B1161" s="243"/>
    </row>
    <row r="1162" spans="2:2" ht="18">
      <c r="B1162" s="243"/>
    </row>
    <row r="1163" spans="2:2" ht="18">
      <c r="B1163" s="243"/>
    </row>
    <row r="1164" spans="2:2" ht="18">
      <c r="B1164" s="243"/>
    </row>
    <row r="1165" spans="2:2" ht="18">
      <c r="B1165" s="243"/>
    </row>
    <row r="1166" spans="2:2" ht="18">
      <c r="B1166" s="243"/>
    </row>
    <row r="1167" spans="2:2" ht="18">
      <c r="B1167" s="243"/>
    </row>
    <row r="1168" spans="2:2" ht="18">
      <c r="B1168" s="243"/>
    </row>
    <row r="1169" spans="2:2" ht="18">
      <c r="B1169" s="243"/>
    </row>
    <row r="1170" spans="2:2" ht="18">
      <c r="B1170" s="243"/>
    </row>
    <row r="1171" spans="2:2" ht="18">
      <c r="B1171" s="252"/>
    </row>
    <row r="1172" spans="2:2" ht="18">
      <c r="B1172" s="243"/>
    </row>
    <row r="1173" spans="2:2" ht="18">
      <c r="B1173" s="243"/>
    </row>
    <row r="1174" spans="2:2" ht="18">
      <c r="B1174" s="243"/>
    </row>
    <row r="1175" spans="2:2" ht="18">
      <c r="B1175" s="243"/>
    </row>
    <row r="1176" spans="2:2" ht="18">
      <c r="B1176" s="243"/>
    </row>
    <row r="1177" spans="2:2" ht="18">
      <c r="B1177" s="243"/>
    </row>
    <row r="1178" spans="2:2" ht="18">
      <c r="B1178" s="243"/>
    </row>
    <row r="1179" spans="2:2" ht="18">
      <c r="B1179" s="243"/>
    </row>
    <row r="1180" spans="2:2" ht="18">
      <c r="B1180" s="243"/>
    </row>
    <row r="1181" spans="2:2" ht="18">
      <c r="B1181" s="243"/>
    </row>
    <row r="1182" spans="2:2" ht="18">
      <c r="B1182" s="243"/>
    </row>
    <row r="1183" spans="2:2" ht="18">
      <c r="B1183" s="243"/>
    </row>
    <row r="1184" spans="2:2" ht="18">
      <c r="B1184" s="243"/>
    </row>
    <row r="1185" spans="2:2" ht="18">
      <c r="B1185" s="243"/>
    </row>
    <row r="1186" spans="2:2" ht="18">
      <c r="B1186" s="243"/>
    </row>
    <row r="1187" spans="2:2" ht="18">
      <c r="B1187" s="243"/>
    </row>
    <row r="1188" spans="2:2" ht="18">
      <c r="B1188" s="243"/>
    </row>
    <row r="1189" spans="2:2" ht="18">
      <c r="B1189" s="243"/>
    </row>
    <row r="1190" spans="2:2" ht="18">
      <c r="B1190" s="243"/>
    </row>
    <row r="1191" spans="2:2" ht="18">
      <c r="B1191" s="243"/>
    </row>
    <row r="1192" spans="2:2" ht="18">
      <c r="B1192" s="243"/>
    </row>
    <row r="1193" spans="2:2" ht="18">
      <c r="B1193" s="243"/>
    </row>
    <row r="1194" spans="2:2" ht="18">
      <c r="B1194" s="243"/>
    </row>
    <row r="1195" spans="2:2" ht="18">
      <c r="B1195" s="243"/>
    </row>
    <row r="1196" spans="2:2" ht="18">
      <c r="B1196" s="243"/>
    </row>
    <row r="1197" spans="2:2" ht="18">
      <c r="B1197" s="252"/>
    </row>
    <row r="1198" spans="2:2" ht="18">
      <c r="B1198" s="243"/>
    </row>
    <row r="1199" spans="2:2" ht="18">
      <c r="B1199" s="243"/>
    </row>
    <row r="1200" spans="2:2" ht="18">
      <c r="B1200" s="243"/>
    </row>
    <row r="1201" spans="2:2" ht="18">
      <c r="B1201" s="243"/>
    </row>
    <row r="1202" spans="2:2" ht="18">
      <c r="B1202" s="243"/>
    </row>
    <row r="1203" spans="2:2" ht="18">
      <c r="B1203" s="243"/>
    </row>
    <row r="1204" spans="2:2" ht="18">
      <c r="B1204" s="243"/>
    </row>
    <row r="1205" spans="2:2" ht="18">
      <c r="B1205" s="243"/>
    </row>
    <row r="1206" spans="2:2" ht="18">
      <c r="B1206" s="243"/>
    </row>
    <row r="1207" spans="2:2" ht="18">
      <c r="B1207" s="243"/>
    </row>
    <row r="1208" spans="2:2" ht="18">
      <c r="B1208" s="243"/>
    </row>
    <row r="1209" spans="2:2" ht="18">
      <c r="B1209" s="243"/>
    </row>
    <row r="1210" spans="2:2" ht="18">
      <c r="B1210" s="243"/>
    </row>
    <row r="1211" spans="2:2" ht="18">
      <c r="B1211" s="243"/>
    </row>
    <row r="1212" spans="2:2" ht="18">
      <c r="B1212" s="243"/>
    </row>
    <row r="1213" spans="2:2" ht="18">
      <c r="B1213" s="243"/>
    </row>
    <row r="1214" spans="2:2" ht="18">
      <c r="B1214" s="243"/>
    </row>
    <row r="1215" spans="2:2" ht="18">
      <c r="B1215" s="243"/>
    </row>
    <row r="1216" spans="2:2" ht="18">
      <c r="B1216" s="243"/>
    </row>
    <row r="1217" spans="2:2" ht="18">
      <c r="B1217" s="252"/>
    </row>
    <row r="1218" spans="2:2" ht="18">
      <c r="B1218" s="243"/>
    </row>
    <row r="1219" spans="2:2" ht="18">
      <c r="B1219" s="243"/>
    </row>
    <row r="1220" spans="2:2" ht="18">
      <c r="B1220" s="243"/>
    </row>
    <row r="1221" spans="2:2" ht="18">
      <c r="B1221" s="243"/>
    </row>
    <row r="1222" spans="2:2" ht="18">
      <c r="B1222" s="243"/>
    </row>
    <row r="1223" spans="2:2" ht="18">
      <c r="B1223" s="252"/>
    </row>
    <row r="1224" spans="2:2" ht="18">
      <c r="B1224" s="252"/>
    </row>
    <row r="1225" spans="2:2" ht="18">
      <c r="B1225" s="252"/>
    </row>
    <row r="1226" spans="2:2" ht="18">
      <c r="B1226" s="252"/>
    </row>
    <row r="1227" spans="2:2" ht="18">
      <c r="B1227" s="252"/>
    </row>
    <row r="1228" spans="2:2">
      <c r="B1228"/>
    </row>
    <row r="1229" spans="2:2" ht="18">
      <c r="B1229" s="252"/>
    </row>
    <row r="1230" spans="2:2" ht="18">
      <c r="B1230" s="252"/>
    </row>
    <row r="1231" spans="2:2" ht="18">
      <c r="B1231" s="252"/>
    </row>
    <row r="1232" spans="2:2" ht="18">
      <c r="B1232" s="252"/>
    </row>
    <row r="1233" spans="2:2" ht="18">
      <c r="B1233" s="252"/>
    </row>
    <row r="1234" spans="2:2" ht="18">
      <c r="B1234" s="252"/>
    </row>
    <row r="1235" spans="2:2" ht="18">
      <c r="B1235" s="252"/>
    </row>
    <row r="1236" spans="2:2" ht="18">
      <c r="B1236" s="252"/>
    </row>
    <row r="1237" spans="2:2" ht="18">
      <c r="B1237" s="252"/>
    </row>
    <row r="1238" spans="2:2" ht="18">
      <c r="B1238" s="252"/>
    </row>
    <row r="1239" spans="2:2" ht="18">
      <c r="B1239" s="252"/>
    </row>
    <row r="1240" spans="2:2" ht="18">
      <c r="B1240" s="252"/>
    </row>
    <row r="1241" spans="2:2" ht="18">
      <c r="B1241" s="252"/>
    </row>
    <row r="1242" spans="2:2" ht="18">
      <c r="B1242" s="252"/>
    </row>
    <row r="1243" spans="2:2" ht="18">
      <c r="B1243" s="252"/>
    </row>
    <row r="1244" spans="2:2" ht="18">
      <c r="B1244" s="252"/>
    </row>
    <row r="1245" spans="2:2" ht="18">
      <c r="B1245" s="252"/>
    </row>
    <row r="1246" spans="2:2" ht="18">
      <c r="B1246" s="252"/>
    </row>
    <row r="1247" spans="2:2" ht="18">
      <c r="B1247" s="252"/>
    </row>
    <row r="1248" spans="2:2" ht="18">
      <c r="B1248" s="252"/>
    </row>
    <row r="1249" spans="2:2" ht="18">
      <c r="B1249" s="252"/>
    </row>
    <row r="1250" spans="2:2" ht="18">
      <c r="B1250" s="252"/>
    </row>
    <row r="1251" spans="2:2" ht="18">
      <c r="B1251" s="252"/>
    </row>
    <row r="1252" spans="2:2" ht="18">
      <c r="B1252" s="252"/>
    </row>
    <row r="1253" spans="2:2" ht="18">
      <c r="B1253" s="252"/>
    </row>
    <row r="1254" spans="2:2" ht="18">
      <c r="B1254" s="252"/>
    </row>
    <row r="1255" spans="2:2" ht="18">
      <c r="B1255" s="252"/>
    </row>
    <row r="1256" spans="2:2" ht="18">
      <c r="B1256" s="252"/>
    </row>
    <row r="1257" spans="2:2" ht="18">
      <c r="B1257" s="252"/>
    </row>
    <row r="1258" spans="2:2" ht="18">
      <c r="B1258" s="252"/>
    </row>
    <row r="1259" spans="2:2" ht="18">
      <c r="B1259" s="252"/>
    </row>
    <row r="1260" spans="2:2" ht="18">
      <c r="B1260" s="252"/>
    </row>
    <row r="1261" spans="2:2" ht="18">
      <c r="B1261" s="252"/>
    </row>
    <row r="1262" spans="2:2" ht="18">
      <c r="B1262" s="252"/>
    </row>
    <row r="1263" spans="2:2" ht="18">
      <c r="B1263" s="252"/>
    </row>
    <row r="1264" spans="2:2" ht="18">
      <c r="B1264" s="252"/>
    </row>
    <row r="1265" spans="2:2" ht="18">
      <c r="B1265" s="252"/>
    </row>
    <row r="1266" spans="2:2" ht="18">
      <c r="B1266" s="252"/>
    </row>
    <row r="1267" spans="2:2" ht="18">
      <c r="B1267" s="252"/>
    </row>
    <row r="1268" spans="2:2" ht="18">
      <c r="B1268" s="252"/>
    </row>
    <row r="1269" spans="2:2" ht="18">
      <c r="B1269" s="252"/>
    </row>
    <row r="1270" spans="2:2" ht="18">
      <c r="B1270" s="252"/>
    </row>
    <row r="1271" spans="2:2" ht="18">
      <c r="B1271" s="252"/>
    </row>
    <row r="1272" spans="2:2" ht="18">
      <c r="B1272" s="252"/>
    </row>
    <row r="1273" spans="2:2" ht="18">
      <c r="B1273" s="252"/>
    </row>
    <row r="1274" spans="2:2" ht="18">
      <c r="B1274" s="252"/>
    </row>
    <row r="1275" spans="2:2" ht="18">
      <c r="B1275" s="252"/>
    </row>
    <row r="1276" spans="2:2" ht="18">
      <c r="B1276" s="252"/>
    </row>
    <row r="1277" spans="2:2" ht="18">
      <c r="B1277" s="252"/>
    </row>
    <row r="1278" spans="2:2" ht="18">
      <c r="B1278" s="243"/>
    </row>
    <row r="1279" spans="2:2" ht="18">
      <c r="B1279" s="243"/>
    </row>
    <row r="1280" spans="2:2" ht="18">
      <c r="B1280" s="243"/>
    </row>
    <row r="1281" spans="2:2" ht="18">
      <c r="B1281" s="243"/>
    </row>
    <row r="1282" spans="2:2" ht="18">
      <c r="B1282" s="243"/>
    </row>
    <row r="1283" spans="2:2" ht="18">
      <c r="B1283" s="243"/>
    </row>
    <row r="1284" spans="2:2" ht="18">
      <c r="B1284" s="243"/>
    </row>
    <row r="1285" spans="2:2">
      <c r="B1285" s="2506"/>
    </row>
    <row r="1286" spans="2:2" ht="18">
      <c r="B1286" s="243"/>
    </row>
    <row r="1287" spans="2:2" ht="18">
      <c r="B1287" s="243"/>
    </row>
    <row r="1288" spans="2:2" ht="18">
      <c r="B1288" s="243"/>
    </row>
    <row r="1289" spans="2:2" ht="18">
      <c r="B1289" s="243"/>
    </row>
    <row r="1290" spans="2:2">
      <c r="B1290" s="2522"/>
    </row>
    <row r="1291" spans="2:2">
      <c r="B1291" s="2522"/>
    </row>
    <row r="1292" spans="2:2">
      <c r="B1292" s="2522"/>
    </row>
    <row r="1293" spans="2:2">
      <c r="B1293" s="2522"/>
    </row>
    <row r="1294" spans="2:2">
      <c r="B1294" s="2522"/>
    </row>
    <row r="1295" spans="2:2">
      <c r="B1295" s="2522"/>
    </row>
    <row r="1296" spans="2:2">
      <c r="B1296" s="2522"/>
    </row>
    <row r="1297" spans="2:2">
      <c r="B1297" s="249"/>
    </row>
    <row r="1298" spans="2:2">
      <c r="B1298" s="249"/>
    </row>
    <row r="1299" spans="2:2">
      <c r="B1299" s="249"/>
    </row>
    <row r="1300" spans="2:2">
      <c r="B1300" s="249"/>
    </row>
    <row r="1301" spans="2:2">
      <c r="B1301" s="249"/>
    </row>
    <row r="1302" spans="2:2">
      <c r="B1302" s="249"/>
    </row>
    <row r="1303" spans="2:2">
      <c r="B1303" s="249"/>
    </row>
    <row r="1304" spans="2:2">
      <c r="B1304" s="249"/>
    </row>
    <row r="1305" spans="2:2">
      <c r="B1305" s="249"/>
    </row>
    <row r="1306" spans="2:2">
      <c r="B1306" s="249"/>
    </row>
    <row r="1307" spans="2:2">
      <c r="B1307" s="249"/>
    </row>
    <row r="1308" spans="2:2">
      <c r="B1308" s="249"/>
    </row>
    <row r="1309" spans="2:2">
      <c r="B1309" s="249"/>
    </row>
    <row r="1310" spans="2:2">
      <c r="B1310" s="249"/>
    </row>
    <row r="1311" spans="2:2" ht="18">
      <c r="B1311" s="252"/>
    </row>
    <row r="1312" spans="2:2" ht="18">
      <c r="B1312" s="252"/>
    </row>
    <row r="1313" spans="2:2" ht="18">
      <c r="B1313" s="252"/>
    </row>
    <row r="1314" spans="2:2" ht="18">
      <c r="B1314" s="252"/>
    </row>
    <row r="1315" spans="2:2">
      <c r="B1315" s="1002"/>
    </row>
    <row r="1316" spans="2:2">
      <c r="B1316" s="1002"/>
    </row>
    <row r="1317" spans="2:2">
      <c r="B1317" s="1002"/>
    </row>
    <row r="1318" spans="2:2">
      <c r="B1318" s="1002"/>
    </row>
    <row r="1319" spans="2:2">
      <c r="B1319" s="1002"/>
    </row>
    <row r="1320" spans="2:2">
      <c r="B1320" s="1002"/>
    </row>
    <row r="1321" spans="2:2">
      <c r="B1321" s="1002"/>
    </row>
    <row r="1322" spans="2:2">
      <c r="B1322" s="1002"/>
    </row>
    <row r="1323" spans="2:2">
      <c r="B1323" s="1002"/>
    </row>
    <row r="1324" spans="2:2">
      <c r="B1324" s="1002"/>
    </row>
    <row r="1325" spans="2:2">
      <c r="B1325" s="1002"/>
    </row>
    <row r="1326" spans="2:2">
      <c r="B1326" s="1002"/>
    </row>
    <row r="1327" spans="2:2">
      <c r="B1327" s="1002"/>
    </row>
    <row r="1328" spans="2:2">
      <c r="B1328" s="1002"/>
    </row>
    <row r="1329" spans="2:2">
      <c r="B1329" s="1002"/>
    </row>
    <row r="1330" spans="2:2">
      <c r="B1330" s="1002"/>
    </row>
    <row r="1331" spans="2:2">
      <c r="B1331" s="1002"/>
    </row>
    <row r="1332" spans="2:2">
      <c r="B1332" s="1002"/>
    </row>
    <row r="1333" spans="2:2">
      <c r="B1333" s="1002"/>
    </row>
    <row r="1334" spans="2:2">
      <c r="B1334" s="1002"/>
    </row>
    <row r="1335" spans="2:2">
      <c r="B1335" s="1002"/>
    </row>
    <row r="1336" spans="2:2">
      <c r="B1336" s="1002"/>
    </row>
    <row r="1337" spans="2:2" ht="18">
      <c r="B1337" s="252"/>
    </row>
    <row r="1338" spans="2:2" ht="18">
      <c r="B1338" s="252"/>
    </row>
    <row r="1339" spans="2:2" ht="18">
      <c r="B1339" s="252"/>
    </row>
    <row r="1340" spans="2:2" ht="18">
      <c r="B1340" s="252"/>
    </row>
    <row r="1341" spans="2:2">
      <c r="B1341" s="1002"/>
    </row>
    <row r="1342" spans="2:2" ht="18">
      <c r="B1342" s="252"/>
    </row>
    <row r="1343" spans="2:2" ht="18">
      <c r="B1343" s="252"/>
    </row>
    <row r="1344" spans="2:2" ht="18">
      <c r="B1344" s="252"/>
    </row>
    <row r="1345" spans="2:2" ht="18">
      <c r="B1345" s="252"/>
    </row>
    <row r="1346" spans="2:2" ht="18">
      <c r="B1346" s="252"/>
    </row>
    <row r="1347" spans="2:2" ht="18">
      <c r="B1347" s="252"/>
    </row>
    <row r="1348" spans="2:2" ht="18">
      <c r="B1348" s="252"/>
    </row>
    <row r="1349" spans="2:2" ht="18">
      <c r="B1349" s="252"/>
    </row>
    <row r="1350" spans="2:2" ht="18">
      <c r="B1350" s="252"/>
    </row>
    <row r="1351" spans="2:2" ht="18">
      <c r="B1351" s="252"/>
    </row>
    <row r="1352" spans="2:2" ht="18">
      <c r="B1352" s="252"/>
    </row>
    <row r="1353" spans="2:2" ht="18">
      <c r="B1353" s="252"/>
    </row>
    <row r="1354" spans="2:2" ht="18">
      <c r="B1354" s="252"/>
    </row>
    <row r="1355" spans="2:2" ht="18">
      <c r="B1355" s="252"/>
    </row>
    <row r="1356" spans="2:2" ht="18">
      <c r="B1356" s="252"/>
    </row>
    <row r="1357" spans="2:2" ht="18">
      <c r="B1357" s="252"/>
    </row>
    <row r="1358" spans="2:2" ht="18">
      <c r="B1358" s="252"/>
    </row>
    <row r="1359" spans="2:2" ht="18">
      <c r="B1359" s="252"/>
    </row>
    <row r="1360" spans="2:2" ht="18">
      <c r="B1360" s="252"/>
    </row>
    <row r="1361" spans="2:2" ht="18">
      <c r="B1361" s="252"/>
    </row>
    <row r="1362" spans="2:2" ht="18">
      <c r="B1362" s="252"/>
    </row>
    <row r="1363" spans="2:2" ht="18">
      <c r="B1363" s="252"/>
    </row>
    <row r="1364" spans="2:2" ht="18">
      <c r="B1364" s="252"/>
    </row>
    <row r="1365" spans="2:2" ht="18">
      <c r="B1365" s="252"/>
    </row>
    <row r="1366" spans="2:2" ht="18">
      <c r="B1366" s="252"/>
    </row>
    <row r="1367" spans="2:2">
      <c r="B1367" s="1002"/>
    </row>
    <row r="1368" spans="2:2" ht="18">
      <c r="B1368" s="252"/>
    </row>
    <row r="1369" spans="2:2" ht="18">
      <c r="B1369" s="252"/>
    </row>
    <row r="1370" spans="2:2">
      <c r="B1370"/>
    </row>
    <row r="1371" spans="2:2">
      <c r="B1371"/>
    </row>
    <row r="1372" spans="2:2">
      <c r="B1372"/>
    </row>
    <row r="1373" spans="2:2">
      <c r="B1373"/>
    </row>
    <row r="1374" spans="2:2">
      <c r="B1374"/>
    </row>
    <row r="1375" spans="2:2">
      <c r="B1375" s="2506"/>
    </row>
    <row r="1376" spans="2:2">
      <c r="B1376" s="2506"/>
    </row>
    <row r="1377" spans="2:2">
      <c r="B1377" s="2506"/>
    </row>
    <row r="1378" spans="2:2">
      <c r="B1378" s="2506"/>
    </row>
    <row r="1379" spans="2:2">
      <c r="B1379"/>
    </row>
    <row r="1380" spans="2:2">
      <c r="B1380" s="2506"/>
    </row>
    <row r="1381" spans="2:2">
      <c r="B1381" s="2506"/>
    </row>
    <row r="1382" spans="2:2">
      <c r="B1382"/>
    </row>
    <row r="1383" spans="2:2">
      <c r="B1383"/>
    </row>
    <row r="1384" spans="2:2">
      <c r="B1384"/>
    </row>
    <row r="1385" spans="2:2">
      <c r="B1385"/>
    </row>
    <row r="1386" spans="2:2">
      <c r="B1386"/>
    </row>
    <row r="1387" spans="2:2">
      <c r="B1387"/>
    </row>
    <row r="1388" spans="2:2">
      <c r="B1388"/>
    </row>
    <row r="1389" spans="2:2">
      <c r="B1389"/>
    </row>
    <row r="1390" spans="2:2">
      <c r="B1390"/>
    </row>
    <row r="1391" spans="2:2">
      <c r="B1391"/>
    </row>
    <row r="1392" spans="2:2">
      <c r="B1392"/>
    </row>
    <row r="1393" spans="2:2">
      <c r="B1393"/>
    </row>
    <row r="1394" spans="2:2">
      <c r="B1394"/>
    </row>
    <row r="1395" spans="2:2">
      <c r="B1395"/>
    </row>
    <row r="1396" spans="2:2">
      <c r="B1396"/>
    </row>
    <row r="1397" spans="2:2">
      <c r="B1397"/>
    </row>
    <row r="1398" spans="2:2">
      <c r="B1398"/>
    </row>
    <row r="1399" spans="2:2">
      <c r="B1399"/>
    </row>
    <row r="1400" spans="2:2">
      <c r="B1400"/>
    </row>
    <row r="1401" spans="2:2">
      <c r="B1401"/>
    </row>
    <row r="1402" spans="2:2">
      <c r="B1402"/>
    </row>
    <row r="1403" spans="2:2">
      <c r="B1403" s="2506"/>
    </row>
    <row r="1404" spans="2:2">
      <c r="B1404" s="2506"/>
    </row>
    <row r="1405" spans="2:2">
      <c r="B1405"/>
    </row>
    <row r="1406" spans="2:2">
      <c r="B1406" s="2506"/>
    </row>
    <row r="1407" spans="2:2">
      <c r="B1407" s="2506"/>
    </row>
    <row r="1408" spans="2:2">
      <c r="B1408"/>
    </row>
    <row r="1409" spans="2:2">
      <c r="B1409"/>
    </row>
    <row r="1410" spans="2:2">
      <c r="B1410"/>
    </row>
    <row r="1411" spans="2:2">
      <c r="B1411"/>
    </row>
    <row r="1412" spans="2:2">
      <c r="B1412"/>
    </row>
    <row r="1413" spans="2:2">
      <c r="B1413"/>
    </row>
    <row r="1414" spans="2:2">
      <c r="B1414"/>
    </row>
    <row r="1415" spans="2:2">
      <c r="B1415"/>
    </row>
    <row r="1416" spans="2:2">
      <c r="B1416"/>
    </row>
    <row r="1417" spans="2:2">
      <c r="B1417"/>
    </row>
    <row r="1418" spans="2:2">
      <c r="B1418"/>
    </row>
    <row r="1419" spans="2:2">
      <c r="B1419"/>
    </row>
    <row r="1420" spans="2:2">
      <c r="B1420"/>
    </row>
    <row r="1421" spans="2:2">
      <c r="B1421"/>
    </row>
    <row r="1422" spans="2:2">
      <c r="B1422"/>
    </row>
    <row r="1423" spans="2:2">
      <c r="B1423"/>
    </row>
    <row r="1424" spans="2:2">
      <c r="B1424"/>
    </row>
    <row r="1425" spans="2:2">
      <c r="B1425"/>
    </row>
    <row r="1426" spans="2:2">
      <c r="B1426"/>
    </row>
    <row r="1427" spans="2:2">
      <c r="B1427"/>
    </row>
    <row r="1428" spans="2:2">
      <c r="B1428"/>
    </row>
    <row r="1429" spans="2:2">
      <c r="B1429" s="2506"/>
    </row>
    <row r="1430" spans="2:2">
      <c r="B1430" s="2506"/>
    </row>
    <row r="1431" spans="2:2">
      <c r="B1431"/>
    </row>
    <row r="1432" spans="2:2">
      <c r="B1432"/>
    </row>
    <row r="1433" spans="2:2">
      <c r="B1433"/>
    </row>
    <row r="1434" spans="2:2">
      <c r="B1434"/>
    </row>
    <row r="1435" spans="2:2">
      <c r="B1435"/>
    </row>
    <row r="1436" spans="2:2">
      <c r="B1436"/>
    </row>
    <row r="1437" spans="2:2">
      <c r="B1437"/>
    </row>
    <row r="1438" spans="2:2">
      <c r="B1438"/>
    </row>
    <row r="1439" spans="2:2">
      <c r="B1439"/>
    </row>
    <row r="1440" spans="2:2">
      <c r="B1440"/>
    </row>
    <row r="1441" spans="2:2" ht="18">
      <c r="B1441" s="252"/>
    </row>
    <row r="1442" spans="2:2" ht="18">
      <c r="B1442" s="252"/>
    </row>
    <row r="1443" spans="2:2" ht="18">
      <c r="B1443" s="252"/>
    </row>
    <row r="1444" spans="2:2">
      <c r="B1444"/>
    </row>
    <row r="1445" spans="2:2">
      <c r="B1445"/>
    </row>
    <row r="1446" spans="2:2">
      <c r="B1446"/>
    </row>
    <row r="1447" spans="2:2">
      <c r="B1447"/>
    </row>
    <row r="1448" spans="2:2">
      <c r="B1448"/>
    </row>
    <row r="1449" spans="2:2">
      <c r="B1449"/>
    </row>
    <row r="1450" spans="2:2">
      <c r="B1450"/>
    </row>
    <row r="1451" spans="2:2">
      <c r="B1451"/>
    </row>
    <row r="1452" spans="2:2">
      <c r="B1452"/>
    </row>
    <row r="1453" spans="2:2">
      <c r="B1453"/>
    </row>
    <row r="1454" spans="2:2">
      <c r="B1454"/>
    </row>
    <row r="1455" spans="2:2">
      <c r="B1455"/>
    </row>
    <row r="1456" spans="2:2">
      <c r="B1456" s="2506"/>
    </row>
    <row r="1457" spans="2:2">
      <c r="B1457"/>
    </row>
    <row r="1458" spans="2:2">
      <c r="B1458"/>
    </row>
    <row r="1459" spans="2:2">
      <c r="B1459"/>
    </row>
    <row r="1460" spans="2:2">
      <c r="B1460"/>
    </row>
    <row r="1461" spans="2:2">
      <c r="B1461"/>
    </row>
    <row r="1462" spans="2:2">
      <c r="B1462"/>
    </row>
    <row r="1463" spans="2:2" ht="18">
      <c r="B1463" s="252"/>
    </row>
    <row r="1464" spans="2:2" ht="18">
      <c r="B1464" s="252"/>
    </row>
    <row r="1465" spans="2:2" ht="18">
      <c r="B1465" s="252"/>
    </row>
    <row r="1466" spans="2:2" ht="18">
      <c r="B1466" s="252"/>
    </row>
    <row r="1467" spans="2:2" ht="18">
      <c r="B1467" s="252"/>
    </row>
    <row r="1468" spans="2:2">
      <c r="B1468"/>
    </row>
    <row r="1469" spans="2:2">
      <c r="B1469"/>
    </row>
    <row r="1470" spans="2:2">
      <c r="B1470"/>
    </row>
    <row r="1471" spans="2:2">
      <c r="B1471"/>
    </row>
    <row r="1472" spans="2:2">
      <c r="B1472"/>
    </row>
    <row r="1473" spans="2:2">
      <c r="B1473"/>
    </row>
    <row r="1474" spans="2:2">
      <c r="B1474"/>
    </row>
    <row r="1475" spans="2:2">
      <c r="B1475"/>
    </row>
    <row r="1476" spans="2:2">
      <c r="B1476"/>
    </row>
    <row r="1477" spans="2:2">
      <c r="B1477"/>
    </row>
    <row r="1478" spans="2:2">
      <c r="B1478"/>
    </row>
    <row r="1479" spans="2:2">
      <c r="B1479" s="2506"/>
    </row>
    <row r="1480" spans="2:2" ht="15" thickBot="1">
      <c r="B1480"/>
    </row>
    <row r="1481" spans="2:2" ht="15" thickBot="1">
      <c r="B1481" s="2524"/>
    </row>
    <row r="1482" spans="2:2">
      <c r="B1482"/>
    </row>
    <row r="1483" spans="2:2">
      <c r="B1483"/>
    </row>
    <row r="1484" spans="2:2">
      <c r="B1484"/>
    </row>
    <row r="1485" spans="2:2">
      <c r="B1485"/>
    </row>
    <row r="1486" spans="2:2">
      <c r="B1486"/>
    </row>
    <row r="1487" spans="2:2" ht="18">
      <c r="B1487" s="252"/>
    </row>
    <row r="1488" spans="2:2">
      <c r="B1488"/>
    </row>
    <row r="1489" spans="2:2">
      <c r="B1489"/>
    </row>
    <row r="1490" spans="2:2">
      <c r="B1490"/>
    </row>
    <row r="1491" spans="2:2">
      <c r="B1491"/>
    </row>
    <row r="1492" spans="2:2">
      <c r="B1492"/>
    </row>
    <row r="1493" spans="2:2">
      <c r="B1493"/>
    </row>
    <row r="1494" spans="2:2">
      <c r="B1494"/>
    </row>
    <row r="1495" spans="2:2">
      <c r="B1495"/>
    </row>
    <row r="1496" spans="2:2">
      <c r="B1496"/>
    </row>
    <row r="1497" spans="2:2">
      <c r="B1497"/>
    </row>
    <row r="1498" spans="2:2">
      <c r="B1498"/>
    </row>
    <row r="1499" spans="2:2">
      <c r="B1499"/>
    </row>
    <row r="1500" spans="2:2">
      <c r="B1500"/>
    </row>
    <row r="1501" spans="2:2">
      <c r="B1501"/>
    </row>
    <row r="1502" spans="2:2">
      <c r="B1502"/>
    </row>
    <row r="1503" spans="2:2">
      <c r="B1503"/>
    </row>
    <row r="1504" spans="2:2">
      <c r="B1504"/>
    </row>
    <row r="1505" spans="2:2">
      <c r="B1505" s="2506"/>
    </row>
    <row r="1506" spans="2:2">
      <c r="B1506" s="2506"/>
    </row>
    <row r="1507" spans="2:2">
      <c r="B1507" s="2506"/>
    </row>
    <row r="1508" spans="2:2">
      <c r="B1508" s="2506"/>
    </row>
    <row r="1509" spans="2:2" ht="18">
      <c r="B1509" s="252"/>
    </row>
    <row r="1510" spans="2:2">
      <c r="B1510" s="2506"/>
    </row>
    <row r="1511" spans="2:2">
      <c r="B1511" s="2506"/>
    </row>
    <row r="1512" spans="2:2">
      <c r="B1512"/>
    </row>
    <row r="1513" spans="2:2">
      <c r="B1513"/>
    </row>
    <row r="1514" spans="2:2">
      <c r="B1514"/>
    </row>
    <row r="1515" spans="2:2">
      <c r="B1515"/>
    </row>
    <row r="1516" spans="2:2">
      <c r="B1516"/>
    </row>
    <row r="1517" spans="2:2">
      <c r="B1517"/>
    </row>
    <row r="1518" spans="2:2">
      <c r="B1518"/>
    </row>
    <row r="1519" spans="2:2">
      <c r="B1519"/>
    </row>
    <row r="1520" spans="2:2">
      <c r="B1520"/>
    </row>
    <row r="1521" spans="2:2">
      <c r="B1521"/>
    </row>
    <row r="1522" spans="2:2">
      <c r="B1522"/>
    </row>
    <row r="1523" spans="2:2">
      <c r="B1523"/>
    </row>
    <row r="1524" spans="2:2">
      <c r="B1524"/>
    </row>
    <row r="1525" spans="2:2">
      <c r="B1525"/>
    </row>
    <row r="1526" spans="2:2">
      <c r="B1526"/>
    </row>
    <row r="1527" spans="2:2">
      <c r="B1527"/>
    </row>
    <row r="1528" spans="2:2">
      <c r="B1528"/>
    </row>
    <row r="1529" spans="2:2" ht="18">
      <c r="B1529" s="393"/>
    </row>
    <row r="1530" spans="2:2">
      <c r="B1530"/>
    </row>
    <row r="1531" spans="2:2">
      <c r="B1531"/>
    </row>
    <row r="1532" spans="2:2">
      <c r="B1532"/>
    </row>
    <row r="1533" spans="2:2">
      <c r="B1533"/>
    </row>
    <row r="1534" spans="2:2">
      <c r="B1534"/>
    </row>
    <row r="1535" spans="2:2">
      <c r="B1535" s="2506"/>
    </row>
    <row r="1536" spans="2:2">
      <c r="B1536" s="2506"/>
    </row>
    <row r="1537" spans="2:2">
      <c r="B1537"/>
    </row>
    <row r="1538" spans="2:2">
      <c r="B1538"/>
    </row>
    <row r="1539" spans="2:2">
      <c r="B1539"/>
    </row>
    <row r="1540" spans="2:2">
      <c r="B1540"/>
    </row>
    <row r="1541" spans="2:2">
      <c r="B1541"/>
    </row>
    <row r="1542" spans="2:2">
      <c r="B1542"/>
    </row>
    <row r="1543" spans="2:2">
      <c r="B1543"/>
    </row>
    <row r="1544" spans="2:2">
      <c r="B1544"/>
    </row>
    <row r="1545" spans="2:2">
      <c r="B1545"/>
    </row>
    <row r="1546" spans="2:2">
      <c r="B1546"/>
    </row>
    <row r="1547" spans="2:2">
      <c r="B1547"/>
    </row>
    <row r="1548" spans="2:2">
      <c r="B1548"/>
    </row>
    <row r="1549" spans="2:2">
      <c r="B1549"/>
    </row>
    <row r="1550" spans="2:2">
      <c r="B1550"/>
    </row>
    <row r="1551" spans="2:2" ht="18">
      <c r="B1551" s="252"/>
    </row>
    <row r="1552" spans="2:2" ht="18">
      <c r="B1552" s="252"/>
    </row>
    <row r="1553" spans="2:2" ht="18">
      <c r="B1553" s="252"/>
    </row>
    <row r="1554" spans="2:2" ht="18">
      <c r="B1554" s="252"/>
    </row>
    <row r="1555" spans="2:2" ht="18">
      <c r="B1555" s="252"/>
    </row>
    <row r="1556" spans="2:2">
      <c r="B1556"/>
    </row>
    <row r="1557" spans="2:2">
      <c r="B1557" s="2506"/>
    </row>
    <row r="1558" spans="2:2">
      <c r="B1558" s="2506"/>
    </row>
    <row r="1559" spans="2:2">
      <c r="B1559"/>
    </row>
    <row r="1560" spans="2:2">
      <c r="B1560"/>
    </row>
    <row r="1561" spans="2:2">
      <c r="B1561"/>
    </row>
    <row r="1562" spans="2:2">
      <c r="B1562" s="2506"/>
    </row>
    <row r="1563" spans="2:2">
      <c r="B1563"/>
    </row>
    <row r="1564" spans="2:2">
      <c r="B1564"/>
    </row>
    <row r="1565" spans="2:2">
      <c r="B1565"/>
    </row>
    <row r="1566" spans="2:2">
      <c r="B1566"/>
    </row>
    <row r="1567" spans="2:2">
      <c r="B1567"/>
    </row>
    <row r="1568" spans="2:2">
      <c r="B1568"/>
    </row>
    <row r="1569" spans="2:2">
      <c r="B1569"/>
    </row>
    <row r="1570" spans="2:2">
      <c r="B1570"/>
    </row>
    <row r="1571" spans="2:2">
      <c r="B1571"/>
    </row>
    <row r="1572" spans="2:2">
      <c r="B1572"/>
    </row>
    <row r="1573" spans="2:2">
      <c r="B1573"/>
    </row>
    <row r="1574" spans="2:2">
      <c r="B1574"/>
    </row>
    <row r="1575" spans="2:2" ht="18">
      <c r="B1575" s="252"/>
    </row>
    <row r="1576" spans="2:2" ht="18">
      <c r="B1576" s="991"/>
    </row>
    <row r="1577" spans="2:2" ht="18">
      <c r="B1577" s="991"/>
    </row>
    <row r="1578" spans="2:2" ht="18">
      <c r="B1578" s="252"/>
    </row>
    <row r="1579" spans="2:2">
      <c r="B1579"/>
    </row>
    <row r="1580" spans="2:2">
      <c r="B1580"/>
    </row>
    <row r="1581" spans="2:2">
      <c r="B1581"/>
    </row>
    <row r="1582" spans="2:2">
      <c r="B1582"/>
    </row>
    <row r="1583" spans="2:2">
      <c r="B1583" s="2506"/>
    </row>
    <row r="1584" spans="2:2">
      <c r="B1584" s="2506"/>
    </row>
    <row r="1585" spans="2:2">
      <c r="B1585"/>
    </row>
    <row r="1586" spans="2:2">
      <c r="B1586"/>
    </row>
    <row r="1587" spans="2:2">
      <c r="B1587"/>
    </row>
    <row r="1588" spans="2:2">
      <c r="B1588"/>
    </row>
    <row r="1589" spans="2:2">
      <c r="B1589"/>
    </row>
    <row r="1590" spans="2:2">
      <c r="B1590"/>
    </row>
    <row r="1591" spans="2:2">
      <c r="B1591"/>
    </row>
    <row r="1592" spans="2:2">
      <c r="B1592"/>
    </row>
    <row r="1593" spans="2:2">
      <c r="B1593"/>
    </row>
    <row r="1594" spans="2:2">
      <c r="B1594"/>
    </row>
    <row r="1595" spans="2:2">
      <c r="B1595"/>
    </row>
    <row r="1596" spans="2:2">
      <c r="B1596"/>
    </row>
    <row r="1597" spans="2:2">
      <c r="B1597"/>
    </row>
    <row r="1598" spans="2:2" ht="18">
      <c r="B1598" s="252"/>
    </row>
    <row r="1599" spans="2:2">
      <c r="B1599"/>
    </row>
    <row r="1600" spans="2:2">
      <c r="B1600"/>
    </row>
    <row r="1601" spans="2:2" ht="18">
      <c r="B1601" s="252"/>
    </row>
    <row r="1602" spans="2:2">
      <c r="B1602"/>
    </row>
    <row r="1603" spans="2:2">
      <c r="B1603"/>
    </row>
    <row r="1604" spans="2:2">
      <c r="B1604"/>
    </row>
    <row r="1605" spans="2:2">
      <c r="B1605"/>
    </row>
    <row r="1606" spans="2:2">
      <c r="B1606"/>
    </row>
    <row r="1607" spans="2:2">
      <c r="B1607"/>
    </row>
    <row r="1608" spans="2:2">
      <c r="B1608"/>
    </row>
    <row r="1609" spans="2:2">
      <c r="B1609" s="2506"/>
    </row>
    <row r="1610" spans="2:2">
      <c r="B1610" s="2506"/>
    </row>
    <row r="1611" spans="2:2">
      <c r="B1611" s="2506"/>
    </row>
    <row r="1612" spans="2:2">
      <c r="B1612" s="2506"/>
    </row>
    <row r="1613" spans="2:2">
      <c r="B1613"/>
    </row>
    <row r="1614" spans="2:2">
      <c r="B1614"/>
    </row>
    <row r="1615" spans="2:2">
      <c r="B1615" s="2506"/>
    </row>
    <row r="1616" spans="2:2">
      <c r="B1616" s="2506"/>
    </row>
    <row r="1617" spans="2:2">
      <c r="B1617" s="2506"/>
    </row>
    <row r="1618" spans="2:2">
      <c r="B1618" s="2506"/>
    </row>
    <row r="1619" spans="2:2">
      <c r="B1619" s="2506"/>
    </row>
    <row r="1620" spans="2:2">
      <c r="B1620" s="2506"/>
    </row>
    <row r="1621" spans="2:2">
      <c r="B1621" s="2506"/>
    </row>
    <row r="1622" spans="2:2" ht="18">
      <c r="B1622" s="243"/>
    </row>
    <row r="1623" spans="2:2">
      <c r="B1623" s="2506"/>
    </row>
    <row r="1624" spans="2:2">
      <c r="B1624" s="2506"/>
    </row>
    <row r="1625" spans="2:2">
      <c r="B1625" s="2506"/>
    </row>
    <row r="1626" spans="2:2">
      <c r="B1626" s="2506"/>
    </row>
    <row r="1627" spans="2:2">
      <c r="B1627" s="2506"/>
    </row>
    <row r="1628" spans="2:2">
      <c r="B1628" s="2506"/>
    </row>
    <row r="1629" spans="2:2">
      <c r="B1629" s="2506"/>
    </row>
    <row r="1630" spans="2:2">
      <c r="B1630" s="2506"/>
    </row>
    <row r="1631" spans="2:2">
      <c r="B1631" s="2506"/>
    </row>
    <row r="1632" spans="2:2">
      <c r="B1632" s="2506"/>
    </row>
    <row r="1633" spans="2:2">
      <c r="B1633" s="2506"/>
    </row>
    <row r="1634" spans="2:2">
      <c r="B1634" s="2506"/>
    </row>
    <row r="1635" spans="2:2">
      <c r="B1635" s="2506"/>
    </row>
    <row r="1636" spans="2:2">
      <c r="B1636" s="2506"/>
    </row>
    <row r="1637" spans="2:2">
      <c r="B1637"/>
    </row>
    <row r="1638" spans="2:2">
      <c r="B1638"/>
    </row>
    <row r="1639" spans="2:2">
      <c r="B1639"/>
    </row>
    <row r="1640" spans="2:2">
      <c r="B1640" s="2506"/>
    </row>
    <row r="1641" spans="2:2">
      <c r="B1641" s="2506"/>
    </row>
    <row r="1642" spans="2:2">
      <c r="B1642" s="2506"/>
    </row>
    <row r="1643" spans="2:2">
      <c r="B1643" s="2506"/>
    </row>
    <row r="1644" spans="2:2">
      <c r="B1644" s="2506"/>
    </row>
    <row r="1645" spans="2:2">
      <c r="B1645" s="2506"/>
    </row>
    <row r="1646" spans="2:2" ht="18">
      <c r="B1646" s="243"/>
    </row>
    <row r="1647" spans="2:2">
      <c r="B1647" s="2525"/>
    </row>
    <row r="1648" spans="2:2">
      <c r="B1648" s="2506"/>
    </row>
    <row r="1649" spans="2:2">
      <c r="B1649" s="312"/>
    </row>
    <row r="1650" spans="2:2">
      <c r="B1650" s="312"/>
    </row>
    <row r="1651" spans="2:2">
      <c r="B1651" s="312"/>
    </row>
    <row r="1652" spans="2:2">
      <c r="B1652" s="312"/>
    </row>
    <row r="1653" spans="2:2">
      <c r="B1653" s="312"/>
    </row>
    <row r="1654" spans="2:2">
      <c r="B1654" s="312"/>
    </row>
    <row r="1655" spans="2:2">
      <c r="B1655" s="312"/>
    </row>
    <row r="1656" spans="2:2">
      <c r="B1656" s="312"/>
    </row>
    <row r="1657" spans="2:2">
      <c r="B1657" s="312"/>
    </row>
    <row r="1658" spans="2:2">
      <c r="B1658" s="312"/>
    </row>
    <row r="1659" spans="2:2">
      <c r="B1659" s="312"/>
    </row>
    <row r="1660" spans="2:2">
      <c r="B1660" s="312"/>
    </row>
    <row r="1661" spans="2:2">
      <c r="B1661" s="312"/>
    </row>
    <row r="1662" spans="2:2">
      <c r="B1662" s="129"/>
    </row>
    <row r="1663" spans="2:2">
      <c r="B1663" s="312"/>
    </row>
    <row r="1664" spans="2:2">
      <c r="B1664" s="312"/>
    </row>
    <row r="1665" spans="2:2">
      <c r="B1665" s="312"/>
    </row>
    <row r="1666" spans="2:2">
      <c r="B1666" s="129"/>
    </row>
    <row r="1667" spans="2:2">
      <c r="B1667" s="312"/>
    </row>
    <row r="1668" spans="2:2">
      <c r="B1668" s="312"/>
    </row>
    <row r="1669" spans="2:2" ht="18">
      <c r="B1669" s="243"/>
    </row>
    <row r="1670" spans="2:2">
      <c r="B1670" s="2506"/>
    </row>
    <row r="1671" spans="2:2">
      <c r="B1671" s="2506"/>
    </row>
    <row r="1672" spans="2:2">
      <c r="B1672" s="312"/>
    </row>
    <row r="1673" spans="2:2">
      <c r="B1673" s="312"/>
    </row>
    <row r="1674" spans="2:2">
      <c r="B1674" s="312"/>
    </row>
    <row r="1675" spans="2:2">
      <c r="B1675" s="312"/>
    </row>
    <row r="1676" spans="2:2">
      <c r="B1676" s="312"/>
    </row>
    <row r="1677" spans="2:2">
      <c r="B1677" s="312"/>
    </row>
    <row r="1678" spans="2:2">
      <c r="B1678" s="312"/>
    </row>
    <row r="1679" spans="2:2">
      <c r="B1679" s="312"/>
    </row>
    <row r="1680" spans="2:2">
      <c r="B1680" s="312"/>
    </row>
    <row r="1681" spans="2:2">
      <c r="B1681" s="312"/>
    </row>
    <row r="1682" spans="2:2">
      <c r="B1682" s="312"/>
    </row>
    <row r="1683" spans="2:2">
      <c r="B1683" s="312"/>
    </row>
    <row r="1684" spans="2:2">
      <c r="B1684" s="312"/>
    </row>
    <row r="1685" spans="2:2">
      <c r="B1685" s="312"/>
    </row>
    <row r="1686" spans="2:2">
      <c r="B1686" s="312"/>
    </row>
    <row r="1687" spans="2:2">
      <c r="B1687" s="312"/>
    </row>
    <row r="1688" spans="2:2">
      <c r="B1688" s="312"/>
    </row>
    <row r="1689" spans="2:2">
      <c r="B1689" s="312"/>
    </row>
    <row r="1690" spans="2:2">
      <c r="B1690" s="312"/>
    </row>
    <row r="1691" spans="2:2">
      <c r="B1691" s="129"/>
    </row>
    <row r="1692" spans="2:2">
      <c r="B1692"/>
    </row>
    <row r="1693" spans="2:2">
      <c r="B1693" s="129"/>
    </row>
    <row r="1694" spans="2:2">
      <c r="B1694" s="312"/>
    </row>
    <row r="1695" spans="2:2">
      <c r="B1695" s="312"/>
    </row>
    <row r="1696" spans="2:2">
      <c r="B1696" s="312"/>
    </row>
    <row r="1697" spans="2:2">
      <c r="B1697" s="312"/>
    </row>
    <row r="1698" spans="2:2">
      <c r="B1698" s="312"/>
    </row>
    <row r="1699" spans="2:2">
      <c r="B1699" s="312"/>
    </row>
    <row r="1700" spans="2:2">
      <c r="B1700" s="312"/>
    </row>
    <row r="1701" spans="2:2">
      <c r="B1701" s="312"/>
    </row>
    <row r="1702" spans="2:2">
      <c r="B1702" s="312"/>
    </row>
    <row r="1703" spans="2:2">
      <c r="B1703" s="312"/>
    </row>
    <row r="1704" spans="2:2">
      <c r="B1704" s="312"/>
    </row>
    <row r="1705" spans="2:2">
      <c r="B1705" s="312"/>
    </row>
    <row r="1706" spans="2:2">
      <c r="B1706" s="312"/>
    </row>
    <row r="1707" spans="2:2">
      <c r="B1707" s="312"/>
    </row>
    <row r="1708" spans="2:2">
      <c r="B1708" s="312"/>
    </row>
    <row r="1709" spans="2:2">
      <c r="B1709" s="312"/>
    </row>
    <row r="1710" spans="2:2">
      <c r="B1710" s="312"/>
    </row>
    <row r="1711" spans="2:2">
      <c r="B1711" s="312"/>
    </row>
    <row r="1712" spans="2:2">
      <c r="B1712" s="312"/>
    </row>
    <row r="1713" spans="2:2">
      <c r="B1713" s="312"/>
    </row>
    <row r="1714" spans="2:2">
      <c r="B1714" s="129"/>
    </row>
    <row r="1715" spans="2:2">
      <c r="B1715" s="129"/>
    </row>
    <row r="1716" spans="2:2">
      <c r="B1716" s="129"/>
    </row>
    <row r="1717" spans="2:2">
      <c r="B1717" s="129"/>
    </row>
    <row r="1718" spans="2:2">
      <c r="B1718" s="129"/>
    </row>
    <row r="1719" spans="2:2">
      <c r="B1719" s="129"/>
    </row>
    <row r="1720" spans="2:2">
      <c r="B1720" s="129"/>
    </row>
    <row r="1721" spans="2:2">
      <c r="B1721" s="129"/>
    </row>
    <row r="1722" spans="2:2">
      <c r="B1722" s="129"/>
    </row>
    <row r="1723" spans="2:2">
      <c r="B1723" s="129"/>
    </row>
    <row r="1724" spans="2:2">
      <c r="B1724" s="129"/>
    </row>
    <row r="1725" spans="2:2">
      <c r="B1725" s="129"/>
    </row>
    <row r="1726" spans="2:2">
      <c r="B1726" s="129"/>
    </row>
    <row r="1727" spans="2:2">
      <c r="B1727" s="129"/>
    </row>
    <row r="1728" spans="2:2">
      <c r="B1728" s="129"/>
    </row>
    <row r="1729" spans="2:2">
      <c r="B1729" s="129"/>
    </row>
    <row r="1730" spans="2:2">
      <c r="B1730" s="129"/>
    </row>
    <row r="1731" spans="2:2">
      <c r="B1731" s="129"/>
    </row>
    <row r="1732" spans="2:2">
      <c r="B1732" s="129"/>
    </row>
    <row r="1733" spans="2:2">
      <c r="B1733" s="129"/>
    </row>
    <row r="1734" spans="2:2">
      <c r="B1734" s="129"/>
    </row>
    <row r="1735" spans="2:2">
      <c r="B1735" s="129"/>
    </row>
    <row r="1736" spans="2:2">
      <c r="B1736" s="129"/>
    </row>
    <row r="1737" spans="2:2">
      <c r="B1737" s="129"/>
    </row>
    <row r="1738" spans="2:2">
      <c r="B1738" s="129"/>
    </row>
    <row r="1739" spans="2:2">
      <c r="B1739" s="2506"/>
    </row>
    <row r="1740" spans="2:2">
      <c r="B1740"/>
    </row>
    <row r="1741" spans="2:2">
      <c r="B1741"/>
    </row>
    <row r="1742" spans="2:2">
      <c r="B1742"/>
    </row>
    <row r="1743" spans="2:2">
      <c r="B1743"/>
    </row>
    <row r="1744" spans="2:2">
      <c r="B1744"/>
    </row>
    <row r="1745" spans="2:2">
      <c r="B1745"/>
    </row>
    <row r="1746" spans="2:2">
      <c r="B1746"/>
    </row>
    <row r="1747" spans="2:2">
      <c r="B1747"/>
    </row>
    <row r="1748" spans="2:2">
      <c r="B1748"/>
    </row>
    <row r="1749" spans="2:2">
      <c r="B1749"/>
    </row>
    <row r="1750" spans="2:2">
      <c r="B1750"/>
    </row>
    <row r="1751" spans="2:2">
      <c r="B1751"/>
    </row>
    <row r="1752" spans="2:2">
      <c r="B1752"/>
    </row>
    <row r="1753" spans="2:2">
      <c r="B1753"/>
    </row>
    <row r="1754" spans="2:2">
      <c r="B1754"/>
    </row>
    <row r="1755" spans="2:2">
      <c r="B1755"/>
    </row>
    <row r="1756" spans="2:2">
      <c r="B1756"/>
    </row>
    <row r="1757" spans="2:2">
      <c r="B1757"/>
    </row>
    <row r="1758" spans="2:2">
      <c r="B1758"/>
    </row>
    <row r="1759" spans="2:2">
      <c r="B1759"/>
    </row>
    <row r="1760" spans="2:2">
      <c r="B1760"/>
    </row>
    <row r="1761" spans="2:2">
      <c r="B1761"/>
    </row>
    <row r="1762" spans="2:2">
      <c r="B1762"/>
    </row>
    <row r="1763" spans="2:2">
      <c r="B1763"/>
    </row>
    <row r="1764" spans="2:2">
      <c r="B1764"/>
    </row>
    <row r="1765" spans="2:2">
      <c r="B1765"/>
    </row>
    <row r="1766" spans="2:2">
      <c r="B1766"/>
    </row>
    <row r="1767" spans="2:2">
      <c r="B1767"/>
    </row>
    <row r="1768" spans="2:2">
      <c r="B1768"/>
    </row>
    <row r="1769" spans="2:2">
      <c r="B1769"/>
    </row>
    <row r="1770" spans="2:2">
      <c r="B1770"/>
    </row>
    <row r="1771" spans="2:2">
      <c r="B1771"/>
    </row>
    <row r="1772" spans="2:2">
      <c r="B1772"/>
    </row>
    <row r="1773" spans="2:2">
      <c r="B1773"/>
    </row>
    <row r="1774" spans="2:2">
      <c r="B1774"/>
    </row>
    <row r="1775" spans="2:2">
      <c r="B1775"/>
    </row>
    <row r="1776" spans="2:2">
      <c r="B1776"/>
    </row>
    <row r="1777" spans="2:2">
      <c r="B1777"/>
    </row>
    <row r="1778" spans="2:2">
      <c r="B1778"/>
    </row>
    <row r="1779" spans="2:2">
      <c r="B1779"/>
    </row>
    <row r="1780" spans="2:2">
      <c r="B1780"/>
    </row>
    <row r="1781" spans="2:2">
      <c r="B1781"/>
    </row>
    <row r="1782" spans="2:2">
      <c r="B1782"/>
    </row>
    <row r="1783" spans="2:2">
      <c r="B1783"/>
    </row>
    <row r="1784" spans="2:2">
      <c r="B1784"/>
    </row>
    <row r="1785" spans="2:2">
      <c r="B1785"/>
    </row>
    <row r="1786" spans="2:2">
      <c r="B1786"/>
    </row>
    <row r="1787" spans="2:2" ht="18">
      <c r="B1787" s="252"/>
    </row>
    <row r="1788" spans="2:2" ht="18">
      <c r="B1788" s="252"/>
    </row>
    <row r="1789" spans="2:2" ht="18">
      <c r="B1789" s="252"/>
    </row>
    <row r="1790" spans="2:2" ht="18">
      <c r="B1790" s="252"/>
    </row>
    <row r="1791" spans="2:2">
      <c r="B1791" s="1002"/>
    </row>
    <row r="1792" spans="2:2">
      <c r="B1792"/>
    </row>
    <row r="1793" spans="2:2">
      <c r="B1793"/>
    </row>
    <row r="1794" spans="2:2">
      <c r="B1794"/>
    </row>
    <row r="1795" spans="2:2">
      <c r="B1795"/>
    </row>
    <row r="1796" spans="2:2">
      <c r="B1796"/>
    </row>
    <row r="1797" spans="2:2">
      <c r="B1797"/>
    </row>
    <row r="1798" spans="2:2">
      <c r="B1798"/>
    </row>
    <row r="1799" spans="2:2">
      <c r="B1799"/>
    </row>
    <row r="1800" spans="2:2">
      <c r="B1800"/>
    </row>
    <row r="1801" spans="2:2">
      <c r="B1801"/>
    </row>
    <row r="1802" spans="2:2">
      <c r="B1802"/>
    </row>
    <row r="1803" spans="2:2">
      <c r="B1803"/>
    </row>
    <row r="1804" spans="2:2">
      <c r="B1804"/>
    </row>
    <row r="1805" spans="2:2">
      <c r="B1805"/>
    </row>
    <row r="1806" spans="2:2">
      <c r="B1806"/>
    </row>
    <row r="1807" spans="2:2">
      <c r="B1807"/>
    </row>
    <row r="1808" spans="2:2">
      <c r="B1808"/>
    </row>
    <row r="1809" spans="2:2">
      <c r="B1809"/>
    </row>
    <row r="1810" spans="2:2">
      <c r="B1810"/>
    </row>
    <row r="1811" spans="2:2">
      <c r="B1811"/>
    </row>
    <row r="1812" spans="2:2">
      <c r="B1812"/>
    </row>
    <row r="1813" spans="2:2" ht="18">
      <c r="B1813" s="252"/>
    </row>
    <row r="1814" spans="2:2" ht="18">
      <c r="B1814" s="252"/>
    </row>
    <row r="1815" spans="2:2" ht="18">
      <c r="B1815" s="991"/>
    </row>
    <row r="1816" spans="2:2" ht="18">
      <c r="B1816" s="991"/>
    </row>
    <row r="1817" spans="2:2">
      <c r="B1817" s="1002"/>
    </row>
    <row r="1818" spans="2:2">
      <c r="B1818"/>
    </row>
    <row r="1819" spans="2:2">
      <c r="B1819"/>
    </row>
    <row r="1820" spans="2:2">
      <c r="B1820"/>
    </row>
    <row r="1821" spans="2:2">
      <c r="B1821"/>
    </row>
    <row r="1822" spans="2:2">
      <c r="B1822"/>
    </row>
    <row r="1823" spans="2:2">
      <c r="B1823"/>
    </row>
    <row r="1824" spans="2:2">
      <c r="B1824"/>
    </row>
    <row r="1825" spans="2:2">
      <c r="B1825"/>
    </row>
    <row r="1826" spans="2:2">
      <c r="B1826"/>
    </row>
    <row r="1827" spans="2:2">
      <c r="B1827"/>
    </row>
    <row r="1828" spans="2:2">
      <c r="B1828"/>
    </row>
    <row r="1829" spans="2:2">
      <c r="B1829"/>
    </row>
    <row r="1830" spans="2:2">
      <c r="B1830"/>
    </row>
    <row r="1831" spans="2:2">
      <c r="B1831"/>
    </row>
    <row r="1832" spans="2:2">
      <c r="B1832"/>
    </row>
    <row r="1833" spans="2:2">
      <c r="B1833"/>
    </row>
    <row r="1834" spans="2:2">
      <c r="B1834"/>
    </row>
    <row r="1835" spans="2:2">
      <c r="B1835"/>
    </row>
    <row r="1836" spans="2:2">
      <c r="B1836"/>
    </row>
    <row r="1837" spans="2:2">
      <c r="B1837"/>
    </row>
    <row r="1838" spans="2:2">
      <c r="B1838"/>
    </row>
    <row r="1839" spans="2:2" ht="18">
      <c r="B1839" s="252"/>
    </row>
    <row r="1840" spans="2:2">
      <c r="B1840"/>
    </row>
    <row r="1841" spans="2:2">
      <c r="B1841"/>
    </row>
    <row r="1842" spans="2:2">
      <c r="B1842"/>
    </row>
    <row r="1843" spans="2:2">
      <c r="B1843"/>
    </row>
    <row r="1844" spans="2:2">
      <c r="B1844"/>
    </row>
    <row r="1845" spans="2:2">
      <c r="B1845"/>
    </row>
    <row r="1846" spans="2:2">
      <c r="B1846"/>
    </row>
    <row r="1847" spans="2:2">
      <c r="B1847"/>
    </row>
    <row r="1848" spans="2:2">
      <c r="B1848"/>
    </row>
    <row r="1849" spans="2:2">
      <c r="B1849"/>
    </row>
    <row r="1850" spans="2:2">
      <c r="B1850"/>
    </row>
    <row r="1851" spans="2:2">
      <c r="B1851"/>
    </row>
    <row r="1852" spans="2:2">
      <c r="B1852"/>
    </row>
    <row r="1853" spans="2:2">
      <c r="B1853"/>
    </row>
    <row r="1854" spans="2:2">
      <c r="B1854"/>
    </row>
    <row r="1855" spans="2:2">
      <c r="B1855"/>
    </row>
    <row r="1856" spans="2:2">
      <c r="B1856"/>
    </row>
    <row r="1857" spans="2:2">
      <c r="B1857"/>
    </row>
    <row r="1858" spans="2:2">
      <c r="B1858"/>
    </row>
    <row r="1859" spans="2:2">
      <c r="B1859"/>
    </row>
    <row r="1860" spans="2:2">
      <c r="B1860"/>
    </row>
    <row r="1861" spans="2:2">
      <c r="B1861"/>
    </row>
    <row r="1862" spans="2:2">
      <c r="B1862"/>
    </row>
    <row r="1863" spans="2:2" ht="18">
      <c r="B1863" s="252"/>
    </row>
    <row r="1864" spans="2:2">
      <c r="B1864"/>
    </row>
    <row r="1865" spans="2:2">
      <c r="B1865"/>
    </row>
    <row r="1866" spans="2:2">
      <c r="B1866"/>
    </row>
    <row r="1867" spans="2:2">
      <c r="B1867"/>
    </row>
    <row r="1868" spans="2:2">
      <c r="B1868"/>
    </row>
    <row r="1869" spans="2:2">
      <c r="B1869"/>
    </row>
    <row r="1870" spans="2:2">
      <c r="B1870"/>
    </row>
    <row r="1871" spans="2:2">
      <c r="B1871"/>
    </row>
    <row r="1872" spans="2:2">
      <c r="B1872"/>
    </row>
    <row r="1873" spans="2:2">
      <c r="B1873"/>
    </row>
    <row r="1874" spans="2:2">
      <c r="B1874"/>
    </row>
    <row r="1875" spans="2:2">
      <c r="B1875"/>
    </row>
    <row r="1876" spans="2:2">
      <c r="B1876"/>
    </row>
    <row r="1877" spans="2:2">
      <c r="B1877"/>
    </row>
    <row r="1878" spans="2:2">
      <c r="B1878"/>
    </row>
    <row r="1879" spans="2:2">
      <c r="B1879"/>
    </row>
    <row r="1880" spans="2:2">
      <c r="B1880"/>
    </row>
    <row r="1881" spans="2:2">
      <c r="B1881"/>
    </row>
    <row r="1882" spans="2:2">
      <c r="B1882"/>
    </row>
    <row r="1883" spans="2:2">
      <c r="B1883"/>
    </row>
    <row r="1884" spans="2:2">
      <c r="B1884"/>
    </row>
    <row r="1885" spans="2:2">
      <c r="B1885"/>
    </row>
    <row r="1886" spans="2:2">
      <c r="B1886"/>
    </row>
    <row r="1887" spans="2:2" ht="18">
      <c r="B1887" s="252"/>
    </row>
    <row r="1888" spans="2:2" ht="18">
      <c r="B1888" s="252"/>
    </row>
    <row r="1889" spans="2:2">
      <c r="B1889"/>
    </row>
    <row r="1890" spans="2:2">
      <c r="B1890"/>
    </row>
    <row r="1891" spans="2:2">
      <c r="B1891" s="1002"/>
    </row>
    <row r="1892" spans="2:2">
      <c r="B1892"/>
    </row>
    <row r="1893" spans="2:2">
      <c r="B1893"/>
    </row>
    <row r="1894" spans="2:2">
      <c r="B1894"/>
    </row>
    <row r="1895" spans="2:2">
      <c r="B1895"/>
    </row>
    <row r="1896" spans="2:2">
      <c r="B1896"/>
    </row>
    <row r="1897" spans="2:2">
      <c r="B1897"/>
    </row>
    <row r="1898" spans="2:2">
      <c r="B1898"/>
    </row>
    <row r="1899" spans="2:2">
      <c r="B1899"/>
    </row>
    <row r="1900" spans="2:2">
      <c r="B1900"/>
    </row>
    <row r="1901" spans="2:2">
      <c r="B1901"/>
    </row>
    <row r="1902" spans="2:2">
      <c r="B1902"/>
    </row>
    <row r="1903" spans="2:2">
      <c r="B1903"/>
    </row>
    <row r="1904" spans="2:2">
      <c r="B1904"/>
    </row>
    <row r="1905" spans="2:2">
      <c r="B1905"/>
    </row>
    <row r="1906" spans="2:2">
      <c r="B1906"/>
    </row>
    <row r="1907" spans="2:2">
      <c r="B1907"/>
    </row>
    <row r="1908" spans="2:2">
      <c r="B1908"/>
    </row>
    <row r="1909" spans="2:2">
      <c r="B1909"/>
    </row>
    <row r="1910" spans="2:2">
      <c r="B1910"/>
    </row>
    <row r="1911" spans="2:2">
      <c r="B1911"/>
    </row>
    <row r="1912" spans="2:2">
      <c r="B1912"/>
    </row>
    <row r="1913" spans="2:2" ht="18">
      <c r="B1913" s="252"/>
    </row>
    <row r="1914" spans="2:2" ht="18">
      <c r="B1914" s="252"/>
    </row>
    <row r="1915" spans="2:2">
      <c r="B1915"/>
    </row>
    <row r="1916" spans="2:2">
      <c r="B1916"/>
    </row>
    <row r="1917" spans="2:2">
      <c r="B1917" s="1002"/>
    </row>
    <row r="1918" spans="2:2">
      <c r="B1918"/>
    </row>
    <row r="1919" spans="2:2">
      <c r="B1919"/>
    </row>
    <row r="1920" spans="2:2">
      <c r="B1920"/>
    </row>
    <row r="1921" spans="2:2">
      <c r="B1921"/>
    </row>
    <row r="1922" spans="2:2">
      <c r="B1922"/>
    </row>
    <row r="1923" spans="2:2">
      <c r="B1923"/>
    </row>
    <row r="1924" spans="2:2">
      <c r="B1924"/>
    </row>
    <row r="1925" spans="2:2">
      <c r="B1925"/>
    </row>
    <row r="1926" spans="2:2">
      <c r="B1926"/>
    </row>
    <row r="1927" spans="2:2">
      <c r="B1927"/>
    </row>
    <row r="1928" spans="2:2">
      <c r="B1928"/>
    </row>
    <row r="1929" spans="2:2">
      <c r="B1929"/>
    </row>
    <row r="1930" spans="2:2">
      <c r="B1930"/>
    </row>
    <row r="1931" spans="2:2">
      <c r="B1931"/>
    </row>
    <row r="1932" spans="2:2">
      <c r="B1932"/>
    </row>
    <row r="1933" spans="2:2">
      <c r="B1933"/>
    </row>
    <row r="1934" spans="2:2">
      <c r="B1934"/>
    </row>
    <row r="1935" spans="2:2">
      <c r="B1935"/>
    </row>
    <row r="1936" spans="2:2">
      <c r="B1936"/>
    </row>
    <row r="1937" spans="2:2">
      <c r="B1937"/>
    </row>
    <row r="1938" spans="2:2">
      <c r="B1938"/>
    </row>
    <row r="1939" spans="2:2" ht="18">
      <c r="B1939" s="252"/>
    </row>
    <row r="1940" spans="2:2" ht="18">
      <c r="B1940" s="252"/>
    </row>
    <row r="1941" spans="2:2">
      <c r="B1941"/>
    </row>
    <row r="1942" spans="2:2">
      <c r="B1942"/>
    </row>
    <row r="1943" spans="2:2">
      <c r="B1943" s="1002"/>
    </row>
    <row r="1944" spans="2:2">
      <c r="B1944"/>
    </row>
    <row r="1945" spans="2:2">
      <c r="B1945"/>
    </row>
    <row r="1946" spans="2:2">
      <c r="B1946"/>
    </row>
    <row r="1947" spans="2:2">
      <c r="B1947"/>
    </row>
    <row r="1948" spans="2:2">
      <c r="B1948"/>
    </row>
    <row r="1949" spans="2:2">
      <c r="B1949"/>
    </row>
    <row r="1950" spans="2:2">
      <c r="B1950"/>
    </row>
    <row r="1951" spans="2:2">
      <c r="B1951"/>
    </row>
    <row r="1952" spans="2:2">
      <c r="B1952"/>
    </row>
    <row r="1953" spans="2:2">
      <c r="B1953"/>
    </row>
    <row r="1954" spans="2:2">
      <c r="B1954"/>
    </row>
    <row r="1955" spans="2:2">
      <c r="B1955"/>
    </row>
    <row r="1956" spans="2:2">
      <c r="B1956"/>
    </row>
    <row r="1957" spans="2:2">
      <c r="B1957"/>
    </row>
    <row r="1958" spans="2:2">
      <c r="B1958"/>
    </row>
    <row r="1959" spans="2:2">
      <c r="B1959"/>
    </row>
    <row r="1960" spans="2:2">
      <c r="B1960"/>
    </row>
    <row r="1961" spans="2:2">
      <c r="B1961"/>
    </row>
    <row r="1962" spans="2:2">
      <c r="B1962"/>
    </row>
    <row r="1963" spans="2:2">
      <c r="B1963"/>
    </row>
    <row r="1964" spans="2:2">
      <c r="B1964"/>
    </row>
    <row r="1965" spans="2:2" ht="18">
      <c r="B1965" s="252"/>
    </row>
    <row r="1966" spans="2:2">
      <c r="B1966"/>
    </row>
    <row r="1967" spans="2:2">
      <c r="B1967"/>
    </row>
    <row r="1968" spans="2:2">
      <c r="B1968"/>
    </row>
    <row r="1969" spans="2:2">
      <c r="B1969"/>
    </row>
    <row r="1970" spans="2:2">
      <c r="B1970"/>
    </row>
    <row r="1971" spans="2:2">
      <c r="B1971"/>
    </row>
    <row r="1972" spans="2:2">
      <c r="B1972"/>
    </row>
    <row r="1973" spans="2:2">
      <c r="B1973"/>
    </row>
    <row r="1974" spans="2:2">
      <c r="B1974"/>
    </row>
    <row r="1975" spans="2:2">
      <c r="B1975"/>
    </row>
    <row r="1976" spans="2:2">
      <c r="B1976"/>
    </row>
    <row r="1977" spans="2:2">
      <c r="B1977"/>
    </row>
    <row r="1978" spans="2:2">
      <c r="B1978"/>
    </row>
    <row r="1979" spans="2:2">
      <c r="B1979"/>
    </row>
    <row r="1980" spans="2:2">
      <c r="B1980"/>
    </row>
    <row r="1981" spans="2:2">
      <c r="B1981"/>
    </row>
    <row r="1982" spans="2:2">
      <c r="B1982"/>
    </row>
    <row r="1983" spans="2:2">
      <c r="B1983"/>
    </row>
    <row r="1984" spans="2:2">
      <c r="B1984"/>
    </row>
    <row r="1985" spans="2:2">
      <c r="B1985"/>
    </row>
    <row r="1986" spans="2:2">
      <c r="B1986"/>
    </row>
    <row r="1987" spans="2:2">
      <c r="B1987"/>
    </row>
    <row r="1988" spans="2:2">
      <c r="B1988"/>
    </row>
    <row r="1989" spans="2:2" ht="18">
      <c r="B1989" s="252"/>
    </row>
    <row r="1990" spans="2:2">
      <c r="B1990"/>
    </row>
    <row r="1991" spans="2:2">
      <c r="B1991"/>
    </row>
    <row r="1992" spans="2:2">
      <c r="B1992"/>
    </row>
    <row r="1993" spans="2:2">
      <c r="B1993"/>
    </row>
    <row r="1994" spans="2:2">
      <c r="B1994"/>
    </row>
    <row r="1995" spans="2:2">
      <c r="B1995"/>
    </row>
    <row r="1996" spans="2:2">
      <c r="B1996"/>
    </row>
    <row r="1997" spans="2:2">
      <c r="B1997"/>
    </row>
    <row r="1998" spans="2:2">
      <c r="B1998"/>
    </row>
    <row r="1999" spans="2:2">
      <c r="B1999"/>
    </row>
    <row r="2000" spans="2:2">
      <c r="B2000"/>
    </row>
    <row r="2001" spans="2:2">
      <c r="B2001"/>
    </row>
    <row r="2002" spans="2:2">
      <c r="B2002"/>
    </row>
    <row r="2003" spans="2:2">
      <c r="B2003"/>
    </row>
    <row r="2004" spans="2:2">
      <c r="B2004"/>
    </row>
    <row r="2005" spans="2:2">
      <c r="B2005"/>
    </row>
    <row r="2006" spans="2:2">
      <c r="B2006"/>
    </row>
    <row r="2007" spans="2:2">
      <c r="B2007"/>
    </row>
    <row r="2008" spans="2:2">
      <c r="B2008"/>
    </row>
    <row r="2009" spans="2:2">
      <c r="B2009"/>
    </row>
    <row r="2010" spans="2:2">
      <c r="B2010"/>
    </row>
    <row r="2011" spans="2:2">
      <c r="B2011"/>
    </row>
    <row r="2012" spans="2:2">
      <c r="B2012"/>
    </row>
    <row r="2013" spans="2:2" ht="18">
      <c r="B2013" s="252"/>
    </row>
    <row r="2014" spans="2:2">
      <c r="B2014"/>
    </row>
    <row r="2015" spans="2:2">
      <c r="B2015"/>
    </row>
    <row r="2016" spans="2:2">
      <c r="B2016"/>
    </row>
    <row r="2017" spans="2:2">
      <c r="B2017"/>
    </row>
    <row r="2018" spans="2:2">
      <c r="B2018"/>
    </row>
    <row r="2019" spans="2:2">
      <c r="B2019"/>
    </row>
    <row r="2020" spans="2:2">
      <c r="B2020"/>
    </row>
    <row r="2021" spans="2:2">
      <c r="B2021"/>
    </row>
    <row r="2022" spans="2:2">
      <c r="B2022"/>
    </row>
    <row r="2023" spans="2:2">
      <c r="B2023"/>
    </row>
    <row r="2024" spans="2:2">
      <c r="B2024"/>
    </row>
    <row r="2025" spans="2:2">
      <c r="B2025"/>
    </row>
    <row r="2026" spans="2:2">
      <c r="B2026"/>
    </row>
    <row r="2027" spans="2:2">
      <c r="B2027"/>
    </row>
    <row r="2028" spans="2:2">
      <c r="B2028"/>
    </row>
    <row r="2029" spans="2:2">
      <c r="B2029"/>
    </row>
    <row r="2030" spans="2:2">
      <c r="B2030"/>
    </row>
    <row r="2031" spans="2:2">
      <c r="B2031"/>
    </row>
    <row r="2032" spans="2:2">
      <c r="B2032"/>
    </row>
    <row r="2033" spans="2:2">
      <c r="B2033"/>
    </row>
    <row r="2034" spans="2:2">
      <c r="B2034"/>
    </row>
    <row r="2035" spans="2:2">
      <c r="B2035"/>
    </row>
    <row r="2036" spans="2:2">
      <c r="B2036"/>
    </row>
    <row r="2037" spans="2:2" ht="18">
      <c r="B2037" s="252"/>
    </row>
    <row r="2038" spans="2:2">
      <c r="B2038"/>
    </row>
    <row r="2039" spans="2:2">
      <c r="B2039"/>
    </row>
    <row r="2040" spans="2:2">
      <c r="B2040"/>
    </row>
    <row r="2041" spans="2:2">
      <c r="B2041"/>
    </row>
    <row r="2042" spans="2:2">
      <c r="B2042"/>
    </row>
    <row r="2043" spans="2:2">
      <c r="B2043"/>
    </row>
    <row r="2044" spans="2:2">
      <c r="B2044"/>
    </row>
    <row r="2045" spans="2:2">
      <c r="B2045"/>
    </row>
    <row r="2046" spans="2:2">
      <c r="B2046"/>
    </row>
    <row r="2047" spans="2:2">
      <c r="B2047"/>
    </row>
    <row r="2048" spans="2:2">
      <c r="B2048"/>
    </row>
    <row r="2049" spans="2:2">
      <c r="B2049"/>
    </row>
    <row r="2050" spans="2:2">
      <c r="B2050"/>
    </row>
    <row r="2051" spans="2:2">
      <c r="B2051"/>
    </row>
    <row r="2052" spans="2:2">
      <c r="B2052"/>
    </row>
    <row r="2053" spans="2:2">
      <c r="B2053"/>
    </row>
    <row r="2054" spans="2:2">
      <c r="B2054"/>
    </row>
    <row r="2055" spans="2:2">
      <c r="B2055"/>
    </row>
    <row r="2056" spans="2:2">
      <c r="B2056"/>
    </row>
    <row r="2057" spans="2:2">
      <c r="B2057"/>
    </row>
    <row r="2058" spans="2:2">
      <c r="B2058"/>
    </row>
    <row r="2059" spans="2:2">
      <c r="B2059"/>
    </row>
    <row r="2060" spans="2:2">
      <c r="B2060"/>
    </row>
    <row r="2061" spans="2:2">
      <c r="B2061"/>
    </row>
    <row r="2062" spans="2:2">
      <c r="B2062"/>
    </row>
    <row r="2063" spans="2:2">
      <c r="B2063"/>
    </row>
    <row r="2064" spans="2:2">
      <c r="B2064"/>
    </row>
    <row r="2065" spans="2:2">
      <c r="B2065"/>
    </row>
    <row r="2066" spans="2:2">
      <c r="B2066"/>
    </row>
    <row r="2067" spans="2:2">
      <c r="B2067"/>
    </row>
    <row r="2068" spans="2:2">
      <c r="B2068"/>
    </row>
    <row r="2069" spans="2:2">
      <c r="B2069"/>
    </row>
    <row r="2070" spans="2:2">
      <c r="B2070"/>
    </row>
    <row r="2071" spans="2:2">
      <c r="B2071"/>
    </row>
    <row r="2072" spans="2:2">
      <c r="B2072"/>
    </row>
    <row r="2073" spans="2:2">
      <c r="B2073"/>
    </row>
    <row r="2074" spans="2:2">
      <c r="B2074"/>
    </row>
    <row r="2075" spans="2:2">
      <c r="B2075"/>
    </row>
    <row r="2076" spans="2:2">
      <c r="B2076"/>
    </row>
    <row r="2077" spans="2:2">
      <c r="B2077"/>
    </row>
    <row r="2078" spans="2:2">
      <c r="B2078"/>
    </row>
    <row r="2079" spans="2:2">
      <c r="B2079"/>
    </row>
    <row r="2080" spans="2:2">
      <c r="B2080"/>
    </row>
    <row r="2081" spans="2:2">
      <c r="B2081"/>
    </row>
    <row r="2082" spans="2:2">
      <c r="B2082"/>
    </row>
    <row r="2083" spans="2:2">
      <c r="B2083"/>
    </row>
    <row r="2084" spans="2:2">
      <c r="B2084"/>
    </row>
    <row r="2085" spans="2:2">
      <c r="B2085"/>
    </row>
    <row r="2086" spans="2:2">
      <c r="B2086"/>
    </row>
    <row r="2087" spans="2:2">
      <c r="B2087"/>
    </row>
    <row r="2088" spans="2:2">
      <c r="B2088"/>
    </row>
    <row r="2089" spans="2:2">
      <c r="B2089"/>
    </row>
    <row r="2090" spans="2:2">
      <c r="B2090"/>
    </row>
    <row r="2091" spans="2:2">
      <c r="B2091"/>
    </row>
    <row r="2092" spans="2:2">
      <c r="B2092"/>
    </row>
    <row r="2093" spans="2:2">
      <c r="B2093"/>
    </row>
    <row r="2094" spans="2:2">
      <c r="B2094"/>
    </row>
    <row r="2095" spans="2:2">
      <c r="B2095"/>
    </row>
    <row r="2096" spans="2:2">
      <c r="B2096"/>
    </row>
    <row r="2097" spans="2:2">
      <c r="B2097"/>
    </row>
    <row r="2098" spans="2:2">
      <c r="B2098"/>
    </row>
    <row r="2099" spans="2:2">
      <c r="B2099"/>
    </row>
    <row r="2100" spans="2:2">
      <c r="B2100"/>
    </row>
    <row r="2101" spans="2:2">
      <c r="B2101"/>
    </row>
    <row r="2102" spans="2:2">
      <c r="B2102"/>
    </row>
    <row r="2103" spans="2:2">
      <c r="B2103"/>
    </row>
    <row r="2104" spans="2:2">
      <c r="B2104"/>
    </row>
    <row r="2105" spans="2:2">
      <c r="B2105"/>
    </row>
    <row r="2106" spans="2:2">
      <c r="B2106"/>
    </row>
    <row r="2107" spans="2:2">
      <c r="B2107"/>
    </row>
    <row r="2108" spans="2:2">
      <c r="B2108"/>
    </row>
    <row r="2109" spans="2:2">
      <c r="B2109"/>
    </row>
    <row r="2110" spans="2:2">
      <c r="B2110"/>
    </row>
    <row r="2111" spans="2:2">
      <c r="B2111"/>
    </row>
    <row r="2112" spans="2:2">
      <c r="B2112"/>
    </row>
    <row r="2113" spans="2:2">
      <c r="B2113"/>
    </row>
    <row r="2114" spans="2:2">
      <c r="B2114"/>
    </row>
    <row r="2115" spans="2:2">
      <c r="B2115"/>
    </row>
    <row r="2116" spans="2:2">
      <c r="B2116"/>
    </row>
    <row r="2117" spans="2:2">
      <c r="B2117"/>
    </row>
    <row r="2118" spans="2:2">
      <c r="B2118"/>
    </row>
    <row r="2119" spans="2:2">
      <c r="B2119"/>
    </row>
    <row r="2120" spans="2:2">
      <c r="B2120"/>
    </row>
    <row r="2121" spans="2:2">
      <c r="B2121"/>
    </row>
    <row r="2122" spans="2:2">
      <c r="B2122"/>
    </row>
    <row r="2123" spans="2:2">
      <c r="B2123"/>
    </row>
    <row r="2124" spans="2:2">
      <c r="B2124"/>
    </row>
    <row r="2125" spans="2:2">
      <c r="B2125"/>
    </row>
    <row r="2126" spans="2:2">
      <c r="B2126"/>
    </row>
    <row r="2127" spans="2:2">
      <c r="B2127"/>
    </row>
    <row r="2128" spans="2:2">
      <c r="B2128"/>
    </row>
    <row r="2129" spans="2:2">
      <c r="B2129"/>
    </row>
    <row r="2130" spans="2:2">
      <c r="B2130"/>
    </row>
    <row r="2131" spans="2:2">
      <c r="B2131"/>
    </row>
    <row r="2132" spans="2:2">
      <c r="B2132"/>
    </row>
    <row r="2133" spans="2:2">
      <c r="B2133"/>
    </row>
    <row r="2134" spans="2:2">
      <c r="B2134"/>
    </row>
    <row r="2135" spans="2:2">
      <c r="B2135"/>
    </row>
    <row r="2136" spans="2:2">
      <c r="B2136"/>
    </row>
    <row r="2137" spans="2:2">
      <c r="B2137"/>
    </row>
    <row r="2138" spans="2:2">
      <c r="B2138"/>
    </row>
    <row r="2139" spans="2:2">
      <c r="B2139"/>
    </row>
    <row r="2140" spans="2:2">
      <c r="B2140"/>
    </row>
    <row r="2141" spans="2:2">
      <c r="B2141"/>
    </row>
    <row r="2142" spans="2:2">
      <c r="B2142"/>
    </row>
    <row r="2143" spans="2:2">
      <c r="B2143"/>
    </row>
    <row r="2144" spans="2:2">
      <c r="B2144"/>
    </row>
    <row r="2145" spans="2:2">
      <c r="B2145"/>
    </row>
    <row r="2146" spans="2:2">
      <c r="B2146"/>
    </row>
    <row r="2147" spans="2:2">
      <c r="B2147"/>
    </row>
    <row r="2148" spans="2:2">
      <c r="B2148"/>
    </row>
    <row r="2149" spans="2:2">
      <c r="B2149"/>
    </row>
    <row r="2150" spans="2:2">
      <c r="B2150"/>
    </row>
    <row r="2151" spans="2:2">
      <c r="B2151"/>
    </row>
    <row r="2152" spans="2:2">
      <c r="B2152"/>
    </row>
    <row r="2153" spans="2:2">
      <c r="B2153"/>
    </row>
    <row r="2154" spans="2:2">
      <c r="B2154"/>
    </row>
    <row r="2155" spans="2:2">
      <c r="B2155"/>
    </row>
    <row r="2156" spans="2:2">
      <c r="B2156"/>
    </row>
    <row r="2157" spans="2:2">
      <c r="B2157"/>
    </row>
    <row r="2158" spans="2:2">
      <c r="B2158"/>
    </row>
    <row r="2159" spans="2:2">
      <c r="B2159"/>
    </row>
    <row r="2160" spans="2:2">
      <c r="B2160"/>
    </row>
    <row r="2161" spans="2:2">
      <c r="B2161"/>
    </row>
    <row r="2162" spans="2:2">
      <c r="B2162"/>
    </row>
    <row r="2163" spans="2:2" ht="18">
      <c r="B2163" s="252"/>
    </row>
    <row r="2164" spans="2:2" ht="18">
      <c r="B2164" s="252"/>
    </row>
    <row r="2165" spans="2:2">
      <c r="B2165"/>
    </row>
    <row r="2166" spans="2:2" ht="18">
      <c r="B2166" s="252"/>
    </row>
    <row r="2167" spans="2:2">
      <c r="B2167" s="1002"/>
    </row>
    <row r="2168" spans="2:2">
      <c r="B2168"/>
    </row>
    <row r="2169" spans="2:2">
      <c r="B2169"/>
    </row>
    <row r="2170" spans="2:2">
      <c r="B2170"/>
    </row>
    <row r="2171" spans="2:2">
      <c r="B2171"/>
    </row>
    <row r="2172" spans="2:2">
      <c r="B2172"/>
    </row>
    <row r="2173" spans="2:2">
      <c r="B2173"/>
    </row>
    <row r="2174" spans="2:2">
      <c r="B2174"/>
    </row>
    <row r="2175" spans="2:2">
      <c r="B2175"/>
    </row>
    <row r="2176" spans="2:2">
      <c r="B2176"/>
    </row>
    <row r="2177" spans="2:2">
      <c r="B2177"/>
    </row>
    <row r="2178" spans="2:2">
      <c r="B2178"/>
    </row>
    <row r="2179" spans="2:2">
      <c r="B2179"/>
    </row>
    <row r="2180" spans="2:2">
      <c r="B2180"/>
    </row>
    <row r="2181" spans="2:2">
      <c r="B2181"/>
    </row>
    <row r="2182" spans="2:2">
      <c r="B2182"/>
    </row>
    <row r="2183" spans="2:2">
      <c r="B2183" s="2506"/>
    </row>
    <row r="2184" spans="2:2">
      <c r="B2184" s="2506"/>
    </row>
    <row r="2185" spans="2:2">
      <c r="B2185"/>
    </row>
    <row r="2186" spans="2:2">
      <c r="B2186"/>
    </row>
    <row r="2187" spans="2:2">
      <c r="B2187"/>
    </row>
    <row r="2188" spans="2:2">
      <c r="B2188"/>
    </row>
    <row r="2189" spans="2:2">
      <c r="B2189"/>
    </row>
    <row r="2190" spans="2:2">
      <c r="B2190"/>
    </row>
    <row r="2191" spans="2:2" ht="18">
      <c r="B2191" s="252"/>
    </row>
    <row r="2192" spans="2:2" ht="18">
      <c r="B2192" s="252"/>
    </row>
    <row r="2193" spans="2:2" ht="18">
      <c r="B2193" s="252"/>
    </row>
    <row r="2194" spans="2:2">
      <c r="B2194"/>
    </row>
    <row r="2195" spans="2:2">
      <c r="B2195"/>
    </row>
    <row r="2196" spans="2:2">
      <c r="B2196"/>
    </row>
    <row r="2197" spans="2:2">
      <c r="B2197"/>
    </row>
    <row r="2198" spans="2:2">
      <c r="B2198"/>
    </row>
    <row r="2199" spans="2:2">
      <c r="B2199"/>
    </row>
    <row r="2200" spans="2:2">
      <c r="B2200"/>
    </row>
    <row r="2201" spans="2:2">
      <c r="B2201"/>
    </row>
    <row r="2202" spans="2:2">
      <c r="B2202"/>
    </row>
    <row r="2203" spans="2:2">
      <c r="B2203"/>
    </row>
    <row r="2204" spans="2:2">
      <c r="B2204"/>
    </row>
    <row r="2205" spans="2:2">
      <c r="B2205"/>
    </row>
    <row r="2206" spans="2:2">
      <c r="B2206"/>
    </row>
    <row r="2207" spans="2:2">
      <c r="B2207"/>
    </row>
    <row r="2208" spans="2:2">
      <c r="B2208"/>
    </row>
    <row r="2209" spans="2:2">
      <c r="B2209"/>
    </row>
    <row r="2210" spans="2:2">
      <c r="B2210"/>
    </row>
    <row r="2211" spans="2:2">
      <c r="B2211"/>
    </row>
    <row r="2212" spans="2:2">
      <c r="B2212"/>
    </row>
    <row r="2213" spans="2:2">
      <c r="B2213"/>
    </row>
    <row r="2214" spans="2:2">
      <c r="B2214"/>
    </row>
    <row r="2215" spans="2:2">
      <c r="B2215"/>
    </row>
    <row r="2216" spans="2:2">
      <c r="B2216"/>
    </row>
    <row r="2217" spans="2:2">
      <c r="B2217"/>
    </row>
    <row r="2218" spans="2:2">
      <c r="B2218"/>
    </row>
    <row r="2219" spans="2:2">
      <c r="B2219"/>
    </row>
    <row r="2220" spans="2:2">
      <c r="B2220"/>
    </row>
    <row r="2221" spans="2:2">
      <c r="B2221"/>
    </row>
    <row r="2222" spans="2:2">
      <c r="B2222"/>
    </row>
    <row r="2223" spans="2:2">
      <c r="B2223"/>
    </row>
    <row r="2224" spans="2:2">
      <c r="B2224"/>
    </row>
    <row r="2225" spans="2:2">
      <c r="B2225"/>
    </row>
    <row r="2226" spans="2:2">
      <c r="B2226"/>
    </row>
    <row r="2227" spans="2:2">
      <c r="B2227"/>
    </row>
    <row r="2228" spans="2:2">
      <c r="B2228"/>
    </row>
    <row r="2229" spans="2:2">
      <c r="B2229"/>
    </row>
    <row r="2230" spans="2:2">
      <c r="B2230"/>
    </row>
    <row r="2231" spans="2:2">
      <c r="B2231"/>
    </row>
    <row r="2232" spans="2:2">
      <c r="B2232"/>
    </row>
    <row r="2233" spans="2:2">
      <c r="B2233"/>
    </row>
    <row r="2234" spans="2:2">
      <c r="B2234"/>
    </row>
    <row r="2235" spans="2:2">
      <c r="B2235"/>
    </row>
    <row r="2236" spans="2:2">
      <c r="B2236"/>
    </row>
    <row r="2237" spans="2:2">
      <c r="B2237"/>
    </row>
    <row r="2238" spans="2:2">
      <c r="B2238"/>
    </row>
    <row r="2239" spans="2:2">
      <c r="B2239"/>
    </row>
    <row r="2240" spans="2:2">
      <c r="B2240"/>
    </row>
    <row r="2241" spans="2:2">
      <c r="B2241"/>
    </row>
    <row r="2242" spans="2:2">
      <c r="B2242"/>
    </row>
    <row r="2243" spans="2:2">
      <c r="B2243"/>
    </row>
    <row r="2244" spans="2:2">
      <c r="B2244"/>
    </row>
    <row r="2245" spans="2:2">
      <c r="B2245"/>
    </row>
    <row r="2246" spans="2:2">
      <c r="B2246"/>
    </row>
    <row r="2247" spans="2:2">
      <c r="B2247"/>
    </row>
    <row r="2248" spans="2:2">
      <c r="B2248"/>
    </row>
    <row r="2249" spans="2:2">
      <c r="B2249"/>
    </row>
    <row r="2250" spans="2:2">
      <c r="B2250"/>
    </row>
    <row r="2251" spans="2:2">
      <c r="B2251"/>
    </row>
    <row r="2252" spans="2:2">
      <c r="B2252"/>
    </row>
    <row r="2253" spans="2:2">
      <c r="B2253"/>
    </row>
    <row r="2254" spans="2:2">
      <c r="B2254"/>
    </row>
    <row r="2255" spans="2:2">
      <c r="B2255"/>
    </row>
    <row r="2256" spans="2:2">
      <c r="B2256"/>
    </row>
    <row r="2257" spans="2:2">
      <c r="B2257"/>
    </row>
    <row r="2258" spans="2:2">
      <c r="B2258"/>
    </row>
    <row r="2259" spans="2:2">
      <c r="B2259"/>
    </row>
    <row r="2260" spans="2:2">
      <c r="B2260"/>
    </row>
    <row r="2261" spans="2:2">
      <c r="B2261"/>
    </row>
    <row r="2262" spans="2:2">
      <c r="B2262"/>
    </row>
    <row r="2263" spans="2:2">
      <c r="B2263"/>
    </row>
    <row r="2264" spans="2:2">
      <c r="B2264"/>
    </row>
    <row r="2265" spans="2:2">
      <c r="B2265"/>
    </row>
    <row r="2266" spans="2:2">
      <c r="B2266"/>
    </row>
    <row r="2267" spans="2:2">
      <c r="B2267"/>
    </row>
    <row r="2268" spans="2:2">
      <c r="B2268"/>
    </row>
    <row r="2269" spans="2:2">
      <c r="B2269"/>
    </row>
    <row r="2270" spans="2:2">
      <c r="B2270"/>
    </row>
    <row r="2271" spans="2:2">
      <c r="B2271"/>
    </row>
    <row r="2272" spans="2:2">
      <c r="B2272"/>
    </row>
    <row r="2273" spans="2:2">
      <c r="B2273"/>
    </row>
    <row r="2274" spans="2:2">
      <c r="B2274"/>
    </row>
    <row r="2275" spans="2:2">
      <c r="B2275"/>
    </row>
    <row r="2276" spans="2:2">
      <c r="B2276"/>
    </row>
    <row r="2277" spans="2:2">
      <c r="B2277"/>
    </row>
    <row r="2278" spans="2:2">
      <c r="B2278"/>
    </row>
    <row r="2279" spans="2:2">
      <c r="B2279"/>
    </row>
    <row r="2280" spans="2:2">
      <c r="B2280"/>
    </row>
    <row r="2281" spans="2:2">
      <c r="B2281"/>
    </row>
    <row r="2282" spans="2:2">
      <c r="B2282"/>
    </row>
    <row r="2283" spans="2:2">
      <c r="B2283"/>
    </row>
    <row r="2284" spans="2:2">
      <c r="B2284"/>
    </row>
    <row r="2285" spans="2:2">
      <c r="B2285"/>
    </row>
    <row r="2286" spans="2:2">
      <c r="B2286"/>
    </row>
    <row r="2287" spans="2:2">
      <c r="B2287"/>
    </row>
    <row r="2288" spans="2:2">
      <c r="B2288"/>
    </row>
    <row r="2289" spans="2:2">
      <c r="B2289"/>
    </row>
    <row r="2290" spans="2:2">
      <c r="B2290"/>
    </row>
    <row r="2291" spans="2:2">
      <c r="B2291"/>
    </row>
    <row r="2292" spans="2:2">
      <c r="B2292"/>
    </row>
    <row r="2293" spans="2:2">
      <c r="B2293"/>
    </row>
    <row r="2294" spans="2:2">
      <c r="B2294"/>
    </row>
    <row r="2295" spans="2:2">
      <c r="B2295"/>
    </row>
    <row r="2296" spans="2:2">
      <c r="B2296"/>
    </row>
    <row r="2297" spans="2:2">
      <c r="B2297"/>
    </row>
    <row r="2298" spans="2:2">
      <c r="B2298"/>
    </row>
    <row r="2299" spans="2:2">
      <c r="B2299"/>
    </row>
    <row r="2300" spans="2:2">
      <c r="B2300"/>
    </row>
    <row r="2301" spans="2:2">
      <c r="B2301"/>
    </row>
    <row r="2302" spans="2:2">
      <c r="B2302"/>
    </row>
    <row r="2303" spans="2:2">
      <c r="B2303"/>
    </row>
    <row r="2304" spans="2:2">
      <c r="B2304"/>
    </row>
    <row r="2305" spans="2:2">
      <c r="B2305"/>
    </row>
    <row r="2306" spans="2:2">
      <c r="B2306"/>
    </row>
    <row r="2307" spans="2:2">
      <c r="B2307"/>
    </row>
    <row r="2308" spans="2:2">
      <c r="B2308"/>
    </row>
    <row r="2309" spans="2:2">
      <c r="B2309"/>
    </row>
    <row r="2310" spans="2:2">
      <c r="B2310"/>
    </row>
    <row r="2311" spans="2:2">
      <c r="B2311"/>
    </row>
    <row r="2312" spans="2:2">
      <c r="B2312"/>
    </row>
    <row r="2313" spans="2:2">
      <c r="B2313"/>
    </row>
    <row r="2314" spans="2:2">
      <c r="B2314"/>
    </row>
    <row r="2315" spans="2:2">
      <c r="B2315"/>
    </row>
    <row r="2316" spans="2:2">
      <c r="B2316"/>
    </row>
    <row r="2317" spans="2:2">
      <c r="B2317"/>
    </row>
    <row r="2318" spans="2:2">
      <c r="B2318"/>
    </row>
    <row r="2319" spans="2:2">
      <c r="B2319"/>
    </row>
    <row r="2320" spans="2:2">
      <c r="B2320"/>
    </row>
    <row r="2321" spans="2:2">
      <c r="B2321"/>
    </row>
    <row r="2322" spans="2:2">
      <c r="B2322"/>
    </row>
    <row r="2323" spans="2:2">
      <c r="B2323"/>
    </row>
    <row r="2324" spans="2:2">
      <c r="B2324"/>
    </row>
    <row r="2325" spans="2:2">
      <c r="B2325"/>
    </row>
    <row r="2326" spans="2:2">
      <c r="B2326"/>
    </row>
    <row r="2327" spans="2:2">
      <c r="B2327"/>
    </row>
    <row r="2328" spans="2:2">
      <c r="B2328"/>
    </row>
    <row r="2329" spans="2:2">
      <c r="B2329"/>
    </row>
    <row r="2330" spans="2:2">
      <c r="B2330"/>
    </row>
    <row r="2331" spans="2:2">
      <c r="B2331"/>
    </row>
    <row r="2332" spans="2:2">
      <c r="B2332"/>
    </row>
    <row r="2333" spans="2:2">
      <c r="B2333"/>
    </row>
    <row r="2334" spans="2:2">
      <c r="B2334"/>
    </row>
    <row r="2335" spans="2:2">
      <c r="B2335"/>
    </row>
    <row r="2336" spans="2:2">
      <c r="B2336"/>
    </row>
    <row r="2337" spans="2:2">
      <c r="B2337"/>
    </row>
    <row r="2338" spans="2:2">
      <c r="B2338"/>
    </row>
    <row r="2339" spans="2:2">
      <c r="B2339"/>
    </row>
    <row r="2340" spans="2:2">
      <c r="B2340"/>
    </row>
    <row r="2341" spans="2:2">
      <c r="B2341"/>
    </row>
    <row r="2342" spans="2:2">
      <c r="B2342"/>
    </row>
    <row r="2343" spans="2:2">
      <c r="B2343"/>
    </row>
    <row r="2344" spans="2:2">
      <c r="B2344"/>
    </row>
    <row r="2345" spans="2:2">
      <c r="B2345"/>
    </row>
    <row r="2346" spans="2:2">
      <c r="B2346"/>
    </row>
    <row r="2347" spans="2:2">
      <c r="B2347"/>
    </row>
    <row r="2348" spans="2:2">
      <c r="B2348"/>
    </row>
    <row r="2349" spans="2:2">
      <c r="B2349"/>
    </row>
    <row r="2350" spans="2:2">
      <c r="B2350"/>
    </row>
    <row r="2351" spans="2:2">
      <c r="B2351"/>
    </row>
    <row r="2352" spans="2:2">
      <c r="B2352"/>
    </row>
    <row r="2353" spans="2:2">
      <c r="B2353"/>
    </row>
    <row r="2354" spans="2:2">
      <c r="B2354"/>
    </row>
    <row r="2355" spans="2:2">
      <c r="B2355"/>
    </row>
    <row r="2356" spans="2:2">
      <c r="B2356"/>
    </row>
    <row r="2357" spans="2:2">
      <c r="B2357"/>
    </row>
    <row r="2358" spans="2:2">
      <c r="B2358"/>
    </row>
    <row r="2359" spans="2:2">
      <c r="B2359"/>
    </row>
    <row r="2360" spans="2:2">
      <c r="B2360"/>
    </row>
    <row r="2361" spans="2:2">
      <c r="B2361"/>
    </row>
    <row r="2362" spans="2:2">
      <c r="B2362"/>
    </row>
    <row r="2363" spans="2:2">
      <c r="B2363"/>
    </row>
    <row r="2364" spans="2:2">
      <c r="B2364"/>
    </row>
    <row r="2365" spans="2:2">
      <c r="B2365"/>
    </row>
    <row r="2366" spans="2:2">
      <c r="B2366"/>
    </row>
    <row r="2367" spans="2:2">
      <c r="B2367"/>
    </row>
    <row r="2368" spans="2:2">
      <c r="B2368"/>
    </row>
    <row r="2369" spans="2:2">
      <c r="B2369"/>
    </row>
    <row r="2370" spans="2:2">
      <c r="B2370"/>
    </row>
    <row r="2371" spans="2:2">
      <c r="B2371"/>
    </row>
    <row r="2372" spans="2:2">
      <c r="B2372"/>
    </row>
    <row r="2373" spans="2:2">
      <c r="B2373"/>
    </row>
    <row r="2374" spans="2:2">
      <c r="B2374"/>
    </row>
    <row r="2375" spans="2:2">
      <c r="B2375"/>
    </row>
    <row r="2376" spans="2:2">
      <c r="B2376"/>
    </row>
    <row r="2377" spans="2:2">
      <c r="B2377"/>
    </row>
    <row r="2378" spans="2:2">
      <c r="B2378"/>
    </row>
    <row r="2379" spans="2:2">
      <c r="B2379"/>
    </row>
    <row r="2380" spans="2:2">
      <c r="B2380"/>
    </row>
    <row r="2381" spans="2:2">
      <c r="B2381"/>
    </row>
    <row r="2382" spans="2:2">
      <c r="B2382"/>
    </row>
    <row r="2383" spans="2:2">
      <c r="B2383"/>
    </row>
    <row r="2384" spans="2:2">
      <c r="B2384"/>
    </row>
    <row r="2385" spans="2:2">
      <c r="B2385"/>
    </row>
    <row r="2386" spans="2:2">
      <c r="B2386"/>
    </row>
    <row r="2387" spans="2:2">
      <c r="B2387"/>
    </row>
    <row r="2388" spans="2:2">
      <c r="B2388"/>
    </row>
    <row r="2389" spans="2:2">
      <c r="B2389"/>
    </row>
    <row r="2390" spans="2:2">
      <c r="B2390"/>
    </row>
    <row r="2391" spans="2:2">
      <c r="B2391"/>
    </row>
    <row r="2392" spans="2:2">
      <c r="B2392"/>
    </row>
    <row r="2393" spans="2:2">
      <c r="B2393"/>
    </row>
    <row r="2394" spans="2:2">
      <c r="B2394"/>
    </row>
    <row r="2395" spans="2:2">
      <c r="B2395"/>
    </row>
    <row r="2396" spans="2:2">
      <c r="B2396"/>
    </row>
    <row r="2397" spans="2:2">
      <c r="B2397"/>
    </row>
    <row r="2398" spans="2:2">
      <c r="B2398"/>
    </row>
    <row r="2399" spans="2:2">
      <c r="B2399"/>
    </row>
    <row r="2400" spans="2:2">
      <c r="B2400"/>
    </row>
    <row r="2401" spans="2:2">
      <c r="B2401"/>
    </row>
    <row r="2402" spans="2:2">
      <c r="B2402"/>
    </row>
    <row r="2403" spans="2:2">
      <c r="B2403"/>
    </row>
    <row r="2404" spans="2:2">
      <c r="B2404"/>
    </row>
    <row r="2405" spans="2:2">
      <c r="B2405"/>
    </row>
    <row r="2406" spans="2:2">
      <c r="B2406"/>
    </row>
    <row r="2407" spans="2:2">
      <c r="B2407"/>
    </row>
    <row r="2408" spans="2:2">
      <c r="B2408"/>
    </row>
    <row r="2409" spans="2:2">
      <c r="B2409"/>
    </row>
    <row r="2410" spans="2:2">
      <c r="B2410"/>
    </row>
    <row r="2411" spans="2:2">
      <c r="B2411"/>
    </row>
    <row r="2412" spans="2:2">
      <c r="B2412"/>
    </row>
    <row r="2413" spans="2:2">
      <c r="B2413"/>
    </row>
    <row r="2414" spans="2:2">
      <c r="B2414"/>
    </row>
    <row r="2415" spans="2:2">
      <c r="B2415"/>
    </row>
    <row r="2416" spans="2:2">
      <c r="B2416"/>
    </row>
    <row r="2417" spans="2:2">
      <c r="B2417"/>
    </row>
    <row r="2418" spans="2:2">
      <c r="B2418"/>
    </row>
    <row r="2419" spans="2:2">
      <c r="B2419"/>
    </row>
    <row r="2420" spans="2:2">
      <c r="B2420"/>
    </row>
    <row r="2421" spans="2:2">
      <c r="B2421"/>
    </row>
    <row r="2422" spans="2:2">
      <c r="B2422"/>
    </row>
    <row r="2423" spans="2:2">
      <c r="B2423"/>
    </row>
    <row r="2424" spans="2:2">
      <c r="B2424"/>
    </row>
    <row r="2425" spans="2:2">
      <c r="B2425"/>
    </row>
    <row r="2426" spans="2:2">
      <c r="B2426"/>
    </row>
    <row r="2427" spans="2:2">
      <c r="B2427"/>
    </row>
    <row r="2428" spans="2:2">
      <c r="B2428"/>
    </row>
    <row r="2429" spans="2:2">
      <c r="B2429"/>
    </row>
    <row r="2430" spans="2:2">
      <c r="B2430"/>
    </row>
    <row r="2431" spans="2:2">
      <c r="B2431"/>
    </row>
    <row r="2432" spans="2:2">
      <c r="B2432"/>
    </row>
    <row r="2433" spans="2:2">
      <c r="B2433"/>
    </row>
    <row r="2434" spans="2:2">
      <c r="B2434"/>
    </row>
    <row r="2435" spans="2:2">
      <c r="B2435"/>
    </row>
    <row r="2436" spans="2:2">
      <c r="B2436"/>
    </row>
    <row r="2437" spans="2:2">
      <c r="B2437"/>
    </row>
    <row r="2438" spans="2:2">
      <c r="B2438"/>
    </row>
    <row r="2439" spans="2:2">
      <c r="B2439"/>
    </row>
    <row r="2440" spans="2:2">
      <c r="B2440"/>
    </row>
    <row r="2441" spans="2:2">
      <c r="B2441"/>
    </row>
    <row r="2442" spans="2:2">
      <c r="B2442"/>
    </row>
    <row r="2443" spans="2:2">
      <c r="B2443"/>
    </row>
    <row r="2444" spans="2:2">
      <c r="B2444"/>
    </row>
    <row r="2445" spans="2:2">
      <c r="B2445"/>
    </row>
    <row r="2446" spans="2:2">
      <c r="B2446"/>
    </row>
    <row r="2447" spans="2:2">
      <c r="B2447"/>
    </row>
    <row r="2448" spans="2:2">
      <c r="B2448"/>
    </row>
    <row r="2449" spans="2:2">
      <c r="B2449"/>
    </row>
    <row r="2450" spans="2:2">
      <c r="B2450"/>
    </row>
    <row r="2451" spans="2:2">
      <c r="B2451"/>
    </row>
    <row r="2452" spans="2:2">
      <c r="B2452"/>
    </row>
    <row r="2453" spans="2:2">
      <c r="B2453"/>
    </row>
    <row r="2454" spans="2:2">
      <c r="B2454"/>
    </row>
    <row r="2455" spans="2:2">
      <c r="B2455"/>
    </row>
    <row r="2456" spans="2:2">
      <c r="B2456"/>
    </row>
    <row r="2457" spans="2:2">
      <c r="B2457"/>
    </row>
    <row r="2458" spans="2:2">
      <c r="B2458"/>
    </row>
    <row r="2459" spans="2:2">
      <c r="B2459"/>
    </row>
    <row r="2460" spans="2:2">
      <c r="B2460"/>
    </row>
    <row r="2461" spans="2:2">
      <c r="B2461"/>
    </row>
    <row r="2462" spans="2:2">
      <c r="B2462"/>
    </row>
    <row r="2463" spans="2:2">
      <c r="B2463"/>
    </row>
    <row r="2464" spans="2:2">
      <c r="B2464"/>
    </row>
    <row r="2465" spans="2:2">
      <c r="B2465"/>
    </row>
    <row r="2466" spans="2:2">
      <c r="B2466"/>
    </row>
    <row r="2467" spans="2:2">
      <c r="B2467"/>
    </row>
    <row r="2468" spans="2:2">
      <c r="B2468"/>
    </row>
    <row r="2469" spans="2:2">
      <c r="B2469"/>
    </row>
    <row r="2470" spans="2:2">
      <c r="B2470"/>
    </row>
    <row r="2471" spans="2:2">
      <c r="B2471"/>
    </row>
    <row r="2472" spans="2:2">
      <c r="B2472"/>
    </row>
    <row r="2473" spans="2:2">
      <c r="B2473"/>
    </row>
    <row r="2474" spans="2:2">
      <c r="B2474"/>
    </row>
    <row r="2475" spans="2:2">
      <c r="B2475"/>
    </row>
    <row r="2476" spans="2:2">
      <c r="B2476"/>
    </row>
    <row r="2477" spans="2:2">
      <c r="B2477"/>
    </row>
    <row r="2478" spans="2:2">
      <c r="B2478"/>
    </row>
    <row r="2479" spans="2:2">
      <c r="B2479"/>
    </row>
    <row r="2480" spans="2:2">
      <c r="B2480"/>
    </row>
    <row r="2481" spans="2:2">
      <c r="B2481"/>
    </row>
    <row r="2482" spans="2:2">
      <c r="B2482"/>
    </row>
    <row r="2483" spans="2:2">
      <c r="B2483"/>
    </row>
    <row r="2484" spans="2:2">
      <c r="B2484"/>
    </row>
    <row r="2485" spans="2:2">
      <c r="B2485"/>
    </row>
    <row r="2486" spans="2:2">
      <c r="B2486"/>
    </row>
    <row r="2487" spans="2:2">
      <c r="B2487"/>
    </row>
    <row r="2488" spans="2:2">
      <c r="B2488"/>
    </row>
    <row r="2489" spans="2:2">
      <c r="B2489"/>
    </row>
    <row r="2490" spans="2:2">
      <c r="B2490"/>
    </row>
    <row r="2491" spans="2:2">
      <c r="B2491"/>
    </row>
    <row r="2492" spans="2:2">
      <c r="B2492"/>
    </row>
    <row r="2493" spans="2:2">
      <c r="B2493"/>
    </row>
    <row r="2494" spans="2:2">
      <c r="B2494"/>
    </row>
    <row r="2495" spans="2:2">
      <c r="B2495"/>
    </row>
    <row r="2496" spans="2:2">
      <c r="B2496"/>
    </row>
    <row r="2497" spans="2:2">
      <c r="B2497"/>
    </row>
    <row r="2498" spans="2:2">
      <c r="B2498"/>
    </row>
    <row r="2499" spans="2:2">
      <c r="B2499"/>
    </row>
    <row r="2500" spans="2:2">
      <c r="B2500"/>
    </row>
    <row r="2501" spans="2:2">
      <c r="B2501"/>
    </row>
    <row r="2502" spans="2:2">
      <c r="B2502"/>
    </row>
    <row r="2503" spans="2:2">
      <c r="B2503"/>
    </row>
    <row r="2504" spans="2:2">
      <c r="B2504"/>
    </row>
    <row r="2505" spans="2:2">
      <c r="B2505"/>
    </row>
    <row r="2506" spans="2:2">
      <c r="B2506"/>
    </row>
    <row r="2507" spans="2:2">
      <c r="B2507"/>
    </row>
    <row r="2508" spans="2:2">
      <c r="B2508"/>
    </row>
    <row r="2509" spans="2:2">
      <c r="B2509"/>
    </row>
    <row r="2510" spans="2:2">
      <c r="B2510"/>
    </row>
    <row r="2511" spans="2:2">
      <c r="B2511"/>
    </row>
    <row r="2512" spans="2:2">
      <c r="B2512"/>
    </row>
    <row r="2513" spans="2:2">
      <c r="B2513"/>
    </row>
    <row r="2514" spans="2:2">
      <c r="B2514"/>
    </row>
    <row r="2515" spans="2:2">
      <c r="B2515"/>
    </row>
    <row r="2516" spans="2:2">
      <c r="B2516"/>
    </row>
    <row r="2517" spans="2:2">
      <c r="B2517"/>
    </row>
    <row r="2518" spans="2:2">
      <c r="B2518"/>
    </row>
    <row r="2519" spans="2:2">
      <c r="B2519"/>
    </row>
    <row r="2520" spans="2:2">
      <c r="B2520"/>
    </row>
    <row r="2521" spans="2:2">
      <c r="B2521"/>
    </row>
    <row r="2522" spans="2:2">
      <c r="B2522"/>
    </row>
    <row r="2523" spans="2:2">
      <c r="B2523"/>
    </row>
    <row r="2524" spans="2:2">
      <c r="B2524"/>
    </row>
    <row r="2525" spans="2:2">
      <c r="B2525"/>
    </row>
    <row r="2526" spans="2:2">
      <c r="B2526"/>
    </row>
    <row r="2527" spans="2:2">
      <c r="B2527"/>
    </row>
    <row r="2528" spans="2:2">
      <c r="B2528"/>
    </row>
    <row r="2529" spans="2:2">
      <c r="B2529"/>
    </row>
    <row r="2530" spans="2:2">
      <c r="B2530"/>
    </row>
    <row r="2531" spans="2:2">
      <c r="B2531"/>
    </row>
    <row r="2532" spans="2:2">
      <c r="B2532"/>
    </row>
    <row r="2533" spans="2:2">
      <c r="B2533"/>
    </row>
    <row r="2534" spans="2:2">
      <c r="B2534"/>
    </row>
    <row r="2535" spans="2:2">
      <c r="B2535"/>
    </row>
    <row r="2536" spans="2:2">
      <c r="B2536"/>
    </row>
    <row r="2537" spans="2:2">
      <c r="B2537"/>
    </row>
    <row r="2538" spans="2:2">
      <c r="B2538"/>
    </row>
    <row r="2539" spans="2:2">
      <c r="B2539"/>
    </row>
    <row r="2540" spans="2:2">
      <c r="B2540"/>
    </row>
    <row r="2541" spans="2:2">
      <c r="B2541"/>
    </row>
    <row r="2542" spans="2:2">
      <c r="B2542"/>
    </row>
    <row r="2543" spans="2:2">
      <c r="B2543"/>
    </row>
    <row r="2544" spans="2:2">
      <c r="B2544"/>
    </row>
    <row r="2545" spans="2:2">
      <c r="B2545"/>
    </row>
    <row r="2546" spans="2:2">
      <c r="B2546"/>
    </row>
    <row r="2547" spans="2:2">
      <c r="B2547"/>
    </row>
    <row r="2548" spans="2:2">
      <c r="B2548"/>
    </row>
    <row r="2549" spans="2:2">
      <c r="B2549"/>
    </row>
    <row r="2550" spans="2:2">
      <c r="B2550"/>
    </row>
    <row r="2551" spans="2:2">
      <c r="B2551"/>
    </row>
    <row r="2552" spans="2:2">
      <c r="B2552"/>
    </row>
    <row r="2553" spans="2:2">
      <c r="B2553"/>
    </row>
    <row r="2554" spans="2:2">
      <c r="B2554"/>
    </row>
    <row r="2555" spans="2:2">
      <c r="B2555"/>
    </row>
    <row r="2556" spans="2:2">
      <c r="B2556"/>
    </row>
    <row r="2557" spans="2:2">
      <c r="B2557"/>
    </row>
    <row r="2558" spans="2:2">
      <c r="B2558"/>
    </row>
    <row r="2559" spans="2:2">
      <c r="B2559"/>
    </row>
    <row r="2560" spans="2:2">
      <c r="B2560"/>
    </row>
    <row r="2561" spans="2:2">
      <c r="B2561"/>
    </row>
    <row r="2562" spans="2:2">
      <c r="B2562"/>
    </row>
    <row r="2563" spans="2:2">
      <c r="B2563"/>
    </row>
    <row r="2564" spans="2:2">
      <c r="B2564"/>
    </row>
    <row r="2565" spans="2:2">
      <c r="B2565"/>
    </row>
    <row r="2566" spans="2:2">
      <c r="B2566"/>
    </row>
    <row r="2567" spans="2:2">
      <c r="B2567"/>
    </row>
    <row r="2568" spans="2:2">
      <c r="B2568"/>
    </row>
    <row r="2569" spans="2:2">
      <c r="B2569"/>
    </row>
    <row r="2570" spans="2:2">
      <c r="B2570"/>
    </row>
    <row r="2571" spans="2:2">
      <c r="B2571"/>
    </row>
    <row r="2572" spans="2:2">
      <c r="B2572"/>
    </row>
    <row r="2573" spans="2:2">
      <c r="B2573"/>
    </row>
    <row r="2574" spans="2:2">
      <c r="B2574"/>
    </row>
    <row r="2575" spans="2:2">
      <c r="B2575"/>
    </row>
    <row r="2576" spans="2:2">
      <c r="B2576"/>
    </row>
    <row r="2577" spans="2:2">
      <c r="B2577"/>
    </row>
    <row r="2578" spans="2:2">
      <c r="B2578"/>
    </row>
    <row r="2579" spans="2:2">
      <c r="B2579"/>
    </row>
    <row r="2580" spans="2:2">
      <c r="B2580"/>
    </row>
    <row r="2581" spans="2:2">
      <c r="B2581"/>
    </row>
    <row r="2582" spans="2:2">
      <c r="B2582"/>
    </row>
    <row r="2583" spans="2:2">
      <c r="B2583"/>
    </row>
    <row r="2584" spans="2:2">
      <c r="B2584"/>
    </row>
    <row r="2585" spans="2:2">
      <c r="B2585"/>
    </row>
    <row r="2586" spans="2:2">
      <c r="B2586"/>
    </row>
    <row r="2587" spans="2:2">
      <c r="B2587"/>
    </row>
    <row r="2588" spans="2:2">
      <c r="B2588"/>
    </row>
    <row r="2589" spans="2:2">
      <c r="B2589"/>
    </row>
    <row r="2590" spans="2:2">
      <c r="B2590"/>
    </row>
    <row r="2591" spans="2:2">
      <c r="B2591"/>
    </row>
    <row r="2592" spans="2:2">
      <c r="B2592"/>
    </row>
    <row r="2593" spans="2:2">
      <c r="B2593"/>
    </row>
    <row r="2594" spans="2:2">
      <c r="B2594"/>
    </row>
    <row r="2595" spans="2:2">
      <c r="B2595"/>
    </row>
    <row r="2596" spans="2:2">
      <c r="B2596"/>
    </row>
    <row r="2597" spans="2:2">
      <c r="B2597"/>
    </row>
    <row r="2598" spans="2:2">
      <c r="B2598"/>
    </row>
    <row r="2599" spans="2:2">
      <c r="B2599"/>
    </row>
    <row r="2600" spans="2:2">
      <c r="B2600"/>
    </row>
    <row r="2601" spans="2:2">
      <c r="B2601"/>
    </row>
    <row r="2602" spans="2:2">
      <c r="B2602"/>
    </row>
    <row r="2603" spans="2:2">
      <c r="B2603"/>
    </row>
    <row r="2604" spans="2:2">
      <c r="B2604"/>
    </row>
    <row r="2605" spans="2:2">
      <c r="B2605"/>
    </row>
    <row r="2606" spans="2:2">
      <c r="B2606"/>
    </row>
    <row r="2607" spans="2:2">
      <c r="B2607"/>
    </row>
    <row r="2608" spans="2:2">
      <c r="B2608"/>
    </row>
    <row r="2609" spans="2:2">
      <c r="B2609"/>
    </row>
    <row r="2610" spans="2:2">
      <c r="B2610"/>
    </row>
    <row r="2611" spans="2:2">
      <c r="B2611"/>
    </row>
    <row r="2612" spans="2:2">
      <c r="B2612"/>
    </row>
    <row r="2613" spans="2:2">
      <c r="B2613"/>
    </row>
    <row r="2614" spans="2:2">
      <c r="B2614"/>
    </row>
    <row r="2615" spans="2:2">
      <c r="B2615"/>
    </row>
    <row r="2616" spans="2:2">
      <c r="B2616"/>
    </row>
    <row r="2617" spans="2:2">
      <c r="B2617"/>
    </row>
    <row r="2618" spans="2:2">
      <c r="B2618"/>
    </row>
    <row r="2619" spans="2:2">
      <c r="B2619"/>
    </row>
    <row r="2620" spans="2:2">
      <c r="B2620"/>
    </row>
    <row r="2621" spans="2:2">
      <c r="B2621"/>
    </row>
    <row r="2622" spans="2:2">
      <c r="B2622"/>
    </row>
    <row r="2623" spans="2:2">
      <c r="B2623"/>
    </row>
    <row r="2624" spans="2:2">
      <c r="B2624"/>
    </row>
    <row r="2625" spans="2:2">
      <c r="B2625"/>
    </row>
    <row r="2626" spans="2:2">
      <c r="B2626"/>
    </row>
    <row r="2627" spans="2:2">
      <c r="B2627"/>
    </row>
    <row r="2628" spans="2:2">
      <c r="B2628"/>
    </row>
    <row r="2629" spans="2:2">
      <c r="B2629"/>
    </row>
    <row r="2630" spans="2:2">
      <c r="B2630"/>
    </row>
    <row r="2631" spans="2:2">
      <c r="B2631"/>
    </row>
    <row r="2632" spans="2:2">
      <c r="B2632"/>
    </row>
    <row r="2633" spans="2:2">
      <c r="B2633"/>
    </row>
    <row r="2634" spans="2:2">
      <c r="B2634"/>
    </row>
    <row r="2635" spans="2:2">
      <c r="B2635"/>
    </row>
    <row r="2636" spans="2:2">
      <c r="B2636"/>
    </row>
    <row r="2637" spans="2:2">
      <c r="B2637"/>
    </row>
    <row r="2638" spans="2:2">
      <c r="B2638"/>
    </row>
    <row r="2639" spans="2:2">
      <c r="B2639"/>
    </row>
    <row r="2640" spans="2:2">
      <c r="B2640"/>
    </row>
    <row r="2641" spans="2:2">
      <c r="B2641"/>
    </row>
    <row r="2642" spans="2:2">
      <c r="B2642"/>
    </row>
    <row r="2643" spans="2:2">
      <c r="B2643"/>
    </row>
    <row r="2644" spans="2:2">
      <c r="B2644"/>
    </row>
    <row r="2645" spans="2:2">
      <c r="B2645"/>
    </row>
    <row r="2646" spans="2:2">
      <c r="B2646"/>
    </row>
    <row r="2647" spans="2:2">
      <c r="B2647"/>
    </row>
    <row r="2648" spans="2:2">
      <c r="B2648"/>
    </row>
    <row r="2649" spans="2:2">
      <c r="B2649"/>
    </row>
    <row r="2650" spans="2:2">
      <c r="B2650"/>
    </row>
    <row r="2651" spans="2:2">
      <c r="B2651"/>
    </row>
    <row r="2652" spans="2:2">
      <c r="B2652"/>
    </row>
    <row r="2653" spans="2:2">
      <c r="B2653"/>
    </row>
    <row r="2654" spans="2:2">
      <c r="B2654"/>
    </row>
    <row r="2655" spans="2:2">
      <c r="B2655"/>
    </row>
    <row r="2656" spans="2:2">
      <c r="B2656"/>
    </row>
    <row r="2657" spans="2:2">
      <c r="B2657"/>
    </row>
    <row r="2658" spans="2:2">
      <c r="B2658"/>
    </row>
    <row r="2659" spans="2:2">
      <c r="B2659"/>
    </row>
    <row r="2660" spans="2:2">
      <c r="B2660"/>
    </row>
    <row r="2661" spans="2:2">
      <c r="B2661"/>
    </row>
    <row r="2662" spans="2:2">
      <c r="B2662"/>
    </row>
    <row r="2663" spans="2:2">
      <c r="B2663"/>
    </row>
    <row r="2664" spans="2:2">
      <c r="B2664"/>
    </row>
    <row r="2665" spans="2:2">
      <c r="B2665"/>
    </row>
    <row r="2666" spans="2:2">
      <c r="B2666"/>
    </row>
    <row r="2667" spans="2:2">
      <c r="B2667"/>
    </row>
    <row r="2668" spans="2:2">
      <c r="B2668"/>
    </row>
    <row r="2669" spans="2:2">
      <c r="B2669"/>
    </row>
    <row r="2670" spans="2:2">
      <c r="B2670"/>
    </row>
    <row r="2671" spans="2:2">
      <c r="B2671"/>
    </row>
    <row r="2672" spans="2:2">
      <c r="B2672"/>
    </row>
    <row r="2673" spans="2:2">
      <c r="B2673"/>
    </row>
    <row r="2674" spans="2:2">
      <c r="B2674"/>
    </row>
    <row r="2675" spans="2:2">
      <c r="B2675"/>
    </row>
    <row r="2676" spans="2:2">
      <c r="B2676"/>
    </row>
    <row r="2677" spans="2:2">
      <c r="B2677"/>
    </row>
    <row r="2678" spans="2:2">
      <c r="B2678"/>
    </row>
    <row r="2679" spans="2:2">
      <c r="B2679"/>
    </row>
    <row r="2680" spans="2:2">
      <c r="B2680"/>
    </row>
    <row r="2681" spans="2:2">
      <c r="B2681"/>
    </row>
    <row r="2682" spans="2:2">
      <c r="B2682"/>
    </row>
    <row r="2683" spans="2:2">
      <c r="B2683"/>
    </row>
    <row r="2684" spans="2:2">
      <c r="B2684"/>
    </row>
    <row r="2685" spans="2:2">
      <c r="B2685"/>
    </row>
    <row r="2686" spans="2:2">
      <c r="B2686"/>
    </row>
    <row r="2687" spans="2:2">
      <c r="B2687"/>
    </row>
    <row r="2688" spans="2:2">
      <c r="B2688"/>
    </row>
    <row r="2689" spans="2:2">
      <c r="B2689"/>
    </row>
    <row r="2690" spans="2:2">
      <c r="B2690"/>
    </row>
    <row r="2691" spans="2:2">
      <c r="B2691"/>
    </row>
    <row r="2692" spans="2:2">
      <c r="B2692"/>
    </row>
    <row r="2693" spans="2:2">
      <c r="B2693"/>
    </row>
    <row r="2694" spans="2:2">
      <c r="B2694"/>
    </row>
    <row r="2695" spans="2:2">
      <c r="B2695"/>
    </row>
    <row r="2696" spans="2:2">
      <c r="B2696"/>
    </row>
    <row r="2697" spans="2:2">
      <c r="B2697"/>
    </row>
    <row r="2698" spans="2:2">
      <c r="B2698"/>
    </row>
    <row r="2699" spans="2:2">
      <c r="B2699"/>
    </row>
    <row r="2700" spans="2:2">
      <c r="B2700"/>
    </row>
    <row r="2701" spans="2:2">
      <c r="B2701"/>
    </row>
    <row r="2702" spans="2:2">
      <c r="B2702"/>
    </row>
    <row r="2703" spans="2:2">
      <c r="B2703"/>
    </row>
    <row r="2704" spans="2:2">
      <c r="B2704"/>
    </row>
    <row r="2705" spans="2:2">
      <c r="B2705"/>
    </row>
    <row r="2706" spans="2:2">
      <c r="B2706"/>
    </row>
    <row r="2707" spans="2:2">
      <c r="B2707"/>
    </row>
    <row r="2708" spans="2:2">
      <c r="B2708"/>
    </row>
    <row r="2709" spans="2:2">
      <c r="B2709"/>
    </row>
    <row r="2710" spans="2:2">
      <c r="B2710"/>
    </row>
    <row r="2711" spans="2:2">
      <c r="B2711"/>
    </row>
    <row r="2712" spans="2:2">
      <c r="B2712"/>
    </row>
    <row r="2713" spans="2:2">
      <c r="B2713"/>
    </row>
    <row r="2714" spans="2:2">
      <c r="B2714"/>
    </row>
    <row r="2715" spans="2:2">
      <c r="B2715"/>
    </row>
    <row r="2716" spans="2:2">
      <c r="B2716"/>
    </row>
    <row r="2717" spans="2:2">
      <c r="B2717"/>
    </row>
    <row r="2718" spans="2:2">
      <c r="B2718"/>
    </row>
    <row r="2719" spans="2:2">
      <c r="B2719"/>
    </row>
    <row r="2720" spans="2:2">
      <c r="B2720"/>
    </row>
    <row r="2721" spans="2:2">
      <c r="B2721"/>
    </row>
    <row r="2722" spans="2:2">
      <c r="B2722"/>
    </row>
    <row r="2723" spans="2:2">
      <c r="B2723"/>
    </row>
    <row r="2724" spans="2:2">
      <c r="B2724"/>
    </row>
    <row r="2725" spans="2:2">
      <c r="B2725"/>
    </row>
    <row r="2726" spans="2:2">
      <c r="B2726"/>
    </row>
    <row r="2727" spans="2:2">
      <c r="B2727"/>
    </row>
    <row r="2728" spans="2:2">
      <c r="B2728"/>
    </row>
    <row r="2729" spans="2:2">
      <c r="B2729"/>
    </row>
    <row r="2730" spans="2:2">
      <c r="B2730"/>
    </row>
    <row r="2731" spans="2:2">
      <c r="B2731"/>
    </row>
    <row r="2732" spans="2:2">
      <c r="B2732"/>
    </row>
    <row r="2733" spans="2:2">
      <c r="B2733"/>
    </row>
    <row r="2734" spans="2:2">
      <c r="B2734"/>
    </row>
    <row r="2735" spans="2:2">
      <c r="B2735"/>
    </row>
    <row r="2736" spans="2:2">
      <c r="B2736"/>
    </row>
    <row r="2737" spans="2:2">
      <c r="B2737"/>
    </row>
    <row r="2738" spans="2:2">
      <c r="B2738"/>
    </row>
    <row r="2739" spans="2:2">
      <c r="B2739"/>
    </row>
    <row r="2740" spans="2:2">
      <c r="B2740"/>
    </row>
    <row r="2741" spans="2:2">
      <c r="B2741"/>
    </row>
    <row r="2742" spans="2:2">
      <c r="B2742"/>
    </row>
    <row r="2743" spans="2:2">
      <c r="B2743"/>
    </row>
    <row r="2744" spans="2:2">
      <c r="B2744"/>
    </row>
    <row r="2745" spans="2:2">
      <c r="B2745"/>
    </row>
    <row r="2746" spans="2:2">
      <c r="B2746"/>
    </row>
    <row r="2747" spans="2:2">
      <c r="B2747"/>
    </row>
    <row r="2748" spans="2:2">
      <c r="B2748"/>
    </row>
    <row r="2749" spans="2:2">
      <c r="B2749"/>
    </row>
    <row r="2750" spans="2:2">
      <c r="B2750"/>
    </row>
    <row r="2751" spans="2:2">
      <c r="B2751"/>
    </row>
    <row r="2752" spans="2:2">
      <c r="B2752"/>
    </row>
    <row r="2753" spans="2:2">
      <c r="B2753"/>
    </row>
    <row r="2754" spans="2:2">
      <c r="B2754"/>
    </row>
    <row r="2755" spans="2:2">
      <c r="B2755"/>
    </row>
    <row r="2756" spans="2:2">
      <c r="B2756"/>
    </row>
    <row r="2757" spans="2:2">
      <c r="B2757"/>
    </row>
    <row r="2758" spans="2:2">
      <c r="B2758"/>
    </row>
    <row r="2759" spans="2:2">
      <c r="B2759"/>
    </row>
    <row r="2760" spans="2:2">
      <c r="B2760"/>
    </row>
    <row r="2761" spans="2:2">
      <c r="B2761"/>
    </row>
    <row r="2762" spans="2:2">
      <c r="B2762"/>
    </row>
    <row r="2763" spans="2:2">
      <c r="B2763"/>
    </row>
    <row r="2764" spans="2:2">
      <c r="B2764"/>
    </row>
    <row r="2765" spans="2:2">
      <c r="B2765"/>
    </row>
    <row r="2766" spans="2:2">
      <c r="B2766"/>
    </row>
    <row r="2767" spans="2:2">
      <c r="B2767"/>
    </row>
    <row r="2768" spans="2:2">
      <c r="B2768"/>
    </row>
    <row r="2769" spans="2:2">
      <c r="B2769"/>
    </row>
    <row r="2770" spans="2:2">
      <c r="B2770"/>
    </row>
    <row r="2771" spans="2:2">
      <c r="B2771"/>
    </row>
    <row r="2772" spans="2:2">
      <c r="B2772"/>
    </row>
    <row r="2773" spans="2:2">
      <c r="B2773"/>
    </row>
    <row r="2774" spans="2:2">
      <c r="B2774"/>
    </row>
    <row r="2775" spans="2:2">
      <c r="B2775"/>
    </row>
    <row r="2776" spans="2:2">
      <c r="B2776"/>
    </row>
    <row r="2777" spans="2:2">
      <c r="B2777"/>
    </row>
    <row r="2778" spans="2:2">
      <c r="B2778"/>
    </row>
    <row r="2779" spans="2:2">
      <c r="B2779"/>
    </row>
    <row r="2780" spans="2:2">
      <c r="B2780"/>
    </row>
    <row r="2781" spans="2:2">
      <c r="B2781"/>
    </row>
    <row r="2782" spans="2:2">
      <c r="B2782"/>
    </row>
    <row r="2783" spans="2:2">
      <c r="B2783"/>
    </row>
    <row r="2784" spans="2:2">
      <c r="B2784"/>
    </row>
    <row r="2785" spans="2:2">
      <c r="B2785"/>
    </row>
    <row r="2786" spans="2:2">
      <c r="B2786"/>
    </row>
    <row r="2787" spans="2:2">
      <c r="B2787"/>
    </row>
    <row r="2788" spans="2:2">
      <c r="B2788"/>
    </row>
    <row r="2789" spans="2:2">
      <c r="B2789"/>
    </row>
    <row r="2790" spans="2:2">
      <c r="B2790"/>
    </row>
    <row r="2791" spans="2:2">
      <c r="B2791"/>
    </row>
    <row r="2792" spans="2:2">
      <c r="B2792"/>
    </row>
    <row r="2793" spans="2:2">
      <c r="B2793"/>
    </row>
    <row r="2794" spans="2:2">
      <c r="B2794"/>
    </row>
    <row r="2795" spans="2:2">
      <c r="B2795"/>
    </row>
    <row r="2796" spans="2:2">
      <c r="B2796"/>
    </row>
    <row r="2797" spans="2:2">
      <c r="B2797"/>
    </row>
    <row r="2798" spans="2:2">
      <c r="B2798"/>
    </row>
    <row r="2799" spans="2:2">
      <c r="B2799"/>
    </row>
    <row r="2800" spans="2:2">
      <c r="B2800"/>
    </row>
    <row r="2801" spans="2:2">
      <c r="B2801"/>
    </row>
    <row r="2802" spans="2:2">
      <c r="B2802"/>
    </row>
    <row r="2803" spans="2:2">
      <c r="B2803"/>
    </row>
    <row r="2804" spans="2:2">
      <c r="B2804"/>
    </row>
    <row r="2805" spans="2:2">
      <c r="B2805"/>
    </row>
    <row r="2806" spans="2:2">
      <c r="B2806"/>
    </row>
    <row r="2807" spans="2:2">
      <c r="B2807"/>
    </row>
    <row r="2808" spans="2:2">
      <c r="B2808"/>
    </row>
    <row r="2809" spans="2:2">
      <c r="B2809"/>
    </row>
    <row r="2810" spans="2:2">
      <c r="B2810"/>
    </row>
    <row r="2811" spans="2:2">
      <c r="B2811"/>
    </row>
    <row r="2812" spans="2:2">
      <c r="B2812"/>
    </row>
    <row r="2813" spans="2:2">
      <c r="B2813"/>
    </row>
    <row r="2814" spans="2:2">
      <c r="B2814"/>
    </row>
    <row r="2815" spans="2:2">
      <c r="B2815"/>
    </row>
    <row r="2816" spans="2:2">
      <c r="B2816"/>
    </row>
    <row r="2817" spans="2:2">
      <c r="B2817"/>
    </row>
    <row r="2818" spans="2:2">
      <c r="B2818"/>
    </row>
    <row r="2819" spans="2:2">
      <c r="B2819"/>
    </row>
    <row r="2820" spans="2:2">
      <c r="B2820"/>
    </row>
    <row r="2821" spans="2:2">
      <c r="B2821"/>
    </row>
    <row r="2822" spans="2:2">
      <c r="B2822"/>
    </row>
    <row r="2823" spans="2:2">
      <c r="B2823"/>
    </row>
    <row r="2824" spans="2:2">
      <c r="B2824"/>
    </row>
    <row r="2825" spans="2:2">
      <c r="B2825"/>
    </row>
    <row r="2826" spans="2:2">
      <c r="B2826"/>
    </row>
    <row r="2827" spans="2:2">
      <c r="B2827"/>
    </row>
    <row r="2828" spans="2:2">
      <c r="B2828"/>
    </row>
    <row r="2829" spans="2:2">
      <c r="B2829"/>
    </row>
    <row r="2830" spans="2:2">
      <c r="B2830"/>
    </row>
    <row r="2831" spans="2:2">
      <c r="B2831"/>
    </row>
    <row r="2832" spans="2:2">
      <c r="B2832"/>
    </row>
    <row r="2833" spans="2:2">
      <c r="B2833"/>
    </row>
    <row r="2834" spans="2:2">
      <c r="B2834"/>
    </row>
    <row r="2835" spans="2:2">
      <c r="B2835"/>
    </row>
    <row r="2836" spans="2:2">
      <c r="B2836"/>
    </row>
    <row r="2837" spans="2:2">
      <c r="B2837"/>
    </row>
    <row r="2838" spans="2:2">
      <c r="B2838"/>
    </row>
    <row r="2839" spans="2:2">
      <c r="B2839"/>
    </row>
    <row r="2840" spans="2:2">
      <c r="B2840"/>
    </row>
    <row r="2841" spans="2:2">
      <c r="B2841"/>
    </row>
    <row r="2842" spans="2:2">
      <c r="B2842"/>
    </row>
    <row r="2843" spans="2:2">
      <c r="B2843"/>
    </row>
    <row r="2844" spans="2:2">
      <c r="B2844"/>
    </row>
    <row r="2845" spans="2:2">
      <c r="B2845"/>
    </row>
    <row r="2846" spans="2:2">
      <c r="B2846"/>
    </row>
    <row r="2847" spans="2:2">
      <c r="B2847"/>
    </row>
    <row r="2848" spans="2:2">
      <c r="B2848"/>
    </row>
    <row r="2849" spans="2:2">
      <c r="B2849"/>
    </row>
    <row r="2850" spans="2:2">
      <c r="B2850"/>
    </row>
    <row r="2851" spans="2:2">
      <c r="B2851"/>
    </row>
    <row r="2852" spans="2:2">
      <c r="B2852"/>
    </row>
    <row r="2853" spans="2:2">
      <c r="B2853"/>
    </row>
    <row r="2854" spans="2:2">
      <c r="B2854"/>
    </row>
    <row r="2855" spans="2:2">
      <c r="B2855"/>
    </row>
    <row r="2856" spans="2:2">
      <c r="B2856"/>
    </row>
    <row r="2857" spans="2:2">
      <c r="B2857"/>
    </row>
    <row r="2858" spans="2:2">
      <c r="B2858"/>
    </row>
    <row r="2859" spans="2:2">
      <c r="B2859"/>
    </row>
    <row r="2860" spans="2:2">
      <c r="B2860"/>
    </row>
    <row r="2861" spans="2:2">
      <c r="B2861"/>
    </row>
    <row r="2862" spans="2:2">
      <c r="B2862"/>
    </row>
    <row r="2863" spans="2:2">
      <c r="B2863"/>
    </row>
    <row r="2864" spans="2:2">
      <c r="B2864"/>
    </row>
    <row r="2865" spans="2:2">
      <c r="B2865"/>
    </row>
    <row r="2866" spans="2:2">
      <c r="B2866"/>
    </row>
    <row r="2867" spans="2:2">
      <c r="B2867"/>
    </row>
    <row r="2868" spans="2:2">
      <c r="B2868"/>
    </row>
    <row r="2869" spans="2:2">
      <c r="B2869"/>
    </row>
    <row r="2870" spans="2:2">
      <c r="B2870"/>
    </row>
    <row r="2871" spans="2:2">
      <c r="B2871"/>
    </row>
    <row r="2872" spans="2:2">
      <c r="B2872"/>
    </row>
    <row r="2873" spans="2:2">
      <c r="B2873"/>
    </row>
    <row r="2874" spans="2:2">
      <c r="B2874"/>
    </row>
    <row r="2875" spans="2:2">
      <c r="B2875"/>
    </row>
    <row r="2876" spans="2:2">
      <c r="B2876"/>
    </row>
    <row r="2877" spans="2:2">
      <c r="B2877"/>
    </row>
    <row r="2878" spans="2:2">
      <c r="B2878"/>
    </row>
    <row r="2879" spans="2:2">
      <c r="B2879"/>
    </row>
    <row r="2880" spans="2:2">
      <c r="B2880"/>
    </row>
    <row r="2881" spans="2:2">
      <c r="B2881"/>
    </row>
    <row r="2882" spans="2:2">
      <c r="B2882"/>
    </row>
    <row r="2883" spans="2:2">
      <c r="B2883"/>
    </row>
    <row r="2884" spans="2:2">
      <c r="B2884"/>
    </row>
    <row r="2885" spans="2:2">
      <c r="B2885"/>
    </row>
    <row r="2886" spans="2:2">
      <c r="B2886"/>
    </row>
    <row r="2887" spans="2:2">
      <c r="B2887"/>
    </row>
    <row r="2888" spans="2:2">
      <c r="B2888"/>
    </row>
    <row r="2889" spans="2:2">
      <c r="B2889"/>
    </row>
    <row r="2890" spans="2:2">
      <c r="B2890"/>
    </row>
    <row r="2891" spans="2:2">
      <c r="B2891"/>
    </row>
    <row r="2892" spans="2:2">
      <c r="B2892"/>
    </row>
    <row r="2893" spans="2:2">
      <c r="B2893"/>
    </row>
    <row r="2894" spans="2:2">
      <c r="B2894"/>
    </row>
    <row r="2895" spans="2:2">
      <c r="B2895"/>
    </row>
    <row r="2896" spans="2:2">
      <c r="B2896"/>
    </row>
    <row r="2897" spans="2:2">
      <c r="B2897"/>
    </row>
    <row r="2898" spans="2:2">
      <c r="B2898"/>
    </row>
    <row r="2899" spans="2:2">
      <c r="B2899"/>
    </row>
    <row r="2900" spans="2:2">
      <c r="B2900"/>
    </row>
    <row r="2901" spans="2:2">
      <c r="B2901"/>
    </row>
    <row r="2902" spans="2:2">
      <c r="B2902"/>
    </row>
    <row r="2903" spans="2:2">
      <c r="B2903"/>
    </row>
    <row r="2904" spans="2:2">
      <c r="B2904"/>
    </row>
    <row r="2905" spans="2:2">
      <c r="B2905"/>
    </row>
    <row r="2906" spans="2:2">
      <c r="B2906"/>
    </row>
    <row r="2907" spans="2:2">
      <c r="B2907"/>
    </row>
    <row r="2908" spans="2:2">
      <c r="B2908"/>
    </row>
    <row r="2909" spans="2:2">
      <c r="B2909"/>
    </row>
    <row r="2910" spans="2:2">
      <c r="B2910"/>
    </row>
    <row r="2911" spans="2:2">
      <c r="B2911"/>
    </row>
    <row r="2912" spans="2:2">
      <c r="B2912"/>
    </row>
    <row r="2913" spans="2:2">
      <c r="B2913"/>
    </row>
    <row r="2914" spans="2:2">
      <c r="B2914"/>
    </row>
    <row r="2915" spans="2:2">
      <c r="B2915"/>
    </row>
    <row r="2916" spans="2:2">
      <c r="B2916"/>
    </row>
    <row r="2917" spans="2:2">
      <c r="B2917"/>
    </row>
    <row r="2918" spans="2:2">
      <c r="B2918"/>
    </row>
    <row r="2919" spans="2:2">
      <c r="B2919"/>
    </row>
    <row r="2920" spans="2:2">
      <c r="B2920"/>
    </row>
    <row r="2921" spans="2:2">
      <c r="B2921"/>
    </row>
    <row r="2922" spans="2:2">
      <c r="B2922"/>
    </row>
    <row r="2923" spans="2:2">
      <c r="B2923"/>
    </row>
    <row r="2924" spans="2:2">
      <c r="B2924"/>
    </row>
    <row r="2925" spans="2:2">
      <c r="B2925"/>
    </row>
    <row r="2926" spans="2:2">
      <c r="B2926"/>
    </row>
    <row r="2927" spans="2:2">
      <c r="B2927"/>
    </row>
    <row r="2928" spans="2:2">
      <c r="B2928"/>
    </row>
    <row r="2929" spans="2:2">
      <c r="B2929"/>
    </row>
    <row r="2930" spans="2:2">
      <c r="B2930"/>
    </row>
    <row r="2931" spans="2:2">
      <c r="B2931"/>
    </row>
    <row r="2932" spans="2:2">
      <c r="B2932"/>
    </row>
    <row r="2933" spans="2:2">
      <c r="B2933"/>
    </row>
    <row r="2934" spans="2:2">
      <c r="B2934"/>
    </row>
    <row r="2935" spans="2:2">
      <c r="B2935"/>
    </row>
    <row r="2936" spans="2:2">
      <c r="B2936"/>
    </row>
    <row r="2937" spans="2:2">
      <c r="B2937"/>
    </row>
    <row r="2938" spans="2:2">
      <c r="B2938"/>
    </row>
    <row r="2939" spans="2:2">
      <c r="B2939"/>
    </row>
    <row r="2940" spans="2:2">
      <c r="B2940"/>
    </row>
    <row r="2941" spans="2:2">
      <c r="B2941"/>
    </row>
    <row r="2942" spans="2:2">
      <c r="B2942"/>
    </row>
    <row r="2943" spans="2:2">
      <c r="B2943"/>
    </row>
    <row r="2944" spans="2:2">
      <c r="B2944"/>
    </row>
    <row r="2945" spans="2:2">
      <c r="B2945"/>
    </row>
    <row r="2946" spans="2:2">
      <c r="B2946"/>
    </row>
    <row r="2947" spans="2:2">
      <c r="B2947"/>
    </row>
    <row r="2948" spans="2:2">
      <c r="B2948"/>
    </row>
    <row r="2949" spans="2:2">
      <c r="B2949"/>
    </row>
    <row r="2950" spans="2:2">
      <c r="B2950"/>
    </row>
    <row r="2951" spans="2:2">
      <c r="B2951"/>
    </row>
    <row r="2952" spans="2:2">
      <c r="B2952"/>
    </row>
    <row r="2953" spans="2:2" ht="18">
      <c r="B2953" s="252"/>
    </row>
    <row r="2954" spans="2:2">
      <c r="B2954"/>
    </row>
    <row r="2955" spans="2:2">
      <c r="B2955"/>
    </row>
    <row r="2956" spans="2:2">
      <c r="B2956"/>
    </row>
    <row r="2957" spans="2:2">
      <c r="B2957"/>
    </row>
    <row r="2958" spans="2:2">
      <c r="B2958"/>
    </row>
    <row r="2959" spans="2:2">
      <c r="B2959"/>
    </row>
    <row r="2960" spans="2:2">
      <c r="B2960"/>
    </row>
    <row r="2961" spans="2:2">
      <c r="B2961"/>
    </row>
    <row r="2962" spans="2:2">
      <c r="B2962"/>
    </row>
    <row r="2963" spans="2:2">
      <c r="B2963"/>
    </row>
    <row r="2964" spans="2:2">
      <c r="B2964"/>
    </row>
    <row r="2965" spans="2:2">
      <c r="B2965"/>
    </row>
    <row r="2966" spans="2:2">
      <c r="B2966"/>
    </row>
    <row r="2967" spans="2:2">
      <c r="B2967"/>
    </row>
    <row r="2968" spans="2:2">
      <c r="B2968"/>
    </row>
    <row r="2969" spans="2:2">
      <c r="B2969"/>
    </row>
    <row r="2970" spans="2:2">
      <c r="B2970"/>
    </row>
    <row r="2971" spans="2:2">
      <c r="B2971" s="2506"/>
    </row>
    <row r="2972" spans="2:2">
      <c r="B2972"/>
    </row>
    <row r="2973" spans="2:2">
      <c r="B2973"/>
    </row>
    <row r="2974" spans="2:2">
      <c r="B2974"/>
    </row>
    <row r="2975" spans="2:2">
      <c r="B2975"/>
    </row>
    <row r="2976" spans="2:2">
      <c r="B2976"/>
    </row>
    <row r="2977" spans="2:2">
      <c r="B2977"/>
    </row>
    <row r="2978" spans="2:2">
      <c r="B2978"/>
    </row>
    <row r="2979" spans="2:2">
      <c r="B2979"/>
    </row>
    <row r="2980" spans="2:2">
      <c r="B2980"/>
    </row>
    <row r="2981" spans="2:2">
      <c r="B2981"/>
    </row>
    <row r="2982" spans="2:2">
      <c r="B2982"/>
    </row>
    <row r="2983" spans="2:2">
      <c r="B2983"/>
    </row>
    <row r="2984" spans="2:2">
      <c r="B2984"/>
    </row>
    <row r="2985" spans="2:2">
      <c r="B2985"/>
    </row>
    <row r="2986" spans="2:2">
      <c r="B2986"/>
    </row>
    <row r="2987" spans="2:2">
      <c r="B2987"/>
    </row>
    <row r="2988" spans="2:2">
      <c r="B2988"/>
    </row>
    <row r="2989" spans="2:2">
      <c r="B2989"/>
    </row>
    <row r="2990" spans="2:2">
      <c r="B2990"/>
    </row>
    <row r="2991" spans="2:2">
      <c r="B2991"/>
    </row>
    <row r="2992" spans="2:2">
      <c r="B2992"/>
    </row>
    <row r="2993" spans="2:2">
      <c r="B2993"/>
    </row>
    <row r="2994" spans="2:2">
      <c r="B2994"/>
    </row>
    <row r="2995" spans="2:2">
      <c r="B2995"/>
    </row>
    <row r="2996" spans="2:2">
      <c r="B2996"/>
    </row>
    <row r="2997" spans="2:2">
      <c r="B2997" s="2506"/>
    </row>
    <row r="2998" spans="2:2">
      <c r="B2998" s="2506"/>
    </row>
    <row r="2999" spans="2:2">
      <c r="B2999" s="2506"/>
    </row>
    <row r="3000" spans="2:2">
      <c r="B3000" s="2506"/>
    </row>
    <row r="3001" spans="2:2" ht="18">
      <c r="B3001" s="252"/>
    </row>
    <row r="3002" spans="2:2" ht="18">
      <c r="B3002" s="243"/>
    </row>
    <row r="3003" spans="2:2" ht="18">
      <c r="B3003" s="252"/>
    </row>
    <row r="3004" spans="2:2" ht="18">
      <c r="B3004" s="252"/>
    </row>
    <row r="3005" spans="2:2">
      <c r="B3005"/>
    </row>
    <row r="3006" spans="2:2">
      <c r="B3006"/>
    </row>
    <row r="3007" spans="2:2">
      <c r="B3007"/>
    </row>
    <row r="3008" spans="2:2">
      <c r="B3008"/>
    </row>
    <row r="3009" spans="2:2">
      <c r="B3009"/>
    </row>
    <row r="3010" spans="2:2">
      <c r="B3010"/>
    </row>
    <row r="3011" spans="2:2">
      <c r="B3011"/>
    </row>
    <row r="3012" spans="2:2">
      <c r="B3012"/>
    </row>
    <row r="3013" spans="2:2">
      <c r="B3013"/>
    </row>
    <row r="3014" spans="2:2">
      <c r="B3014"/>
    </row>
    <row r="3015" spans="2:2">
      <c r="B3015"/>
    </row>
    <row r="3016" spans="2:2">
      <c r="B3016"/>
    </row>
    <row r="3017" spans="2:2">
      <c r="B3017"/>
    </row>
    <row r="3018" spans="2:2">
      <c r="B3018"/>
    </row>
    <row r="3019" spans="2:2">
      <c r="B3019"/>
    </row>
    <row r="3020" spans="2:2">
      <c r="B3020"/>
    </row>
    <row r="3021" spans="2:2">
      <c r="B3021"/>
    </row>
    <row r="3022" spans="2:2">
      <c r="B3022"/>
    </row>
    <row r="3023" spans="2:2">
      <c r="B3023" s="2506"/>
    </row>
    <row r="3024" spans="2:2">
      <c r="B3024" s="2506"/>
    </row>
    <row r="3025" spans="2:2" ht="18">
      <c r="B3025" s="243"/>
    </row>
    <row r="3026" spans="2:2" ht="18">
      <c r="B3026" s="243"/>
    </row>
    <row r="3027" spans="2:2" ht="18">
      <c r="B3027" s="252"/>
    </row>
    <row r="3028" spans="2:2" ht="18">
      <c r="B3028" s="243"/>
    </row>
    <row r="3029" spans="2:2" ht="18">
      <c r="B3029" s="243"/>
    </row>
    <row r="3030" spans="2:2">
      <c r="B3030"/>
    </row>
    <row r="3031" spans="2:2">
      <c r="B3031"/>
    </row>
    <row r="3032" spans="2:2">
      <c r="B3032"/>
    </row>
    <row r="3033" spans="2:2">
      <c r="B3033"/>
    </row>
    <row r="3034" spans="2:2">
      <c r="B3034"/>
    </row>
    <row r="3035" spans="2:2">
      <c r="B3035"/>
    </row>
    <row r="3036" spans="2:2">
      <c r="B3036"/>
    </row>
    <row r="3037" spans="2:2">
      <c r="B3037"/>
    </row>
    <row r="3038" spans="2:2">
      <c r="B3038"/>
    </row>
    <row r="3039" spans="2:2">
      <c r="B3039"/>
    </row>
    <row r="3040" spans="2:2">
      <c r="B3040"/>
    </row>
    <row r="3041" spans="2:2">
      <c r="B3041"/>
    </row>
    <row r="3042" spans="2:2">
      <c r="B3042"/>
    </row>
    <row r="3043" spans="2:2">
      <c r="B3043"/>
    </row>
    <row r="3044" spans="2:2">
      <c r="B3044"/>
    </row>
    <row r="3045" spans="2:2">
      <c r="B3045"/>
    </row>
    <row r="3046" spans="2:2">
      <c r="B3046"/>
    </row>
    <row r="3047" spans="2:2">
      <c r="B3047"/>
    </row>
    <row r="3048" spans="2:2">
      <c r="B3048"/>
    </row>
    <row r="3049" spans="2:2">
      <c r="B3049"/>
    </row>
    <row r="3050" spans="2:2">
      <c r="B3050"/>
    </row>
    <row r="3051" spans="2:2">
      <c r="B3051"/>
    </row>
    <row r="3052" spans="2:2">
      <c r="B3052"/>
    </row>
    <row r="3053" spans="2:2">
      <c r="B3053"/>
    </row>
    <row r="3054" spans="2:2">
      <c r="B3054"/>
    </row>
    <row r="3055" spans="2:2">
      <c r="B3055"/>
    </row>
    <row r="3056" spans="2:2">
      <c r="B3056"/>
    </row>
    <row r="3057" spans="2:2">
      <c r="B3057"/>
    </row>
    <row r="3058" spans="2:2">
      <c r="B3058"/>
    </row>
    <row r="3059" spans="2:2">
      <c r="B3059"/>
    </row>
    <row r="3060" spans="2:2">
      <c r="B3060"/>
    </row>
    <row r="3061" spans="2:2">
      <c r="B3061"/>
    </row>
    <row r="3062" spans="2:2">
      <c r="B3062"/>
    </row>
    <row r="3063" spans="2:2">
      <c r="B3063"/>
    </row>
    <row r="3064" spans="2:2">
      <c r="B3064"/>
    </row>
    <row r="3065" spans="2:2">
      <c r="B3065"/>
    </row>
    <row r="3066" spans="2:2">
      <c r="B3066"/>
    </row>
    <row r="3067" spans="2:2">
      <c r="B3067"/>
    </row>
    <row r="3068" spans="2:2">
      <c r="B3068"/>
    </row>
    <row r="3069" spans="2:2">
      <c r="B3069"/>
    </row>
    <row r="3070" spans="2:2">
      <c r="B3070"/>
    </row>
    <row r="3071" spans="2:2">
      <c r="B3071"/>
    </row>
    <row r="3072" spans="2:2">
      <c r="B3072"/>
    </row>
    <row r="3073" spans="2:2">
      <c r="B3073"/>
    </row>
    <row r="3074" spans="2:2">
      <c r="B3074"/>
    </row>
    <row r="3075" spans="2:2">
      <c r="B3075"/>
    </row>
    <row r="3076" spans="2:2">
      <c r="B3076"/>
    </row>
    <row r="3077" spans="2:2">
      <c r="B3077"/>
    </row>
    <row r="3078" spans="2:2">
      <c r="B3078"/>
    </row>
    <row r="3079" spans="2:2">
      <c r="B3079"/>
    </row>
    <row r="3080" spans="2:2">
      <c r="B3080"/>
    </row>
    <row r="3081" spans="2:2">
      <c r="B3081"/>
    </row>
    <row r="3082" spans="2:2">
      <c r="B3082"/>
    </row>
    <row r="3083" spans="2:2">
      <c r="B3083"/>
    </row>
    <row r="3084" spans="2:2">
      <c r="B3084"/>
    </row>
    <row r="3085" spans="2:2">
      <c r="B3085"/>
    </row>
    <row r="3086" spans="2:2">
      <c r="B3086"/>
    </row>
    <row r="3087" spans="2:2">
      <c r="B3087"/>
    </row>
    <row r="3088" spans="2:2">
      <c r="B3088"/>
    </row>
    <row r="3089" spans="2:2">
      <c r="B3089"/>
    </row>
    <row r="3090" spans="2:2">
      <c r="B3090"/>
    </row>
    <row r="3091" spans="2:2">
      <c r="B3091"/>
    </row>
    <row r="3092" spans="2:2">
      <c r="B3092"/>
    </row>
    <row r="3093" spans="2:2">
      <c r="B3093"/>
    </row>
    <row r="3094" spans="2:2">
      <c r="B3094"/>
    </row>
    <row r="3095" spans="2:2">
      <c r="B3095"/>
    </row>
    <row r="3096" spans="2:2">
      <c r="B3096"/>
    </row>
    <row r="3097" spans="2:2">
      <c r="B3097"/>
    </row>
    <row r="3098" spans="2:2">
      <c r="B3098"/>
    </row>
    <row r="3099" spans="2:2">
      <c r="B3099"/>
    </row>
    <row r="3100" spans="2:2">
      <c r="B3100"/>
    </row>
    <row r="3101" spans="2:2">
      <c r="B3101"/>
    </row>
    <row r="3102" spans="2:2">
      <c r="B3102"/>
    </row>
    <row r="3103" spans="2:2">
      <c r="B3103"/>
    </row>
    <row r="3104" spans="2:2">
      <c r="B3104"/>
    </row>
    <row r="3105" spans="2:2">
      <c r="B3105"/>
    </row>
    <row r="3106" spans="2:2">
      <c r="B3106"/>
    </row>
    <row r="3107" spans="2:2">
      <c r="B3107"/>
    </row>
    <row r="3108" spans="2:2">
      <c r="B3108"/>
    </row>
    <row r="3109" spans="2:2">
      <c r="B3109"/>
    </row>
    <row r="3110" spans="2:2">
      <c r="B3110"/>
    </row>
    <row r="3111" spans="2:2">
      <c r="B3111"/>
    </row>
    <row r="3112" spans="2:2">
      <c r="B3112"/>
    </row>
    <row r="3113" spans="2:2">
      <c r="B3113"/>
    </row>
    <row r="3114" spans="2:2">
      <c r="B3114"/>
    </row>
    <row r="3115" spans="2:2">
      <c r="B3115"/>
    </row>
    <row r="3116" spans="2:2">
      <c r="B3116"/>
    </row>
    <row r="3117" spans="2:2">
      <c r="B3117"/>
    </row>
    <row r="3118" spans="2:2">
      <c r="B3118"/>
    </row>
    <row r="3119" spans="2:2">
      <c r="B3119"/>
    </row>
    <row r="3120" spans="2:2">
      <c r="B3120"/>
    </row>
    <row r="3121" spans="2:2">
      <c r="B3121"/>
    </row>
    <row r="3122" spans="2:2">
      <c r="B3122"/>
    </row>
    <row r="3123" spans="2:2">
      <c r="B3123"/>
    </row>
    <row r="3124" spans="2:2">
      <c r="B3124"/>
    </row>
    <row r="3125" spans="2:2">
      <c r="B3125"/>
    </row>
    <row r="3126" spans="2:2">
      <c r="B3126"/>
    </row>
    <row r="3127" spans="2:2">
      <c r="B3127"/>
    </row>
    <row r="3128" spans="2:2">
      <c r="B3128"/>
    </row>
    <row r="3129" spans="2:2">
      <c r="B3129"/>
    </row>
    <row r="3130" spans="2:2">
      <c r="B3130"/>
    </row>
    <row r="3131" spans="2:2">
      <c r="B3131"/>
    </row>
    <row r="3132" spans="2:2">
      <c r="B3132"/>
    </row>
    <row r="3133" spans="2:2">
      <c r="B3133"/>
    </row>
    <row r="3134" spans="2:2">
      <c r="B3134"/>
    </row>
    <row r="3135" spans="2:2">
      <c r="B3135"/>
    </row>
    <row r="3136" spans="2:2">
      <c r="B3136"/>
    </row>
    <row r="3137" spans="2:2">
      <c r="B3137"/>
    </row>
    <row r="3138" spans="2:2">
      <c r="B3138"/>
    </row>
    <row r="3139" spans="2:2">
      <c r="B3139"/>
    </row>
    <row r="3140" spans="2:2">
      <c r="B3140"/>
    </row>
    <row r="3141" spans="2:2">
      <c r="B3141"/>
    </row>
    <row r="3142" spans="2:2">
      <c r="B3142"/>
    </row>
    <row r="3143" spans="2:2">
      <c r="B3143"/>
    </row>
    <row r="3144" spans="2:2">
      <c r="B3144"/>
    </row>
    <row r="3145" spans="2:2">
      <c r="B3145"/>
    </row>
    <row r="3146" spans="2:2">
      <c r="B3146"/>
    </row>
    <row r="3147" spans="2:2">
      <c r="B3147"/>
    </row>
    <row r="3148" spans="2:2">
      <c r="B3148"/>
    </row>
    <row r="3149" spans="2:2">
      <c r="B3149"/>
    </row>
    <row r="3150" spans="2:2">
      <c r="B3150"/>
    </row>
    <row r="3151" spans="2:2">
      <c r="B3151"/>
    </row>
    <row r="3152" spans="2:2">
      <c r="B3152"/>
    </row>
    <row r="3153" spans="2:2">
      <c r="B3153"/>
    </row>
    <row r="3154" spans="2:2">
      <c r="B3154"/>
    </row>
    <row r="3155" spans="2:2">
      <c r="B3155"/>
    </row>
    <row r="3156" spans="2:2">
      <c r="B3156"/>
    </row>
    <row r="3157" spans="2:2">
      <c r="B3157"/>
    </row>
    <row r="3158" spans="2:2">
      <c r="B3158"/>
    </row>
    <row r="3159" spans="2:2">
      <c r="B3159"/>
    </row>
    <row r="3160" spans="2:2">
      <c r="B3160"/>
    </row>
    <row r="3161" spans="2:2">
      <c r="B3161"/>
    </row>
    <row r="3162" spans="2:2">
      <c r="B3162"/>
    </row>
    <row r="3163" spans="2:2">
      <c r="B3163"/>
    </row>
    <row r="3164" spans="2:2">
      <c r="B3164"/>
    </row>
    <row r="3165" spans="2:2">
      <c r="B3165"/>
    </row>
    <row r="3166" spans="2:2">
      <c r="B3166"/>
    </row>
    <row r="3167" spans="2:2">
      <c r="B3167"/>
    </row>
    <row r="3168" spans="2:2">
      <c r="B3168"/>
    </row>
    <row r="3169" spans="2:2">
      <c r="B3169"/>
    </row>
    <row r="3170" spans="2:2">
      <c r="B3170"/>
    </row>
    <row r="3171" spans="2:2">
      <c r="B3171"/>
    </row>
    <row r="3172" spans="2:2">
      <c r="B3172"/>
    </row>
    <row r="3173" spans="2:2">
      <c r="B3173"/>
    </row>
    <row r="3174" spans="2:2">
      <c r="B3174"/>
    </row>
    <row r="3175" spans="2:2">
      <c r="B3175"/>
    </row>
    <row r="3176" spans="2:2">
      <c r="B3176"/>
    </row>
    <row r="3177" spans="2:2">
      <c r="B3177"/>
    </row>
    <row r="3178" spans="2:2">
      <c r="B3178"/>
    </row>
    <row r="3179" spans="2:2">
      <c r="B3179"/>
    </row>
    <row r="3180" spans="2:2">
      <c r="B3180"/>
    </row>
    <row r="3181" spans="2:2">
      <c r="B3181"/>
    </row>
    <row r="3182" spans="2:2">
      <c r="B3182"/>
    </row>
    <row r="3183" spans="2:2">
      <c r="B3183"/>
    </row>
    <row r="3184" spans="2:2">
      <c r="B3184"/>
    </row>
    <row r="3185" spans="2:2">
      <c r="B3185"/>
    </row>
    <row r="3186" spans="2:2">
      <c r="B3186"/>
    </row>
    <row r="3187" spans="2:2">
      <c r="B3187"/>
    </row>
    <row r="3188" spans="2:2">
      <c r="B3188"/>
    </row>
    <row r="3189" spans="2:2">
      <c r="B3189"/>
    </row>
    <row r="3190" spans="2:2">
      <c r="B3190"/>
    </row>
    <row r="3191" spans="2:2">
      <c r="B3191"/>
    </row>
    <row r="3192" spans="2:2">
      <c r="B3192"/>
    </row>
    <row r="3193" spans="2:2">
      <c r="B3193"/>
    </row>
    <row r="3194" spans="2:2">
      <c r="B3194"/>
    </row>
    <row r="3195" spans="2:2">
      <c r="B3195"/>
    </row>
    <row r="3196" spans="2:2">
      <c r="B3196"/>
    </row>
    <row r="3197" spans="2:2">
      <c r="B3197"/>
    </row>
    <row r="3198" spans="2:2">
      <c r="B3198"/>
    </row>
    <row r="3199" spans="2:2">
      <c r="B3199"/>
    </row>
    <row r="3200" spans="2:2">
      <c r="B3200"/>
    </row>
    <row r="3201" spans="2:2">
      <c r="B3201"/>
    </row>
    <row r="3202" spans="2:2">
      <c r="B3202"/>
    </row>
    <row r="3203" spans="2:2">
      <c r="B3203"/>
    </row>
    <row r="3204" spans="2:2">
      <c r="B3204"/>
    </row>
    <row r="3205" spans="2:2">
      <c r="B3205"/>
    </row>
    <row r="3206" spans="2:2">
      <c r="B3206"/>
    </row>
    <row r="3207" spans="2:2">
      <c r="B3207"/>
    </row>
    <row r="3208" spans="2:2">
      <c r="B3208"/>
    </row>
    <row r="3209" spans="2:2">
      <c r="B3209"/>
    </row>
    <row r="3210" spans="2:2">
      <c r="B3210"/>
    </row>
    <row r="3211" spans="2:2">
      <c r="B3211"/>
    </row>
    <row r="3212" spans="2:2">
      <c r="B3212"/>
    </row>
    <row r="3213" spans="2:2">
      <c r="B3213"/>
    </row>
    <row r="3214" spans="2:2">
      <c r="B3214"/>
    </row>
    <row r="3215" spans="2:2">
      <c r="B3215"/>
    </row>
    <row r="3216" spans="2:2">
      <c r="B3216"/>
    </row>
    <row r="3217" spans="2:2">
      <c r="B3217"/>
    </row>
    <row r="3218" spans="2:2">
      <c r="B3218"/>
    </row>
    <row r="3219" spans="2:2">
      <c r="B3219"/>
    </row>
    <row r="3220" spans="2:2">
      <c r="B3220"/>
    </row>
    <row r="3221" spans="2:2">
      <c r="B3221"/>
    </row>
    <row r="3222" spans="2:2">
      <c r="B3222"/>
    </row>
    <row r="3223" spans="2:2">
      <c r="B3223"/>
    </row>
    <row r="3224" spans="2:2">
      <c r="B3224"/>
    </row>
    <row r="3225" spans="2:2">
      <c r="B3225"/>
    </row>
    <row r="3226" spans="2:2">
      <c r="B3226"/>
    </row>
    <row r="3227" spans="2:2">
      <c r="B3227"/>
    </row>
    <row r="3228" spans="2:2">
      <c r="B3228"/>
    </row>
    <row r="3229" spans="2:2">
      <c r="B3229"/>
    </row>
    <row r="3230" spans="2:2">
      <c r="B3230"/>
    </row>
    <row r="3231" spans="2:2">
      <c r="B3231"/>
    </row>
    <row r="3232" spans="2:2">
      <c r="B3232"/>
    </row>
    <row r="3233" spans="2:2">
      <c r="B3233"/>
    </row>
    <row r="3234" spans="2:2">
      <c r="B3234"/>
    </row>
    <row r="3235" spans="2:2">
      <c r="B3235"/>
    </row>
    <row r="3236" spans="2:2">
      <c r="B3236"/>
    </row>
    <row r="3237" spans="2:2">
      <c r="B3237"/>
    </row>
    <row r="3238" spans="2:2">
      <c r="B3238"/>
    </row>
    <row r="3239" spans="2:2">
      <c r="B3239"/>
    </row>
    <row r="3240" spans="2:2">
      <c r="B3240"/>
    </row>
    <row r="3241" spans="2:2">
      <c r="B3241"/>
    </row>
    <row r="3242" spans="2:2">
      <c r="B3242"/>
    </row>
    <row r="3243" spans="2:2">
      <c r="B3243"/>
    </row>
    <row r="3244" spans="2:2">
      <c r="B3244"/>
    </row>
    <row r="3245" spans="2:2">
      <c r="B3245"/>
    </row>
    <row r="3246" spans="2:2">
      <c r="B3246"/>
    </row>
    <row r="3247" spans="2:2">
      <c r="B3247"/>
    </row>
    <row r="3248" spans="2:2">
      <c r="B3248"/>
    </row>
    <row r="3249" spans="2:2">
      <c r="B3249"/>
    </row>
    <row r="3250" spans="2:2">
      <c r="B3250"/>
    </row>
    <row r="3251" spans="2:2">
      <c r="B3251"/>
    </row>
    <row r="3252" spans="2:2">
      <c r="B3252"/>
    </row>
    <row r="3253" spans="2:2">
      <c r="B3253"/>
    </row>
    <row r="3254" spans="2:2">
      <c r="B3254"/>
    </row>
    <row r="3255" spans="2:2">
      <c r="B3255"/>
    </row>
    <row r="3256" spans="2:2">
      <c r="B3256"/>
    </row>
    <row r="3257" spans="2:2">
      <c r="B3257"/>
    </row>
    <row r="3258" spans="2:2">
      <c r="B3258"/>
    </row>
    <row r="3259" spans="2:2">
      <c r="B3259"/>
    </row>
    <row r="3260" spans="2:2">
      <c r="B3260"/>
    </row>
    <row r="3261" spans="2:2">
      <c r="B3261"/>
    </row>
    <row r="3262" spans="2:2">
      <c r="B3262"/>
    </row>
    <row r="3263" spans="2:2">
      <c r="B3263"/>
    </row>
    <row r="3264" spans="2:2">
      <c r="B3264"/>
    </row>
    <row r="3265" spans="2:2">
      <c r="B3265"/>
    </row>
    <row r="3266" spans="2:2">
      <c r="B3266"/>
    </row>
    <row r="3267" spans="2:2">
      <c r="B3267"/>
    </row>
    <row r="3268" spans="2:2">
      <c r="B3268"/>
    </row>
    <row r="3269" spans="2:2">
      <c r="B3269"/>
    </row>
    <row r="3270" spans="2:2">
      <c r="B3270"/>
    </row>
    <row r="3271" spans="2:2">
      <c r="B3271"/>
    </row>
    <row r="3272" spans="2:2">
      <c r="B3272"/>
    </row>
    <row r="3273" spans="2:2">
      <c r="B3273"/>
    </row>
    <row r="3274" spans="2:2">
      <c r="B3274"/>
    </row>
    <row r="3275" spans="2:2">
      <c r="B3275"/>
    </row>
    <row r="3276" spans="2:2">
      <c r="B3276"/>
    </row>
    <row r="3277" spans="2:2">
      <c r="B3277"/>
    </row>
    <row r="3278" spans="2:2">
      <c r="B3278"/>
    </row>
    <row r="3279" spans="2:2">
      <c r="B3279"/>
    </row>
    <row r="3280" spans="2:2">
      <c r="B3280"/>
    </row>
    <row r="3281" spans="2:2">
      <c r="B3281"/>
    </row>
    <row r="3282" spans="2:2">
      <c r="B3282"/>
    </row>
    <row r="3283" spans="2:2">
      <c r="B3283"/>
    </row>
    <row r="3284" spans="2:2">
      <c r="B3284"/>
    </row>
    <row r="3285" spans="2:2">
      <c r="B3285"/>
    </row>
    <row r="3286" spans="2:2">
      <c r="B3286"/>
    </row>
    <row r="3287" spans="2:2">
      <c r="B3287"/>
    </row>
    <row r="3288" spans="2:2">
      <c r="B3288"/>
    </row>
    <row r="3289" spans="2:2">
      <c r="B3289"/>
    </row>
    <row r="3290" spans="2:2">
      <c r="B3290"/>
    </row>
    <row r="3291" spans="2:2">
      <c r="B3291"/>
    </row>
    <row r="3292" spans="2:2">
      <c r="B3292"/>
    </row>
    <row r="3293" spans="2:2">
      <c r="B3293"/>
    </row>
    <row r="3294" spans="2:2">
      <c r="B3294"/>
    </row>
    <row r="3295" spans="2:2">
      <c r="B3295"/>
    </row>
    <row r="3296" spans="2:2">
      <c r="B3296"/>
    </row>
    <row r="3297" spans="2:2">
      <c r="B3297"/>
    </row>
    <row r="3298" spans="2:2">
      <c r="B3298"/>
    </row>
    <row r="3299" spans="2:2">
      <c r="B3299"/>
    </row>
    <row r="3300" spans="2:2">
      <c r="B3300"/>
    </row>
    <row r="3301" spans="2:2">
      <c r="B3301"/>
    </row>
    <row r="3302" spans="2:2">
      <c r="B3302"/>
    </row>
    <row r="3303" spans="2:2">
      <c r="B3303"/>
    </row>
    <row r="3304" spans="2:2">
      <c r="B3304"/>
    </row>
    <row r="3305" spans="2:2">
      <c r="B3305"/>
    </row>
    <row r="3306" spans="2:2">
      <c r="B3306"/>
    </row>
    <row r="3307" spans="2:2">
      <c r="B3307"/>
    </row>
    <row r="3308" spans="2:2">
      <c r="B3308"/>
    </row>
    <row r="3309" spans="2:2">
      <c r="B3309"/>
    </row>
    <row r="3310" spans="2:2">
      <c r="B3310"/>
    </row>
    <row r="3311" spans="2:2">
      <c r="B3311"/>
    </row>
    <row r="3312" spans="2:2">
      <c r="B3312"/>
    </row>
    <row r="3313" spans="2:2">
      <c r="B3313"/>
    </row>
    <row r="3314" spans="2:2">
      <c r="B3314"/>
    </row>
    <row r="3315" spans="2:2">
      <c r="B3315"/>
    </row>
    <row r="3316" spans="2:2">
      <c r="B3316"/>
    </row>
    <row r="3317" spans="2:2">
      <c r="B3317"/>
    </row>
    <row r="3318" spans="2:2">
      <c r="B3318"/>
    </row>
    <row r="3319" spans="2:2">
      <c r="B3319"/>
    </row>
    <row r="3320" spans="2:2">
      <c r="B3320"/>
    </row>
    <row r="3321" spans="2:2">
      <c r="B3321"/>
    </row>
    <row r="3322" spans="2:2">
      <c r="B3322"/>
    </row>
    <row r="3323" spans="2:2">
      <c r="B3323"/>
    </row>
    <row r="3324" spans="2:2">
      <c r="B3324"/>
    </row>
    <row r="3325" spans="2:2">
      <c r="B3325"/>
    </row>
    <row r="3326" spans="2:2">
      <c r="B3326"/>
    </row>
    <row r="3327" spans="2:2">
      <c r="B3327"/>
    </row>
    <row r="3328" spans="2:2">
      <c r="B3328"/>
    </row>
    <row r="3329" spans="2:2">
      <c r="B3329"/>
    </row>
    <row r="3330" spans="2:2">
      <c r="B3330"/>
    </row>
    <row r="3331" spans="2:2">
      <c r="B3331"/>
    </row>
    <row r="3332" spans="2:2">
      <c r="B3332"/>
    </row>
    <row r="3333" spans="2:2">
      <c r="B3333"/>
    </row>
    <row r="3334" spans="2:2">
      <c r="B3334"/>
    </row>
    <row r="3335" spans="2:2">
      <c r="B3335"/>
    </row>
    <row r="3336" spans="2:2">
      <c r="B3336"/>
    </row>
    <row r="3337" spans="2:2">
      <c r="B3337"/>
    </row>
    <row r="3338" spans="2:2">
      <c r="B3338"/>
    </row>
    <row r="3339" spans="2:2">
      <c r="B3339"/>
    </row>
    <row r="3340" spans="2:2">
      <c r="B3340"/>
    </row>
    <row r="3341" spans="2:2">
      <c r="B3341"/>
    </row>
    <row r="3342" spans="2:2">
      <c r="B3342"/>
    </row>
    <row r="3343" spans="2:2">
      <c r="B3343"/>
    </row>
    <row r="3344" spans="2:2">
      <c r="B3344"/>
    </row>
    <row r="3345" spans="2:2">
      <c r="B3345"/>
    </row>
    <row r="3346" spans="2:2">
      <c r="B3346"/>
    </row>
    <row r="3347" spans="2:2">
      <c r="B3347"/>
    </row>
    <row r="3348" spans="2:2">
      <c r="B3348"/>
    </row>
    <row r="3349" spans="2:2">
      <c r="B3349"/>
    </row>
    <row r="3350" spans="2:2">
      <c r="B3350"/>
    </row>
    <row r="3351" spans="2:2">
      <c r="B3351"/>
    </row>
    <row r="3352" spans="2:2">
      <c r="B3352"/>
    </row>
    <row r="3353" spans="2:2">
      <c r="B3353"/>
    </row>
    <row r="3354" spans="2:2">
      <c r="B3354"/>
    </row>
    <row r="3355" spans="2:2">
      <c r="B3355"/>
    </row>
    <row r="3356" spans="2:2">
      <c r="B3356"/>
    </row>
    <row r="3357" spans="2:2">
      <c r="B3357"/>
    </row>
    <row r="3358" spans="2:2">
      <c r="B3358"/>
    </row>
    <row r="3359" spans="2:2">
      <c r="B3359"/>
    </row>
    <row r="3360" spans="2:2">
      <c r="B3360"/>
    </row>
    <row r="3361" spans="2:2">
      <c r="B3361"/>
    </row>
    <row r="3362" spans="2:2">
      <c r="B3362"/>
    </row>
    <row r="3363" spans="2:2">
      <c r="B3363"/>
    </row>
    <row r="3364" spans="2:2">
      <c r="B3364"/>
    </row>
    <row r="3365" spans="2:2">
      <c r="B3365"/>
    </row>
    <row r="3366" spans="2:2">
      <c r="B3366"/>
    </row>
    <row r="3367" spans="2:2">
      <c r="B3367"/>
    </row>
    <row r="3368" spans="2:2">
      <c r="B3368"/>
    </row>
    <row r="3369" spans="2:2">
      <c r="B3369"/>
    </row>
    <row r="3370" spans="2:2">
      <c r="B3370"/>
    </row>
    <row r="3371" spans="2:2">
      <c r="B3371"/>
    </row>
    <row r="3372" spans="2:2">
      <c r="B3372"/>
    </row>
    <row r="3373" spans="2:2">
      <c r="B3373"/>
    </row>
    <row r="3374" spans="2:2">
      <c r="B3374"/>
    </row>
    <row r="3375" spans="2:2">
      <c r="B3375"/>
    </row>
    <row r="3376" spans="2:2">
      <c r="B3376"/>
    </row>
    <row r="3377" spans="2:2">
      <c r="B3377"/>
    </row>
    <row r="3378" spans="2:2">
      <c r="B3378"/>
    </row>
    <row r="3379" spans="2:2">
      <c r="B3379"/>
    </row>
    <row r="3380" spans="2:2">
      <c r="B3380"/>
    </row>
    <row r="3381" spans="2:2">
      <c r="B3381"/>
    </row>
    <row r="3382" spans="2:2">
      <c r="B3382"/>
    </row>
    <row r="3383" spans="2:2">
      <c r="B3383"/>
    </row>
    <row r="3384" spans="2:2">
      <c r="B3384"/>
    </row>
    <row r="3385" spans="2:2">
      <c r="B3385"/>
    </row>
    <row r="3386" spans="2:2">
      <c r="B3386"/>
    </row>
    <row r="3387" spans="2:2">
      <c r="B3387"/>
    </row>
    <row r="3388" spans="2:2">
      <c r="B3388"/>
    </row>
    <row r="3389" spans="2:2">
      <c r="B3389"/>
    </row>
    <row r="3390" spans="2:2">
      <c r="B3390"/>
    </row>
    <row r="3391" spans="2:2">
      <c r="B3391"/>
    </row>
    <row r="3392" spans="2:2">
      <c r="B3392"/>
    </row>
    <row r="3393" spans="2:2">
      <c r="B3393"/>
    </row>
    <row r="3394" spans="2:2">
      <c r="B3394"/>
    </row>
    <row r="3395" spans="2:2">
      <c r="B3395"/>
    </row>
    <row r="3396" spans="2:2">
      <c r="B3396"/>
    </row>
    <row r="3397" spans="2:2">
      <c r="B3397"/>
    </row>
    <row r="3398" spans="2:2">
      <c r="B3398"/>
    </row>
    <row r="3399" spans="2:2">
      <c r="B3399"/>
    </row>
    <row r="3400" spans="2:2">
      <c r="B3400"/>
    </row>
    <row r="3401" spans="2:2">
      <c r="B3401"/>
    </row>
    <row r="3402" spans="2:2">
      <c r="B3402"/>
    </row>
    <row r="3403" spans="2:2">
      <c r="B3403"/>
    </row>
    <row r="3404" spans="2:2">
      <c r="B3404"/>
    </row>
    <row r="3405" spans="2:2">
      <c r="B3405"/>
    </row>
    <row r="3406" spans="2:2">
      <c r="B3406"/>
    </row>
    <row r="3407" spans="2:2">
      <c r="B3407"/>
    </row>
    <row r="3408" spans="2:2">
      <c r="B3408"/>
    </row>
    <row r="3409" spans="2:2">
      <c r="B3409"/>
    </row>
    <row r="3410" spans="2:2">
      <c r="B3410"/>
    </row>
    <row r="3411" spans="2:2">
      <c r="B3411"/>
    </row>
    <row r="3412" spans="2:2">
      <c r="B3412"/>
    </row>
    <row r="3413" spans="2:2">
      <c r="B3413"/>
    </row>
    <row r="3414" spans="2:2">
      <c r="B3414"/>
    </row>
    <row r="3415" spans="2:2">
      <c r="B3415"/>
    </row>
    <row r="3416" spans="2:2">
      <c r="B3416"/>
    </row>
    <row r="3417" spans="2:2">
      <c r="B3417"/>
    </row>
    <row r="3418" spans="2:2">
      <c r="B3418"/>
    </row>
    <row r="3419" spans="2:2">
      <c r="B3419"/>
    </row>
    <row r="3420" spans="2:2">
      <c r="B3420"/>
    </row>
    <row r="3421" spans="2:2">
      <c r="B3421"/>
    </row>
    <row r="3422" spans="2:2">
      <c r="B3422"/>
    </row>
    <row r="3423" spans="2:2">
      <c r="B3423"/>
    </row>
    <row r="3424" spans="2:2">
      <c r="B3424"/>
    </row>
    <row r="3425" spans="2:2">
      <c r="B3425"/>
    </row>
    <row r="3426" spans="2:2">
      <c r="B3426"/>
    </row>
    <row r="3427" spans="2:2">
      <c r="B3427"/>
    </row>
    <row r="3428" spans="2:2">
      <c r="B3428"/>
    </row>
    <row r="3429" spans="2:2">
      <c r="B3429"/>
    </row>
    <row r="3430" spans="2:2">
      <c r="B3430"/>
    </row>
    <row r="3431" spans="2:2">
      <c r="B3431"/>
    </row>
    <row r="3432" spans="2:2">
      <c r="B3432"/>
    </row>
    <row r="3433" spans="2:2">
      <c r="B3433"/>
    </row>
    <row r="3434" spans="2:2">
      <c r="B3434"/>
    </row>
    <row r="3435" spans="2:2">
      <c r="B3435"/>
    </row>
    <row r="3436" spans="2:2">
      <c r="B3436"/>
    </row>
    <row r="3437" spans="2:2">
      <c r="B3437"/>
    </row>
    <row r="3438" spans="2:2">
      <c r="B3438"/>
    </row>
    <row r="3439" spans="2:2">
      <c r="B3439"/>
    </row>
    <row r="3440" spans="2:2">
      <c r="B3440"/>
    </row>
    <row r="3441" spans="2:2">
      <c r="B3441"/>
    </row>
    <row r="3442" spans="2:2">
      <c r="B3442"/>
    </row>
    <row r="3443" spans="2:2">
      <c r="B3443"/>
    </row>
    <row r="3444" spans="2:2">
      <c r="B3444"/>
    </row>
    <row r="3445" spans="2:2">
      <c r="B3445"/>
    </row>
    <row r="3446" spans="2:2">
      <c r="B3446"/>
    </row>
    <row r="3447" spans="2:2">
      <c r="B3447"/>
    </row>
    <row r="3448" spans="2:2">
      <c r="B3448"/>
    </row>
    <row r="3449" spans="2:2">
      <c r="B3449"/>
    </row>
    <row r="3450" spans="2:2">
      <c r="B3450"/>
    </row>
    <row r="3451" spans="2:2">
      <c r="B3451"/>
    </row>
    <row r="3452" spans="2:2">
      <c r="B3452"/>
    </row>
    <row r="3453" spans="2:2">
      <c r="B3453"/>
    </row>
    <row r="3454" spans="2:2">
      <c r="B3454"/>
    </row>
    <row r="3455" spans="2:2">
      <c r="B3455"/>
    </row>
    <row r="3456" spans="2:2">
      <c r="B3456"/>
    </row>
    <row r="3457" spans="2:2">
      <c r="B3457"/>
    </row>
    <row r="3458" spans="2:2">
      <c r="B3458"/>
    </row>
    <row r="3459" spans="2:2">
      <c r="B3459"/>
    </row>
    <row r="3460" spans="2:2">
      <c r="B3460"/>
    </row>
    <row r="3461" spans="2:2">
      <c r="B3461"/>
    </row>
    <row r="3462" spans="2:2">
      <c r="B3462"/>
    </row>
    <row r="3463" spans="2:2">
      <c r="B3463"/>
    </row>
    <row r="3464" spans="2:2">
      <c r="B3464"/>
    </row>
    <row r="3465" spans="2:2">
      <c r="B3465"/>
    </row>
    <row r="3466" spans="2:2">
      <c r="B3466"/>
    </row>
    <row r="3467" spans="2:2">
      <c r="B3467"/>
    </row>
    <row r="3468" spans="2:2">
      <c r="B3468"/>
    </row>
    <row r="3469" spans="2:2">
      <c r="B3469"/>
    </row>
    <row r="3470" spans="2:2">
      <c r="B3470"/>
    </row>
    <row r="3471" spans="2:2">
      <c r="B3471"/>
    </row>
    <row r="3472" spans="2:2">
      <c r="B3472"/>
    </row>
    <row r="3473" spans="2:2">
      <c r="B3473"/>
    </row>
    <row r="3474" spans="2:2">
      <c r="B3474"/>
    </row>
    <row r="3475" spans="2:2">
      <c r="B3475"/>
    </row>
    <row r="3476" spans="2:2">
      <c r="B3476"/>
    </row>
    <row r="3477" spans="2:2">
      <c r="B3477"/>
    </row>
    <row r="3478" spans="2:2">
      <c r="B3478"/>
    </row>
    <row r="3479" spans="2:2">
      <c r="B3479"/>
    </row>
    <row r="3480" spans="2:2">
      <c r="B3480"/>
    </row>
    <row r="3481" spans="2:2">
      <c r="B3481"/>
    </row>
    <row r="3482" spans="2:2">
      <c r="B3482"/>
    </row>
    <row r="3483" spans="2:2">
      <c r="B3483"/>
    </row>
    <row r="3484" spans="2:2">
      <c r="B3484"/>
    </row>
    <row r="3485" spans="2:2">
      <c r="B3485"/>
    </row>
    <row r="3486" spans="2:2">
      <c r="B3486"/>
    </row>
    <row r="3487" spans="2:2">
      <c r="B3487"/>
    </row>
    <row r="3488" spans="2:2">
      <c r="B3488"/>
    </row>
    <row r="3489" spans="2:2">
      <c r="B3489"/>
    </row>
    <row r="3490" spans="2:2">
      <c r="B3490"/>
    </row>
    <row r="3491" spans="2:2">
      <c r="B3491"/>
    </row>
    <row r="3492" spans="2:2">
      <c r="B3492"/>
    </row>
    <row r="3493" spans="2:2">
      <c r="B3493"/>
    </row>
    <row r="3494" spans="2:2">
      <c r="B3494"/>
    </row>
    <row r="3495" spans="2:2">
      <c r="B3495"/>
    </row>
    <row r="3496" spans="2:2">
      <c r="B3496"/>
    </row>
    <row r="3497" spans="2:2">
      <c r="B3497"/>
    </row>
    <row r="3498" spans="2:2">
      <c r="B3498"/>
    </row>
    <row r="3499" spans="2:2">
      <c r="B3499"/>
    </row>
    <row r="3500" spans="2:2">
      <c r="B3500"/>
    </row>
    <row r="3501" spans="2:2">
      <c r="B3501"/>
    </row>
    <row r="3502" spans="2:2">
      <c r="B3502"/>
    </row>
    <row r="3503" spans="2:2">
      <c r="B3503"/>
    </row>
    <row r="3504" spans="2:2">
      <c r="B3504"/>
    </row>
    <row r="3505" spans="2:2">
      <c r="B3505"/>
    </row>
    <row r="3506" spans="2:2">
      <c r="B3506"/>
    </row>
    <row r="3507" spans="2:2">
      <c r="B3507"/>
    </row>
    <row r="3508" spans="2:2">
      <c r="B3508"/>
    </row>
    <row r="3509" spans="2:2">
      <c r="B3509"/>
    </row>
    <row r="3510" spans="2:2">
      <c r="B3510"/>
    </row>
    <row r="3511" spans="2:2">
      <c r="B3511"/>
    </row>
    <row r="3512" spans="2:2">
      <c r="B3512"/>
    </row>
    <row r="3513" spans="2:2">
      <c r="B3513"/>
    </row>
    <row r="3514" spans="2:2">
      <c r="B3514"/>
    </row>
    <row r="3515" spans="2:2">
      <c r="B3515"/>
    </row>
    <row r="3516" spans="2:2">
      <c r="B3516"/>
    </row>
    <row r="3517" spans="2:2">
      <c r="B3517"/>
    </row>
    <row r="3518" spans="2:2">
      <c r="B3518"/>
    </row>
    <row r="3519" spans="2:2">
      <c r="B3519"/>
    </row>
    <row r="3520" spans="2:2">
      <c r="B3520"/>
    </row>
    <row r="3521" spans="2:2">
      <c r="B3521"/>
    </row>
    <row r="3522" spans="2:2">
      <c r="B3522"/>
    </row>
    <row r="3523" spans="2:2">
      <c r="B3523"/>
    </row>
    <row r="3524" spans="2:2">
      <c r="B3524"/>
    </row>
    <row r="3525" spans="2:2">
      <c r="B3525"/>
    </row>
    <row r="3526" spans="2:2">
      <c r="B3526"/>
    </row>
    <row r="3527" spans="2:2">
      <c r="B3527"/>
    </row>
    <row r="3528" spans="2:2">
      <c r="B3528"/>
    </row>
    <row r="3529" spans="2:2">
      <c r="B3529"/>
    </row>
    <row r="3530" spans="2:2">
      <c r="B3530"/>
    </row>
    <row r="3531" spans="2:2">
      <c r="B3531"/>
    </row>
    <row r="3532" spans="2:2">
      <c r="B3532"/>
    </row>
    <row r="3533" spans="2:2">
      <c r="B3533"/>
    </row>
    <row r="3534" spans="2:2">
      <c r="B3534"/>
    </row>
    <row r="3535" spans="2:2">
      <c r="B3535"/>
    </row>
    <row r="3536" spans="2:2">
      <c r="B3536"/>
    </row>
    <row r="3537" spans="2:2">
      <c r="B3537"/>
    </row>
    <row r="3538" spans="2:2">
      <c r="B3538"/>
    </row>
    <row r="3539" spans="2:2">
      <c r="B3539"/>
    </row>
    <row r="3540" spans="2:2">
      <c r="B3540"/>
    </row>
    <row r="3541" spans="2:2">
      <c r="B3541"/>
    </row>
    <row r="3542" spans="2:2">
      <c r="B3542"/>
    </row>
    <row r="3543" spans="2:2">
      <c r="B3543"/>
    </row>
    <row r="3544" spans="2:2">
      <c r="B3544"/>
    </row>
    <row r="3545" spans="2:2">
      <c r="B3545"/>
    </row>
    <row r="3546" spans="2:2">
      <c r="B3546"/>
    </row>
    <row r="3547" spans="2:2">
      <c r="B3547"/>
    </row>
    <row r="3548" spans="2:2">
      <c r="B3548"/>
    </row>
    <row r="3549" spans="2:2">
      <c r="B3549"/>
    </row>
    <row r="3550" spans="2:2">
      <c r="B3550"/>
    </row>
    <row r="3551" spans="2:2">
      <c r="B3551"/>
    </row>
    <row r="3552" spans="2:2">
      <c r="B3552"/>
    </row>
    <row r="3553" spans="2:2">
      <c r="B3553"/>
    </row>
    <row r="3554" spans="2:2">
      <c r="B3554"/>
    </row>
    <row r="3555" spans="2:2">
      <c r="B3555"/>
    </row>
    <row r="3556" spans="2:2">
      <c r="B3556"/>
    </row>
    <row r="3557" spans="2:2">
      <c r="B3557"/>
    </row>
    <row r="3558" spans="2:2">
      <c r="B3558"/>
    </row>
    <row r="3559" spans="2:2">
      <c r="B3559"/>
    </row>
    <row r="3560" spans="2:2">
      <c r="B3560"/>
    </row>
    <row r="3561" spans="2:2">
      <c r="B3561"/>
    </row>
    <row r="3562" spans="2:2">
      <c r="B3562"/>
    </row>
    <row r="3563" spans="2:2">
      <c r="B3563"/>
    </row>
    <row r="3564" spans="2:2">
      <c r="B3564"/>
    </row>
    <row r="3565" spans="2:2">
      <c r="B3565"/>
    </row>
    <row r="3566" spans="2:2">
      <c r="B3566"/>
    </row>
    <row r="3567" spans="2:2">
      <c r="B3567"/>
    </row>
    <row r="3568" spans="2:2">
      <c r="B3568"/>
    </row>
    <row r="3569" spans="2:2">
      <c r="B3569"/>
    </row>
    <row r="3570" spans="2:2">
      <c r="B3570"/>
    </row>
    <row r="3571" spans="2:2">
      <c r="B3571"/>
    </row>
    <row r="3572" spans="2:2">
      <c r="B3572"/>
    </row>
    <row r="3573" spans="2:2">
      <c r="B3573"/>
    </row>
    <row r="3574" spans="2:2">
      <c r="B3574"/>
    </row>
    <row r="3575" spans="2:2">
      <c r="B3575"/>
    </row>
    <row r="3576" spans="2:2">
      <c r="B3576"/>
    </row>
    <row r="3577" spans="2:2">
      <c r="B3577"/>
    </row>
    <row r="3578" spans="2:2">
      <c r="B3578"/>
    </row>
    <row r="3579" spans="2:2">
      <c r="B3579"/>
    </row>
    <row r="3580" spans="2:2">
      <c r="B3580"/>
    </row>
    <row r="3581" spans="2:2">
      <c r="B3581"/>
    </row>
    <row r="3582" spans="2:2">
      <c r="B3582"/>
    </row>
    <row r="3583" spans="2:2">
      <c r="B3583"/>
    </row>
    <row r="3584" spans="2:2">
      <c r="B3584"/>
    </row>
    <row r="3585" spans="2:2">
      <c r="B3585"/>
    </row>
    <row r="3586" spans="2:2">
      <c r="B3586"/>
    </row>
    <row r="3587" spans="2:2">
      <c r="B3587"/>
    </row>
    <row r="3588" spans="2:2">
      <c r="B3588"/>
    </row>
    <row r="3589" spans="2:2">
      <c r="B3589"/>
    </row>
    <row r="3590" spans="2:2">
      <c r="B3590"/>
    </row>
    <row r="3591" spans="2:2">
      <c r="B3591"/>
    </row>
    <row r="3592" spans="2:2">
      <c r="B3592"/>
    </row>
    <row r="3593" spans="2:2">
      <c r="B3593"/>
    </row>
    <row r="3594" spans="2:2">
      <c r="B3594"/>
    </row>
    <row r="3595" spans="2:2">
      <c r="B3595"/>
    </row>
    <row r="3596" spans="2:2">
      <c r="B3596"/>
    </row>
    <row r="3597" spans="2:2">
      <c r="B3597"/>
    </row>
    <row r="3598" spans="2:2">
      <c r="B3598"/>
    </row>
    <row r="3599" spans="2:2">
      <c r="B3599"/>
    </row>
    <row r="3600" spans="2:2">
      <c r="B3600"/>
    </row>
    <row r="3601" spans="2:2">
      <c r="B3601"/>
    </row>
    <row r="3602" spans="2:2">
      <c r="B3602"/>
    </row>
    <row r="3603" spans="2:2">
      <c r="B3603"/>
    </row>
    <row r="3604" spans="2:2">
      <c r="B3604"/>
    </row>
    <row r="3605" spans="2:2">
      <c r="B3605"/>
    </row>
    <row r="3606" spans="2:2">
      <c r="B3606"/>
    </row>
    <row r="3607" spans="2:2">
      <c r="B3607"/>
    </row>
    <row r="3608" spans="2:2">
      <c r="B3608"/>
    </row>
    <row r="3609" spans="2:2">
      <c r="B3609"/>
    </row>
    <row r="3610" spans="2:2">
      <c r="B3610"/>
    </row>
    <row r="3611" spans="2:2">
      <c r="B3611"/>
    </row>
    <row r="3612" spans="2:2">
      <c r="B3612"/>
    </row>
    <row r="3613" spans="2:2">
      <c r="B3613"/>
    </row>
    <row r="3614" spans="2:2">
      <c r="B3614"/>
    </row>
    <row r="3615" spans="2:2">
      <c r="B3615"/>
    </row>
    <row r="3616" spans="2:2">
      <c r="B3616"/>
    </row>
    <row r="3617" spans="2:2">
      <c r="B3617"/>
    </row>
    <row r="3618" spans="2:2">
      <c r="B3618"/>
    </row>
    <row r="3619" spans="2:2">
      <c r="B3619"/>
    </row>
    <row r="3620" spans="2:2">
      <c r="B3620"/>
    </row>
    <row r="3621" spans="2:2">
      <c r="B3621"/>
    </row>
    <row r="3622" spans="2:2">
      <c r="B3622"/>
    </row>
    <row r="3623" spans="2:2">
      <c r="B3623"/>
    </row>
    <row r="3624" spans="2:2">
      <c r="B3624"/>
    </row>
    <row r="3625" spans="2:2">
      <c r="B3625"/>
    </row>
    <row r="3626" spans="2:2">
      <c r="B3626"/>
    </row>
    <row r="3627" spans="2:2">
      <c r="B3627"/>
    </row>
    <row r="3628" spans="2:2">
      <c r="B3628"/>
    </row>
    <row r="3629" spans="2:2">
      <c r="B3629"/>
    </row>
    <row r="3630" spans="2:2">
      <c r="B3630"/>
    </row>
    <row r="3631" spans="2:2">
      <c r="B3631"/>
    </row>
    <row r="3632" spans="2:2">
      <c r="B3632"/>
    </row>
    <row r="3633" spans="2:2">
      <c r="B3633"/>
    </row>
    <row r="3634" spans="2:2">
      <c r="B3634"/>
    </row>
    <row r="3635" spans="2:2">
      <c r="B3635"/>
    </row>
    <row r="3636" spans="2:2">
      <c r="B3636"/>
    </row>
    <row r="3637" spans="2:2">
      <c r="B3637"/>
    </row>
    <row r="3638" spans="2:2">
      <c r="B3638"/>
    </row>
    <row r="3639" spans="2:2">
      <c r="B3639"/>
    </row>
    <row r="3640" spans="2:2">
      <c r="B3640"/>
    </row>
    <row r="3641" spans="2:2">
      <c r="B3641"/>
    </row>
    <row r="3642" spans="2:2">
      <c r="B3642"/>
    </row>
    <row r="3643" spans="2:2">
      <c r="B3643"/>
    </row>
    <row r="3644" spans="2:2">
      <c r="B3644"/>
    </row>
    <row r="3645" spans="2:2">
      <c r="B3645"/>
    </row>
    <row r="3646" spans="2:2">
      <c r="B3646"/>
    </row>
    <row r="3647" spans="2:2">
      <c r="B3647"/>
    </row>
    <row r="3648" spans="2:2">
      <c r="B3648"/>
    </row>
    <row r="3649" spans="2:2">
      <c r="B3649"/>
    </row>
    <row r="3650" spans="2:2">
      <c r="B3650"/>
    </row>
    <row r="3651" spans="2:2">
      <c r="B3651"/>
    </row>
    <row r="3652" spans="2:2">
      <c r="B3652"/>
    </row>
    <row r="3653" spans="2:2">
      <c r="B3653"/>
    </row>
    <row r="3654" spans="2:2">
      <c r="B3654"/>
    </row>
    <row r="3655" spans="2:2">
      <c r="B3655"/>
    </row>
    <row r="3656" spans="2:2">
      <c r="B3656"/>
    </row>
    <row r="3657" spans="2:2">
      <c r="B3657"/>
    </row>
    <row r="3658" spans="2:2">
      <c r="B3658"/>
    </row>
    <row r="3659" spans="2:2">
      <c r="B3659"/>
    </row>
    <row r="3660" spans="2:2">
      <c r="B3660"/>
    </row>
    <row r="3661" spans="2:2">
      <c r="B3661"/>
    </row>
    <row r="3662" spans="2:2">
      <c r="B3662"/>
    </row>
    <row r="3663" spans="2:2">
      <c r="B3663"/>
    </row>
    <row r="3664" spans="2:2">
      <c r="B3664"/>
    </row>
    <row r="3665" spans="2:2">
      <c r="B3665"/>
    </row>
    <row r="3666" spans="2:2">
      <c r="B3666"/>
    </row>
    <row r="3667" spans="2:2">
      <c r="B3667"/>
    </row>
    <row r="3668" spans="2:2">
      <c r="B3668"/>
    </row>
    <row r="3669" spans="2:2">
      <c r="B3669"/>
    </row>
    <row r="3670" spans="2:2">
      <c r="B3670"/>
    </row>
    <row r="3671" spans="2:2">
      <c r="B3671"/>
    </row>
    <row r="3672" spans="2:2">
      <c r="B3672"/>
    </row>
    <row r="3673" spans="2:2">
      <c r="B3673"/>
    </row>
    <row r="3674" spans="2:2">
      <c r="B3674"/>
    </row>
    <row r="3675" spans="2:2">
      <c r="B3675"/>
    </row>
    <row r="3676" spans="2:2">
      <c r="B3676"/>
    </row>
    <row r="3677" spans="2:2">
      <c r="B3677"/>
    </row>
    <row r="3678" spans="2:2">
      <c r="B3678"/>
    </row>
    <row r="3679" spans="2:2">
      <c r="B3679"/>
    </row>
    <row r="3680" spans="2:2">
      <c r="B3680"/>
    </row>
    <row r="3681" spans="2:2">
      <c r="B3681"/>
    </row>
    <row r="3682" spans="2:2">
      <c r="B3682"/>
    </row>
    <row r="3683" spans="2:2">
      <c r="B3683"/>
    </row>
    <row r="3684" spans="2:2">
      <c r="B3684"/>
    </row>
    <row r="3685" spans="2:2">
      <c r="B3685"/>
    </row>
    <row r="3686" spans="2:2">
      <c r="B3686"/>
    </row>
    <row r="3687" spans="2:2">
      <c r="B3687"/>
    </row>
    <row r="3688" spans="2:2">
      <c r="B3688"/>
    </row>
    <row r="3689" spans="2:2">
      <c r="B3689"/>
    </row>
    <row r="3690" spans="2:2">
      <c r="B3690"/>
    </row>
    <row r="3691" spans="2:2">
      <c r="B3691"/>
    </row>
    <row r="3692" spans="2:2">
      <c r="B3692"/>
    </row>
    <row r="3693" spans="2:2">
      <c r="B3693"/>
    </row>
    <row r="3694" spans="2:2">
      <c r="B3694"/>
    </row>
    <row r="3695" spans="2:2">
      <c r="B3695"/>
    </row>
    <row r="3696" spans="2:2">
      <c r="B3696"/>
    </row>
    <row r="3697" spans="2:2">
      <c r="B3697"/>
    </row>
    <row r="3698" spans="2:2">
      <c r="B3698"/>
    </row>
    <row r="3699" spans="2:2">
      <c r="B3699"/>
    </row>
    <row r="3700" spans="2:2">
      <c r="B3700"/>
    </row>
    <row r="3701" spans="2:2">
      <c r="B3701"/>
    </row>
    <row r="3702" spans="2:2">
      <c r="B3702"/>
    </row>
    <row r="3703" spans="2:2">
      <c r="B3703"/>
    </row>
    <row r="3704" spans="2:2">
      <c r="B3704"/>
    </row>
    <row r="3705" spans="2:2">
      <c r="B3705"/>
    </row>
    <row r="3706" spans="2:2">
      <c r="B3706"/>
    </row>
    <row r="3707" spans="2:2">
      <c r="B3707"/>
    </row>
    <row r="3708" spans="2:2">
      <c r="B3708"/>
    </row>
    <row r="3709" spans="2:2">
      <c r="B3709"/>
    </row>
    <row r="3710" spans="2:2">
      <c r="B3710"/>
    </row>
    <row r="3711" spans="2:2">
      <c r="B3711"/>
    </row>
    <row r="3712" spans="2:2">
      <c r="B3712"/>
    </row>
    <row r="3713" spans="2:2">
      <c r="B3713"/>
    </row>
    <row r="3714" spans="2:2">
      <c r="B3714"/>
    </row>
    <row r="3715" spans="2:2">
      <c r="B3715"/>
    </row>
    <row r="3716" spans="2:2">
      <c r="B3716"/>
    </row>
    <row r="3717" spans="2:2">
      <c r="B3717"/>
    </row>
    <row r="3718" spans="2:2">
      <c r="B3718"/>
    </row>
    <row r="3719" spans="2:2">
      <c r="B3719"/>
    </row>
    <row r="3720" spans="2:2">
      <c r="B3720"/>
    </row>
    <row r="3721" spans="2:2">
      <c r="B3721"/>
    </row>
    <row r="3722" spans="2:2">
      <c r="B3722"/>
    </row>
    <row r="3723" spans="2:2">
      <c r="B3723"/>
    </row>
    <row r="3724" spans="2:2">
      <c r="B3724"/>
    </row>
    <row r="3725" spans="2:2">
      <c r="B3725"/>
    </row>
    <row r="3726" spans="2:2">
      <c r="B3726"/>
    </row>
    <row r="3727" spans="2:2">
      <c r="B3727"/>
    </row>
    <row r="3728" spans="2:2">
      <c r="B3728"/>
    </row>
    <row r="3729" spans="2:2">
      <c r="B3729"/>
    </row>
    <row r="3730" spans="2:2">
      <c r="B3730"/>
    </row>
    <row r="3731" spans="2:2">
      <c r="B3731"/>
    </row>
    <row r="3732" spans="2:2">
      <c r="B3732"/>
    </row>
    <row r="3733" spans="2:2">
      <c r="B3733"/>
    </row>
    <row r="3734" spans="2:2">
      <c r="B3734"/>
    </row>
    <row r="3735" spans="2:2">
      <c r="B3735"/>
    </row>
    <row r="3736" spans="2:2">
      <c r="B3736"/>
    </row>
    <row r="3737" spans="2:2">
      <c r="B3737"/>
    </row>
    <row r="3738" spans="2:2">
      <c r="B3738"/>
    </row>
    <row r="3739" spans="2:2">
      <c r="B3739"/>
    </row>
    <row r="3740" spans="2:2">
      <c r="B3740"/>
    </row>
    <row r="3741" spans="2:2">
      <c r="B3741"/>
    </row>
    <row r="3742" spans="2:2">
      <c r="B3742"/>
    </row>
    <row r="3743" spans="2:2">
      <c r="B3743"/>
    </row>
    <row r="3744" spans="2:2">
      <c r="B3744"/>
    </row>
    <row r="3745" spans="2:2">
      <c r="B3745"/>
    </row>
    <row r="3746" spans="2:2">
      <c r="B3746"/>
    </row>
    <row r="3747" spans="2:2">
      <c r="B3747"/>
    </row>
    <row r="3748" spans="2:2">
      <c r="B3748"/>
    </row>
    <row r="3749" spans="2:2">
      <c r="B3749"/>
    </row>
    <row r="3750" spans="2:2">
      <c r="B3750"/>
    </row>
    <row r="3751" spans="2:2">
      <c r="B3751"/>
    </row>
    <row r="3752" spans="2:2">
      <c r="B3752"/>
    </row>
    <row r="3753" spans="2:2">
      <c r="B3753"/>
    </row>
    <row r="3754" spans="2:2">
      <c r="B3754"/>
    </row>
    <row r="3755" spans="2:2">
      <c r="B3755"/>
    </row>
    <row r="3756" spans="2:2">
      <c r="B3756"/>
    </row>
    <row r="3757" spans="2:2">
      <c r="B3757"/>
    </row>
    <row r="3758" spans="2:2">
      <c r="B3758"/>
    </row>
    <row r="3759" spans="2:2">
      <c r="B3759"/>
    </row>
    <row r="3760" spans="2:2">
      <c r="B3760"/>
    </row>
    <row r="3761" spans="2:2">
      <c r="B3761"/>
    </row>
    <row r="3762" spans="2:2">
      <c r="B3762"/>
    </row>
    <row r="3763" spans="2:2">
      <c r="B3763"/>
    </row>
    <row r="3764" spans="2:2">
      <c r="B3764"/>
    </row>
    <row r="3765" spans="2:2">
      <c r="B3765"/>
    </row>
    <row r="3766" spans="2:2">
      <c r="B3766"/>
    </row>
    <row r="3767" spans="2:2">
      <c r="B3767"/>
    </row>
    <row r="3768" spans="2:2">
      <c r="B3768"/>
    </row>
    <row r="3769" spans="2:2">
      <c r="B3769"/>
    </row>
    <row r="3770" spans="2:2">
      <c r="B3770"/>
    </row>
    <row r="3771" spans="2:2">
      <c r="B3771"/>
    </row>
    <row r="3772" spans="2:2">
      <c r="B3772"/>
    </row>
    <row r="3773" spans="2:2">
      <c r="B3773"/>
    </row>
    <row r="3774" spans="2:2">
      <c r="B3774"/>
    </row>
    <row r="3775" spans="2:2">
      <c r="B3775"/>
    </row>
    <row r="3776" spans="2:2">
      <c r="B3776"/>
    </row>
    <row r="3777" spans="2:2">
      <c r="B3777"/>
    </row>
    <row r="3778" spans="2:2">
      <c r="B3778"/>
    </row>
    <row r="3779" spans="2:2">
      <c r="B3779"/>
    </row>
    <row r="3780" spans="2:2">
      <c r="B3780"/>
    </row>
    <row r="3781" spans="2:2">
      <c r="B3781"/>
    </row>
    <row r="3782" spans="2:2">
      <c r="B3782"/>
    </row>
    <row r="3783" spans="2:2">
      <c r="B3783"/>
    </row>
    <row r="3784" spans="2:2">
      <c r="B3784"/>
    </row>
    <row r="3785" spans="2:2">
      <c r="B3785"/>
    </row>
    <row r="3786" spans="2:2">
      <c r="B3786"/>
    </row>
    <row r="3787" spans="2:2">
      <c r="B3787"/>
    </row>
    <row r="3788" spans="2:2">
      <c r="B3788"/>
    </row>
    <row r="3789" spans="2:2">
      <c r="B3789"/>
    </row>
    <row r="3790" spans="2:2">
      <c r="B3790"/>
    </row>
    <row r="3791" spans="2:2">
      <c r="B3791"/>
    </row>
    <row r="3792" spans="2:2">
      <c r="B3792"/>
    </row>
    <row r="3793" spans="2:2">
      <c r="B3793"/>
    </row>
    <row r="3794" spans="2:2">
      <c r="B3794"/>
    </row>
    <row r="3795" spans="2:2">
      <c r="B3795"/>
    </row>
    <row r="3796" spans="2:2">
      <c r="B3796"/>
    </row>
    <row r="3797" spans="2:2">
      <c r="B3797"/>
    </row>
    <row r="3798" spans="2:2">
      <c r="B3798"/>
    </row>
    <row r="3799" spans="2:2">
      <c r="B3799"/>
    </row>
    <row r="3800" spans="2:2">
      <c r="B3800"/>
    </row>
    <row r="3801" spans="2:2">
      <c r="B3801"/>
    </row>
    <row r="3802" spans="2:2">
      <c r="B3802"/>
    </row>
    <row r="3803" spans="2:2">
      <c r="B3803"/>
    </row>
    <row r="3804" spans="2:2">
      <c r="B3804"/>
    </row>
    <row r="3805" spans="2:2">
      <c r="B3805"/>
    </row>
    <row r="3806" spans="2:2">
      <c r="B3806"/>
    </row>
    <row r="3807" spans="2:2">
      <c r="B3807"/>
    </row>
    <row r="3808" spans="2:2">
      <c r="B3808"/>
    </row>
    <row r="3809" spans="2:2">
      <c r="B3809"/>
    </row>
    <row r="3810" spans="2:2">
      <c r="B3810"/>
    </row>
    <row r="3811" spans="2:2">
      <c r="B3811"/>
    </row>
    <row r="3812" spans="2:2">
      <c r="B3812"/>
    </row>
    <row r="3813" spans="2:2">
      <c r="B3813"/>
    </row>
    <row r="3814" spans="2:2">
      <c r="B3814"/>
    </row>
    <row r="3815" spans="2:2">
      <c r="B3815"/>
    </row>
    <row r="3816" spans="2:2">
      <c r="B3816"/>
    </row>
    <row r="3817" spans="2:2">
      <c r="B3817"/>
    </row>
    <row r="3818" spans="2:2">
      <c r="B3818"/>
    </row>
    <row r="3819" spans="2:2">
      <c r="B3819"/>
    </row>
    <row r="3820" spans="2:2">
      <c r="B3820"/>
    </row>
    <row r="3821" spans="2:2">
      <c r="B3821"/>
    </row>
    <row r="3822" spans="2:2">
      <c r="B3822"/>
    </row>
    <row r="3823" spans="2:2">
      <c r="B3823"/>
    </row>
    <row r="3824" spans="2:2">
      <c r="B3824"/>
    </row>
    <row r="3825" spans="2:2">
      <c r="B3825"/>
    </row>
    <row r="3826" spans="2:2">
      <c r="B3826"/>
    </row>
    <row r="3827" spans="2:2">
      <c r="B3827"/>
    </row>
    <row r="3828" spans="2:2">
      <c r="B3828"/>
    </row>
    <row r="3829" spans="2:2">
      <c r="B3829"/>
    </row>
    <row r="3830" spans="2:2">
      <c r="B3830"/>
    </row>
    <row r="3831" spans="2:2">
      <c r="B3831"/>
    </row>
    <row r="3832" spans="2:2">
      <c r="B3832"/>
    </row>
    <row r="3833" spans="2:2">
      <c r="B3833"/>
    </row>
    <row r="3834" spans="2:2">
      <c r="B3834"/>
    </row>
    <row r="3835" spans="2:2">
      <c r="B3835"/>
    </row>
    <row r="3836" spans="2:2">
      <c r="B3836"/>
    </row>
    <row r="3837" spans="2:2">
      <c r="B3837"/>
    </row>
    <row r="3838" spans="2:2">
      <c r="B3838"/>
    </row>
    <row r="3839" spans="2:2">
      <c r="B3839"/>
    </row>
    <row r="3840" spans="2:2">
      <c r="B3840"/>
    </row>
    <row r="3841" spans="2:2">
      <c r="B3841"/>
    </row>
    <row r="3842" spans="2:2">
      <c r="B3842"/>
    </row>
    <row r="3843" spans="2:2">
      <c r="B3843"/>
    </row>
    <row r="3844" spans="2:2">
      <c r="B3844"/>
    </row>
    <row r="3845" spans="2:2">
      <c r="B3845"/>
    </row>
    <row r="3846" spans="2:2">
      <c r="B3846"/>
    </row>
    <row r="3847" spans="2:2">
      <c r="B3847"/>
    </row>
    <row r="3848" spans="2:2">
      <c r="B3848"/>
    </row>
    <row r="3849" spans="2:2">
      <c r="B3849"/>
    </row>
    <row r="3850" spans="2:2">
      <c r="B3850"/>
    </row>
    <row r="3851" spans="2:2">
      <c r="B3851"/>
    </row>
    <row r="3852" spans="2:2">
      <c r="B3852"/>
    </row>
    <row r="3853" spans="2:2">
      <c r="B3853"/>
    </row>
    <row r="3854" spans="2:2">
      <c r="B3854"/>
    </row>
    <row r="3855" spans="2:2">
      <c r="B3855"/>
    </row>
    <row r="3856" spans="2:2">
      <c r="B3856"/>
    </row>
    <row r="3857" spans="2:2">
      <c r="B3857"/>
    </row>
    <row r="3858" spans="2:2">
      <c r="B3858"/>
    </row>
    <row r="3859" spans="2:2">
      <c r="B3859"/>
    </row>
    <row r="3860" spans="2:2">
      <c r="B3860"/>
    </row>
    <row r="3861" spans="2:2">
      <c r="B3861"/>
    </row>
    <row r="3862" spans="2:2">
      <c r="B3862"/>
    </row>
    <row r="3863" spans="2:2">
      <c r="B3863"/>
    </row>
    <row r="3864" spans="2:2">
      <c r="B3864"/>
    </row>
    <row r="3865" spans="2:2">
      <c r="B3865"/>
    </row>
    <row r="3866" spans="2:2">
      <c r="B3866"/>
    </row>
    <row r="3867" spans="2:2">
      <c r="B3867"/>
    </row>
    <row r="3868" spans="2:2">
      <c r="B3868"/>
    </row>
    <row r="3869" spans="2:2">
      <c r="B3869"/>
    </row>
    <row r="3870" spans="2:2">
      <c r="B3870"/>
    </row>
    <row r="3871" spans="2:2">
      <c r="B3871"/>
    </row>
    <row r="3872" spans="2:2">
      <c r="B3872"/>
    </row>
    <row r="3873" spans="2:2">
      <c r="B3873"/>
    </row>
    <row r="3874" spans="2:2">
      <c r="B3874"/>
    </row>
    <row r="3875" spans="2:2">
      <c r="B3875"/>
    </row>
    <row r="3876" spans="2:2">
      <c r="B3876"/>
    </row>
    <row r="3877" spans="2:2">
      <c r="B3877"/>
    </row>
    <row r="3878" spans="2:2">
      <c r="B3878"/>
    </row>
    <row r="3879" spans="2:2">
      <c r="B3879"/>
    </row>
    <row r="3880" spans="2:2">
      <c r="B3880"/>
    </row>
    <row r="3881" spans="2:2">
      <c r="B3881"/>
    </row>
    <row r="3882" spans="2:2">
      <c r="B3882"/>
    </row>
    <row r="3883" spans="2:2">
      <c r="B3883"/>
    </row>
    <row r="3884" spans="2:2">
      <c r="B3884"/>
    </row>
    <row r="3885" spans="2:2">
      <c r="B3885"/>
    </row>
    <row r="3886" spans="2:2">
      <c r="B3886"/>
    </row>
    <row r="3887" spans="2:2">
      <c r="B3887"/>
    </row>
    <row r="3888" spans="2:2">
      <c r="B3888"/>
    </row>
    <row r="3889" spans="2:2">
      <c r="B3889"/>
    </row>
    <row r="3890" spans="2:2">
      <c r="B3890"/>
    </row>
    <row r="3891" spans="2:2">
      <c r="B3891"/>
    </row>
    <row r="3892" spans="2:2">
      <c r="B3892"/>
    </row>
    <row r="3893" spans="2:2">
      <c r="B3893"/>
    </row>
    <row r="3894" spans="2:2">
      <c r="B3894"/>
    </row>
    <row r="3895" spans="2:2">
      <c r="B3895"/>
    </row>
    <row r="3896" spans="2:2">
      <c r="B3896"/>
    </row>
    <row r="3897" spans="2:2">
      <c r="B3897"/>
    </row>
    <row r="3898" spans="2:2">
      <c r="B3898"/>
    </row>
    <row r="3899" spans="2:2">
      <c r="B3899"/>
    </row>
    <row r="3900" spans="2:2">
      <c r="B3900"/>
    </row>
    <row r="3901" spans="2:2">
      <c r="B3901"/>
    </row>
    <row r="3902" spans="2:2">
      <c r="B3902"/>
    </row>
    <row r="3903" spans="2:2">
      <c r="B3903"/>
    </row>
    <row r="3904" spans="2:2">
      <c r="B3904"/>
    </row>
    <row r="3905" spans="2:2">
      <c r="B3905"/>
    </row>
    <row r="3906" spans="2:2">
      <c r="B3906"/>
    </row>
    <row r="3907" spans="2:2">
      <c r="B3907"/>
    </row>
    <row r="3908" spans="2:2">
      <c r="B3908"/>
    </row>
    <row r="3909" spans="2:2">
      <c r="B3909"/>
    </row>
    <row r="3910" spans="2:2">
      <c r="B3910"/>
    </row>
    <row r="3911" spans="2:2">
      <c r="B3911"/>
    </row>
    <row r="3912" spans="2:2">
      <c r="B3912"/>
    </row>
    <row r="3913" spans="2:2">
      <c r="B3913"/>
    </row>
    <row r="3914" spans="2:2">
      <c r="B3914"/>
    </row>
    <row r="3915" spans="2:2">
      <c r="B3915"/>
    </row>
    <row r="3916" spans="2:2">
      <c r="B3916"/>
    </row>
    <row r="3917" spans="2:2">
      <c r="B3917"/>
    </row>
    <row r="3918" spans="2:2">
      <c r="B3918"/>
    </row>
    <row r="3919" spans="2:2">
      <c r="B3919"/>
    </row>
    <row r="3920" spans="2:2">
      <c r="B3920"/>
    </row>
    <row r="3921" spans="2:2">
      <c r="B3921"/>
    </row>
    <row r="3922" spans="2:2">
      <c r="B3922"/>
    </row>
    <row r="3923" spans="2:2">
      <c r="B3923"/>
    </row>
    <row r="3924" spans="2:2">
      <c r="B3924"/>
    </row>
    <row r="3925" spans="2:2">
      <c r="B3925"/>
    </row>
    <row r="3926" spans="2:2">
      <c r="B3926"/>
    </row>
    <row r="3927" spans="2:2">
      <c r="B3927"/>
    </row>
    <row r="3928" spans="2:2">
      <c r="B3928"/>
    </row>
    <row r="3929" spans="2:2">
      <c r="B3929"/>
    </row>
    <row r="3930" spans="2:2">
      <c r="B3930"/>
    </row>
    <row r="3931" spans="2:2">
      <c r="B3931"/>
    </row>
    <row r="3932" spans="2:2">
      <c r="B3932"/>
    </row>
    <row r="3933" spans="2:2">
      <c r="B3933"/>
    </row>
    <row r="3934" spans="2:2">
      <c r="B3934"/>
    </row>
    <row r="3935" spans="2:2">
      <c r="B3935"/>
    </row>
    <row r="3936" spans="2:2">
      <c r="B3936"/>
    </row>
    <row r="3937" spans="2:2">
      <c r="B3937"/>
    </row>
    <row r="3938" spans="2:2">
      <c r="B3938"/>
    </row>
    <row r="3939" spans="2:2">
      <c r="B3939"/>
    </row>
    <row r="3940" spans="2:2">
      <c r="B3940"/>
    </row>
    <row r="3941" spans="2:2">
      <c r="B3941"/>
    </row>
    <row r="3942" spans="2:2">
      <c r="B3942"/>
    </row>
    <row r="3943" spans="2:2">
      <c r="B3943"/>
    </row>
    <row r="3944" spans="2:2">
      <c r="B3944"/>
    </row>
    <row r="3945" spans="2:2">
      <c r="B3945"/>
    </row>
    <row r="3946" spans="2:2">
      <c r="B3946"/>
    </row>
    <row r="3947" spans="2:2">
      <c r="B3947"/>
    </row>
    <row r="3948" spans="2:2">
      <c r="B3948"/>
    </row>
    <row r="3949" spans="2:2">
      <c r="B3949"/>
    </row>
    <row r="3950" spans="2:2">
      <c r="B3950"/>
    </row>
    <row r="3951" spans="2:2">
      <c r="B3951"/>
    </row>
    <row r="3952" spans="2:2">
      <c r="B3952"/>
    </row>
    <row r="3953" spans="2:2">
      <c r="B3953"/>
    </row>
    <row r="3954" spans="2:2">
      <c r="B3954"/>
    </row>
    <row r="3955" spans="2:2">
      <c r="B3955"/>
    </row>
    <row r="3956" spans="2:2">
      <c r="B3956"/>
    </row>
    <row r="3957" spans="2:2">
      <c r="B3957"/>
    </row>
    <row r="3958" spans="2:2">
      <c r="B3958"/>
    </row>
    <row r="3959" spans="2:2">
      <c r="B3959"/>
    </row>
    <row r="3960" spans="2:2">
      <c r="B3960"/>
    </row>
    <row r="3961" spans="2:2">
      <c r="B3961"/>
    </row>
    <row r="3962" spans="2:2">
      <c r="B3962"/>
    </row>
    <row r="3963" spans="2:2">
      <c r="B3963"/>
    </row>
    <row r="3964" spans="2:2">
      <c r="B3964"/>
    </row>
    <row r="3965" spans="2:2">
      <c r="B3965"/>
    </row>
    <row r="3966" spans="2:2">
      <c r="B3966"/>
    </row>
    <row r="3967" spans="2:2">
      <c r="B3967"/>
    </row>
    <row r="3968" spans="2:2">
      <c r="B3968"/>
    </row>
    <row r="3969" spans="2:2">
      <c r="B3969"/>
    </row>
    <row r="3970" spans="2:2">
      <c r="B3970"/>
    </row>
    <row r="3971" spans="2:2">
      <c r="B3971"/>
    </row>
    <row r="3972" spans="2:2">
      <c r="B3972"/>
    </row>
    <row r="3973" spans="2:2">
      <c r="B3973"/>
    </row>
    <row r="3974" spans="2:2">
      <c r="B3974"/>
    </row>
    <row r="3975" spans="2:2">
      <c r="B3975"/>
    </row>
    <row r="3976" spans="2:2">
      <c r="B3976"/>
    </row>
    <row r="3977" spans="2:2">
      <c r="B3977"/>
    </row>
    <row r="3978" spans="2:2">
      <c r="B3978"/>
    </row>
    <row r="3979" spans="2:2">
      <c r="B3979"/>
    </row>
    <row r="3980" spans="2:2">
      <c r="B3980"/>
    </row>
    <row r="3981" spans="2:2">
      <c r="B3981"/>
    </row>
    <row r="3982" spans="2:2">
      <c r="B3982"/>
    </row>
    <row r="3983" spans="2:2">
      <c r="B3983"/>
    </row>
    <row r="3984" spans="2:2">
      <c r="B3984"/>
    </row>
    <row r="3985" spans="2:2">
      <c r="B3985"/>
    </row>
    <row r="3986" spans="2:2">
      <c r="B3986"/>
    </row>
    <row r="3987" spans="2:2">
      <c r="B3987"/>
    </row>
    <row r="3988" spans="2:2">
      <c r="B3988"/>
    </row>
    <row r="3989" spans="2:2">
      <c r="B3989"/>
    </row>
    <row r="3990" spans="2:2">
      <c r="B3990"/>
    </row>
    <row r="3991" spans="2:2">
      <c r="B3991"/>
    </row>
    <row r="3992" spans="2:2">
      <c r="B3992"/>
    </row>
    <row r="3993" spans="2:2">
      <c r="B3993"/>
    </row>
    <row r="3994" spans="2:2">
      <c r="B3994"/>
    </row>
    <row r="3995" spans="2:2">
      <c r="B3995"/>
    </row>
    <row r="3996" spans="2:2">
      <c r="B3996"/>
    </row>
    <row r="3997" spans="2:2">
      <c r="B3997"/>
    </row>
    <row r="3998" spans="2:2">
      <c r="B3998"/>
    </row>
    <row r="3999" spans="2:2">
      <c r="B3999"/>
    </row>
    <row r="4000" spans="2:2">
      <c r="B4000"/>
    </row>
    <row r="4001" spans="2:2">
      <c r="B4001"/>
    </row>
    <row r="4002" spans="2:2">
      <c r="B4002"/>
    </row>
    <row r="4003" spans="2:2">
      <c r="B4003"/>
    </row>
    <row r="4004" spans="2:2">
      <c r="B4004"/>
    </row>
    <row r="4005" spans="2:2">
      <c r="B4005"/>
    </row>
    <row r="4006" spans="2:2">
      <c r="B4006"/>
    </row>
    <row r="4007" spans="2:2">
      <c r="B4007"/>
    </row>
    <row r="4008" spans="2:2">
      <c r="B4008"/>
    </row>
    <row r="4009" spans="2:2">
      <c r="B4009"/>
    </row>
    <row r="4010" spans="2:2">
      <c r="B4010"/>
    </row>
    <row r="4011" spans="2:2">
      <c r="B4011"/>
    </row>
    <row r="4012" spans="2:2">
      <c r="B4012"/>
    </row>
    <row r="4013" spans="2:2">
      <c r="B4013"/>
    </row>
    <row r="4014" spans="2:2">
      <c r="B4014"/>
    </row>
    <row r="4015" spans="2:2">
      <c r="B4015"/>
    </row>
    <row r="4016" spans="2:2">
      <c r="B4016"/>
    </row>
    <row r="4017" spans="2:2">
      <c r="B4017"/>
    </row>
    <row r="4018" spans="2:2">
      <c r="B4018"/>
    </row>
    <row r="4019" spans="2:2">
      <c r="B4019"/>
    </row>
    <row r="4020" spans="2:2">
      <c r="B4020"/>
    </row>
    <row r="4021" spans="2:2">
      <c r="B4021"/>
    </row>
    <row r="4022" spans="2:2">
      <c r="B4022"/>
    </row>
    <row r="4023" spans="2:2">
      <c r="B4023"/>
    </row>
    <row r="4024" spans="2:2">
      <c r="B4024"/>
    </row>
    <row r="4025" spans="2:2">
      <c r="B4025"/>
    </row>
    <row r="4026" spans="2:2">
      <c r="B4026"/>
    </row>
    <row r="4027" spans="2:2">
      <c r="B4027"/>
    </row>
    <row r="4028" spans="2:2">
      <c r="B4028"/>
    </row>
    <row r="4029" spans="2:2">
      <c r="B4029"/>
    </row>
    <row r="4030" spans="2:2">
      <c r="B4030"/>
    </row>
    <row r="4031" spans="2:2">
      <c r="B4031"/>
    </row>
    <row r="4032" spans="2:2">
      <c r="B4032"/>
    </row>
    <row r="4033" spans="2:2">
      <c r="B4033"/>
    </row>
    <row r="4034" spans="2:2">
      <c r="B4034"/>
    </row>
    <row r="4035" spans="2:2">
      <c r="B4035"/>
    </row>
    <row r="4036" spans="2:2">
      <c r="B4036"/>
    </row>
    <row r="4037" spans="2:2">
      <c r="B4037"/>
    </row>
    <row r="4038" spans="2:2">
      <c r="B4038"/>
    </row>
    <row r="4039" spans="2:2">
      <c r="B4039"/>
    </row>
    <row r="4040" spans="2:2">
      <c r="B4040"/>
    </row>
    <row r="4041" spans="2:2">
      <c r="B4041"/>
    </row>
    <row r="4042" spans="2:2">
      <c r="B4042"/>
    </row>
    <row r="4043" spans="2:2">
      <c r="B4043"/>
    </row>
    <row r="4044" spans="2:2">
      <c r="B4044"/>
    </row>
    <row r="4045" spans="2:2">
      <c r="B4045"/>
    </row>
    <row r="4046" spans="2:2">
      <c r="B4046"/>
    </row>
    <row r="4047" spans="2:2">
      <c r="B4047"/>
    </row>
    <row r="4048" spans="2:2">
      <c r="B4048"/>
    </row>
    <row r="4049" spans="2:2">
      <c r="B4049"/>
    </row>
    <row r="4050" spans="2:2">
      <c r="B4050"/>
    </row>
    <row r="4051" spans="2:2">
      <c r="B4051"/>
    </row>
    <row r="4052" spans="2:2">
      <c r="B4052"/>
    </row>
    <row r="4053" spans="2:2">
      <c r="B4053"/>
    </row>
    <row r="4054" spans="2:2">
      <c r="B4054"/>
    </row>
    <row r="4055" spans="2:2">
      <c r="B4055"/>
    </row>
    <row r="4056" spans="2:2">
      <c r="B4056"/>
    </row>
    <row r="4057" spans="2:2">
      <c r="B4057"/>
    </row>
    <row r="4058" spans="2:2">
      <c r="B4058"/>
    </row>
    <row r="4059" spans="2:2">
      <c r="B4059"/>
    </row>
    <row r="4060" spans="2:2">
      <c r="B4060"/>
    </row>
    <row r="4061" spans="2:2">
      <c r="B4061"/>
    </row>
    <row r="4062" spans="2:2">
      <c r="B4062"/>
    </row>
    <row r="4063" spans="2:2">
      <c r="B4063"/>
    </row>
    <row r="4064" spans="2:2">
      <c r="B4064"/>
    </row>
    <row r="4065" spans="2:2">
      <c r="B4065"/>
    </row>
    <row r="4066" spans="2:2">
      <c r="B4066"/>
    </row>
    <row r="4067" spans="2:2">
      <c r="B4067"/>
    </row>
    <row r="4068" spans="2:2">
      <c r="B4068"/>
    </row>
    <row r="4069" spans="2:2">
      <c r="B4069"/>
    </row>
    <row r="4070" spans="2:2">
      <c r="B4070"/>
    </row>
    <row r="4071" spans="2:2">
      <c r="B4071"/>
    </row>
    <row r="4072" spans="2:2">
      <c r="B4072"/>
    </row>
    <row r="4073" spans="2:2">
      <c r="B4073"/>
    </row>
    <row r="4074" spans="2:2">
      <c r="B4074"/>
    </row>
    <row r="4075" spans="2:2">
      <c r="B4075"/>
    </row>
    <row r="4076" spans="2:2">
      <c r="B4076"/>
    </row>
    <row r="4077" spans="2:2">
      <c r="B4077"/>
    </row>
    <row r="4078" spans="2:2">
      <c r="B4078"/>
    </row>
    <row r="4079" spans="2:2">
      <c r="B4079"/>
    </row>
    <row r="4080" spans="2:2">
      <c r="B4080"/>
    </row>
    <row r="4081" spans="2:2">
      <c r="B4081"/>
    </row>
    <row r="4082" spans="2:2">
      <c r="B4082"/>
    </row>
    <row r="4083" spans="2:2">
      <c r="B4083"/>
    </row>
    <row r="4084" spans="2:2">
      <c r="B4084"/>
    </row>
    <row r="4085" spans="2:2">
      <c r="B4085"/>
    </row>
    <row r="4086" spans="2:2">
      <c r="B4086"/>
    </row>
    <row r="4087" spans="2:2">
      <c r="B4087"/>
    </row>
    <row r="4088" spans="2:2">
      <c r="B4088"/>
    </row>
    <row r="4089" spans="2:2">
      <c r="B4089"/>
    </row>
    <row r="4090" spans="2:2">
      <c r="B4090"/>
    </row>
    <row r="4091" spans="2:2">
      <c r="B4091"/>
    </row>
    <row r="4092" spans="2:2">
      <c r="B4092"/>
    </row>
    <row r="4093" spans="2:2">
      <c r="B4093"/>
    </row>
    <row r="4094" spans="2:2">
      <c r="B4094"/>
    </row>
    <row r="4095" spans="2:2">
      <c r="B4095"/>
    </row>
    <row r="4096" spans="2:2">
      <c r="B4096"/>
    </row>
    <row r="4097" spans="2:2">
      <c r="B4097"/>
    </row>
    <row r="4098" spans="2:2">
      <c r="B4098"/>
    </row>
    <row r="4099" spans="2:2">
      <c r="B4099"/>
    </row>
    <row r="4100" spans="2:2">
      <c r="B4100"/>
    </row>
    <row r="4101" spans="2:2">
      <c r="B4101"/>
    </row>
    <row r="4102" spans="2:2">
      <c r="B4102"/>
    </row>
    <row r="4103" spans="2:2">
      <c r="B4103"/>
    </row>
    <row r="4104" spans="2:2">
      <c r="B4104"/>
    </row>
    <row r="4105" spans="2:2">
      <c r="B4105"/>
    </row>
    <row r="4106" spans="2:2">
      <c r="B4106"/>
    </row>
    <row r="4107" spans="2:2">
      <c r="B4107"/>
    </row>
    <row r="4108" spans="2:2">
      <c r="B4108"/>
    </row>
    <row r="4109" spans="2:2">
      <c r="B4109"/>
    </row>
    <row r="4110" spans="2:2">
      <c r="B4110"/>
    </row>
    <row r="4111" spans="2:2">
      <c r="B4111"/>
    </row>
    <row r="4112" spans="2:2">
      <c r="B4112"/>
    </row>
    <row r="4113" spans="2:2">
      <c r="B4113"/>
    </row>
    <row r="4114" spans="2:2">
      <c r="B4114"/>
    </row>
    <row r="4115" spans="2:2">
      <c r="B4115"/>
    </row>
    <row r="4116" spans="2:2">
      <c r="B4116"/>
    </row>
    <row r="4117" spans="2:2">
      <c r="B4117"/>
    </row>
    <row r="4118" spans="2:2">
      <c r="B4118"/>
    </row>
    <row r="4119" spans="2:2">
      <c r="B4119"/>
    </row>
    <row r="4120" spans="2:2">
      <c r="B4120"/>
    </row>
    <row r="4121" spans="2:2">
      <c r="B4121"/>
    </row>
    <row r="4122" spans="2:2">
      <c r="B4122"/>
    </row>
    <row r="4123" spans="2:2">
      <c r="B4123"/>
    </row>
    <row r="4124" spans="2:2">
      <c r="B4124"/>
    </row>
    <row r="4125" spans="2:2">
      <c r="B4125"/>
    </row>
    <row r="4126" spans="2:2">
      <c r="B4126"/>
    </row>
    <row r="4127" spans="2:2">
      <c r="B4127"/>
    </row>
    <row r="4128" spans="2:2">
      <c r="B4128"/>
    </row>
    <row r="4129" spans="2:2">
      <c r="B4129"/>
    </row>
    <row r="4130" spans="2:2">
      <c r="B4130"/>
    </row>
    <row r="4131" spans="2:2">
      <c r="B4131"/>
    </row>
    <row r="4132" spans="2:2">
      <c r="B4132"/>
    </row>
    <row r="4133" spans="2:2">
      <c r="B4133"/>
    </row>
    <row r="4134" spans="2:2">
      <c r="B4134"/>
    </row>
    <row r="4135" spans="2:2">
      <c r="B4135"/>
    </row>
    <row r="4136" spans="2:2">
      <c r="B4136"/>
    </row>
    <row r="4137" spans="2:2">
      <c r="B4137"/>
    </row>
    <row r="4138" spans="2:2">
      <c r="B4138"/>
    </row>
    <row r="4139" spans="2:2">
      <c r="B4139"/>
    </row>
    <row r="4140" spans="2:2">
      <c r="B4140"/>
    </row>
    <row r="4141" spans="2:2">
      <c r="B4141"/>
    </row>
    <row r="4142" spans="2:2">
      <c r="B4142"/>
    </row>
    <row r="4143" spans="2:2">
      <c r="B4143"/>
    </row>
    <row r="4144" spans="2:2">
      <c r="B4144"/>
    </row>
    <row r="4145" spans="2:2">
      <c r="B4145"/>
    </row>
    <row r="4146" spans="2:2">
      <c r="B4146"/>
    </row>
    <row r="4147" spans="2:2">
      <c r="B4147"/>
    </row>
    <row r="4148" spans="2:2">
      <c r="B4148"/>
    </row>
    <row r="4149" spans="2:2">
      <c r="B4149"/>
    </row>
    <row r="4150" spans="2:2">
      <c r="B4150"/>
    </row>
    <row r="4151" spans="2:2">
      <c r="B4151"/>
    </row>
    <row r="4152" spans="2:2">
      <c r="B4152"/>
    </row>
    <row r="4153" spans="2:2">
      <c r="B4153"/>
    </row>
    <row r="4154" spans="2:2">
      <c r="B4154"/>
    </row>
    <row r="4155" spans="2:2">
      <c r="B4155"/>
    </row>
    <row r="4156" spans="2:2">
      <c r="B4156"/>
    </row>
    <row r="4157" spans="2:2">
      <c r="B4157"/>
    </row>
    <row r="4158" spans="2:2">
      <c r="B4158"/>
    </row>
    <row r="4159" spans="2:2">
      <c r="B4159"/>
    </row>
    <row r="4160" spans="2:2">
      <c r="B4160"/>
    </row>
    <row r="4161" spans="2:2">
      <c r="B4161"/>
    </row>
    <row r="4162" spans="2:2">
      <c r="B4162"/>
    </row>
    <row r="4163" spans="2:2">
      <c r="B4163"/>
    </row>
    <row r="4164" spans="2:2">
      <c r="B4164"/>
    </row>
    <row r="4165" spans="2:2">
      <c r="B4165"/>
    </row>
    <row r="4166" spans="2:2">
      <c r="B4166"/>
    </row>
    <row r="4167" spans="2:2">
      <c r="B4167"/>
    </row>
    <row r="4168" spans="2:2">
      <c r="B4168"/>
    </row>
    <row r="4169" spans="2:2">
      <c r="B4169"/>
    </row>
    <row r="4170" spans="2:2">
      <c r="B4170"/>
    </row>
    <row r="4171" spans="2:2">
      <c r="B4171"/>
    </row>
    <row r="4172" spans="2:2">
      <c r="B4172"/>
    </row>
    <row r="4173" spans="2:2">
      <c r="B4173"/>
    </row>
    <row r="4174" spans="2:2">
      <c r="B4174"/>
    </row>
    <row r="4175" spans="2:2">
      <c r="B4175"/>
    </row>
    <row r="4176" spans="2:2">
      <c r="B4176"/>
    </row>
    <row r="4177" spans="2:2">
      <c r="B4177"/>
    </row>
    <row r="4178" spans="2:2">
      <c r="B4178"/>
    </row>
    <row r="4179" spans="2:2">
      <c r="B4179"/>
    </row>
    <row r="4180" spans="2:2">
      <c r="B4180"/>
    </row>
    <row r="4181" spans="2:2">
      <c r="B4181"/>
    </row>
    <row r="4182" spans="2:2">
      <c r="B4182"/>
    </row>
    <row r="4183" spans="2:2">
      <c r="B4183"/>
    </row>
    <row r="4184" spans="2:2">
      <c r="B4184"/>
    </row>
    <row r="4185" spans="2:2">
      <c r="B4185"/>
    </row>
    <row r="4186" spans="2:2">
      <c r="B4186"/>
    </row>
    <row r="4187" spans="2:2">
      <c r="B4187"/>
    </row>
    <row r="4188" spans="2:2">
      <c r="B4188"/>
    </row>
    <row r="4189" spans="2:2">
      <c r="B4189"/>
    </row>
    <row r="4190" spans="2:2">
      <c r="B4190"/>
    </row>
    <row r="4191" spans="2:2">
      <c r="B4191"/>
    </row>
    <row r="4192" spans="2:2">
      <c r="B4192"/>
    </row>
    <row r="4193" spans="2:2">
      <c r="B4193"/>
    </row>
    <row r="4194" spans="2:2">
      <c r="B4194"/>
    </row>
    <row r="4195" spans="2:2">
      <c r="B4195"/>
    </row>
    <row r="4196" spans="2:2">
      <c r="B4196"/>
    </row>
    <row r="4197" spans="2:2">
      <c r="B4197"/>
    </row>
    <row r="4198" spans="2:2">
      <c r="B4198"/>
    </row>
    <row r="4199" spans="2:2">
      <c r="B4199"/>
    </row>
    <row r="4200" spans="2:2">
      <c r="B4200"/>
    </row>
    <row r="4201" spans="2:2">
      <c r="B4201"/>
    </row>
    <row r="4202" spans="2:2">
      <c r="B4202"/>
    </row>
    <row r="4203" spans="2:2">
      <c r="B4203"/>
    </row>
    <row r="4204" spans="2:2">
      <c r="B4204"/>
    </row>
    <row r="4205" spans="2:2">
      <c r="B4205"/>
    </row>
    <row r="4206" spans="2:2">
      <c r="B4206"/>
    </row>
    <row r="4207" spans="2:2">
      <c r="B4207"/>
    </row>
    <row r="4208" spans="2:2">
      <c r="B4208"/>
    </row>
    <row r="4209" spans="2:2">
      <c r="B4209"/>
    </row>
    <row r="4210" spans="2:2">
      <c r="B4210"/>
    </row>
    <row r="4211" spans="2:2">
      <c r="B4211"/>
    </row>
    <row r="4212" spans="2:2">
      <c r="B4212"/>
    </row>
    <row r="4213" spans="2:2">
      <c r="B4213"/>
    </row>
    <row r="4214" spans="2:2">
      <c r="B4214"/>
    </row>
    <row r="4215" spans="2:2">
      <c r="B4215"/>
    </row>
    <row r="4216" spans="2:2">
      <c r="B4216"/>
    </row>
    <row r="4217" spans="2:2">
      <c r="B4217"/>
    </row>
    <row r="4218" spans="2:2">
      <c r="B4218"/>
    </row>
    <row r="4219" spans="2:2">
      <c r="B4219"/>
    </row>
    <row r="4220" spans="2:2">
      <c r="B4220"/>
    </row>
    <row r="4221" spans="2:2">
      <c r="B4221"/>
    </row>
    <row r="4222" spans="2:2">
      <c r="B4222"/>
    </row>
    <row r="4223" spans="2:2">
      <c r="B4223"/>
    </row>
    <row r="4224" spans="2:2">
      <c r="B4224"/>
    </row>
    <row r="4225" spans="2:2">
      <c r="B4225"/>
    </row>
    <row r="4226" spans="2:2">
      <c r="B4226"/>
    </row>
    <row r="4227" spans="2:2">
      <c r="B4227"/>
    </row>
    <row r="4228" spans="2:2">
      <c r="B4228"/>
    </row>
    <row r="4229" spans="2:2">
      <c r="B4229"/>
    </row>
    <row r="4230" spans="2:2">
      <c r="B4230"/>
    </row>
    <row r="4231" spans="2:2">
      <c r="B4231"/>
    </row>
    <row r="4232" spans="2:2">
      <c r="B4232"/>
    </row>
    <row r="4233" spans="2:2">
      <c r="B4233"/>
    </row>
    <row r="4234" spans="2:2">
      <c r="B4234"/>
    </row>
    <row r="4235" spans="2:2">
      <c r="B4235"/>
    </row>
    <row r="4236" spans="2:2">
      <c r="B4236"/>
    </row>
    <row r="4237" spans="2:2">
      <c r="B4237"/>
    </row>
    <row r="4238" spans="2:2">
      <c r="B4238"/>
    </row>
    <row r="4239" spans="2:2">
      <c r="B4239"/>
    </row>
    <row r="4240" spans="2:2">
      <c r="B4240"/>
    </row>
    <row r="4241" spans="2:2">
      <c r="B4241"/>
    </row>
    <row r="4242" spans="2:2">
      <c r="B4242"/>
    </row>
    <row r="4243" spans="2:2">
      <c r="B4243"/>
    </row>
    <row r="4244" spans="2:2">
      <c r="B4244"/>
    </row>
    <row r="4245" spans="2:2">
      <c r="B4245"/>
    </row>
    <row r="4246" spans="2:2">
      <c r="B4246"/>
    </row>
    <row r="4247" spans="2:2">
      <c r="B4247"/>
    </row>
    <row r="4248" spans="2:2">
      <c r="B4248"/>
    </row>
    <row r="4249" spans="2:2">
      <c r="B4249"/>
    </row>
    <row r="4250" spans="2:2">
      <c r="B4250"/>
    </row>
    <row r="4251" spans="2:2">
      <c r="B4251"/>
    </row>
    <row r="4252" spans="2:2">
      <c r="B4252"/>
    </row>
    <row r="4253" spans="2:2">
      <c r="B4253"/>
    </row>
    <row r="4254" spans="2:2">
      <c r="B4254"/>
    </row>
    <row r="4255" spans="2:2">
      <c r="B4255"/>
    </row>
    <row r="4256" spans="2:2">
      <c r="B4256"/>
    </row>
    <row r="4257" spans="2:2">
      <c r="B4257"/>
    </row>
    <row r="4258" spans="2:2">
      <c r="B4258"/>
    </row>
    <row r="4259" spans="2:2">
      <c r="B4259"/>
    </row>
    <row r="4260" spans="2:2">
      <c r="B4260"/>
    </row>
    <row r="4261" spans="2:2">
      <c r="B4261"/>
    </row>
    <row r="4262" spans="2:2">
      <c r="B4262"/>
    </row>
    <row r="4263" spans="2:2">
      <c r="B4263"/>
    </row>
    <row r="4264" spans="2:2">
      <c r="B4264"/>
    </row>
    <row r="4265" spans="2:2">
      <c r="B4265"/>
    </row>
    <row r="4266" spans="2:2">
      <c r="B4266"/>
    </row>
    <row r="4267" spans="2:2">
      <c r="B4267"/>
    </row>
    <row r="4268" spans="2:2">
      <c r="B4268"/>
    </row>
    <row r="4269" spans="2:2">
      <c r="B4269"/>
    </row>
    <row r="4270" spans="2:2">
      <c r="B4270"/>
    </row>
    <row r="4271" spans="2:2">
      <c r="B4271"/>
    </row>
    <row r="4272" spans="2:2">
      <c r="B4272"/>
    </row>
    <row r="4273" spans="2:2">
      <c r="B4273"/>
    </row>
    <row r="4274" spans="2:2">
      <c r="B4274"/>
    </row>
    <row r="4275" spans="2:2">
      <c r="B4275"/>
    </row>
    <row r="4276" spans="2:2">
      <c r="B4276"/>
    </row>
    <row r="4277" spans="2:2">
      <c r="B4277"/>
    </row>
    <row r="4278" spans="2:2">
      <c r="B4278"/>
    </row>
    <row r="4279" spans="2:2">
      <c r="B4279"/>
    </row>
    <row r="4280" spans="2:2">
      <c r="B4280"/>
    </row>
    <row r="4281" spans="2:2">
      <c r="B4281"/>
    </row>
    <row r="4282" spans="2:2">
      <c r="B4282"/>
    </row>
    <row r="4283" spans="2:2">
      <c r="B4283"/>
    </row>
    <row r="4284" spans="2:2">
      <c r="B4284"/>
    </row>
    <row r="4285" spans="2:2">
      <c r="B4285"/>
    </row>
    <row r="4286" spans="2:2">
      <c r="B4286"/>
    </row>
    <row r="4287" spans="2:2">
      <c r="B4287"/>
    </row>
    <row r="4288" spans="2:2">
      <c r="B4288"/>
    </row>
    <row r="4289" spans="2:2">
      <c r="B4289"/>
    </row>
    <row r="4290" spans="2:2">
      <c r="B4290"/>
    </row>
    <row r="4291" spans="2:2">
      <c r="B4291"/>
    </row>
    <row r="4292" spans="2:2">
      <c r="B4292"/>
    </row>
    <row r="4293" spans="2:2">
      <c r="B4293"/>
    </row>
    <row r="4294" spans="2:2">
      <c r="B4294"/>
    </row>
    <row r="4295" spans="2:2">
      <c r="B4295"/>
    </row>
    <row r="4296" spans="2:2">
      <c r="B4296"/>
    </row>
    <row r="4297" spans="2:2">
      <c r="B4297"/>
    </row>
    <row r="4298" spans="2:2">
      <c r="B4298"/>
    </row>
    <row r="4299" spans="2:2">
      <c r="B4299"/>
    </row>
    <row r="4300" spans="2:2">
      <c r="B4300"/>
    </row>
    <row r="4301" spans="2:2">
      <c r="B4301"/>
    </row>
    <row r="4302" spans="2:2">
      <c r="B4302"/>
    </row>
    <row r="4303" spans="2:2">
      <c r="B4303"/>
    </row>
    <row r="4304" spans="2:2">
      <c r="B4304"/>
    </row>
    <row r="4305" spans="2:2">
      <c r="B4305"/>
    </row>
    <row r="4306" spans="2:2">
      <c r="B4306"/>
    </row>
    <row r="4307" spans="2:2">
      <c r="B4307"/>
    </row>
    <row r="4308" spans="2:2">
      <c r="B4308"/>
    </row>
    <row r="4309" spans="2:2">
      <c r="B4309"/>
    </row>
    <row r="4310" spans="2:2">
      <c r="B4310"/>
    </row>
    <row r="4311" spans="2:2">
      <c r="B4311"/>
    </row>
    <row r="4312" spans="2:2">
      <c r="B4312"/>
    </row>
    <row r="4313" spans="2:2">
      <c r="B4313"/>
    </row>
    <row r="4314" spans="2:2">
      <c r="B4314"/>
    </row>
    <row r="4315" spans="2:2">
      <c r="B4315"/>
    </row>
    <row r="4316" spans="2:2">
      <c r="B4316"/>
    </row>
    <row r="4317" spans="2:2">
      <c r="B4317"/>
    </row>
    <row r="4318" spans="2:2">
      <c r="B4318"/>
    </row>
    <row r="4319" spans="2:2">
      <c r="B4319"/>
    </row>
    <row r="4320" spans="2:2">
      <c r="B4320"/>
    </row>
    <row r="4321" spans="2:2">
      <c r="B4321"/>
    </row>
    <row r="4322" spans="2:2">
      <c r="B4322"/>
    </row>
    <row r="4323" spans="2:2">
      <c r="B4323"/>
    </row>
    <row r="4324" spans="2:2">
      <c r="B4324"/>
    </row>
    <row r="4325" spans="2:2">
      <c r="B4325"/>
    </row>
    <row r="4326" spans="2:2">
      <c r="B4326"/>
    </row>
    <row r="4327" spans="2:2">
      <c r="B4327"/>
    </row>
    <row r="4328" spans="2:2">
      <c r="B4328"/>
    </row>
    <row r="4329" spans="2:2">
      <c r="B4329"/>
    </row>
    <row r="4330" spans="2:2">
      <c r="B4330"/>
    </row>
    <row r="4331" spans="2:2">
      <c r="B4331"/>
    </row>
    <row r="4332" spans="2:2">
      <c r="B4332"/>
    </row>
    <row r="4333" spans="2:2">
      <c r="B4333"/>
    </row>
    <row r="4334" spans="2:2">
      <c r="B4334"/>
    </row>
    <row r="4335" spans="2:2">
      <c r="B4335"/>
    </row>
    <row r="4336" spans="2:2">
      <c r="B4336"/>
    </row>
    <row r="4337" spans="2:2">
      <c r="B4337"/>
    </row>
    <row r="4338" spans="2:2">
      <c r="B4338"/>
    </row>
    <row r="4339" spans="2:2">
      <c r="B4339"/>
    </row>
    <row r="4340" spans="2:2">
      <c r="B4340"/>
    </row>
    <row r="4341" spans="2:2">
      <c r="B4341"/>
    </row>
    <row r="4342" spans="2:2">
      <c r="B4342"/>
    </row>
    <row r="4343" spans="2:2">
      <c r="B4343"/>
    </row>
    <row r="4344" spans="2:2">
      <c r="B4344"/>
    </row>
    <row r="4345" spans="2:2">
      <c r="B4345"/>
    </row>
    <row r="4346" spans="2:2">
      <c r="B4346"/>
    </row>
    <row r="4347" spans="2:2">
      <c r="B4347"/>
    </row>
    <row r="4348" spans="2:2">
      <c r="B4348"/>
    </row>
    <row r="4349" spans="2:2">
      <c r="B4349"/>
    </row>
    <row r="4350" spans="2:2">
      <c r="B4350"/>
    </row>
    <row r="4351" spans="2:2">
      <c r="B4351"/>
    </row>
    <row r="4352" spans="2:2">
      <c r="B4352"/>
    </row>
    <row r="4353" spans="2:2">
      <c r="B4353"/>
    </row>
    <row r="4354" spans="2:2">
      <c r="B4354"/>
    </row>
    <row r="4355" spans="2:2">
      <c r="B4355"/>
    </row>
    <row r="4356" spans="2:2">
      <c r="B4356"/>
    </row>
    <row r="4357" spans="2:2">
      <c r="B4357"/>
    </row>
    <row r="4358" spans="2:2">
      <c r="B4358"/>
    </row>
    <row r="4359" spans="2:2">
      <c r="B4359"/>
    </row>
    <row r="4360" spans="2:2">
      <c r="B4360"/>
    </row>
    <row r="4361" spans="2:2">
      <c r="B4361"/>
    </row>
    <row r="4362" spans="2:2">
      <c r="B4362"/>
    </row>
    <row r="4363" spans="2:2">
      <c r="B4363"/>
    </row>
    <row r="4364" spans="2:2">
      <c r="B4364"/>
    </row>
    <row r="4365" spans="2:2">
      <c r="B4365"/>
    </row>
    <row r="4366" spans="2:2">
      <c r="B4366"/>
    </row>
    <row r="4367" spans="2:2">
      <c r="B4367"/>
    </row>
    <row r="4368" spans="2:2">
      <c r="B4368"/>
    </row>
    <row r="4369" spans="2:2">
      <c r="B4369"/>
    </row>
    <row r="4370" spans="2:2">
      <c r="B4370"/>
    </row>
    <row r="4371" spans="2:2">
      <c r="B4371"/>
    </row>
    <row r="4372" spans="2:2">
      <c r="B4372"/>
    </row>
    <row r="4373" spans="2:2">
      <c r="B4373"/>
    </row>
    <row r="4374" spans="2:2">
      <c r="B4374"/>
    </row>
    <row r="4375" spans="2:2">
      <c r="B4375"/>
    </row>
    <row r="4376" spans="2:2">
      <c r="B4376"/>
    </row>
    <row r="4377" spans="2:2">
      <c r="B4377"/>
    </row>
    <row r="4378" spans="2:2">
      <c r="B4378"/>
    </row>
    <row r="4379" spans="2:2">
      <c r="B4379"/>
    </row>
    <row r="4380" spans="2:2">
      <c r="B4380"/>
    </row>
    <row r="4381" spans="2:2">
      <c r="B4381"/>
    </row>
    <row r="4382" spans="2:2">
      <c r="B4382"/>
    </row>
    <row r="4383" spans="2:2">
      <c r="B4383"/>
    </row>
    <row r="4384" spans="2:2">
      <c r="B4384"/>
    </row>
    <row r="4385" spans="2:2">
      <c r="B4385"/>
    </row>
    <row r="4386" spans="2:2">
      <c r="B4386"/>
    </row>
    <row r="4387" spans="2:2">
      <c r="B4387"/>
    </row>
    <row r="4388" spans="2:2">
      <c r="B4388"/>
    </row>
    <row r="4389" spans="2:2">
      <c r="B4389"/>
    </row>
    <row r="4390" spans="2:2">
      <c r="B4390"/>
    </row>
    <row r="4391" spans="2:2">
      <c r="B4391"/>
    </row>
    <row r="4392" spans="2:2">
      <c r="B4392"/>
    </row>
    <row r="4393" spans="2:2">
      <c r="B4393"/>
    </row>
    <row r="4394" spans="2:2">
      <c r="B4394"/>
    </row>
    <row r="4395" spans="2:2">
      <c r="B4395"/>
    </row>
    <row r="4396" spans="2:2">
      <c r="B4396"/>
    </row>
    <row r="4397" spans="2:2">
      <c r="B4397"/>
    </row>
    <row r="4398" spans="2:2">
      <c r="B4398"/>
    </row>
    <row r="4399" spans="2:2">
      <c r="B4399"/>
    </row>
    <row r="4400" spans="2:2">
      <c r="B4400"/>
    </row>
    <row r="4401" spans="2:2">
      <c r="B4401"/>
    </row>
    <row r="4402" spans="2:2">
      <c r="B4402"/>
    </row>
    <row r="4403" spans="2:2">
      <c r="B4403"/>
    </row>
    <row r="4404" spans="2:2">
      <c r="B4404"/>
    </row>
    <row r="4405" spans="2:2">
      <c r="B4405"/>
    </row>
    <row r="4406" spans="2:2">
      <c r="B4406"/>
    </row>
    <row r="4407" spans="2:2">
      <c r="B4407"/>
    </row>
    <row r="4408" spans="2:2">
      <c r="B4408"/>
    </row>
    <row r="4409" spans="2:2">
      <c r="B4409"/>
    </row>
    <row r="4410" spans="2:2">
      <c r="B4410"/>
    </row>
    <row r="4411" spans="2:2">
      <c r="B4411"/>
    </row>
    <row r="4412" spans="2:2">
      <c r="B4412"/>
    </row>
    <row r="4413" spans="2:2">
      <c r="B4413"/>
    </row>
    <row r="4414" spans="2:2">
      <c r="B4414"/>
    </row>
    <row r="4415" spans="2:2">
      <c r="B4415"/>
    </row>
    <row r="4416" spans="2:2">
      <c r="B4416"/>
    </row>
    <row r="4417" spans="2:2">
      <c r="B4417"/>
    </row>
    <row r="4418" spans="2:2">
      <c r="B4418"/>
    </row>
    <row r="4419" spans="2:2">
      <c r="B4419"/>
    </row>
    <row r="4420" spans="2:2">
      <c r="B4420"/>
    </row>
    <row r="4421" spans="2:2">
      <c r="B4421"/>
    </row>
    <row r="4422" spans="2:2">
      <c r="B4422"/>
    </row>
    <row r="4423" spans="2:2">
      <c r="B4423"/>
    </row>
    <row r="4424" spans="2:2">
      <c r="B4424"/>
    </row>
    <row r="4425" spans="2:2">
      <c r="B4425"/>
    </row>
    <row r="4426" spans="2:2">
      <c r="B4426"/>
    </row>
    <row r="4427" spans="2:2">
      <c r="B4427"/>
    </row>
    <row r="4428" spans="2:2">
      <c r="B4428"/>
    </row>
    <row r="4429" spans="2:2">
      <c r="B4429"/>
    </row>
    <row r="4430" spans="2:2">
      <c r="B4430"/>
    </row>
    <row r="4431" spans="2:2">
      <c r="B4431"/>
    </row>
    <row r="4432" spans="2:2">
      <c r="B4432"/>
    </row>
    <row r="4433" spans="2:2">
      <c r="B4433"/>
    </row>
    <row r="4434" spans="2:2">
      <c r="B4434"/>
    </row>
    <row r="4435" spans="2:2">
      <c r="B4435"/>
    </row>
    <row r="4436" spans="2:2">
      <c r="B4436"/>
    </row>
    <row r="4437" spans="2:2">
      <c r="B4437"/>
    </row>
    <row r="4438" spans="2:2">
      <c r="B4438"/>
    </row>
    <row r="4439" spans="2:2">
      <c r="B4439"/>
    </row>
    <row r="4440" spans="2:2">
      <c r="B4440"/>
    </row>
    <row r="4441" spans="2:2">
      <c r="B4441"/>
    </row>
    <row r="4442" spans="2:2">
      <c r="B4442"/>
    </row>
    <row r="4443" spans="2:2">
      <c r="B4443"/>
    </row>
    <row r="4444" spans="2:2">
      <c r="B4444"/>
    </row>
    <row r="4445" spans="2:2">
      <c r="B4445"/>
    </row>
    <row r="4446" spans="2:2">
      <c r="B4446"/>
    </row>
    <row r="4447" spans="2:2">
      <c r="B4447"/>
    </row>
    <row r="4448" spans="2:2">
      <c r="B4448"/>
    </row>
    <row r="4449" spans="2:2">
      <c r="B4449"/>
    </row>
    <row r="4450" spans="2:2">
      <c r="B4450"/>
    </row>
    <row r="4451" spans="2:2">
      <c r="B4451"/>
    </row>
    <row r="4452" spans="2:2">
      <c r="B4452"/>
    </row>
    <row r="4453" spans="2:2">
      <c r="B4453"/>
    </row>
    <row r="4454" spans="2:2">
      <c r="B4454"/>
    </row>
    <row r="4455" spans="2:2">
      <c r="B4455"/>
    </row>
    <row r="4456" spans="2:2">
      <c r="B4456"/>
    </row>
    <row r="4457" spans="2:2">
      <c r="B4457"/>
    </row>
    <row r="4458" spans="2:2">
      <c r="B4458"/>
    </row>
    <row r="4459" spans="2:2">
      <c r="B4459"/>
    </row>
    <row r="4460" spans="2:2">
      <c r="B4460"/>
    </row>
    <row r="4461" spans="2:2">
      <c r="B4461"/>
    </row>
    <row r="4462" spans="2:2">
      <c r="B4462"/>
    </row>
    <row r="4463" spans="2:2">
      <c r="B4463"/>
    </row>
    <row r="4464" spans="2:2">
      <c r="B4464"/>
    </row>
    <row r="4465" spans="2:2">
      <c r="B4465"/>
    </row>
    <row r="4466" spans="2:2">
      <c r="B4466"/>
    </row>
    <row r="4467" spans="2:2">
      <c r="B4467"/>
    </row>
    <row r="4468" spans="2:2">
      <c r="B4468"/>
    </row>
    <row r="4469" spans="2:2">
      <c r="B4469"/>
    </row>
    <row r="4470" spans="2:2">
      <c r="B4470"/>
    </row>
    <row r="4471" spans="2:2">
      <c r="B4471"/>
    </row>
    <row r="4472" spans="2:2">
      <c r="B4472"/>
    </row>
    <row r="4473" spans="2:2">
      <c r="B4473"/>
    </row>
    <row r="4474" spans="2:2">
      <c r="B4474"/>
    </row>
    <row r="4475" spans="2:2">
      <c r="B4475"/>
    </row>
    <row r="4476" spans="2:2">
      <c r="B4476"/>
    </row>
    <row r="4477" spans="2:2">
      <c r="B4477"/>
    </row>
    <row r="4478" spans="2:2">
      <c r="B4478"/>
    </row>
    <row r="4479" spans="2:2">
      <c r="B4479"/>
    </row>
    <row r="4480" spans="2:2">
      <c r="B4480"/>
    </row>
    <row r="4481" spans="2:2">
      <c r="B4481"/>
    </row>
    <row r="4482" spans="2:2">
      <c r="B4482"/>
    </row>
    <row r="4483" spans="2:2">
      <c r="B4483"/>
    </row>
    <row r="4484" spans="2:2">
      <c r="B4484"/>
    </row>
    <row r="4485" spans="2:2">
      <c r="B4485"/>
    </row>
    <row r="4486" spans="2:2">
      <c r="B4486"/>
    </row>
    <row r="4487" spans="2:2">
      <c r="B4487"/>
    </row>
    <row r="4488" spans="2:2">
      <c r="B4488"/>
    </row>
    <row r="4489" spans="2:2">
      <c r="B4489"/>
    </row>
    <row r="4490" spans="2:2">
      <c r="B4490"/>
    </row>
    <row r="4491" spans="2:2">
      <c r="B4491"/>
    </row>
    <row r="4492" spans="2:2">
      <c r="B4492"/>
    </row>
    <row r="4493" spans="2:2">
      <c r="B4493"/>
    </row>
    <row r="4494" spans="2:2">
      <c r="B4494"/>
    </row>
    <row r="4495" spans="2:2">
      <c r="B4495"/>
    </row>
    <row r="4496" spans="2:2">
      <c r="B4496"/>
    </row>
    <row r="4497" spans="2:2">
      <c r="B4497"/>
    </row>
    <row r="4498" spans="2:2">
      <c r="B4498"/>
    </row>
    <row r="4499" spans="2:2">
      <c r="B4499"/>
    </row>
    <row r="4500" spans="2:2">
      <c r="B4500"/>
    </row>
    <row r="4501" spans="2:2">
      <c r="B4501"/>
    </row>
    <row r="4502" spans="2:2">
      <c r="B4502"/>
    </row>
    <row r="4503" spans="2:2">
      <c r="B4503"/>
    </row>
    <row r="4504" spans="2:2">
      <c r="B4504"/>
    </row>
    <row r="4505" spans="2:2">
      <c r="B4505"/>
    </row>
    <row r="4506" spans="2:2">
      <c r="B4506"/>
    </row>
    <row r="4507" spans="2:2">
      <c r="B4507"/>
    </row>
    <row r="4508" spans="2:2">
      <c r="B4508"/>
    </row>
    <row r="4509" spans="2:2">
      <c r="B4509"/>
    </row>
    <row r="4510" spans="2:2">
      <c r="B4510"/>
    </row>
    <row r="4511" spans="2:2">
      <c r="B4511"/>
    </row>
    <row r="4512" spans="2:2">
      <c r="B4512"/>
    </row>
    <row r="4513" spans="2:2">
      <c r="B4513"/>
    </row>
    <row r="4514" spans="2:2">
      <c r="B4514"/>
    </row>
    <row r="4515" spans="2:2">
      <c r="B4515"/>
    </row>
    <row r="4516" spans="2:2">
      <c r="B4516"/>
    </row>
    <row r="4517" spans="2:2">
      <c r="B4517"/>
    </row>
    <row r="4518" spans="2:2">
      <c r="B4518"/>
    </row>
    <row r="4519" spans="2:2">
      <c r="B4519"/>
    </row>
    <row r="4520" spans="2:2">
      <c r="B4520"/>
    </row>
    <row r="4521" spans="2:2">
      <c r="B4521"/>
    </row>
    <row r="4522" spans="2:2">
      <c r="B4522"/>
    </row>
    <row r="4523" spans="2:2">
      <c r="B4523"/>
    </row>
    <row r="4524" spans="2:2">
      <c r="B4524"/>
    </row>
    <row r="4525" spans="2:2">
      <c r="B4525"/>
    </row>
    <row r="4526" spans="2:2">
      <c r="B4526"/>
    </row>
    <row r="4527" spans="2:2">
      <c r="B4527"/>
    </row>
    <row r="4528" spans="2:2">
      <c r="B4528"/>
    </row>
    <row r="4529" spans="2:2">
      <c r="B4529"/>
    </row>
    <row r="4530" spans="2:2">
      <c r="B4530"/>
    </row>
    <row r="4531" spans="2:2">
      <c r="B4531"/>
    </row>
    <row r="4532" spans="2:2">
      <c r="B4532"/>
    </row>
    <row r="4533" spans="2:2">
      <c r="B4533"/>
    </row>
    <row r="4534" spans="2:2">
      <c r="B4534"/>
    </row>
    <row r="4535" spans="2:2">
      <c r="B4535"/>
    </row>
    <row r="4536" spans="2:2">
      <c r="B4536"/>
    </row>
    <row r="4537" spans="2:2">
      <c r="B4537"/>
    </row>
    <row r="4538" spans="2:2">
      <c r="B4538"/>
    </row>
    <row r="4539" spans="2:2">
      <c r="B4539"/>
    </row>
    <row r="4540" spans="2:2">
      <c r="B4540"/>
    </row>
    <row r="4541" spans="2:2">
      <c r="B4541"/>
    </row>
    <row r="4542" spans="2:2">
      <c r="B4542"/>
    </row>
    <row r="4543" spans="2:2">
      <c r="B4543"/>
    </row>
    <row r="4544" spans="2:2">
      <c r="B4544"/>
    </row>
    <row r="4545" spans="2:2">
      <c r="B4545"/>
    </row>
    <row r="4546" spans="2:2">
      <c r="B4546"/>
    </row>
    <row r="4547" spans="2:2">
      <c r="B4547"/>
    </row>
    <row r="4548" spans="2:2">
      <c r="B4548"/>
    </row>
    <row r="4549" spans="2:2">
      <c r="B4549"/>
    </row>
    <row r="4550" spans="2:2">
      <c r="B4550"/>
    </row>
    <row r="4551" spans="2:2">
      <c r="B4551"/>
    </row>
    <row r="4552" spans="2:2">
      <c r="B4552"/>
    </row>
    <row r="4553" spans="2:2">
      <c r="B4553"/>
    </row>
    <row r="4554" spans="2:2">
      <c r="B4554"/>
    </row>
    <row r="4555" spans="2:2">
      <c r="B4555"/>
    </row>
    <row r="4556" spans="2:2">
      <c r="B4556"/>
    </row>
    <row r="4557" spans="2:2">
      <c r="B4557"/>
    </row>
    <row r="4558" spans="2:2">
      <c r="B4558"/>
    </row>
    <row r="4559" spans="2:2">
      <c r="B4559"/>
    </row>
    <row r="4560" spans="2:2">
      <c r="B4560"/>
    </row>
    <row r="4561" spans="2:2">
      <c r="B4561"/>
    </row>
    <row r="4562" spans="2:2">
      <c r="B4562"/>
    </row>
    <row r="4563" spans="2:2">
      <c r="B4563"/>
    </row>
    <row r="4564" spans="2:2">
      <c r="B4564"/>
    </row>
    <row r="4565" spans="2:2">
      <c r="B4565"/>
    </row>
    <row r="4566" spans="2:2">
      <c r="B4566"/>
    </row>
    <row r="4567" spans="2:2">
      <c r="B4567"/>
    </row>
    <row r="4568" spans="2:2">
      <c r="B4568"/>
    </row>
    <row r="4569" spans="2:2">
      <c r="B4569"/>
    </row>
    <row r="4570" spans="2:2">
      <c r="B4570"/>
    </row>
    <row r="4571" spans="2:2">
      <c r="B4571"/>
    </row>
    <row r="4572" spans="2:2">
      <c r="B4572"/>
    </row>
    <row r="4573" spans="2:2">
      <c r="B4573"/>
    </row>
    <row r="4574" spans="2:2">
      <c r="B4574"/>
    </row>
    <row r="4575" spans="2:2">
      <c r="B4575"/>
    </row>
    <row r="4576" spans="2:2">
      <c r="B4576"/>
    </row>
    <row r="4577" spans="2:2">
      <c r="B4577"/>
    </row>
    <row r="4578" spans="2:2">
      <c r="B4578"/>
    </row>
    <row r="4579" spans="2:2">
      <c r="B4579"/>
    </row>
    <row r="4580" spans="2:2">
      <c r="B4580"/>
    </row>
    <row r="4581" spans="2:2">
      <c r="B4581"/>
    </row>
    <row r="4582" spans="2:2">
      <c r="B4582"/>
    </row>
    <row r="4583" spans="2:2">
      <c r="B4583"/>
    </row>
    <row r="4584" spans="2:2">
      <c r="B4584"/>
    </row>
    <row r="4585" spans="2:2">
      <c r="B4585"/>
    </row>
    <row r="4586" spans="2:2">
      <c r="B4586"/>
    </row>
    <row r="4587" spans="2:2">
      <c r="B4587"/>
    </row>
    <row r="4588" spans="2:2">
      <c r="B4588"/>
    </row>
    <row r="4589" spans="2:2">
      <c r="B4589"/>
    </row>
    <row r="4590" spans="2:2">
      <c r="B4590"/>
    </row>
    <row r="4591" spans="2:2">
      <c r="B4591"/>
    </row>
    <row r="4592" spans="2:2">
      <c r="B4592"/>
    </row>
    <row r="4593" spans="2:2">
      <c r="B4593"/>
    </row>
    <row r="4594" spans="2:2">
      <c r="B4594"/>
    </row>
    <row r="4595" spans="2:2">
      <c r="B4595"/>
    </row>
    <row r="4596" spans="2:2">
      <c r="B4596"/>
    </row>
    <row r="4597" spans="2:2">
      <c r="B4597"/>
    </row>
    <row r="4598" spans="2:2">
      <c r="B4598"/>
    </row>
    <row r="4599" spans="2:2">
      <c r="B4599"/>
    </row>
    <row r="4600" spans="2:2">
      <c r="B4600"/>
    </row>
    <row r="4601" spans="2:2">
      <c r="B4601"/>
    </row>
    <row r="4602" spans="2:2">
      <c r="B4602"/>
    </row>
    <row r="4603" spans="2:2">
      <c r="B4603"/>
    </row>
    <row r="4604" spans="2:2">
      <c r="B4604"/>
    </row>
    <row r="4605" spans="2:2">
      <c r="B4605"/>
    </row>
    <row r="4606" spans="2:2">
      <c r="B4606"/>
    </row>
    <row r="4607" spans="2:2">
      <c r="B4607"/>
    </row>
    <row r="4608" spans="2:2">
      <c r="B4608"/>
    </row>
    <row r="4609" spans="2:2">
      <c r="B4609"/>
    </row>
    <row r="4610" spans="2:2">
      <c r="B4610"/>
    </row>
    <row r="4611" spans="2:2">
      <c r="B4611"/>
    </row>
    <row r="4612" spans="2:2">
      <c r="B4612"/>
    </row>
    <row r="4613" spans="2:2">
      <c r="B4613"/>
    </row>
    <row r="4614" spans="2:2">
      <c r="B4614"/>
    </row>
    <row r="4615" spans="2:2">
      <c r="B4615"/>
    </row>
    <row r="4616" spans="2:2">
      <c r="B4616"/>
    </row>
    <row r="4617" spans="2:2">
      <c r="B4617"/>
    </row>
    <row r="4618" spans="2:2">
      <c r="B4618"/>
    </row>
    <row r="4619" spans="2:2">
      <c r="B4619"/>
    </row>
    <row r="4620" spans="2:2">
      <c r="B4620"/>
    </row>
    <row r="4621" spans="2:2">
      <c r="B4621"/>
    </row>
    <row r="4622" spans="2:2">
      <c r="B4622"/>
    </row>
    <row r="4623" spans="2:2">
      <c r="B4623"/>
    </row>
    <row r="4624" spans="2:2">
      <c r="B4624"/>
    </row>
    <row r="4625" spans="2:2">
      <c r="B4625"/>
    </row>
    <row r="4626" spans="2:2">
      <c r="B4626"/>
    </row>
    <row r="4627" spans="2:2">
      <c r="B4627"/>
    </row>
    <row r="4628" spans="2:2">
      <c r="B4628"/>
    </row>
    <row r="4629" spans="2:2">
      <c r="B4629"/>
    </row>
    <row r="4630" spans="2:2">
      <c r="B4630"/>
    </row>
    <row r="4631" spans="2:2">
      <c r="B4631"/>
    </row>
    <row r="4632" spans="2:2">
      <c r="B4632"/>
    </row>
    <row r="4633" spans="2:2">
      <c r="B4633"/>
    </row>
    <row r="4634" spans="2:2">
      <c r="B4634"/>
    </row>
    <row r="4635" spans="2:2">
      <c r="B4635"/>
    </row>
    <row r="4636" spans="2:2">
      <c r="B4636"/>
    </row>
    <row r="4637" spans="2:2">
      <c r="B4637"/>
    </row>
    <row r="4638" spans="2:2">
      <c r="B4638"/>
    </row>
    <row r="4639" spans="2:2">
      <c r="B4639"/>
    </row>
    <row r="4640" spans="2:2">
      <c r="B4640"/>
    </row>
    <row r="4641" spans="2:2">
      <c r="B4641"/>
    </row>
    <row r="4642" spans="2:2">
      <c r="B4642"/>
    </row>
    <row r="4643" spans="2:2">
      <c r="B4643"/>
    </row>
    <row r="4644" spans="2:2">
      <c r="B4644"/>
    </row>
    <row r="4645" spans="2:2">
      <c r="B4645"/>
    </row>
    <row r="4646" spans="2:2">
      <c r="B4646"/>
    </row>
    <row r="4647" spans="2:2">
      <c r="B4647"/>
    </row>
    <row r="4648" spans="2:2">
      <c r="B4648"/>
    </row>
    <row r="4649" spans="2:2">
      <c r="B4649"/>
    </row>
    <row r="4650" spans="2:2">
      <c r="B4650"/>
    </row>
    <row r="4651" spans="2:2">
      <c r="B4651"/>
    </row>
    <row r="4652" spans="2:2">
      <c r="B4652"/>
    </row>
    <row r="4653" spans="2:2">
      <c r="B4653"/>
    </row>
    <row r="4654" spans="2:2">
      <c r="B4654"/>
    </row>
    <row r="4655" spans="2:2">
      <c r="B4655"/>
    </row>
    <row r="4656" spans="2:2">
      <c r="B4656"/>
    </row>
    <row r="4657" spans="2:2">
      <c r="B4657"/>
    </row>
    <row r="4658" spans="2:2">
      <c r="B4658"/>
    </row>
    <row r="4659" spans="2:2">
      <c r="B4659"/>
    </row>
    <row r="4660" spans="2:2">
      <c r="B4660"/>
    </row>
    <row r="4661" spans="2:2">
      <c r="B4661"/>
    </row>
    <row r="4662" spans="2:2">
      <c r="B4662"/>
    </row>
    <row r="4663" spans="2:2">
      <c r="B4663"/>
    </row>
    <row r="4664" spans="2:2">
      <c r="B4664"/>
    </row>
    <row r="4665" spans="2:2">
      <c r="B4665"/>
    </row>
    <row r="4666" spans="2:2">
      <c r="B4666"/>
    </row>
    <row r="4667" spans="2:2">
      <c r="B4667"/>
    </row>
    <row r="4668" spans="2:2">
      <c r="B4668"/>
    </row>
    <row r="4669" spans="2:2">
      <c r="B4669"/>
    </row>
    <row r="4670" spans="2:2">
      <c r="B4670"/>
    </row>
    <row r="4671" spans="2:2">
      <c r="B4671"/>
    </row>
    <row r="4672" spans="2:2">
      <c r="B4672"/>
    </row>
    <row r="4673" spans="2:2">
      <c r="B4673"/>
    </row>
    <row r="4674" spans="2:2">
      <c r="B4674"/>
    </row>
    <row r="4675" spans="2:2">
      <c r="B4675"/>
    </row>
    <row r="4676" spans="2:2">
      <c r="B4676"/>
    </row>
    <row r="4677" spans="2:2">
      <c r="B4677"/>
    </row>
    <row r="4678" spans="2:2">
      <c r="B4678"/>
    </row>
    <row r="4679" spans="2:2">
      <c r="B4679"/>
    </row>
    <row r="4680" spans="2:2">
      <c r="B4680"/>
    </row>
    <row r="4681" spans="2:2">
      <c r="B4681"/>
    </row>
    <row r="4682" spans="2:2">
      <c r="B4682"/>
    </row>
    <row r="4683" spans="2:2">
      <c r="B4683"/>
    </row>
    <row r="4684" spans="2:2">
      <c r="B4684"/>
    </row>
    <row r="4685" spans="2:2">
      <c r="B4685"/>
    </row>
    <row r="4686" spans="2:2">
      <c r="B4686"/>
    </row>
    <row r="4687" spans="2:2">
      <c r="B4687"/>
    </row>
    <row r="4688" spans="2:2">
      <c r="B4688"/>
    </row>
    <row r="4689" spans="2:2">
      <c r="B4689"/>
    </row>
    <row r="4690" spans="2:2">
      <c r="B4690"/>
    </row>
    <row r="4691" spans="2:2">
      <c r="B4691"/>
    </row>
    <row r="4692" spans="2:2">
      <c r="B4692"/>
    </row>
    <row r="4693" spans="2:2">
      <c r="B4693"/>
    </row>
    <row r="4694" spans="2:2">
      <c r="B4694"/>
    </row>
    <row r="4695" spans="2:2">
      <c r="B4695"/>
    </row>
    <row r="4696" spans="2:2">
      <c r="B4696"/>
    </row>
    <row r="4697" spans="2:2">
      <c r="B4697"/>
    </row>
    <row r="4698" spans="2:2">
      <c r="B4698"/>
    </row>
    <row r="4699" spans="2:2">
      <c r="B4699"/>
    </row>
    <row r="4700" spans="2:2">
      <c r="B4700"/>
    </row>
    <row r="4701" spans="2:2">
      <c r="B4701"/>
    </row>
    <row r="4702" spans="2:2">
      <c r="B4702"/>
    </row>
    <row r="4703" spans="2:2">
      <c r="B4703"/>
    </row>
    <row r="4704" spans="2:2">
      <c r="B4704"/>
    </row>
    <row r="4705" spans="2:2">
      <c r="B4705"/>
    </row>
    <row r="4706" spans="2:2">
      <c r="B4706"/>
    </row>
    <row r="4707" spans="2:2">
      <c r="B4707"/>
    </row>
    <row r="4708" spans="2:2">
      <c r="B4708"/>
    </row>
    <row r="4709" spans="2:2">
      <c r="B4709"/>
    </row>
    <row r="4710" spans="2:2">
      <c r="B4710"/>
    </row>
    <row r="4711" spans="2:2">
      <c r="B4711"/>
    </row>
    <row r="4712" spans="2:2">
      <c r="B4712"/>
    </row>
    <row r="4713" spans="2:2">
      <c r="B4713"/>
    </row>
    <row r="4714" spans="2:2">
      <c r="B4714"/>
    </row>
    <row r="4715" spans="2:2">
      <c r="B4715"/>
    </row>
    <row r="4716" spans="2:2">
      <c r="B4716"/>
    </row>
    <row r="4717" spans="2:2">
      <c r="B4717"/>
    </row>
    <row r="4718" spans="2:2">
      <c r="B4718"/>
    </row>
    <row r="4719" spans="2:2">
      <c r="B4719"/>
    </row>
    <row r="4720" spans="2:2">
      <c r="B4720"/>
    </row>
    <row r="4721" spans="2:2">
      <c r="B4721"/>
    </row>
    <row r="4722" spans="2:2">
      <c r="B4722"/>
    </row>
    <row r="4723" spans="2:2">
      <c r="B4723"/>
    </row>
    <row r="4724" spans="2:2">
      <c r="B4724"/>
    </row>
    <row r="4725" spans="2:2">
      <c r="B4725"/>
    </row>
    <row r="4726" spans="2:2">
      <c r="B4726"/>
    </row>
    <row r="4727" spans="2:2">
      <c r="B4727"/>
    </row>
    <row r="4728" spans="2:2">
      <c r="B4728"/>
    </row>
    <row r="4729" spans="2:2">
      <c r="B4729"/>
    </row>
    <row r="4730" spans="2:2">
      <c r="B4730"/>
    </row>
    <row r="4731" spans="2:2">
      <c r="B4731"/>
    </row>
    <row r="4732" spans="2:2">
      <c r="B4732"/>
    </row>
    <row r="4733" spans="2:2">
      <c r="B4733"/>
    </row>
    <row r="4734" spans="2:2">
      <c r="B4734"/>
    </row>
    <row r="4735" spans="2:2">
      <c r="B4735"/>
    </row>
    <row r="4736" spans="2:2">
      <c r="B4736"/>
    </row>
    <row r="4737" spans="2:2">
      <c r="B4737"/>
    </row>
    <row r="4738" spans="2:2">
      <c r="B4738"/>
    </row>
    <row r="4739" spans="2:2">
      <c r="B4739"/>
    </row>
    <row r="4740" spans="2:2">
      <c r="B4740"/>
    </row>
    <row r="4741" spans="2:2">
      <c r="B4741"/>
    </row>
    <row r="4742" spans="2:2">
      <c r="B4742"/>
    </row>
    <row r="4743" spans="2:2">
      <c r="B4743"/>
    </row>
    <row r="4744" spans="2:2">
      <c r="B4744"/>
    </row>
    <row r="4745" spans="2:2">
      <c r="B4745"/>
    </row>
    <row r="4746" spans="2:2">
      <c r="B4746"/>
    </row>
    <row r="4747" spans="2:2">
      <c r="B4747"/>
    </row>
    <row r="4748" spans="2:2">
      <c r="B4748"/>
    </row>
    <row r="4749" spans="2:2">
      <c r="B4749"/>
    </row>
    <row r="4750" spans="2:2">
      <c r="B4750"/>
    </row>
    <row r="4751" spans="2:2">
      <c r="B4751"/>
    </row>
    <row r="4752" spans="2:2">
      <c r="B4752"/>
    </row>
    <row r="4753" spans="2:2">
      <c r="B4753"/>
    </row>
    <row r="4754" spans="2:2">
      <c r="B4754"/>
    </row>
    <row r="4755" spans="2:2">
      <c r="B4755"/>
    </row>
    <row r="4756" spans="2:2">
      <c r="B4756"/>
    </row>
    <row r="4757" spans="2:2">
      <c r="B4757"/>
    </row>
    <row r="4758" spans="2:2">
      <c r="B4758"/>
    </row>
    <row r="4759" spans="2:2">
      <c r="B4759"/>
    </row>
    <row r="4760" spans="2:2">
      <c r="B4760"/>
    </row>
    <row r="4761" spans="2:2">
      <c r="B4761"/>
    </row>
    <row r="4762" spans="2:2">
      <c r="B4762"/>
    </row>
    <row r="4763" spans="2:2">
      <c r="B4763"/>
    </row>
    <row r="4764" spans="2:2">
      <c r="B4764"/>
    </row>
    <row r="4765" spans="2:2">
      <c r="B4765"/>
    </row>
    <row r="4766" spans="2:2">
      <c r="B4766"/>
    </row>
    <row r="4767" spans="2:2">
      <c r="B4767"/>
    </row>
    <row r="4768" spans="2:2">
      <c r="B4768"/>
    </row>
    <row r="4769" spans="2:2">
      <c r="B4769"/>
    </row>
    <row r="4770" spans="2:2">
      <c r="B4770"/>
    </row>
    <row r="4771" spans="2:2">
      <c r="B4771"/>
    </row>
    <row r="4772" spans="2:2">
      <c r="B4772"/>
    </row>
    <row r="4773" spans="2:2">
      <c r="B4773"/>
    </row>
    <row r="4774" spans="2:2">
      <c r="B4774"/>
    </row>
    <row r="4775" spans="2:2">
      <c r="B4775"/>
    </row>
    <row r="4776" spans="2:2">
      <c r="B4776"/>
    </row>
    <row r="4777" spans="2:2">
      <c r="B4777"/>
    </row>
    <row r="4778" spans="2:2">
      <c r="B4778"/>
    </row>
    <row r="4779" spans="2:2">
      <c r="B4779"/>
    </row>
    <row r="4780" spans="2:2">
      <c r="B4780"/>
    </row>
    <row r="4781" spans="2:2">
      <c r="B4781"/>
    </row>
    <row r="4782" spans="2:2">
      <c r="B4782"/>
    </row>
    <row r="4783" spans="2:2">
      <c r="B4783"/>
    </row>
    <row r="4784" spans="2:2">
      <c r="B4784"/>
    </row>
    <row r="4785" spans="2:2">
      <c r="B4785"/>
    </row>
    <row r="4786" spans="2:2">
      <c r="B4786"/>
    </row>
    <row r="4787" spans="2:2">
      <c r="B4787"/>
    </row>
    <row r="4788" spans="2:2">
      <c r="B4788"/>
    </row>
    <row r="4789" spans="2:2">
      <c r="B4789"/>
    </row>
    <row r="4790" spans="2:2">
      <c r="B4790"/>
    </row>
    <row r="4791" spans="2:2">
      <c r="B4791"/>
    </row>
    <row r="4792" spans="2:2">
      <c r="B4792"/>
    </row>
    <row r="4793" spans="2:2">
      <c r="B4793"/>
    </row>
    <row r="4794" spans="2:2">
      <c r="B4794"/>
    </row>
    <row r="4795" spans="2:2">
      <c r="B4795"/>
    </row>
    <row r="4796" spans="2:2">
      <c r="B4796"/>
    </row>
    <row r="4797" spans="2:2">
      <c r="B4797"/>
    </row>
    <row r="4798" spans="2:2">
      <c r="B4798"/>
    </row>
    <row r="4799" spans="2:2">
      <c r="B4799"/>
    </row>
    <row r="4800" spans="2:2">
      <c r="B4800"/>
    </row>
    <row r="4801" spans="2:2">
      <c r="B4801"/>
    </row>
    <row r="4802" spans="2:2">
      <c r="B4802"/>
    </row>
    <row r="4803" spans="2:2">
      <c r="B4803"/>
    </row>
    <row r="4804" spans="2:2">
      <c r="B4804"/>
    </row>
    <row r="4805" spans="2:2">
      <c r="B4805"/>
    </row>
    <row r="4806" spans="2:2">
      <c r="B4806"/>
    </row>
    <row r="4807" spans="2:2">
      <c r="B4807"/>
    </row>
    <row r="4808" spans="2:2">
      <c r="B4808"/>
    </row>
    <row r="4809" spans="2:2">
      <c r="B4809"/>
    </row>
    <row r="4810" spans="2:2">
      <c r="B4810"/>
    </row>
    <row r="4811" spans="2:2">
      <c r="B4811"/>
    </row>
    <row r="4812" spans="2:2">
      <c r="B4812"/>
    </row>
    <row r="4813" spans="2:2">
      <c r="B4813"/>
    </row>
    <row r="4814" spans="2:2">
      <c r="B4814"/>
    </row>
    <row r="4815" spans="2:2">
      <c r="B4815"/>
    </row>
    <row r="4816" spans="2:2">
      <c r="B4816"/>
    </row>
    <row r="4817" spans="2:2">
      <c r="B4817"/>
    </row>
    <row r="4818" spans="2:2">
      <c r="B4818"/>
    </row>
    <row r="4819" spans="2:2">
      <c r="B4819"/>
    </row>
    <row r="4820" spans="2:2">
      <c r="B4820"/>
    </row>
    <row r="4821" spans="2:2">
      <c r="B4821"/>
    </row>
    <row r="4822" spans="2:2">
      <c r="B4822"/>
    </row>
    <row r="4823" spans="2:2">
      <c r="B4823"/>
    </row>
    <row r="4824" spans="2:2">
      <c r="B4824"/>
    </row>
    <row r="4825" spans="2:2">
      <c r="B4825"/>
    </row>
    <row r="4826" spans="2:2">
      <c r="B4826"/>
    </row>
    <row r="4827" spans="2:2">
      <c r="B4827"/>
    </row>
    <row r="4828" spans="2:2">
      <c r="B4828"/>
    </row>
    <row r="4829" spans="2:2">
      <c r="B4829"/>
    </row>
    <row r="4830" spans="2:2">
      <c r="B4830"/>
    </row>
    <row r="4831" spans="2:2">
      <c r="B4831"/>
    </row>
    <row r="4832" spans="2:2">
      <c r="B4832"/>
    </row>
    <row r="4833" spans="2:2">
      <c r="B4833"/>
    </row>
    <row r="4834" spans="2:2">
      <c r="B4834"/>
    </row>
    <row r="4835" spans="2:2">
      <c r="B4835"/>
    </row>
    <row r="4836" spans="2:2">
      <c r="B4836"/>
    </row>
    <row r="4837" spans="2:2">
      <c r="B4837"/>
    </row>
    <row r="4838" spans="2:2">
      <c r="B4838"/>
    </row>
    <row r="4839" spans="2:2">
      <c r="B4839"/>
    </row>
    <row r="4840" spans="2:2">
      <c r="B4840"/>
    </row>
    <row r="4841" spans="2:2">
      <c r="B4841"/>
    </row>
    <row r="4842" spans="2:2">
      <c r="B4842"/>
    </row>
    <row r="4843" spans="2:2">
      <c r="B4843"/>
    </row>
    <row r="4844" spans="2:2">
      <c r="B4844"/>
    </row>
    <row r="4845" spans="2:2">
      <c r="B4845"/>
    </row>
    <row r="4846" spans="2:2">
      <c r="B4846"/>
    </row>
    <row r="4847" spans="2:2">
      <c r="B4847"/>
    </row>
    <row r="4848" spans="2:2">
      <c r="B4848"/>
    </row>
    <row r="4849" spans="2:2">
      <c r="B4849"/>
    </row>
    <row r="4850" spans="2:2">
      <c r="B4850"/>
    </row>
    <row r="4851" spans="2:2">
      <c r="B4851"/>
    </row>
    <row r="4852" spans="2:2">
      <c r="B4852"/>
    </row>
    <row r="4853" spans="2:2">
      <c r="B4853"/>
    </row>
    <row r="4854" spans="2:2">
      <c r="B4854"/>
    </row>
    <row r="4855" spans="2:2">
      <c r="B4855"/>
    </row>
    <row r="4856" spans="2:2">
      <c r="B4856"/>
    </row>
    <row r="4857" spans="2:2">
      <c r="B4857"/>
    </row>
    <row r="4858" spans="2:2">
      <c r="B4858"/>
    </row>
    <row r="4859" spans="2:2">
      <c r="B4859"/>
    </row>
    <row r="4860" spans="2:2">
      <c r="B4860"/>
    </row>
    <row r="4861" spans="2:2">
      <c r="B4861"/>
    </row>
    <row r="4862" spans="2:2">
      <c r="B4862"/>
    </row>
    <row r="4863" spans="2:2">
      <c r="B4863"/>
    </row>
    <row r="4864" spans="2:2">
      <c r="B4864"/>
    </row>
    <row r="4865" spans="2:2">
      <c r="B4865"/>
    </row>
    <row r="4866" spans="2:2">
      <c r="B4866"/>
    </row>
    <row r="4867" spans="2:2">
      <c r="B4867"/>
    </row>
    <row r="4868" spans="2:2">
      <c r="B4868"/>
    </row>
    <row r="4869" spans="2:2">
      <c r="B4869"/>
    </row>
    <row r="4870" spans="2:2">
      <c r="B4870"/>
    </row>
    <row r="4871" spans="2:2">
      <c r="B4871"/>
    </row>
    <row r="4872" spans="2:2">
      <c r="B4872"/>
    </row>
    <row r="4873" spans="2:2">
      <c r="B4873"/>
    </row>
    <row r="4874" spans="2:2">
      <c r="B4874"/>
    </row>
    <row r="4875" spans="2:2">
      <c r="B4875"/>
    </row>
    <row r="4876" spans="2:2">
      <c r="B4876"/>
    </row>
    <row r="4877" spans="2:2">
      <c r="B4877"/>
    </row>
    <row r="4878" spans="2:2">
      <c r="B4878"/>
    </row>
    <row r="4879" spans="2:2">
      <c r="B4879"/>
    </row>
    <row r="4880" spans="2:2">
      <c r="B4880"/>
    </row>
    <row r="4881" spans="2:2">
      <c r="B4881"/>
    </row>
    <row r="4882" spans="2:2">
      <c r="B4882"/>
    </row>
    <row r="4883" spans="2:2">
      <c r="B4883"/>
    </row>
    <row r="4884" spans="2:2">
      <c r="B4884"/>
    </row>
    <row r="4885" spans="2:2">
      <c r="B4885"/>
    </row>
    <row r="4886" spans="2:2">
      <c r="B4886"/>
    </row>
    <row r="4887" spans="2:2">
      <c r="B4887"/>
    </row>
    <row r="4888" spans="2:2">
      <c r="B4888"/>
    </row>
    <row r="4889" spans="2:2">
      <c r="B4889"/>
    </row>
    <row r="4890" spans="2:2">
      <c r="B4890"/>
    </row>
    <row r="4891" spans="2:2">
      <c r="B4891"/>
    </row>
    <row r="4892" spans="2:2">
      <c r="B4892"/>
    </row>
    <row r="4893" spans="2:2">
      <c r="B4893"/>
    </row>
    <row r="4894" spans="2:2">
      <c r="B4894"/>
    </row>
    <row r="4895" spans="2:2">
      <c r="B4895"/>
    </row>
    <row r="4896" spans="2:2">
      <c r="B4896"/>
    </row>
    <row r="4897" spans="2:2">
      <c r="B4897"/>
    </row>
    <row r="4898" spans="2:2">
      <c r="B4898"/>
    </row>
    <row r="4899" spans="2:2">
      <c r="B4899"/>
    </row>
    <row r="4900" spans="2:2">
      <c r="B4900"/>
    </row>
    <row r="4901" spans="2:2">
      <c r="B4901"/>
    </row>
    <row r="4902" spans="2:2">
      <c r="B4902"/>
    </row>
    <row r="4903" spans="2:2">
      <c r="B4903"/>
    </row>
    <row r="4904" spans="2:2">
      <c r="B4904"/>
    </row>
    <row r="4905" spans="2:2">
      <c r="B4905"/>
    </row>
    <row r="4906" spans="2:2">
      <c r="B4906"/>
    </row>
    <row r="4907" spans="2:2">
      <c r="B4907"/>
    </row>
    <row r="4908" spans="2:2">
      <c r="B4908"/>
    </row>
    <row r="4909" spans="2:2">
      <c r="B4909"/>
    </row>
    <row r="4910" spans="2:2">
      <c r="B4910"/>
    </row>
    <row r="4911" spans="2:2">
      <c r="B4911"/>
    </row>
    <row r="4912" spans="2:2">
      <c r="B4912"/>
    </row>
    <row r="4913" spans="2:2">
      <c r="B4913"/>
    </row>
    <row r="4914" spans="2:2">
      <c r="B4914"/>
    </row>
    <row r="4915" spans="2:2">
      <c r="B4915"/>
    </row>
    <row r="4916" spans="2:2">
      <c r="B4916"/>
    </row>
    <row r="4917" spans="2:2">
      <c r="B4917"/>
    </row>
    <row r="4918" spans="2:2">
      <c r="B4918"/>
    </row>
    <row r="4919" spans="2:2">
      <c r="B4919"/>
    </row>
    <row r="4920" spans="2:2">
      <c r="B4920"/>
    </row>
    <row r="4921" spans="2:2">
      <c r="B4921"/>
    </row>
    <row r="4922" spans="2:2">
      <c r="B4922"/>
    </row>
    <row r="4923" spans="2:2">
      <c r="B4923"/>
    </row>
    <row r="4924" spans="2:2">
      <c r="B4924"/>
    </row>
    <row r="4925" spans="2:2">
      <c r="B4925"/>
    </row>
    <row r="4926" spans="2:2">
      <c r="B4926"/>
    </row>
    <row r="4927" spans="2:2">
      <c r="B4927"/>
    </row>
    <row r="4928" spans="2:2">
      <c r="B4928"/>
    </row>
    <row r="4929" spans="2:2">
      <c r="B4929"/>
    </row>
    <row r="4930" spans="2:2">
      <c r="B4930"/>
    </row>
    <row r="4931" spans="2:2">
      <c r="B4931"/>
    </row>
    <row r="4932" spans="2:2">
      <c r="B4932"/>
    </row>
    <row r="4933" spans="2:2">
      <c r="B4933"/>
    </row>
    <row r="4934" spans="2:2">
      <c r="B4934"/>
    </row>
    <row r="4935" spans="2:2">
      <c r="B4935"/>
    </row>
    <row r="4936" spans="2:2">
      <c r="B4936"/>
    </row>
    <row r="4937" spans="2:2">
      <c r="B4937"/>
    </row>
    <row r="4938" spans="2:2">
      <c r="B4938"/>
    </row>
    <row r="4939" spans="2:2">
      <c r="B4939"/>
    </row>
    <row r="4940" spans="2:2">
      <c r="B4940"/>
    </row>
    <row r="4941" spans="2:2">
      <c r="B4941"/>
    </row>
    <row r="4942" spans="2:2">
      <c r="B4942"/>
    </row>
    <row r="4943" spans="2:2">
      <c r="B4943"/>
    </row>
    <row r="4944" spans="2:2">
      <c r="B4944"/>
    </row>
    <row r="4945" spans="2:2">
      <c r="B4945"/>
    </row>
    <row r="4946" spans="2:2">
      <c r="B4946"/>
    </row>
    <row r="4947" spans="2:2">
      <c r="B4947"/>
    </row>
    <row r="4948" spans="2:2">
      <c r="B4948"/>
    </row>
    <row r="4949" spans="2:2">
      <c r="B4949"/>
    </row>
    <row r="4950" spans="2:2">
      <c r="B4950"/>
    </row>
    <row r="4951" spans="2:2">
      <c r="B4951"/>
    </row>
    <row r="4952" spans="2:2">
      <c r="B4952"/>
    </row>
    <row r="4953" spans="2:2">
      <c r="B4953"/>
    </row>
    <row r="4954" spans="2:2">
      <c r="B4954"/>
    </row>
    <row r="4955" spans="2:2">
      <c r="B4955"/>
    </row>
    <row r="4956" spans="2:2">
      <c r="B4956"/>
    </row>
    <row r="4957" spans="2:2">
      <c r="B4957"/>
    </row>
    <row r="4958" spans="2:2">
      <c r="B4958"/>
    </row>
    <row r="4959" spans="2:2">
      <c r="B4959"/>
    </row>
    <row r="4960" spans="2:2">
      <c r="B4960"/>
    </row>
    <row r="4961" spans="2:2">
      <c r="B4961"/>
    </row>
    <row r="4962" spans="2:2">
      <c r="B4962"/>
    </row>
    <row r="4963" spans="2:2">
      <c r="B4963"/>
    </row>
    <row r="4964" spans="2:2">
      <c r="B4964"/>
    </row>
    <row r="4965" spans="2:2">
      <c r="B4965"/>
    </row>
    <row r="4966" spans="2:2">
      <c r="B4966"/>
    </row>
    <row r="4967" spans="2:2">
      <c r="B4967"/>
    </row>
    <row r="4968" spans="2:2">
      <c r="B4968"/>
    </row>
    <row r="4969" spans="2:2">
      <c r="B4969"/>
    </row>
    <row r="4970" spans="2:2">
      <c r="B4970"/>
    </row>
    <row r="4971" spans="2:2">
      <c r="B4971"/>
    </row>
    <row r="4972" spans="2:2">
      <c r="B4972"/>
    </row>
    <row r="4973" spans="2:2">
      <c r="B4973"/>
    </row>
    <row r="4974" spans="2:2">
      <c r="B4974"/>
    </row>
    <row r="4975" spans="2:2">
      <c r="B4975"/>
    </row>
    <row r="4976" spans="2:2">
      <c r="B4976"/>
    </row>
    <row r="4977" spans="2:2">
      <c r="B4977"/>
    </row>
    <row r="4978" spans="2:2">
      <c r="B4978"/>
    </row>
    <row r="4979" spans="2:2">
      <c r="B4979"/>
    </row>
    <row r="4980" spans="2:2">
      <c r="B4980"/>
    </row>
    <row r="4981" spans="2:2">
      <c r="B4981"/>
    </row>
    <row r="4982" spans="2:2">
      <c r="B4982"/>
    </row>
    <row r="4983" spans="2:2">
      <c r="B4983"/>
    </row>
    <row r="4984" spans="2:2">
      <c r="B4984"/>
    </row>
    <row r="4985" spans="2:2">
      <c r="B4985"/>
    </row>
    <row r="4986" spans="2:2">
      <c r="B4986"/>
    </row>
    <row r="4987" spans="2:2">
      <c r="B4987"/>
    </row>
    <row r="4988" spans="2:2">
      <c r="B4988"/>
    </row>
    <row r="4989" spans="2:2">
      <c r="B4989"/>
    </row>
    <row r="4990" spans="2:2">
      <c r="B4990"/>
    </row>
    <row r="4991" spans="2:2">
      <c r="B4991"/>
    </row>
    <row r="4992" spans="2:2">
      <c r="B4992"/>
    </row>
    <row r="4993" spans="2:2">
      <c r="B4993"/>
    </row>
    <row r="4994" spans="2:2">
      <c r="B4994"/>
    </row>
    <row r="4995" spans="2:2">
      <c r="B4995"/>
    </row>
    <row r="4996" spans="2:2">
      <c r="B4996"/>
    </row>
    <row r="4997" spans="2:2">
      <c r="B4997"/>
    </row>
    <row r="4998" spans="2:2">
      <c r="B4998"/>
    </row>
    <row r="4999" spans="2:2">
      <c r="B4999"/>
    </row>
    <row r="5000" spans="2:2">
      <c r="B5000"/>
    </row>
    <row r="5001" spans="2:2">
      <c r="B5001"/>
    </row>
    <row r="5002" spans="2:2">
      <c r="B5002"/>
    </row>
    <row r="5003" spans="2:2">
      <c r="B5003"/>
    </row>
    <row r="5004" spans="2:2">
      <c r="B5004"/>
    </row>
    <row r="5005" spans="2:2">
      <c r="B5005"/>
    </row>
    <row r="5006" spans="2:2">
      <c r="B5006"/>
    </row>
    <row r="5007" spans="2:2">
      <c r="B5007"/>
    </row>
    <row r="5008" spans="2:2">
      <c r="B5008"/>
    </row>
    <row r="5009" spans="2:2">
      <c r="B5009"/>
    </row>
    <row r="5010" spans="2:2">
      <c r="B5010"/>
    </row>
    <row r="5011" spans="2:2">
      <c r="B5011"/>
    </row>
    <row r="5012" spans="2:2">
      <c r="B5012"/>
    </row>
    <row r="5013" spans="2:2">
      <c r="B5013"/>
    </row>
    <row r="5014" spans="2:2">
      <c r="B5014"/>
    </row>
    <row r="5015" spans="2:2">
      <c r="B5015"/>
    </row>
    <row r="5016" spans="2:2">
      <c r="B5016"/>
    </row>
    <row r="5017" spans="2:2">
      <c r="B5017"/>
    </row>
    <row r="5018" spans="2:2">
      <c r="B5018"/>
    </row>
    <row r="5019" spans="2:2">
      <c r="B5019"/>
    </row>
    <row r="5020" spans="2:2">
      <c r="B5020"/>
    </row>
    <row r="5021" spans="2:2">
      <c r="B5021"/>
    </row>
    <row r="5022" spans="2:2">
      <c r="B5022"/>
    </row>
    <row r="5023" spans="2:2">
      <c r="B5023"/>
    </row>
    <row r="5024" spans="2:2">
      <c r="B5024"/>
    </row>
    <row r="5025" spans="2:2">
      <c r="B5025"/>
    </row>
    <row r="5026" spans="2:2">
      <c r="B5026"/>
    </row>
    <row r="5027" spans="2:2">
      <c r="B5027"/>
    </row>
    <row r="5028" spans="2:2">
      <c r="B5028"/>
    </row>
    <row r="5029" spans="2:2">
      <c r="B5029"/>
    </row>
    <row r="5030" spans="2:2">
      <c r="B5030"/>
    </row>
    <row r="5031" spans="2:2">
      <c r="B5031"/>
    </row>
    <row r="5032" spans="2:2">
      <c r="B5032"/>
    </row>
    <row r="5033" spans="2:2">
      <c r="B5033"/>
    </row>
    <row r="5034" spans="2:2">
      <c r="B5034"/>
    </row>
    <row r="5035" spans="2:2">
      <c r="B5035"/>
    </row>
    <row r="5036" spans="2:2">
      <c r="B5036"/>
    </row>
    <row r="5037" spans="2:2">
      <c r="B5037"/>
    </row>
    <row r="5038" spans="2:2">
      <c r="B5038"/>
    </row>
    <row r="5039" spans="2:2">
      <c r="B5039"/>
    </row>
    <row r="5040" spans="2:2">
      <c r="B5040"/>
    </row>
    <row r="5041" spans="2:2">
      <c r="B5041"/>
    </row>
    <row r="5042" spans="2:2">
      <c r="B5042"/>
    </row>
    <row r="5043" spans="2:2">
      <c r="B5043"/>
    </row>
    <row r="5044" spans="2:2">
      <c r="B5044"/>
    </row>
    <row r="5045" spans="2:2">
      <c r="B5045"/>
    </row>
    <row r="5046" spans="2:2">
      <c r="B5046"/>
    </row>
    <row r="5047" spans="2:2">
      <c r="B5047"/>
    </row>
    <row r="5048" spans="2:2">
      <c r="B5048"/>
    </row>
    <row r="5049" spans="2:2">
      <c r="B5049"/>
    </row>
    <row r="5050" spans="2:2">
      <c r="B5050"/>
    </row>
    <row r="5051" spans="2:2">
      <c r="B5051"/>
    </row>
    <row r="5052" spans="2:2">
      <c r="B5052"/>
    </row>
    <row r="5053" spans="2:2">
      <c r="B5053"/>
    </row>
    <row r="5054" spans="2:2">
      <c r="B5054"/>
    </row>
    <row r="5055" spans="2:2">
      <c r="B5055"/>
    </row>
    <row r="5056" spans="2:2">
      <c r="B5056"/>
    </row>
    <row r="5057" spans="2:2">
      <c r="B5057"/>
    </row>
    <row r="5058" spans="2:2">
      <c r="B5058"/>
    </row>
    <row r="5059" spans="2:2">
      <c r="B5059"/>
    </row>
    <row r="5060" spans="2:2">
      <c r="B5060"/>
    </row>
    <row r="5061" spans="2:2">
      <c r="B5061"/>
    </row>
    <row r="5062" spans="2:2">
      <c r="B5062"/>
    </row>
    <row r="5063" spans="2:2">
      <c r="B5063"/>
    </row>
    <row r="5064" spans="2:2">
      <c r="B5064"/>
    </row>
    <row r="5065" spans="2:2">
      <c r="B5065"/>
    </row>
    <row r="5066" spans="2:2">
      <c r="B5066"/>
    </row>
    <row r="5067" spans="2:2">
      <c r="B5067"/>
    </row>
    <row r="5068" spans="2:2">
      <c r="B5068"/>
    </row>
    <row r="5069" spans="2:2">
      <c r="B5069"/>
    </row>
    <row r="5070" spans="2:2">
      <c r="B5070"/>
    </row>
    <row r="5071" spans="2:2">
      <c r="B5071"/>
    </row>
    <row r="5072" spans="2:2">
      <c r="B5072"/>
    </row>
    <row r="5073" spans="2:2">
      <c r="B5073"/>
    </row>
    <row r="5074" spans="2:2">
      <c r="B5074"/>
    </row>
    <row r="5075" spans="2:2">
      <c r="B5075"/>
    </row>
    <row r="5076" spans="2:2">
      <c r="B5076"/>
    </row>
    <row r="5077" spans="2:2">
      <c r="B5077"/>
    </row>
    <row r="5078" spans="2:2">
      <c r="B5078"/>
    </row>
    <row r="5079" spans="2:2">
      <c r="B5079"/>
    </row>
    <row r="5080" spans="2:2">
      <c r="B5080"/>
    </row>
    <row r="5081" spans="2:2">
      <c r="B5081"/>
    </row>
    <row r="5082" spans="2:2">
      <c r="B5082"/>
    </row>
    <row r="5083" spans="2:2">
      <c r="B5083"/>
    </row>
    <row r="5084" spans="2:2">
      <c r="B5084"/>
    </row>
    <row r="5085" spans="2:2">
      <c r="B5085"/>
    </row>
    <row r="5086" spans="2:2">
      <c r="B5086"/>
    </row>
    <row r="5087" spans="2:2">
      <c r="B5087"/>
    </row>
    <row r="5088" spans="2:2">
      <c r="B5088"/>
    </row>
    <row r="5089" spans="2:2">
      <c r="B5089"/>
    </row>
    <row r="5090" spans="2:2">
      <c r="B5090"/>
    </row>
    <row r="5091" spans="2:2">
      <c r="B5091"/>
    </row>
    <row r="5092" spans="2:2">
      <c r="B5092"/>
    </row>
    <row r="5093" spans="2:2">
      <c r="B5093"/>
    </row>
    <row r="5094" spans="2:2">
      <c r="B5094"/>
    </row>
    <row r="5095" spans="2:2">
      <c r="B5095"/>
    </row>
    <row r="5096" spans="2:2">
      <c r="B5096"/>
    </row>
    <row r="5097" spans="2:2">
      <c r="B5097"/>
    </row>
    <row r="5098" spans="2:2">
      <c r="B5098"/>
    </row>
    <row r="5099" spans="2:2">
      <c r="B5099"/>
    </row>
    <row r="5100" spans="2:2">
      <c r="B5100"/>
    </row>
    <row r="5101" spans="2:2">
      <c r="B5101"/>
    </row>
    <row r="5102" spans="2:2">
      <c r="B5102"/>
    </row>
    <row r="5103" spans="2:2">
      <c r="B5103"/>
    </row>
    <row r="5104" spans="2:2">
      <c r="B5104"/>
    </row>
    <row r="5105" spans="2:2">
      <c r="B5105"/>
    </row>
    <row r="5106" spans="2:2">
      <c r="B5106"/>
    </row>
    <row r="5107" spans="2:2">
      <c r="B5107"/>
    </row>
    <row r="5108" spans="2:2">
      <c r="B5108"/>
    </row>
    <row r="5109" spans="2:2">
      <c r="B5109"/>
    </row>
    <row r="5110" spans="2:2">
      <c r="B5110"/>
    </row>
    <row r="5111" spans="2:2">
      <c r="B5111"/>
    </row>
    <row r="5112" spans="2:2">
      <c r="B5112"/>
    </row>
    <row r="5113" spans="2:2">
      <c r="B5113"/>
    </row>
    <row r="5114" spans="2:2">
      <c r="B5114"/>
    </row>
    <row r="5115" spans="2:2">
      <c r="B5115"/>
    </row>
    <row r="5116" spans="2:2">
      <c r="B5116"/>
    </row>
    <row r="5117" spans="2:2">
      <c r="B5117"/>
    </row>
    <row r="5118" spans="2:2">
      <c r="B5118"/>
    </row>
    <row r="5119" spans="2:2">
      <c r="B5119"/>
    </row>
    <row r="5120" spans="2:2">
      <c r="B5120"/>
    </row>
    <row r="5121" spans="2:2">
      <c r="B5121"/>
    </row>
    <row r="5122" spans="2:2">
      <c r="B5122"/>
    </row>
    <row r="5123" spans="2:2">
      <c r="B5123"/>
    </row>
    <row r="5124" spans="2:2">
      <c r="B5124"/>
    </row>
    <row r="5125" spans="2:2">
      <c r="B5125"/>
    </row>
    <row r="5126" spans="2:2">
      <c r="B5126"/>
    </row>
    <row r="5127" spans="2:2">
      <c r="B5127"/>
    </row>
    <row r="5128" spans="2:2">
      <c r="B5128"/>
    </row>
    <row r="5129" spans="2:2">
      <c r="B5129"/>
    </row>
    <row r="5130" spans="2:2">
      <c r="B5130"/>
    </row>
    <row r="5131" spans="2:2">
      <c r="B5131"/>
    </row>
    <row r="5132" spans="2:2">
      <c r="B5132"/>
    </row>
    <row r="5133" spans="2:2">
      <c r="B5133"/>
    </row>
    <row r="5134" spans="2:2">
      <c r="B5134"/>
    </row>
    <row r="5135" spans="2:2">
      <c r="B5135"/>
    </row>
    <row r="5136" spans="2:2">
      <c r="B5136"/>
    </row>
    <row r="5137" spans="2:2">
      <c r="B5137"/>
    </row>
    <row r="5138" spans="2:2">
      <c r="B5138"/>
    </row>
    <row r="5139" spans="2:2">
      <c r="B5139"/>
    </row>
    <row r="5140" spans="2:2">
      <c r="B5140"/>
    </row>
    <row r="5141" spans="2:2">
      <c r="B5141"/>
    </row>
    <row r="5142" spans="2:2">
      <c r="B5142"/>
    </row>
    <row r="5143" spans="2:2">
      <c r="B5143"/>
    </row>
    <row r="5144" spans="2:2">
      <c r="B5144"/>
    </row>
    <row r="5145" spans="2:2">
      <c r="B5145"/>
    </row>
    <row r="5146" spans="2:2">
      <c r="B5146"/>
    </row>
    <row r="5147" spans="2:2">
      <c r="B5147"/>
    </row>
    <row r="5148" spans="2:2">
      <c r="B5148"/>
    </row>
    <row r="5149" spans="2:2">
      <c r="B5149"/>
    </row>
    <row r="5150" spans="2:2">
      <c r="B5150"/>
    </row>
    <row r="5151" spans="2:2">
      <c r="B5151"/>
    </row>
    <row r="5152" spans="2:2">
      <c r="B5152"/>
    </row>
    <row r="5153" spans="2:2">
      <c r="B5153"/>
    </row>
    <row r="5154" spans="2:2">
      <c r="B5154"/>
    </row>
    <row r="5155" spans="2:2">
      <c r="B5155"/>
    </row>
    <row r="5156" spans="2:2">
      <c r="B5156"/>
    </row>
    <row r="5157" spans="2:2">
      <c r="B5157"/>
    </row>
    <row r="5158" spans="2:2">
      <c r="B5158"/>
    </row>
    <row r="5159" spans="2:2">
      <c r="B5159"/>
    </row>
    <row r="5160" spans="2:2">
      <c r="B5160"/>
    </row>
    <row r="5161" spans="2:2">
      <c r="B5161"/>
    </row>
    <row r="5162" spans="2:2">
      <c r="B5162"/>
    </row>
    <row r="5163" spans="2:2">
      <c r="B5163"/>
    </row>
    <row r="5164" spans="2:2">
      <c r="B5164"/>
    </row>
    <row r="5165" spans="2:2">
      <c r="B5165"/>
    </row>
    <row r="5166" spans="2:2">
      <c r="B5166"/>
    </row>
    <row r="5167" spans="2:2">
      <c r="B5167"/>
    </row>
    <row r="5168" spans="2:2">
      <c r="B5168"/>
    </row>
    <row r="5169" spans="2:2">
      <c r="B5169"/>
    </row>
    <row r="5170" spans="2:2">
      <c r="B5170"/>
    </row>
    <row r="5171" spans="2:2">
      <c r="B5171"/>
    </row>
    <row r="5172" spans="2:2">
      <c r="B5172"/>
    </row>
    <row r="5173" spans="2:2">
      <c r="B5173"/>
    </row>
    <row r="5174" spans="2:2">
      <c r="B5174"/>
    </row>
    <row r="5175" spans="2:2">
      <c r="B5175"/>
    </row>
    <row r="5176" spans="2:2">
      <c r="B5176"/>
    </row>
    <row r="5177" spans="2:2">
      <c r="B5177"/>
    </row>
    <row r="5178" spans="2:2">
      <c r="B5178"/>
    </row>
    <row r="5179" spans="2:2">
      <c r="B5179"/>
    </row>
    <row r="5180" spans="2:2">
      <c r="B5180"/>
    </row>
    <row r="5181" spans="2:2">
      <c r="B5181"/>
    </row>
    <row r="5182" spans="2:2">
      <c r="B5182"/>
    </row>
    <row r="5183" spans="2:2">
      <c r="B5183"/>
    </row>
    <row r="5184" spans="2:2">
      <c r="B5184"/>
    </row>
    <row r="5185" spans="2:2">
      <c r="B5185"/>
    </row>
    <row r="5186" spans="2:2">
      <c r="B5186"/>
    </row>
    <row r="5187" spans="2:2">
      <c r="B5187"/>
    </row>
    <row r="5188" spans="2:2">
      <c r="B5188"/>
    </row>
    <row r="5189" spans="2:2">
      <c r="B5189"/>
    </row>
    <row r="5190" spans="2:2">
      <c r="B5190"/>
    </row>
    <row r="5191" spans="2:2">
      <c r="B5191"/>
    </row>
    <row r="5192" spans="2:2">
      <c r="B5192"/>
    </row>
    <row r="5193" spans="2:2">
      <c r="B5193"/>
    </row>
    <row r="5194" spans="2:2">
      <c r="B5194"/>
    </row>
    <row r="5195" spans="2:2">
      <c r="B5195"/>
    </row>
    <row r="5196" spans="2:2">
      <c r="B5196"/>
    </row>
    <row r="5197" spans="2:2">
      <c r="B5197"/>
    </row>
    <row r="5198" spans="2:2">
      <c r="B5198"/>
    </row>
    <row r="5199" spans="2:2">
      <c r="B5199"/>
    </row>
    <row r="5200" spans="2:2">
      <c r="B5200"/>
    </row>
    <row r="5201" spans="2:2">
      <c r="B5201"/>
    </row>
    <row r="5202" spans="2:2">
      <c r="B5202"/>
    </row>
    <row r="5203" spans="2:2">
      <c r="B5203"/>
    </row>
    <row r="5204" spans="2:2">
      <c r="B5204"/>
    </row>
    <row r="5205" spans="2:2">
      <c r="B5205"/>
    </row>
    <row r="5206" spans="2:2">
      <c r="B5206"/>
    </row>
    <row r="5207" spans="2:2">
      <c r="B5207"/>
    </row>
    <row r="5208" spans="2:2">
      <c r="B5208"/>
    </row>
    <row r="5209" spans="2:2">
      <c r="B5209"/>
    </row>
    <row r="5210" spans="2:2">
      <c r="B5210"/>
    </row>
    <row r="5211" spans="2:2">
      <c r="B5211"/>
    </row>
    <row r="5212" spans="2:2">
      <c r="B5212"/>
    </row>
    <row r="5213" spans="2:2">
      <c r="B5213"/>
    </row>
    <row r="5214" spans="2:2">
      <c r="B5214"/>
    </row>
    <row r="5215" spans="2:2">
      <c r="B5215"/>
    </row>
    <row r="5216" spans="2:2">
      <c r="B5216"/>
    </row>
    <row r="5217" spans="2:2">
      <c r="B5217"/>
    </row>
    <row r="5218" spans="2:2">
      <c r="B5218"/>
    </row>
    <row r="5219" spans="2:2">
      <c r="B5219"/>
    </row>
    <row r="5220" spans="2:2">
      <c r="B5220"/>
    </row>
    <row r="5221" spans="2:2">
      <c r="B5221"/>
    </row>
    <row r="5222" spans="2:2">
      <c r="B5222"/>
    </row>
    <row r="5223" spans="2:2">
      <c r="B5223"/>
    </row>
    <row r="5224" spans="2:2">
      <c r="B5224"/>
    </row>
    <row r="5225" spans="2:2">
      <c r="B5225"/>
    </row>
    <row r="5226" spans="2:2">
      <c r="B5226"/>
    </row>
    <row r="5227" spans="2:2">
      <c r="B5227"/>
    </row>
    <row r="5228" spans="2:2">
      <c r="B5228"/>
    </row>
    <row r="5229" spans="2:2">
      <c r="B5229"/>
    </row>
    <row r="5230" spans="2:2">
      <c r="B5230"/>
    </row>
    <row r="5231" spans="2:2">
      <c r="B5231"/>
    </row>
    <row r="5232" spans="2:2">
      <c r="B5232"/>
    </row>
    <row r="5233" spans="2:2">
      <c r="B5233"/>
    </row>
    <row r="5234" spans="2:2">
      <c r="B5234"/>
    </row>
    <row r="5235" spans="2:2">
      <c r="B5235"/>
    </row>
    <row r="5236" spans="2:2">
      <c r="B5236"/>
    </row>
    <row r="5237" spans="2:2">
      <c r="B5237"/>
    </row>
    <row r="5238" spans="2:2">
      <c r="B5238"/>
    </row>
    <row r="5239" spans="2:2">
      <c r="B5239"/>
    </row>
    <row r="5240" spans="2:2">
      <c r="B5240"/>
    </row>
    <row r="5241" spans="2:2">
      <c r="B5241"/>
    </row>
    <row r="5242" spans="2:2">
      <c r="B5242"/>
    </row>
    <row r="5243" spans="2:2">
      <c r="B5243"/>
    </row>
    <row r="5244" spans="2:2">
      <c r="B5244"/>
    </row>
    <row r="5245" spans="2:2">
      <c r="B5245"/>
    </row>
    <row r="5246" spans="2:2">
      <c r="B5246"/>
    </row>
    <row r="5247" spans="2:2">
      <c r="B5247"/>
    </row>
    <row r="5248" spans="2:2">
      <c r="B5248"/>
    </row>
    <row r="5249" spans="2:2">
      <c r="B5249"/>
    </row>
    <row r="5250" spans="2:2">
      <c r="B5250"/>
    </row>
    <row r="5251" spans="2:2">
      <c r="B5251"/>
    </row>
    <row r="5252" spans="2:2">
      <c r="B5252"/>
    </row>
    <row r="5253" spans="2:2">
      <c r="B5253"/>
    </row>
    <row r="5254" spans="2:2">
      <c r="B5254"/>
    </row>
    <row r="5255" spans="2:2">
      <c r="B5255"/>
    </row>
    <row r="5256" spans="2:2">
      <c r="B5256"/>
    </row>
    <row r="5257" spans="2:2">
      <c r="B5257"/>
    </row>
    <row r="5258" spans="2:2">
      <c r="B5258"/>
    </row>
    <row r="5259" spans="2:2">
      <c r="B5259"/>
    </row>
    <row r="5260" spans="2:2">
      <c r="B5260"/>
    </row>
    <row r="5261" spans="2:2">
      <c r="B5261"/>
    </row>
    <row r="5262" spans="2:2">
      <c r="B5262"/>
    </row>
    <row r="5263" spans="2:2">
      <c r="B5263"/>
    </row>
    <row r="5264" spans="2:2">
      <c r="B5264"/>
    </row>
    <row r="5265" spans="2:2">
      <c r="B5265"/>
    </row>
    <row r="5266" spans="2:2">
      <c r="B5266"/>
    </row>
    <row r="5267" spans="2:2">
      <c r="B5267"/>
    </row>
    <row r="5268" spans="2:2">
      <c r="B5268"/>
    </row>
    <row r="5269" spans="2:2">
      <c r="B5269"/>
    </row>
    <row r="5270" spans="2:2">
      <c r="B5270"/>
    </row>
    <row r="5271" spans="2:2">
      <c r="B5271"/>
    </row>
    <row r="5272" spans="2:2">
      <c r="B5272"/>
    </row>
    <row r="5273" spans="2:2">
      <c r="B5273"/>
    </row>
    <row r="5274" spans="2:2">
      <c r="B5274"/>
    </row>
    <row r="5275" spans="2:2">
      <c r="B5275"/>
    </row>
    <row r="5276" spans="2:2">
      <c r="B5276"/>
    </row>
    <row r="5277" spans="2:2">
      <c r="B5277"/>
    </row>
    <row r="5278" spans="2:2">
      <c r="B5278"/>
    </row>
    <row r="5279" spans="2:2">
      <c r="B5279"/>
    </row>
    <row r="5280" spans="2:2">
      <c r="B5280"/>
    </row>
    <row r="5281" spans="2:2">
      <c r="B5281"/>
    </row>
    <row r="5282" spans="2:2">
      <c r="B5282"/>
    </row>
    <row r="5283" spans="2:2">
      <c r="B5283"/>
    </row>
    <row r="5284" spans="2:2">
      <c r="B5284"/>
    </row>
    <row r="5285" spans="2:2">
      <c r="B5285"/>
    </row>
    <row r="5286" spans="2:2">
      <c r="B5286"/>
    </row>
    <row r="5287" spans="2:2">
      <c r="B5287"/>
    </row>
    <row r="5288" spans="2:2">
      <c r="B5288"/>
    </row>
    <row r="5289" spans="2:2">
      <c r="B5289"/>
    </row>
    <row r="5290" spans="2:2">
      <c r="B5290"/>
    </row>
    <row r="5291" spans="2:2">
      <c r="B5291"/>
    </row>
    <row r="5292" spans="2:2">
      <c r="B5292"/>
    </row>
    <row r="5293" spans="2:2">
      <c r="B5293"/>
    </row>
    <row r="5294" spans="2:2">
      <c r="B5294"/>
    </row>
    <row r="5295" spans="2:2">
      <c r="B5295"/>
    </row>
    <row r="5296" spans="2:2">
      <c r="B5296"/>
    </row>
    <row r="5297" spans="2:2">
      <c r="B5297"/>
    </row>
    <row r="5298" spans="2:2">
      <c r="B5298"/>
    </row>
    <row r="5299" spans="2:2">
      <c r="B5299"/>
    </row>
    <row r="5300" spans="2:2">
      <c r="B5300"/>
    </row>
    <row r="5301" spans="2:2">
      <c r="B5301"/>
    </row>
    <row r="5302" spans="2:2">
      <c r="B5302"/>
    </row>
    <row r="5303" spans="2:2">
      <c r="B5303"/>
    </row>
    <row r="5304" spans="2:2">
      <c r="B5304"/>
    </row>
    <row r="5305" spans="2:2">
      <c r="B5305"/>
    </row>
    <row r="5306" spans="2:2">
      <c r="B5306"/>
    </row>
    <row r="5307" spans="2:2">
      <c r="B5307"/>
    </row>
    <row r="5308" spans="2:2">
      <c r="B5308"/>
    </row>
    <row r="5309" spans="2:2">
      <c r="B5309"/>
    </row>
    <row r="5310" spans="2:2">
      <c r="B5310"/>
    </row>
    <row r="5311" spans="2:2">
      <c r="B5311"/>
    </row>
    <row r="5312" spans="2:2">
      <c r="B5312"/>
    </row>
    <row r="5313" spans="2:2">
      <c r="B5313"/>
    </row>
    <row r="5314" spans="2:2">
      <c r="B5314"/>
    </row>
    <row r="5315" spans="2:2">
      <c r="B5315"/>
    </row>
    <row r="5316" spans="2:2">
      <c r="B5316"/>
    </row>
    <row r="5317" spans="2:2">
      <c r="B5317"/>
    </row>
    <row r="5318" spans="2:2">
      <c r="B5318"/>
    </row>
    <row r="5319" spans="2:2">
      <c r="B5319"/>
    </row>
    <row r="5320" spans="2:2">
      <c r="B5320"/>
    </row>
    <row r="5321" spans="2:2">
      <c r="B5321"/>
    </row>
    <row r="5322" spans="2:2">
      <c r="B5322"/>
    </row>
    <row r="5323" spans="2:2">
      <c r="B5323"/>
    </row>
    <row r="5324" spans="2:2">
      <c r="B5324"/>
    </row>
    <row r="5325" spans="2:2">
      <c r="B5325"/>
    </row>
    <row r="5326" spans="2:2">
      <c r="B5326"/>
    </row>
    <row r="5327" spans="2:2">
      <c r="B5327"/>
    </row>
    <row r="5328" spans="2:2">
      <c r="B5328"/>
    </row>
    <row r="5329" spans="2:2">
      <c r="B5329"/>
    </row>
    <row r="5330" spans="2:2">
      <c r="B5330"/>
    </row>
    <row r="5331" spans="2:2">
      <c r="B5331"/>
    </row>
    <row r="5332" spans="2:2">
      <c r="B5332"/>
    </row>
    <row r="5333" spans="2:2">
      <c r="B5333"/>
    </row>
    <row r="5334" spans="2:2">
      <c r="B5334"/>
    </row>
    <row r="5335" spans="2:2">
      <c r="B5335"/>
    </row>
    <row r="5336" spans="2:2">
      <c r="B5336"/>
    </row>
    <row r="5337" spans="2:2">
      <c r="B5337"/>
    </row>
    <row r="5338" spans="2:2">
      <c r="B5338"/>
    </row>
    <row r="5339" spans="2:2">
      <c r="B5339"/>
    </row>
    <row r="5340" spans="2:2">
      <c r="B5340"/>
    </row>
    <row r="5341" spans="2:2">
      <c r="B5341"/>
    </row>
    <row r="5342" spans="2:2">
      <c r="B5342"/>
    </row>
    <row r="5343" spans="2:2">
      <c r="B5343"/>
    </row>
    <row r="5344" spans="2:2">
      <c r="B5344"/>
    </row>
    <row r="5345" spans="2:2">
      <c r="B5345"/>
    </row>
    <row r="5346" spans="2:2">
      <c r="B5346"/>
    </row>
    <row r="5347" spans="2:2">
      <c r="B5347"/>
    </row>
    <row r="5348" spans="2:2">
      <c r="B5348"/>
    </row>
    <row r="5349" spans="2:2">
      <c r="B5349"/>
    </row>
    <row r="5350" spans="2:2">
      <c r="B5350"/>
    </row>
    <row r="5351" spans="2:2">
      <c r="B5351"/>
    </row>
    <row r="5352" spans="2:2">
      <c r="B5352"/>
    </row>
    <row r="5353" spans="2:2">
      <c r="B5353"/>
    </row>
    <row r="5354" spans="2:2">
      <c r="B5354"/>
    </row>
    <row r="5355" spans="2:2">
      <c r="B5355"/>
    </row>
    <row r="5356" spans="2:2">
      <c r="B5356"/>
    </row>
    <row r="5357" spans="2:2">
      <c r="B5357"/>
    </row>
    <row r="5358" spans="2:2">
      <c r="B5358"/>
    </row>
    <row r="5359" spans="2:2">
      <c r="B5359"/>
    </row>
    <row r="5360" spans="2:2">
      <c r="B5360"/>
    </row>
    <row r="5361" spans="2:2">
      <c r="B5361"/>
    </row>
    <row r="5362" spans="2:2">
      <c r="B5362"/>
    </row>
    <row r="5363" spans="2:2">
      <c r="B5363"/>
    </row>
    <row r="5364" spans="2:2">
      <c r="B5364"/>
    </row>
    <row r="5365" spans="2:2">
      <c r="B5365"/>
    </row>
    <row r="5366" spans="2:2">
      <c r="B5366"/>
    </row>
    <row r="5367" spans="2:2">
      <c r="B5367"/>
    </row>
    <row r="5368" spans="2:2">
      <c r="B5368"/>
    </row>
    <row r="5369" spans="2:2">
      <c r="B5369"/>
    </row>
    <row r="5370" spans="2:2">
      <c r="B5370"/>
    </row>
    <row r="5371" spans="2:2">
      <c r="B5371"/>
    </row>
    <row r="5372" spans="2:2">
      <c r="B5372"/>
    </row>
    <row r="5373" spans="2:2">
      <c r="B5373"/>
    </row>
    <row r="5374" spans="2:2">
      <c r="B5374"/>
    </row>
    <row r="5375" spans="2:2">
      <c r="B5375"/>
    </row>
    <row r="5376" spans="2:2">
      <c r="B5376"/>
    </row>
    <row r="5377" spans="2:2">
      <c r="B5377"/>
    </row>
    <row r="5378" spans="2:2">
      <c r="B5378"/>
    </row>
    <row r="5379" spans="2:2">
      <c r="B5379"/>
    </row>
    <row r="5380" spans="2:2">
      <c r="B5380"/>
    </row>
    <row r="5381" spans="2:2">
      <c r="B5381"/>
    </row>
    <row r="5382" spans="2:2">
      <c r="B5382"/>
    </row>
    <row r="5383" spans="2:2">
      <c r="B5383"/>
    </row>
    <row r="5384" spans="2:2">
      <c r="B5384"/>
    </row>
    <row r="5385" spans="2:2">
      <c r="B5385"/>
    </row>
    <row r="5386" spans="2:2">
      <c r="B5386"/>
    </row>
    <row r="5387" spans="2:2">
      <c r="B5387"/>
    </row>
    <row r="5388" spans="2:2">
      <c r="B5388"/>
    </row>
    <row r="5389" spans="2:2">
      <c r="B5389"/>
    </row>
    <row r="5390" spans="2:2">
      <c r="B5390"/>
    </row>
    <row r="5391" spans="2:2">
      <c r="B5391"/>
    </row>
    <row r="5392" spans="2:2">
      <c r="B5392"/>
    </row>
    <row r="5393" spans="2:2">
      <c r="B5393"/>
    </row>
    <row r="5394" spans="2:2">
      <c r="B5394"/>
    </row>
    <row r="5395" spans="2:2">
      <c r="B5395"/>
    </row>
    <row r="5396" spans="2:2">
      <c r="B5396"/>
    </row>
    <row r="5397" spans="2:2">
      <c r="B5397"/>
    </row>
    <row r="5398" spans="2:2">
      <c r="B5398"/>
    </row>
    <row r="5399" spans="2:2">
      <c r="B5399"/>
    </row>
    <row r="5400" spans="2:2">
      <c r="B5400"/>
    </row>
    <row r="5401" spans="2:2">
      <c r="B5401"/>
    </row>
    <row r="5402" spans="2:2">
      <c r="B5402"/>
    </row>
    <row r="5403" spans="2:2">
      <c r="B5403"/>
    </row>
    <row r="5404" spans="2:2">
      <c r="B5404"/>
    </row>
    <row r="5405" spans="2:2">
      <c r="B5405"/>
    </row>
    <row r="5406" spans="2:2">
      <c r="B5406"/>
    </row>
    <row r="5407" spans="2:2">
      <c r="B5407"/>
    </row>
    <row r="5408" spans="2:2">
      <c r="B5408"/>
    </row>
    <row r="5409" spans="2:2">
      <c r="B5409"/>
    </row>
    <row r="5410" spans="2:2">
      <c r="B5410"/>
    </row>
    <row r="5411" spans="2:2">
      <c r="B5411"/>
    </row>
    <row r="5412" spans="2:2">
      <c r="B5412"/>
    </row>
    <row r="5413" spans="2:2">
      <c r="B5413"/>
    </row>
    <row r="5414" spans="2:2">
      <c r="B5414"/>
    </row>
    <row r="5415" spans="2:2">
      <c r="B5415"/>
    </row>
    <row r="5416" spans="2:2">
      <c r="B5416"/>
    </row>
    <row r="5417" spans="2:2">
      <c r="B5417"/>
    </row>
    <row r="5418" spans="2:2">
      <c r="B5418"/>
    </row>
    <row r="5419" spans="2:2">
      <c r="B5419"/>
    </row>
    <row r="5420" spans="2:2">
      <c r="B5420"/>
    </row>
    <row r="5421" spans="2:2">
      <c r="B5421"/>
    </row>
    <row r="5422" spans="2:2">
      <c r="B5422"/>
    </row>
    <row r="5423" spans="2:2">
      <c r="B5423"/>
    </row>
    <row r="5424" spans="2:2">
      <c r="B5424"/>
    </row>
    <row r="5425" spans="2:2">
      <c r="B5425"/>
    </row>
    <row r="5426" spans="2:2">
      <c r="B5426"/>
    </row>
    <row r="5427" spans="2:2">
      <c r="B5427"/>
    </row>
    <row r="5428" spans="2:2">
      <c r="B5428"/>
    </row>
    <row r="5429" spans="2:2">
      <c r="B5429"/>
    </row>
    <row r="5430" spans="2:2">
      <c r="B5430"/>
    </row>
    <row r="5431" spans="2:2">
      <c r="B5431"/>
    </row>
    <row r="5432" spans="2:2">
      <c r="B5432"/>
    </row>
    <row r="5433" spans="2:2">
      <c r="B5433"/>
    </row>
    <row r="5434" spans="2:2">
      <c r="B5434"/>
    </row>
    <row r="5435" spans="2:2">
      <c r="B5435"/>
    </row>
    <row r="5436" spans="2:2">
      <c r="B5436"/>
    </row>
    <row r="5437" spans="2:2">
      <c r="B5437"/>
    </row>
    <row r="5438" spans="2:2">
      <c r="B5438"/>
    </row>
    <row r="5439" spans="2:2">
      <c r="B5439"/>
    </row>
    <row r="5440" spans="2:2">
      <c r="B5440"/>
    </row>
    <row r="5441" spans="2:2">
      <c r="B5441"/>
    </row>
    <row r="5442" spans="2:2">
      <c r="B5442"/>
    </row>
    <row r="5443" spans="2:2">
      <c r="B5443"/>
    </row>
    <row r="5444" spans="2:2">
      <c r="B5444"/>
    </row>
    <row r="5445" spans="2:2">
      <c r="B5445"/>
    </row>
    <row r="5446" spans="2:2">
      <c r="B5446"/>
    </row>
    <row r="5447" spans="2:2">
      <c r="B5447"/>
    </row>
    <row r="5448" spans="2:2">
      <c r="B5448"/>
    </row>
    <row r="5449" spans="2:2">
      <c r="B5449"/>
    </row>
    <row r="5450" spans="2:2">
      <c r="B5450"/>
    </row>
    <row r="5451" spans="2:2">
      <c r="B5451"/>
    </row>
    <row r="5452" spans="2:2">
      <c r="B5452"/>
    </row>
    <row r="5453" spans="2:2">
      <c r="B5453"/>
    </row>
    <row r="5454" spans="2:2">
      <c r="B5454"/>
    </row>
    <row r="5455" spans="2:2">
      <c r="B5455"/>
    </row>
    <row r="5456" spans="2:2">
      <c r="B5456"/>
    </row>
    <row r="5457" spans="2:2">
      <c r="B5457"/>
    </row>
    <row r="5458" spans="2:2">
      <c r="B5458"/>
    </row>
    <row r="5459" spans="2:2">
      <c r="B5459"/>
    </row>
    <row r="5460" spans="2:2">
      <c r="B5460"/>
    </row>
    <row r="5461" spans="2:2">
      <c r="B5461"/>
    </row>
    <row r="5462" spans="2:2">
      <c r="B5462"/>
    </row>
    <row r="5463" spans="2:2">
      <c r="B5463"/>
    </row>
    <row r="5464" spans="2:2">
      <c r="B5464"/>
    </row>
    <row r="5465" spans="2:2">
      <c r="B5465"/>
    </row>
    <row r="5466" spans="2:2">
      <c r="B5466"/>
    </row>
    <row r="5467" spans="2:2">
      <c r="B5467"/>
    </row>
    <row r="5468" spans="2:2">
      <c r="B5468"/>
    </row>
    <row r="5469" spans="2:2">
      <c r="B5469"/>
    </row>
    <row r="5470" spans="2:2">
      <c r="B5470"/>
    </row>
    <row r="5471" spans="2:2">
      <c r="B5471"/>
    </row>
    <row r="5472" spans="2:2">
      <c r="B5472"/>
    </row>
    <row r="5473" spans="2:2">
      <c r="B5473"/>
    </row>
    <row r="5474" spans="2:2">
      <c r="B5474"/>
    </row>
    <row r="5475" spans="2:2">
      <c r="B5475"/>
    </row>
    <row r="5476" spans="2:2">
      <c r="B5476"/>
    </row>
    <row r="5477" spans="2:2">
      <c r="B5477"/>
    </row>
    <row r="5478" spans="2:2">
      <c r="B5478"/>
    </row>
    <row r="5479" spans="2:2">
      <c r="B5479"/>
    </row>
    <row r="5480" spans="2:2">
      <c r="B5480"/>
    </row>
    <row r="5481" spans="2:2">
      <c r="B5481"/>
    </row>
    <row r="5482" spans="2:2">
      <c r="B5482"/>
    </row>
    <row r="5483" spans="2:2">
      <c r="B5483"/>
    </row>
    <row r="5484" spans="2:2">
      <c r="B5484"/>
    </row>
    <row r="5485" spans="2:2">
      <c r="B5485"/>
    </row>
    <row r="5486" spans="2:2">
      <c r="B5486"/>
    </row>
    <row r="5487" spans="2:2">
      <c r="B5487"/>
    </row>
    <row r="5488" spans="2:2">
      <c r="B5488"/>
    </row>
    <row r="5489" spans="2:2">
      <c r="B5489"/>
    </row>
    <row r="5490" spans="2:2">
      <c r="B5490"/>
    </row>
    <row r="5491" spans="2:2">
      <c r="B5491"/>
    </row>
    <row r="5492" spans="2:2">
      <c r="B5492"/>
    </row>
    <row r="5493" spans="2:2">
      <c r="B5493"/>
    </row>
    <row r="5494" spans="2:2">
      <c r="B5494"/>
    </row>
    <row r="5495" spans="2:2">
      <c r="B5495"/>
    </row>
    <row r="5496" spans="2:2">
      <c r="B5496"/>
    </row>
    <row r="5497" spans="2:2">
      <c r="B5497"/>
    </row>
    <row r="5498" spans="2:2">
      <c r="B5498"/>
    </row>
    <row r="5499" spans="2:2">
      <c r="B5499"/>
    </row>
    <row r="5500" spans="2:2">
      <c r="B5500"/>
    </row>
    <row r="5501" spans="2:2">
      <c r="B5501"/>
    </row>
    <row r="5502" spans="2:2">
      <c r="B5502"/>
    </row>
    <row r="5503" spans="2:2">
      <c r="B5503"/>
    </row>
    <row r="5504" spans="2:2">
      <c r="B5504"/>
    </row>
    <row r="5505" spans="2:2">
      <c r="B5505"/>
    </row>
    <row r="5506" spans="2:2">
      <c r="B5506"/>
    </row>
    <row r="5507" spans="2:2">
      <c r="B5507"/>
    </row>
    <row r="5508" spans="2:2">
      <c r="B5508"/>
    </row>
    <row r="5509" spans="2:2">
      <c r="B5509"/>
    </row>
    <row r="5510" spans="2:2">
      <c r="B5510"/>
    </row>
    <row r="5511" spans="2:2">
      <c r="B5511"/>
    </row>
    <row r="5512" spans="2:2">
      <c r="B5512"/>
    </row>
    <row r="5513" spans="2:2">
      <c r="B5513"/>
    </row>
    <row r="5514" spans="2:2">
      <c r="B5514"/>
    </row>
    <row r="5515" spans="2:2">
      <c r="B5515"/>
    </row>
    <row r="5516" spans="2:2">
      <c r="B5516"/>
    </row>
    <row r="5517" spans="2:2">
      <c r="B5517"/>
    </row>
    <row r="5518" spans="2:2">
      <c r="B5518"/>
    </row>
    <row r="5519" spans="2:2">
      <c r="B5519"/>
    </row>
    <row r="5520" spans="2:2">
      <c r="B5520"/>
    </row>
    <row r="5521" spans="2:2">
      <c r="B5521"/>
    </row>
    <row r="5522" spans="2:2">
      <c r="B5522"/>
    </row>
    <row r="5523" spans="2:2">
      <c r="B5523"/>
    </row>
    <row r="5524" spans="2:2">
      <c r="B5524"/>
    </row>
    <row r="5525" spans="2:2">
      <c r="B5525"/>
    </row>
    <row r="5526" spans="2:2">
      <c r="B5526"/>
    </row>
    <row r="5527" spans="2:2">
      <c r="B5527"/>
    </row>
    <row r="5528" spans="2:2">
      <c r="B5528"/>
    </row>
    <row r="5529" spans="2:2">
      <c r="B5529"/>
    </row>
    <row r="5530" spans="2:2">
      <c r="B5530"/>
    </row>
    <row r="5531" spans="2:2">
      <c r="B5531"/>
    </row>
    <row r="5532" spans="2:2">
      <c r="B5532"/>
    </row>
    <row r="5533" spans="2:2">
      <c r="B5533"/>
    </row>
    <row r="5534" spans="2:2">
      <c r="B5534"/>
    </row>
    <row r="5535" spans="2:2">
      <c r="B5535"/>
    </row>
    <row r="5536" spans="2:2">
      <c r="B5536"/>
    </row>
    <row r="5537" spans="2:2">
      <c r="B5537"/>
    </row>
    <row r="5538" spans="2:2">
      <c r="B5538"/>
    </row>
    <row r="5539" spans="2:2">
      <c r="B5539"/>
    </row>
    <row r="5540" spans="2:2">
      <c r="B5540"/>
    </row>
    <row r="5541" spans="2:2">
      <c r="B5541"/>
    </row>
    <row r="5542" spans="2:2">
      <c r="B5542"/>
    </row>
    <row r="5543" spans="2:2">
      <c r="B5543"/>
    </row>
    <row r="5544" spans="2:2">
      <c r="B5544"/>
    </row>
    <row r="5545" spans="2:2">
      <c r="B5545"/>
    </row>
    <row r="5546" spans="2:2">
      <c r="B5546"/>
    </row>
    <row r="5547" spans="2:2">
      <c r="B5547"/>
    </row>
    <row r="5548" spans="2:2">
      <c r="B5548"/>
    </row>
    <row r="5549" spans="2:2">
      <c r="B5549"/>
    </row>
    <row r="5550" spans="2:2">
      <c r="B5550"/>
    </row>
    <row r="5551" spans="2:2">
      <c r="B5551"/>
    </row>
    <row r="5552" spans="2:2">
      <c r="B5552"/>
    </row>
    <row r="5553" spans="2:2">
      <c r="B5553"/>
    </row>
    <row r="5554" spans="2:2">
      <c r="B5554"/>
    </row>
    <row r="5555" spans="2:2">
      <c r="B5555"/>
    </row>
    <row r="5556" spans="2:2">
      <c r="B5556"/>
    </row>
    <row r="5557" spans="2:2">
      <c r="B5557"/>
    </row>
    <row r="5558" spans="2:2">
      <c r="B5558"/>
    </row>
    <row r="5559" spans="2:2">
      <c r="B5559"/>
    </row>
    <row r="5560" spans="2:2">
      <c r="B5560"/>
    </row>
    <row r="5561" spans="2:2">
      <c r="B5561"/>
    </row>
    <row r="5562" spans="2:2">
      <c r="B5562"/>
    </row>
    <row r="5563" spans="2:2">
      <c r="B5563"/>
    </row>
    <row r="5564" spans="2:2">
      <c r="B5564"/>
    </row>
    <row r="5565" spans="2:2">
      <c r="B5565"/>
    </row>
    <row r="5566" spans="2:2">
      <c r="B5566"/>
    </row>
    <row r="5567" spans="2:2">
      <c r="B5567"/>
    </row>
    <row r="5568" spans="2:2">
      <c r="B5568"/>
    </row>
    <row r="5569" spans="2:2">
      <c r="B5569"/>
    </row>
    <row r="5570" spans="2:2">
      <c r="B5570"/>
    </row>
    <row r="5571" spans="2:2">
      <c r="B5571"/>
    </row>
    <row r="5572" spans="2:2">
      <c r="B5572"/>
    </row>
    <row r="5573" spans="2:2">
      <c r="B5573"/>
    </row>
    <row r="5574" spans="2:2">
      <c r="B5574"/>
    </row>
    <row r="5575" spans="2:2">
      <c r="B5575"/>
    </row>
    <row r="5576" spans="2:2">
      <c r="B5576"/>
    </row>
    <row r="5577" spans="2:2">
      <c r="B5577"/>
    </row>
    <row r="5578" spans="2:2">
      <c r="B5578"/>
    </row>
    <row r="5579" spans="2:2">
      <c r="B5579"/>
    </row>
    <row r="5580" spans="2:2">
      <c r="B5580"/>
    </row>
    <row r="5581" spans="2:2">
      <c r="B5581"/>
    </row>
    <row r="5582" spans="2:2">
      <c r="B5582"/>
    </row>
    <row r="5583" spans="2:2">
      <c r="B5583"/>
    </row>
    <row r="5584" spans="2:2">
      <c r="B5584"/>
    </row>
    <row r="5585" spans="2:2">
      <c r="B5585"/>
    </row>
    <row r="5586" spans="2:2">
      <c r="B5586"/>
    </row>
    <row r="5587" spans="2:2">
      <c r="B5587"/>
    </row>
    <row r="5588" spans="2:2">
      <c r="B5588"/>
    </row>
    <row r="5589" spans="2:2">
      <c r="B5589"/>
    </row>
    <row r="5590" spans="2:2">
      <c r="B5590"/>
    </row>
    <row r="5591" spans="2:2">
      <c r="B5591"/>
    </row>
    <row r="5592" spans="2:2">
      <c r="B5592"/>
    </row>
    <row r="5593" spans="2:2">
      <c r="B5593"/>
    </row>
    <row r="5594" spans="2:2">
      <c r="B5594"/>
    </row>
    <row r="5595" spans="2:2">
      <c r="B5595"/>
    </row>
    <row r="5596" spans="2:2">
      <c r="B5596"/>
    </row>
    <row r="5597" spans="2:2">
      <c r="B5597"/>
    </row>
    <row r="5598" spans="2:2">
      <c r="B5598"/>
    </row>
    <row r="5599" spans="2:2">
      <c r="B5599"/>
    </row>
    <row r="5600" spans="2:2">
      <c r="B5600"/>
    </row>
    <row r="5601" spans="2:2">
      <c r="B5601"/>
    </row>
    <row r="5602" spans="2:2">
      <c r="B5602"/>
    </row>
    <row r="5603" spans="2:2">
      <c r="B5603"/>
    </row>
    <row r="5604" spans="2:2">
      <c r="B5604"/>
    </row>
    <row r="5605" spans="2:2">
      <c r="B5605"/>
    </row>
    <row r="5606" spans="2:2">
      <c r="B5606"/>
    </row>
    <row r="5607" spans="2:2">
      <c r="B5607"/>
    </row>
    <row r="5608" spans="2:2">
      <c r="B5608"/>
    </row>
    <row r="5609" spans="2:2">
      <c r="B5609"/>
    </row>
    <row r="5610" spans="2:2">
      <c r="B5610"/>
    </row>
    <row r="5611" spans="2:2">
      <c r="B5611"/>
    </row>
    <row r="5612" spans="2:2">
      <c r="B5612"/>
    </row>
    <row r="5613" spans="2:2">
      <c r="B5613"/>
    </row>
    <row r="5614" spans="2:2">
      <c r="B5614"/>
    </row>
    <row r="5615" spans="2:2">
      <c r="B5615"/>
    </row>
    <row r="5616" spans="2:2">
      <c r="B5616"/>
    </row>
    <row r="5617" spans="2:2">
      <c r="B5617"/>
    </row>
    <row r="5618" spans="2:2">
      <c r="B5618"/>
    </row>
    <row r="5619" spans="2:2">
      <c r="B5619"/>
    </row>
    <row r="5620" spans="2:2">
      <c r="B5620"/>
    </row>
    <row r="5621" spans="2:2">
      <c r="B5621"/>
    </row>
    <row r="5622" spans="2:2">
      <c r="B5622"/>
    </row>
    <row r="5623" spans="2:2">
      <c r="B5623"/>
    </row>
    <row r="5624" spans="2:2">
      <c r="B5624"/>
    </row>
    <row r="5625" spans="2:2">
      <c r="B5625"/>
    </row>
    <row r="5626" spans="2:2">
      <c r="B5626"/>
    </row>
    <row r="5627" spans="2:2">
      <c r="B5627"/>
    </row>
    <row r="5628" spans="2:2">
      <c r="B5628"/>
    </row>
    <row r="5629" spans="2:2">
      <c r="B5629"/>
    </row>
    <row r="5630" spans="2:2">
      <c r="B5630"/>
    </row>
    <row r="5631" spans="2:2">
      <c r="B5631"/>
    </row>
    <row r="5632" spans="2:2">
      <c r="B5632"/>
    </row>
    <row r="5633" spans="2:2">
      <c r="B5633"/>
    </row>
    <row r="5634" spans="2:2">
      <c r="B5634"/>
    </row>
    <row r="5635" spans="2:2">
      <c r="B5635"/>
    </row>
    <row r="5636" spans="2:2">
      <c r="B5636"/>
    </row>
    <row r="5637" spans="2:2">
      <c r="B5637"/>
    </row>
    <row r="5638" spans="2:2">
      <c r="B5638"/>
    </row>
    <row r="5639" spans="2:2">
      <c r="B5639"/>
    </row>
    <row r="5640" spans="2:2">
      <c r="B5640"/>
    </row>
    <row r="5641" spans="2:2">
      <c r="B5641"/>
    </row>
    <row r="5642" spans="2:2">
      <c r="B5642"/>
    </row>
    <row r="5643" spans="2:2">
      <c r="B5643"/>
    </row>
    <row r="5644" spans="2:2">
      <c r="B5644"/>
    </row>
    <row r="5645" spans="2:2">
      <c r="B5645"/>
    </row>
    <row r="5646" spans="2:2">
      <c r="B5646"/>
    </row>
    <row r="5647" spans="2:2">
      <c r="B5647"/>
    </row>
    <row r="5648" spans="2:2">
      <c r="B5648"/>
    </row>
    <row r="5649" spans="2:2">
      <c r="B5649"/>
    </row>
    <row r="5650" spans="2:2">
      <c r="B5650"/>
    </row>
    <row r="5651" spans="2:2">
      <c r="B5651"/>
    </row>
    <row r="5652" spans="2:2">
      <c r="B5652"/>
    </row>
    <row r="5653" spans="2:2">
      <c r="B5653"/>
    </row>
    <row r="5654" spans="2:2">
      <c r="B5654"/>
    </row>
    <row r="5655" spans="2:2">
      <c r="B5655"/>
    </row>
    <row r="5656" spans="2:2">
      <c r="B5656"/>
    </row>
    <row r="5657" spans="2:2">
      <c r="B5657"/>
    </row>
    <row r="5658" spans="2:2">
      <c r="B5658"/>
    </row>
    <row r="5659" spans="2:2">
      <c r="B5659"/>
    </row>
    <row r="5660" spans="2:2">
      <c r="B5660"/>
    </row>
    <row r="5661" spans="2:2">
      <c r="B5661"/>
    </row>
    <row r="5662" spans="2:2">
      <c r="B5662"/>
    </row>
    <row r="5663" spans="2:2">
      <c r="B5663"/>
    </row>
    <row r="5664" spans="2:2">
      <c r="B5664"/>
    </row>
    <row r="5665" spans="2:2">
      <c r="B5665"/>
    </row>
    <row r="5666" spans="2:2">
      <c r="B5666"/>
    </row>
    <row r="5667" spans="2:2">
      <c r="B5667"/>
    </row>
    <row r="5668" spans="2:2">
      <c r="B5668"/>
    </row>
    <row r="5669" spans="2:2">
      <c r="B5669"/>
    </row>
    <row r="5670" spans="2:2">
      <c r="B5670"/>
    </row>
    <row r="5671" spans="2:2">
      <c r="B5671"/>
    </row>
    <row r="5672" spans="2:2">
      <c r="B5672"/>
    </row>
    <row r="5673" spans="2:2">
      <c r="B5673"/>
    </row>
    <row r="5674" spans="2:2">
      <c r="B5674"/>
    </row>
    <row r="5675" spans="2:2">
      <c r="B5675"/>
    </row>
    <row r="5676" spans="2:2">
      <c r="B5676"/>
    </row>
    <row r="5677" spans="2:2">
      <c r="B5677"/>
    </row>
    <row r="5678" spans="2:2">
      <c r="B5678"/>
    </row>
    <row r="5679" spans="2:2">
      <c r="B5679"/>
    </row>
    <row r="5680" spans="2:2">
      <c r="B5680"/>
    </row>
    <row r="5681" spans="2:2">
      <c r="B5681"/>
    </row>
    <row r="5682" spans="2:2">
      <c r="B5682"/>
    </row>
    <row r="5683" spans="2:2">
      <c r="B5683"/>
    </row>
    <row r="5684" spans="2:2">
      <c r="B5684"/>
    </row>
    <row r="5685" spans="2:2">
      <c r="B5685"/>
    </row>
    <row r="5686" spans="2:2">
      <c r="B5686"/>
    </row>
    <row r="5687" spans="2:2">
      <c r="B5687"/>
    </row>
    <row r="5688" spans="2:2">
      <c r="B5688"/>
    </row>
    <row r="5689" spans="2:2">
      <c r="B5689"/>
    </row>
    <row r="5690" spans="2:2">
      <c r="B5690"/>
    </row>
    <row r="5691" spans="2:2">
      <c r="B5691"/>
    </row>
    <row r="5692" spans="2:2">
      <c r="B5692"/>
    </row>
    <row r="5693" spans="2:2">
      <c r="B5693"/>
    </row>
    <row r="5694" spans="2:2">
      <c r="B5694"/>
    </row>
    <row r="5695" spans="2:2">
      <c r="B5695"/>
    </row>
    <row r="5696" spans="2:2">
      <c r="B5696"/>
    </row>
    <row r="5697" spans="2:2">
      <c r="B5697"/>
    </row>
    <row r="5698" spans="2:2">
      <c r="B5698"/>
    </row>
    <row r="5699" spans="2:2">
      <c r="B5699"/>
    </row>
    <row r="5700" spans="2:2">
      <c r="B5700"/>
    </row>
    <row r="5701" spans="2:2">
      <c r="B5701"/>
    </row>
    <row r="5702" spans="2:2">
      <c r="B5702"/>
    </row>
    <row r="5703" spans="2:2">
      <c r="B5703"/>
    </row>
    <row r="5704" spans="2:2">
      <c r="B5704"/>
    </row>
    <row r="5705" spans="2:2">
      <c r="B5705"/>
    </row>
    <row r="5706" spans="2:2">
      <c r="B5706"/>
    </row>
    <row r="5707" spans="2:2">
      <c r="B5707"/>
    </row>
    <row r="5708" spans="2:2">
      <c r="B5708"/>
    </row>
    <row r="5709" spans="2:2">
      <c r="B5709"/>
    </row>
    <row r="5710" spans="2:2">
      <c r="B5710"/>
    </row>
    <row r="5711" spans="2:2">
      <c r="B5711"/>
    </row>
    <row r="5712" spans="2:2">
      <c r="B5712"/>
    </row>
    <row r="5713" spans="2:2">
      <c r="B5713"/>
    </row>
    <row r="5714" spans="2:2">
      <c r="B5714"/>
    </row>
    <row r="5715" spans="2:2">
      <c r="B5715"/>
    </row>
    <row r="5716" spans="2:2">
      <c r="B5716"/>
    </row>
    <row r="5717" spans="2:2">
      <c r="B5717"/>
    </row>
    <row r="5718" spans="2:2">
      <c r="B5718"/>
    </row>
    <row r="5719" spans="2:2">
      <c r="B5719"/>
    </row>
    <row r="5720" spans="2:2">
      <c r="B5720"/>
    </row>
    <row r="5721" spans="2:2">
      <c r="B5721"/>
    </row>
    <row r="5722" spans="2:2">
      <c r="B5722"/>
    </row>
    <row r="5723" spans="2:2">
      <c r="B5723"/>
    </row>
    <row r="5724" spans="2:2">
      <c r="B5724"/>
    </row>
    <row r="5725" spans="2:2">
      <c r="B5725"/>
    </row>
    <row r="5726" spans="2:2">
      <c r="B5726"/>
    </row>
    <row r="5727" spans="2:2">
      <c r="B5727"/>
    </row>
    <row r="5728" spans="2:2">
      <c r="B5728"/>
    </row>
    <row r="5729" spans="2:2">
      <c r="B5729"/>
    </row>
    <row r="5730" spans="2:2">
      <c r="B5730"/>
    </row>
    <row r="5731" spans="2:2">
      <c r="B5731"/>
    </row>
    <row r="5732" spans="2:2">
      <c r="B5732"/>
    </row>
    <row r="5733" spans="2:2">
      <c r="B5733"/>
    </row>
    <row r="5734" spans="2:2">
      <c r="B5734"/>
    </row>
    <row r="5735" spans="2:2">
      <c r="B5735"/>
    </row>
    <row r="5736" spans="2:2">
      <c r="B5736"/>
    </row>
    <row r="5737" spans="2:2">
      <c r="B5737"/>
    </row>
    <row r="5738" spans="2:2">
      <c r="B5738"/>
    </row>
    <row r="5739" spans="2:2">
      <c r="B5739"/>
    </row>
    <row r="5740" spans="2:2">
      <c r="B5740"/>
    </row>
    <row r="5741" spans="2:2">
      <c r="B5741"/>
    </row>
    <row r="5742" spans="2:2">
      <c r="B5742"/>
    </row>
    <row r="5743" spans="2:2">
      <c r="B5743"/>
    </row>
    <row r="5744" spans="2:2">
      <c r="B5744"/>
    </row>
    <row r="5745" spans="2:2">
      <c r="B5745"/>
    </row>
    <row r="5746" spans="2:2">
      <c r="B5746"/>
    </row>
    <row r="5747" spans="2:2">
      <c r="B5747"/>
    </row>
    <row r="5748" spans="2:2">
      <c r="B5748"/>
    </row>
    <row r="5749" spans="2:2">
      <c r="B5749"/>
    </row>
    <row r="5750" spans="2:2">
      <c r="B5750"/>
    </row>
    <row r="5751" spans="2:2">
      <c r="B5751"/>
    </row>
    <row r="5752" spans="2:2">
      <c r="B5752"/>
    </row>
    <row r="5753" spans="2:2">
      <c r="B5753"/>
    </row>
    <row r="5754" spans="2:2">
      <c r="B5754"/>
    </row>
    <row r="5755" spans="2:2">
      <c r="B5755"/>
    </row>
    <row r="5756" spans="2:2">
      <c r="B5756"/>
    </row>
    <row r="5757" spans="2:2">
      <c r="B5757"/>
    </row>
    <row r="5758" spans="2:2">
      <c r="B5758"/>
    </row>
    <row r="5759" spans="2:2">
      <c r="B5759"/>
    </row>
    <row r="5760" spans="2:2">
      <c r="B5760"/>
    </row>
    <row r="5761" spans="2:2">
      <c r="B5761"/>
    </row>
    <row r="5762" spans="2:2">
      <c r="B5762"/>
    </row>
    <row r="5763" spans="2:2">
      <c r="B5763"/>
    </row>
    <row r="5764" spans="2:2">
      <c r="B5764"/>
    </row>
    <row r="5765" spans="2:2">
      <c r="B5765"/>
    </row>
    <row r="5766" spans="2:2">
      <c r="B5766"/>
    </row>
    <row r="5767" spans="2:2">
      <c r="B5767"/>
    </row>
    <row r="5768" spans="2:2">
      <c r="B5768"/>
    </row>
    <row r="5769" spans="2:2">
      <c r="B5769"/>
    </row>
    <row r="5770" spans="2:2">
      <c r="B5770"/>
    </row>
    <row r="5771" spans="2:2">
      <c r="B5771"/>
    </row>
    <row r="5772" spans="2:2">
      <c r="B5772"/>
    </row>
    <row r="5773" spans="2:2">
      <c r="B5773"/>
    </row>
    <row r="5774" spans="2:2">
      <c r="B5774"/>
    </row>
    <row r="5775" spans="2:2">
      <c r="B5775"/>
    </row>
    <row r="5776" spans="2:2">
      <c r="B5776"/>
    </row>
    <row r="5777" spans="2:2">
      <c r="B5777"/>
    </row>
    <row r="5778" spans="2:2">
      <c r="B5778"/>
    </row>
    <row r="5779" spans="2:2">
      <c r="B5779"/>
    </row>
    <row r="5780" spans="2:2">
      <c r="B5780"/>
    </row>
    <row r="5781" spans="2:2">
      <c r="B5781"/>
    </row>
    <row r="5782" spans="2:2">
      <c r="B5782"/>
    </row>
    <row r="5783" spans="2:2">
      <c r="B5783"/>
    </row>
    <row r="5784" spans="2:2">
      <c r="B5784"/>
    </row>
    <row r="5785" spans="2:2">
      <c r="B5785"/>
    </row>
    <row r="5786" spans="2:2">
      <c r="B5786"/>
    </row>
    <row r="5787" spans="2:2">
      <c r="B5787"/>
    </row>
    <row r="5788" spans="2:2">
      <c r="B5788"/>
    </row>
    <row r="5789" spans="2:2">
      <c r="B5789"/>
    </row>
    <row r="5790" spans="2:2">
      <c r="B5790"/>
    </row>
    <row r="5791" spans="2:2">
      <c r="B5791"/>
    </row>
    <row r="5792" spans="2:2">
      <c r="B5792"/>
    </row>
    <row r="5793" spans="2:2">
      <c r="B5793"/>
    </row>
    <row r="5794" spans="2:2">
      <c r="B5794"/>
    </row>
    <row r="5795" spans="2:2">
      <c r="B5795"/>
    </row>
    <row r="5796" spans="2:2">
      <c r="B5796"/>
    </row>
    <row r="5797" spans="2:2">
      <c r="B5797"/>
    </row>
    <row r="5798" spans="2:2">
      <c r="B5798"/>
    </row>
    <row r="5799" spans="2:2">
      <c r="B5799"/>
    </row>
    <row r="5800" spans="2:2">
      <c r="B5800"/>
    </row>
    <row r="5801" spans="2:2">
      <c r="B5801"/>
    </row>
    <row r="5802" spans="2:2">
      <c r="B5802"/>
    </row>
    <row r="5803" spans="2:2">
      <c r="B5803"/>
    </row>
    <row r="5804" spans="2:2">
      <c r="B5804"/>
    </row>
    <row r="5805" spans="2:2">
      <c r="B5805"/>
    </row>
    <row r="5806" spans="2:2">
      <c r="B5806"/>
    </row>
    <row r="5807" spans="2:2">
      <c r="B5807"/>
    </row>
    <row r="5808" spans="2:2">
      <c r="B5808"/>
    </row>
    <row r="5809" spans="2:2">
      <c r="B5809"/>
    </row>
    <row r="5810" spans="2:2">
      <c r="B5810"/>
    </row>
    <row r="5811" spans="2:2">
      <c r="B5811"/>
    </row>
    <row r="5812" spans="2:2">
      <c r="B5812"/>
    </row>
    <row r="5813" spans="2:2">
      <c r="B5813"/>
    </row>
    <row r="5814" spans="2:2">
      <c r="B5814"/>
    </row>
    <row r="5815" spans="2:2">
      <c r="B5815"/>
    </row>
    <row r="5816" spans="2:2">
      <c r="B5816"/>
    </row>
    <row r="5817" spans="2:2">
      <c r="B5817"/>
    </row>
    <row r="5818" spans="2:2">
      <c r="B5818"/>
    </row>
    <row r="5819" spans="2:2">
      <c r="B5819"/>
    </row>
    <row r="5820" spans="2:2">
      <c r="B5820"/>
    </row>
    <row r="5821" spans="2:2">
      <c r="B5821"/>
    </row>
    <row r="5822" spans="2:2">
      <c r="B5822"/>
    </row>
    <row r="5823" spans="2:2">
      <c r="B5823"/>
    </row>
    <row r="5824" spans="2:2">
      <c r="B5824"/>
    </row>
    <row r="5825" spans="2:2">
      <c r="B5825"/>
    </row>
    <row r="5826" spans="2:2">
      <c r="B5826"/>
    </row>
    <row r="5827" spans="2:2">
      <c r="B5827"/>
    </row>
    <row r="5828" spans="2:2">
      <c r="B5828"/>
    </row>
    <row r="5829" spans="2:2">
      <c r="B5829"/>
    </row>
    <row r="5830" spans="2:2">
      <c r="B5830"/>
    </row>
    <row r="5831" spans="2:2">
      <c r="B5831"/>
    </row>
    <row r="5832" spans="2:2">
      <c r="B5832"/>
    </row>
    <row r="5833" spans="2:2">
      <c r="B5833"/>
    </row>
    <row r="5834" spans="2:2">
      <c r="B5834"/>
    </row>
    <row r="5835" spans="2:2">
      <c r="B5835"/>
    </row>
    <row r="5836" spans="2:2">
      <c r="B5836"/>
    </row>
    <row r="5837" spans="2:2">
      <c r="B5837"/>
    </row>
    <row r="5838" spans="2:2">
      <c r="B5838"/>
    </row>
    <row r="5839" spans="2:2">
      <c r="B5839"/>
    </row>
    <row r="5840" spans="2:2">
      <c r="B5840"/>
    </row>
    <row r="5841" spans="2:2">
      <c r="B5841"/>
    </row>
    <row r="5842" spans="2:2">
      <c r="B5842"/>
    </row>
    <row r="5843" spans="2:2">
      <c r="B5843"/>
    </row>
    <row r="5844" spans="2:2">
      <c r="B5844"/>
    </row>
    <row r="5845" spans="2:2">
      <c r="B5845"/>
    </row>
    <row r="5846" spans="2:2">
      <c r="B5846"/>
    </row>
    <row r="5847" spans="2:2">
      <c r="B5847"/>
    </row>
    <row r="5848" spans="2:2">
      <c r="B5848"/>
    </row>
    <row r="5849" spans="2:2">
      <c r="B5849"/>
    </row>
    <row r="5850" spans="2:2">
      <c r="B5850"/>
    </row>
    <row r="5851" spans="2:2">
      <c r="B5851"/>
    </row>
    <row r="5852" spans="2:2">
      <c r="B5852"/>
    </row>
    <row r="5853" spans="2:2">
      <c r="B5853"/>
    </row>
    <row r="5854" spans="2:2">
      <c r="B5854"/>
    </row>
    <row r="5855" spans="2:2">
      <c r="B5855"/>
    </row>
    <row r="5856" spans="2:2">
      <c r="B5856"/>
    </row>
    <row r="5857" spans="2:2">
      <c r="B5857"/>
    </row>
    <row r="5858" spans="2:2">
      <c r="B5858"/>
    </row>
    <row r="5859" spans="2:2">
      <c r="B5859"/>
    </row>
    <row r="5860" spans="2:2">
      <c r="B5860"/>
    </row>
    <row r="5861" spans="2:2">
      <c r="B5861"/>
    </row>
    <row r="5862" spans="2:2">
      <c r="B5862"/>
    </row>
    <row r="5863" spans="2:2">
      <c r="B5863"/>
    </row>
    <row r="5864" spans="2:2">
      <c r="B5864"/>
    </row>
    <row r="5865" spans="2:2">
      <c r="B5865"/>
    </row>
    <row r="5866" spans="2:2">
      <c r="B5866"/>
    </row>
    <row r="5867" spans="2:2">
      <c r="B5867"/>
    </row>
    <row r="5868" spans="2:2">
      <c r="B5868"/>
    </row>
    <row r="5869" spans="2:2">
      <c r="B5869"/>
    </row>
    <row r="5870" spans="2:2">
      <c r="B5870"/>
    </row>
    <row r="5871" spans="2:2">
      <c r="B5871"/>
    </row>
    <row r="5872" spans="2:2">
      <c r="B5872"/>
    </row>
    <row r="5873" spans="2:2">
      <c r="B5873"/>
    </row>
    <row r="5874" spans="2:2">
      <c r="B5874"/>
    </row>
    <row r="5875" spans="2:2">
      <c r="B5875"/>
    </row>
    <row r="5876" spans="2:2">
      <c r="B5876"/>
    </row>
    <row r="5877" spans="2:2">
      <c r="B5877"/>
    </row>
    <row r="5878" spans="2:2">
      <c r="B5878"/>
    </row>
    <row r="5879" spans="2:2">
      <c r="B5879"/>
    </row>
    <row r="5880" spans="2:2">
      <c r="B5880"/>
    </row>
    <row r="5881" spans="2:2">
      <c r="B5881"/>
    </row>
    <row r="5882" spans="2:2">
      <c r="B5882"/>
    </row>
    <row r="5883" spans="2:2">
      <c r="B5883"/>
    </row>
    <row r="5884" spans="2:2">
      <c r="B5884"/>
    </row>
    <row r="5885" spans="2:2">
      <c r="B5885"/>
    </row>
    <row r="5886" spans="2:2">
      <c r="B5886"/>
    </row>
    <row r="5887" spans="2:2">
      <c r="B5887"/>
    </row>
    <row r="5888" spans="2:2">
      <c r="B5888"/>
    </row>
    <row r="5889" spans="2:2">
      <c r="B5889"/>
    </row>
    <row r="5890" spans="2:2">
      <c r="B5890"/>
    </row>
    <row r="5891" spans="2:2">
      <c r="B5891"/>
    </row>
    <row r="5892" spans="2:2">
      <c r="B5892"/>
    </row>
    <row r="5893" spans="2:2">
      <c r="B5893"/>
    </row>
    <row r="5894" spans="2:2">
      <c r="B5894"/>
    </row>
    <row r="5895" spans="2:2">
      <c r="B5895"/>
    </row>
    <row r="5896" spans="2:2">
      <c r="B5896"/>
    </row>
    <row r="5897" spans="2:2">
      <c r="B5897"/>
    </row>
    <row r="5898" spans="2:2">
      <c r="B5898"/>
    </row>
    <row r="5899" spans="2:2">
      <c r="B5899"/>
    </row>
    <row r="5900" spans="2:2">
      <c r="B5900"/>
    </row>
    <row r="5901" spans="2:2">
      <c r="B5901"/>
    </row>
    <row r="5902" spans="2:2">
      <c r="B5902"/>
    </row>
    <row r="5903" spans="2:2">
      <c r="B5903"/>
    </row>
    <row r="5904" spans="2:2">
      <c r="B5904"/>
    </row>
    <row r="5905" spans="2:2">
      <c r="B5905"/>
    </row>
    <row r="5906" spans="2:2">
      <c r="B5906"/>
    </row>
    <row r="5907" spans="2:2">
      <c r="B5907"/>
    </row>
    <row r="5908" spans="2:2">
      <c r="B5908"/>
    </row>
    <row r="5909" spans="2:2">
      <c r="B5909"/>
    </row>
    <row r="5910" spans="2:2">
      <c r="B5910"/>
    </row>
    <row r="5911" spans="2:2">
      <c r="B5911"/>
    </row>
    <row r="5912" spans="2:2">
      <c r="B5912"/>
    </row>
    <row r="5913" spans="2:2">
      <c r="B5913"/>
    </row>
    <row r="5914" spans="2:2">
      <c r="B5914"/>
    </row>
    <row r="5915" spans="2:2">
      <c r="B5915"/>
    </row>
    <row r="5916" spans="2:2">
      <c r="B5916"/>
    </row>
    <row r="5917" spans="2:2">
      <c r="B5917"/>
    </row>
    <row r="5918" spans="2:2">
      <c r="B5918"/>
    </row>
    <row r="5919" spans="2:2">
      <c r="B5919"/>
    </row>
    <row r="5920" spans="2:2">
      <c r="B5920"/>
    </row>
    <row r="5921" spans="2:2">
      <c r="B5921"/>
    </row>
    <row r="5922" spans="2:2">
      <c r="B5922"/>
    </row>
    <row r="5923" spans="2:2">
      <c r="B5923"/>
    </row>
    <row r="5924" spans="2:2">
      <c r="B5924"/>
    </row>
    <row r="5925" spans="2:2">
      <c r="B5925"/>
    </row>
    <row r="5926" spans="2:2">
      <c r="B5926"/>
    </row>
    <row r="5927" spans="2:2">
      <c r="B5927"/>
    </row>
    <row r="5928" spans="2:2">
      <c r="B5928"/>
    </row>
    <row r="5929" spans="2:2">
      <c r="B5929"/>
    </row>
    <row r="5930" spans="2:2">
      <c r="B5930"/>
    </row>
    <row r="5931" spans="2:2">
      <c r="B5931"/>
    </row>
    <row r="5932" spans="2:2">
      <c r="B5932"/>
    </row>
    <row r="5933" spans="2:2">
      <c r="B5933"/>
    </row>
    <row r="5934" spans="2:2">
      <c r="B5934"/>
    </row>
    <row r="5935" spans="2:2">
      <c r="B5935"/>
    </row>
    <row r="5936" spans="2:2">
      <c r="B5936"/>
    </row>
    <row r="5937" spans="2:2">
      <c r="B5937"/>
    </row>
    <row r="5938" spans="2:2">
      <c r="B5938"/>
    </row>
    <row r="5939" spans="2:2">
      <c r="B5939"/>
    </row>
    <row r="5940" spans="2:2">
      <c r="B5940"/>
    </row>
    <row r="5941" spans="2:2">
      <c r="B5941"/>
    </row>
    <row r="5942" spans="2:2">
      <c r="B5942"/>
    </row>
    <row r="5943" spans="2:2">
      <c r="B5943"/>
    </row>
    <row r="5944" spans="2:2">
      <c r="B5944"/>
    </row>
    <row r="5945" spans="2:2">
      <c r="B5945"/>
    </row>
    <row r="5946" spans="2:2">
      <c r="B5946"/>
    </row>
    <row r="5947" spans="2:2">
      <c r="B5947"/>
    </row>
    <row r="5948" spans="2:2">
      <c r="B5948"/>
    </row>
    <row r="5949" spans="2:2">
      <c r="B5949"/>
    </row>
    <row r="5950" spans="2:2">
      <c r="B5950"/>
    </row>
    <row r="5951" spans="2:2">
      <c r="B5951"/>
    </row>
    <row r="5952" spans="2:2">
      <c r="B5952"/>
    </row>
    <row r="5953" spans="2:2">
      <c r="B5953"/>
    </row>
    <row r="5954" spans="2:2">
      <c r="B5954"/>
    </row>
    <row r="5955" spans="2:2">
      <c r="B5955"/>
    </row>
    <row r="5956" spans="2:2">
      <c r="B5956"/>
    </row>
    <row r="5957" spans="2:2">
      <c r="B5957"/>
    </row>
    <row r="5958" spans="2:2">
      <c r="B5958"/>
    </row>
    <row r="5959" spans="2:2">
      <c r="B5959"/>
    </row>
    <row r="5960" spans="2:2">
      <c r="B5960"/>
    </row>
    <row r="5961" spans="2:2">
      <c r="B5961"/>
    </row>
    <row r="5962" spans="2:2">
      <c r="B5962"/>
    </row>
    <row r="5963" spans="2:2">
      <c r="B5963"/>
    </row>
    <row r="5964" spans="2:2">
      <c r="B5964"/>
    </row>
    <row r="5965" spans="2:2">
      <c r="B5965"/>
    </row>
    <row r="5966" spans="2:2">
      <c r="B5966"/>
    </row>
    <row r="5967" spans="2:2">
      <c r="B5967"/>
    </row>
    <row r="5968" spans="2:2">
      <c r="B5968"/>
    </row>
    <row r="5969" spans="2:2">
      <c r="B5969"/>
    </row>
    <row r="5970" spans="2:2">
      <c r="B5970"/>
    </row>
    <row r="5971" spans="2:2">
      <c r="B5971"/>
    </row>
    <row r="5972" spans="2:2">
      <c r="B5972"/>
    </row>
    <row r="5973" spans="2:2">
      <c r="B5973"/>
    </row>
    <row r="5974" spans="2:2">
      <c r="B5974"/>
    </row>
    <row r="5975" spans="2:2">
      <c r="B5975"/>
    </row>
    <row r="5976" spans="2:2">
      <c r="B5976"/>
    </row>
    <row r="5977" spans="2:2">
      <c r="B5977"/>
    </row>
    <row r="5978" spans="2:2">
      <c r="B5978"/>
    </row>
    <row r="5979" spans="2:2">
      <c r="B5979"/>
    </row>
    <row r="5980" spans="2:2">
      <c r="B5980"/>
    </row>
    <row r="5981" spans="2:2">
      <c r="B5981"/>
    </row>
    <row r="5982" spans="2:2">
      <c r="B5982"/>
    </row>
    <row r="5983" spans="2:2">
      <c r="B5983"/>
    </row>
    <row r="5984" spans="2:2">
      <c r="B5984"/>
    </row>
    <row r="5985" spans="2:2">
      <c r="B5985"/>
    </row>
    <row r="5986" spans="2:2">
      <c r="B5986"/>
    </row>
    <row r="5987" spans="2:2">
      <c r="B5987"/>
    </row>
    <row r="5988" spans="2:2">
      <c r="B5988"/>
    </row>
    <row r="5989" spans="2:2">
      <c r="B5989"/>
    </row>
    <row r="5990" spans="2:2">
      <c r="B5990"/>
    </row>
    <row r="5991" spans="2:2">
      <c r="B5991"/>
    </row>
    <row r="5992" spans="2:2">
      <c r="B5992"/>
    </row>
    <row r="5993" spans="2:2">
      <c r="B5993"/>
    </row>
    <row r="5994" spans="2:2">
      <c r="B5994"/>
    </row>
    <row r="5995" spans="2:2">
      <c r="B5995"/>
    </row>
    <row r="5996" spans="2:2">
      <c r="B5996"/>
    </row>
    <row r="5997" spans="2:2">
      <c r="B5997"/>
    </row>
    <row r="5998" spans="2:2">
      <c r="B5998"/>
    </row>
    <row r="5999" spans="2:2">
      <c r="B5999"/>
    </row>
    <row r="6000" spans="2:2">
      <c r="B6000"/>
    </row>
    <row r="6001" spans="2:2">
      <c r="B6001"/>
    </row>
    <row r="6002" spans="2:2">
      <c r="B6002"/>
    </row>
    <row r="6003" spans="2:2">
      <c r="B6003"/>
    </row>
    <row r="6004" spans="2:2">
      <c r="B6004"/>
    </row>
    <row r="6005" spans="2:2">
      <c r="B6005"/>
    </row>
    <row r="6006" spans="2:2">
      <c r="B6006"/>
    </row>
    <row r="6007" spans="2:2">
      <c r="B6007"/>
    </row>
    <row r="6008" spans="2:2">
      <c r="B6008"/>
    </row>
    <row r="6009" spans="2:2">
      <c r="B6009"/>
    </row>
    <row r="6010" spans="2:2">
      <c r="B6010"/>
    </row>
    <row r="6011" spans="2:2">
      <c r="B6011"/>
    </row>
    <row r="6012" spans="2:2">
      <c r="B6012"/>
    </row>
    <row r="6013" spans="2:2">
      <c r="B6013"/>
    </row>
    <row r="6014" spans="2:2">
      <c r="B6014"/>
    </row>
    <row r="6015" spans="2:2">
      <c r="B6015"/>
    </row>
    <row r="6016" spans="2:2">
      <c r="B6016"/>
    </row>
    <row r="6017" spans="2:2">
      <c r="B6017"/>
    </row>
    <row r="6018" spans="2:2">
      <c r="B6018"/>
    </row>
    <row r="6019" spans="2:2">
      <c r="B6019"/>
    </row>
    <row r="6020" spans="2:2">
      <c r="B6020"/>
    </row>
    <row r="6021" spans="2:2">
      <c r="B6021"/>
    </row>
    <row r="6022" spans="2:2">
      <c r="B6022"/>
    </row>
    <row r="6023" spans="2:2">
      <c r="B6023"/>
    </row>
    <row r="6024" spans="2:2">
      <c r="B6024"/>
    </row>
    <row r="6025" spans="2:2">
      <c r="B6025"/>
    </row>
    <row r="6026" spans="2:2">
      <c r="B6026"/>
    </row>
    <row r="6027" spans="2:2">
      <c r="B6027"/>
    </row>
    <row r="6028" spans="2:2">
      <c r="B6028"/>
    </row>
    <row r="6029" spans="2:2">
      <c r="B6029"/>
    </row>
    <row r="6030" spans="2:2">
      <c r="B6030"/>
    </row>
    <row r="6031" spans="2:2">
      <c r="B6031"/>
    </row>
    <row r="6032" spans="2:2">
      <c r="B6032"/>
    </row>
    <row r="6033" spans="2:2">
      <c r="B6033"/>
    </row>
    <row r="6034" spans="2:2">
      <c r="B6034"/>
    </row>
    <row r="6035" spans="2:2">
      <c r="B6035"/>
    </row>
    <row r="6036" spans="2:2">
      <c r="B6036"/>
    </row>
    <row r="6037" spans="2:2">
      <c r="B6037"/>
    </row>
    <row r="6038" spans="2:2">
      <c r="B6038"/>
    </row>
    <row r="6039" spans="2:2">
      <c r="B6039"/>
    </row>
    <row r="6040" spans="2:2">
      <c r="B6040"/>
    </row>
    <row r="6041" spans="2:2">
      <c r="B6041"/>
    </row>
    <row r="6042" spans="2:2">
      <c r="B6042"/>
    </row>
    <row r="6043" spans="2:2">
      <c r="B6043"/>
    </row>
    <row r="6044" spans="2:2">
      <c r="B6044"/>
    </row>
    <row r="6045" spans="2:2">
      <c r="B6045"/>
    </row>
    <row r="6046" spans="2:2">
      <c r="B6046"/>
    </row>
    <row r="6047" spans="2:2">
      <c r="B6047"/>
    </row>
    <row r="6048" spans="2:2">
      <c r="B6048"/>
    </row>
    <row r="6049" spans="2:2">
      <c r="B6049"/>
    </row>
    <row r="6050" spans="2:2">
      <c r="B6050"/>
    </row>
    <row r="6051" spans="2:2">
      <c r="B6051"/>
    </row>
    <row r="6052" spans="2:2">
      <c r="B6052"/>
    </row>
    <row r="6053" spans="2:2">
      <c r="B6053"/>
    </row>
    <row r="6054" spans="2:2">
      <c r="B6054"/>
    </row>
    <row r="6055" spans="2:2">
      <c r="B6055"/>
    </row>
    <row r="6056" spans="2:2">
      <c r="B6056"/>
    </row>
    <row r="6057" spans="2:2">
      <c r="B6057"/>
    </row>
    <row r="6058" spans="2:2">
      <c r="B6058"/>
    </row>
    <row r="6059" spans="2:2">
      <c r="B6059"/>
    </row>
    <row r="6060" spans="2:2">
      <c r="B6060"/>
    </row>
    <row r="6061" spans="2:2">
      <c r="B6061"/>
    </row>
    <row r="6062" spans="2:2">
      <c r="B6062"/>
    </row>
    <row r="6063" spans="2:2">
      <c r="B6063"/>
    </row>
    <row r="6064" spans="2:2">
      <c r="B6064"/>
    </row>
    <row r="6065" spans="2:2">
      <c r="B6065"/>
    </row>
    <row r="6066" spans="2:2">
      <c r="B6066"/>
    </row>
    <row r="6067" spans="2:2">
      <c r="B6067"/>
    </row>
    <row r="6068" spans="2:2">
      <c r="B6068"/>
    </row>
    <row r="6069" spans="2:2">
      <c r="B6069"/>
    </row>
    <row r="6070" spans="2:2">
      <c r="B6070"/>
    </row>
    <row r="6071" spans="2:2">
      <c r="B6071"/>
    </row>
    <row r="6072" spans="2:2">
      <c r="B6072"/>
    </row>
    <row r="6073" spans="2:2">
      <c r="B6073"/>
    </row>
    <row r="6074" spans="2:2">
      <c r="B6074"/>
    </row>
    <row r="6075" spans="2:2">
      <c r="B6075"/>
    </row>
    <row r="6076" spans="2:2">
      <c r="B6076"/>
    </row>
    <row r="6077" spans="2:2">
      <c r="B6077"/>
    </row>
    <row r="6078" spans="2:2">
      <c r="B6078"/>
    </row>
    <row r="6079" spans="2:2">
      <c r="B6079"/>
    </row>
    <row r="6080" spans="2:2">
      <c r="B6080"/>
    </row>
    <row r="6081" spans="2:2">
      <c r="B6081"/>
    </row>
    <row r="6082" spans="2:2">
      <c r="B6082"/>
    </row>
    <row r="6083" spans="2:2">
      <c r="B6083"/>
    </row>
    <row r="6084" spans="2:2">
      <c r="B6084"/>
    </row>
    <row r="6085" spans="2:2">
      <c r="B6085"/>
    </row>
    <row r="6086" spans="2:2">
      <c r="B6086"/>
    </row>
    <row r="6087" spans="2:2">
      <c r="B6087"/>
    </row>
    <row r="6088" spans="2:2">
      <c r="B6088"/>
    </row>
    <row r="6089" spans="2:2">
      <c r="B6089"/>
    </row>
    <row r="6090" spans="2:2">
      <c r="B6090"/>
    </row>
    <row r="6091" spans="2:2">
      <c r="B6091"/>
    </row>
    <row r="6092" spans="2:2">
      <c r="B6092"/>
    </row>
    <row r="6093" spans="2:2">
      <c r="B6093"/>
    </row>
    <row r="6094" spans="2:2">
      <c r="B6094"/>
    </row>
    <row r="6095" spans="2:2">
      <c r="B6095"/>
    </row>
    <row r="6096" spans="2:2">
      <c r="B6096"/>
    </row>
    <row r="6097" spans="2:2">
      <c r="B6097"/>
    </row>
    <row r="6098" spans="2:2">
      <c r="B6098"/>
    </row>
    <row r="6099" spans="2:2">
      <c r="B6099"/>
    </row>
    <row r="6100" spans="2:2">
      <c r="B6100"/>
    </row>
    <row r="6101" spans="2:2">
      <c r="B6101"/>
    </row>
    <row r="6102" spans="2:2">
      <c r="B6102"/>
    </row>
    <row r="6103" spans="2:2">
      <c r="B6103"/>
    </row>
    <row r="6104" spans="2:2">
      <c r="B6104"/>
    </row>
    <row r="6105" spans="2:2">
      <c r="B6105"/>
    </row>
    <row r="6106" spans="2:2">
      <c r="B6106"/>
    </row>
    <row r="6107" spans="2:2">
      <c r="B6107"/>
    </row>
    <row r="6108" spans="2:2">
      <c r="B6108"/>
    </row>
    <row r="6109" spans="2:2">
      <c r="B6109"/>
    </row>
    <row r="6110" spans="2:2">
      <c r="B6110"/>
    </row>
    <row r="6111" spans="2:2">
      <c r="B6111"/>
    </row>
    <row r="6112" spans="2:2">
      <c r="B6112"/>
    </row>
    <row r="6113" spans="2:2">
      <c r="B6113"/>
    </row>
    <row r="6114" spans="2:2">
      <c r="B6114"/>
    </row>
    <row r="6115" spans="2:2">
      <c r="B6115"/>
    </row>
    <row r="6116" spans="2:2">
      <c r="B6116"/>
    </row>
    <row r="6117" spans="2:2">
      <c r="B6117"/>
    </row>
    <row r="6118" spans="2:2">
      <c r="B6118"/>
    </row>
    <row r="6119" spans="2:2">
      <c r="B6119"/>
    </row>
    <row r="6120" spans="2:2">
      <c r="B6120"/>
    </row>
    <row r="6121" spans="2:2">
      <c r="B6121"/>
    </row>
    <row r="6122" spans="2:2">
      <c r="B6122"/>
    </row>
    <row r="6123" spans="2:2">
      <c r="B6123"/>
    </row>
    <row r="6124" spans="2:2">
      <c r="B6124"/>
    </row>
    <row r="6125" spans="2:2">
      <c r="B6125"/>
    </row>
    <row r="6126" spans="2:2">
      <c r="B6126"/>
    </row>
    <row r="6127" spans="2:2">
      <c r="B6127"/>
    </row>
    <row r="6128" spans="2:2">
      <c r="B6128"/>
    </row>
    <row r="6129" spans="2:2">
      <c r="B6129"/>
    </row>
    <row r="6130" spans="2:2">
      <c r="B6130"/>
    </row>
    <row r="6131" spans="2:2">
      <c r="B6131"/>
    </row>
    <row r="6132" spans="2:2">
      <c r="B6132"/>
    </row>
    <row r="6133" spans="2:2">
      <c r="B6133"/>
    </row>
    <row r="6134" spans="2:2">
      <c r="B6134"/>
    </row>
    <row r="6135" spans="2:2">
      <c r="B6135"/>
    </row>
    <row r="6136" spans="2:2">
      <c r="B6136"/>
    </row>
    <row r="6137" spans="2:2">
      <c r="B6137"/>
    </row>
    <row r="6138" spans="2:2">
      <c r="B6138"/>
    </row>
    <row r="6139" spans="2:2">
      <c r="B6139"/>
    </row>
    <row r="6140" spans="2:2">
      <c r="B6140"/>
    </row>
    <row r="6141" spans="2:2">
      <c r="B6141"/>
    </row>
    <row r="6142" spans="2:2">
      <c r="B6142"/>
    </row>
    <row r="6143" spans="2:2">
      <c r="B6143"/>
    </row>
    <row r="6144" spans="2:2">
      <c r="B6144"/>
    </row>
    <row r="6145" spans="2:2">
      <c r="B6145"/>
    </row>
    <row r="6146" spans="2:2">
      <c r="B6146"/>
    </row>
    <row r="6147" spans="2:2">
      <c r="B6147"/>
    </row>
    <row r="6148" spans="2:2">
      <c r="B6148"/>
    </row>
    <row r="6149" spans="2:2">
      <c r="B6149"/>
    </row>
    <row r="6150" spans="2:2">
      <c r="B6150"/>
    </row>
    <row r="6151" spans="2:2">
      <c r="B6151"/>
    </row>
    <row r="6152" spans="2:2">
      <c r="B6152"/>
    </row>
    <row r="6153" spans="2:2">
      <c r="B6153"/>
    </row>
    <row r="6154" spans="2:2">
      <c r="B6154"/>
    </row>
    <row r="6155" spans="2:2">
      <c r="B6155"/>
    </row>
    <row r="6156" spans="2:2">
      <c r="B6156"/>
    </row>
    <row r="6157" spans="2:2">
      <c r="B6157"/>
    </row>
    <row r="6158" spans="2:2">
      <c r="B6158"/>
    </row>
    <row r="6159" spans="2:2">
      <c r="B6159"/>
    </row>
    <row r="6160" spans="2:2">
      <c r="B6160"/>
    </row>
    <row r="6161" spans="2:2">
      <c r="B6161"/>
    </row>
    <row r="6162" spans="2:2">
      <c r="B6162"/>
    </row>
    <row r="6163" spans="2:2">
      <c r="B6163"/>
    </row>
    <row r="6164" spans="2:2">
      <c r="B6164"/>
    </row>
    <row r="6165" spans="2:2">
      <c r="B6165"/>
    </row>
    <row r="6166" spans="2:2">
      <c r="B6166"/>
    </row>
    <row r="6167" spans="2:2">
      <c r="B6167"/>
    </row>
    <row r="6168" spans="2:2">
      <c r="B6168"/>
    </row>
    <row r="6169" spans="2:2">
      <c r="B6169"/>
    </row>
    <row r="6170" spans="2:2">
      <c r="B6170"/>
    </row>
    <row r="6171" spans="2:2">
      <c r="B6171"/>
    </row>
    <row r="6172" spans="2:2">
      <c r="B6172"/>
    </row>
    <row r="6173" spans="2:2">
      <c r="B6173"/>
    </row>
    <row r="6174" spans="2:2">
      <c r="B6174"/>
    </row>
    <row r="6175" spans="2:2">
      <c r="B6175"/>
    </row>
    <row r="6176" spans="2:2">
      <c r="B6176"/>
    </row>
    <row r="6177" spans="2:2">
      <c r="B6177"/>
    </row>
    <row r="6178" spans="2:2">
      <c r="B6178"/>
    </row>
    <row r="6179" spans="2:2">
      <c r="B6179"/>
    </row>
    <row r="6180" spans="2:2">
      <c r="B6180"/>
    </row>
    <row r="6181" spans="2:2">
      <c r="B6181"/>
    </row>
    <row r="6182" spans="2:2">
      <c r="B6182"/>
    </row>
    <row r="6183" spans="2:2">
      <c r="B6183"/>
    </row>
    <row r="6184" spans="2:2">
      <c r="B6184"/>
    </row>
    <row r="6185" spans="2:2">
      <c r="B6185"/>
    </row>
    <row r="6186" spans="2:2">
      <c r="B6186"/>
    </row>
    <row r="6187" spans="2:2">
      <c r="B6187"/>
    </row>
    <row r="6188" spans="2:2">
      <c r="B6188"/>
    </row>
    <row r="6189" spans="2:2">
      <c r="B6189"/>
    </row>
    <row r="6190" spans="2:2">
      <c r="B6190"/>
    </row>
    <row r="6191" spans="2:2">
      <c r="B6191"/>
    </row>
    <row r="6192" spans="2:2">
      <c r="B6192"/>
    </row>
    <row r="6193" spans="2:2">
      <c r="B6193"/>
    </row>
    <row r="6194" spans="2:2">
      <c r="B6194"/>
    </row>
    <row r="6195" spans="2:2">
      <c r="B6195"/>
    </row>
    <row r="6196" spans="2:2">
      <c r="B6196"/>
    </row>
    <row r="6197" spans="2:2">
      <c r="B6197"/>
    </row>
    <row r="6198" spans="2:2">
      <c r="B6198"/>
    </row>
    <row r="6199" spans="2:2">
      <c r="B6199"/>
    </row>
    <row r="6200" spans="2:2">
      <c r="B6200"/>
    </row>
    <row r="6201" spans="2:2">
      <c r="B6201"/>
    </row>
    <row r="6202" spans="2:2">
      <c r="B6202"/>
    </row>
    <row r="6203" spans="2:2">
      <c r="B6203"/>
    </row>
    <row r="6204" spans="2:2">
      <c r="B6204"/>
    </row>
    <row r="6205" spans="2:2">
      <c r="B6205"/>
    </row>
    <row r="6206" spans="2:2">
      <c r="B6206"/>
    </row>
    <row r="6207" spans="2:2">
      <c r="B6207"/>
    </row>
    <row r="6208" spans="2:2">
      <c r="B6208"/>
    </row>
    <row r="6209" spans="2:2">
      <c r="B6209"/>
    </row>
    <row r="6210" spans="2:2">
      <c r="B6210"/>
    </row>
    <row r="6211" spans="2:2">
      <c r="B6211"/>
    </row>
    <row r="6212" spans="2:2">
      <c r="B6212"/>
    </row>
    <row r="6213" spans="2:2">
      <c r="B6213"/>
    </row>
    <row r="6214" spans="2:2">
      <c r="B6214"/>
    </row>
    <row r="6215" spans="2:2">
      <c r="B6215"/>
    </row>
    <row r="6216" spans="2:2">
      <c r="B6216"/>
    </row>
    <row r="6217" spans="2:2">
      <c r="B6217"/>
    </row>
    <row r="6218" spans="2:2">
      <c r="B6218"/>
    </row>
    <row r="6219" spans="2:2">
      <c r="B6219"/>
    </row>
    <row r="6220" spans="2:2">
      <c r="B6220"/>
    </row>
    <row r="6221" spans="2:2">
      <c r="B6221"/>
    </row>
    <row r="6222" spans="2:2">
      <c r="B6222"/>
    </row>
    <row r="6223" spans="2:2">
      <c r="B6223"/>
    </row>
    <row r="6224" spans="2:2">
      <c r="B6224"/>
    </row>
    <row r="6225" spans="2:2">
      <c r="B6225"/>
    </row>
    <row r="6226" spans="2:2">
      <c r="B6226"/>
    </row>
    <row r="6227" spans="2:2">
      <c r="B6227"/>
    </row>
    <row r="6228" spans="2:2">
      <c r="B6228"/>
    </row>
    <row r="6229" spans="2:2">
      <c r="B6229"/>
    </row>
    <row r="6230" spans="2:2">
      <c r="B6230"/>
    </row>
    <row r="6231" spans="2:2">
      <c r="B6231"/>
    </row>
    <row r="6232" spans="2:2">
      <c r="B6232"/>
    </row>
    <row r="6233" spans="2:2">
      <c r="B6233"/>
    </row>
    <row r="6234" spans="2:2">
      <c r="B6234"/>
    </row>
    <row r="6235" spans="2:2">
      <c r="B6235"/>
    </row>
    <row r="6236" spans="2:2">
      <c r="B6236"/>
    </row>
    <row r="6237" spans="2:2">
      <c r="B6237"/>
    </row>
    <row r="6238" spans="2:2">
      <c r="B6238"/>
    </row>
    <row r="6239" spans="2:2">
      <c r="B6239"/>
    </row>
    <row r="6240" spans="2:2">
      <c r="B6240"/>
    </row>
    <row r="6241" spans="2:2">
      <c r="B6241"/>
    </row>
    <row r="6242" spans="2:2">
      <c r="B6242"/>
    </row>
    <row r="6243" spans="2:2">
      <c r="B6243"/>
    </row>
    <row r="6244" spans="2:2">
      <c r="B6244"/>
    </row>
    <row r="6245" spans="2:2">
      <c r="B6245"/>
    </row>
    <row r="6246" spans="2:2">
      <c r="B6246"/>
    </row>
    <row r="6247" spans="2:2">
      <c r="B6247"/>
    </row>
    <row r="6248" spans="2:2">
      <c r="B6248"/>
    </row>
    <row r="6249" spans="2:2">
      <c r="B6249"/>
    </row>
    <row r="6250" spans="2:2">
      <c r="B6250"/>
    </row>
    <row r="6251" spans="2:2">
      <c r="B6251"/>
    </row>
    <row r="6252" spans="2:2">
      <c r="B6252"/>
    </row>
    <row r="6253" spans="2:2">
      <c r="B6253"/>
    </row>
    <row r="6254" spans="2:2">
      <c r="B6254"/>
    </row>
    <row r="6255" spans="2:2">
      <c r="B6255"/>
    </row>
    <row r="6256" spans="2:2">
      <c r="B6256"/>
    </row>
    <row r="6257" spans="2:2">
      <c r="B6257"/>
    </row>
    <row r="6258" spans="2:2">
      <c r="B6258"/>
    </row>
    <row r="6259" spans="2:2">
      <c r="B6259"/>
    </row>
    <row r="6260" spans="2:2">
      <c r="B6260"/>
    </row>
    <row r="6261" spans="2:2">
      <c r="B6261"/>
    </row>
    <row r="6262" spans="2:2">
      <c r="B6262"/>
    </row>
    <row r="6263" spans="2:2">
      <c r="B6263"/>
    </row>
    <row r="6264" spans="2:2">
      <c r="B6264"/>
    </row>
    <row r="6265" spans="2:2">
      <c r="B6265"/>
    </row>
    <row r="6266" spans="2:2">
      <c r="B6266"/>
    </row>
    <row r="6267" spans="2:2">
      <c r="B6267"/>
    </row>
    <row r="6268" spans="2:2">
      <c r="B6268"/>
    </row>
    <row r="6269" spans="2:2">
      <c r="B6269"/>
    </row>
    <row r="6270" spans="2:2">
      <c r="B6270"/>
    </row>
    <row r="6271" spans="2:2">
      <c r="B6271"/>
    </row>
    <row r="6272" spans="2:2">
      <c r="B6272"/>
    </row>
    <row r="6273" spans="2:2">
      <c r="B6273"/>
    </row>
    <row r="6274" spans="2:2">
      <c r="B6274"/>
    </row>
    <row r="6275" spans="2:2">
      <c r="B6275"/>
    </row>
    <row r="6276" spans="2:2">
      <c r="B6276"/>
    </row>
    <row r="6277" spans="2:2">
      <c r="B6277"/>
    </row>
    <row r="6278" spans="2:2">
      <c r="B6278"/>
    </row>
    <row r="6279" spans="2:2">
      <c r="B6279"/>
    </row>
    <row r="6280" spans="2:2">
      <c r="B6280"/>
    </row>
    <row r="6281" spans="2:2">
      <c r="B6281"/>
    </row>
    <row r="6282" spans="2:2">
      <c r="B6282"/>
    </row>
    <row r="6283" spans="2:2">
      <c r="B6283"/>
    </row>
    <row r="6284" spans="2:2">
      <c r="B6284"/>
    </row>
    <row r="6285" spans="2:2">
      <c r="B6285"/>
    </row>
    <row r="6286" spans="2:2">
      <c r="B6286"/>
    </row>
    <row r="6287" spans="2:2">
      <c r="B6287"/>
    </row>
    <row r="6288" spans="2:2">
      <c r="B6288"/>
    </row>
    <row r="6289" spans="2:2">
      <c r="B6289"/>
    </row>
    <row r="6290" spans="2:2">
      <c r="B6290"/>
    </row>
    <row r="6291" spans="2:2">
      <c r="B6291"/>
    </row>
    <row r="6292" spans="2:2">
      <c r="B6292"/>
    </row>
    <row r="6293" spans="2:2">
      <c r="B6293"/>
    </row>
    <row r="6294" spans="2:2">
      <c r="B6294"/>
    </row>
    <row r="6295" spans="2:2">
      <c r="B6295"/>
    </row>
    <row r="6296" spans="2:2">
      <c r="B6296"/>
    </row>
    <row r="6297" spans="2:2">
      <c r="B6297"/>
    </row>
    <row r="6298" spans="2:2">
      <c r="B6298"/>
    </row>
    <row r="6299" spans="2:2">
      <c r="B6299"/>
    </row>
    <row r="6300" spans="2:2">
      <c r="B6300"/>
    </row>
    <row r="6301" spans="2:2">
      <c r="B6301"/>
    </row>
    <row r="6302" spans="2:2">
      <c r="B6302"/>
    </row>
    <row r="6303" spans="2:2">
      <c r="B6303"/>
    </row>
    <row r="6304" spans="2:2">
      <c r="B6304"/>
    </row>
    <row r="6305" spans="2:2">
      <c r="B6305"/>
    </row>
    <row r="6306" spans="2:2">
      <c r="B6306"/>
    </row>
    <row r="6307" spans="2:2">
      <c r="B6307"/>
    </row>
    <row r="6308" spans="2:2">
      <c r="B6308"/>
    </row>
    <row r="6309" spans="2:2">
      <c r="B6309"/>
    </row>
    <row r="6310" spans="2:2">
      <c r="B6310"/>
    </row>
    <row r="6311" spans="2:2">
      <c r="B6311"/>
    </row>
    <row r="6312" spans="2:2">
      <c r="B6312"/>
    </row>
    <row r="6313" spans="2:2">
      <c r="B6313"/>
    </row>
    <row r="6314" spans="2:2">
      <c r="B6314"/>
    </row>
    <row r="6315" spans="2:2">
      <c r="B6315"/>
    </row>
    <row r="6316" spans="2:2">
      <c r="B6316"/>
    </row>
    <row r="6317" spans="2:2">
      <c r="B6317"/>
    </row>
    <row r="6318" spans="2:2">
      <c r="B6318"/>
    </row>
    <row r="6319" spans="2:2">
      <c r="B6319"/>
    </row>
    <row r="6320" spans="2:2">
      <c r="B6320"/>
    </row>
    <row r="6321" spans="2:2">
      <c r="B6321"/>
    </row>
    <row r="6322" spans="2:2">
      <c r="B6322"/>
    </row>
    <row r="6323" spans="2:2">
      <c r="B6323"/>
    </row>
    <row r="6324" spans="2:2">
      <c r="B6324"/>
    </row>
    <row r="6325" spans="2:2">
      <c r="B6325"/>
    </row>
    <row r="6326" spans="2:2">
      <c r="B6326"/>
    </row>
    <row r="6327" spans="2:2">
      <c r="B6327"/>
    </row>
    <row r="6328" spans="2:2">
      <c r="B6328"/>
    </row>
    <row r="6329" spans="2:2">
      <c r="B6329"/>
    </row>
    <row r="6330" spans="2:2">
      <c r="B6330"/>
    </row>
    <row r="6331" spans="2:2">
      <c r="B6331"/>
    </row>
    <row r="6332" spans="2:2">
      <c r="B6332"/>
    </row>
    <row r="6333" spans="2:2">
      <c r="B6333"/>
    </row>
    <row r="6334" spans="2:2">
      <c r="B6334"/>
    </row>
    <row r="6335" spans="2:2">
      <c r="B6335"/>
    </row>
    <row r="6336" spans="2:2">
      <c r="B6336"/>
    </row>
    <row r="6337" spans="2:2">
      <c r="B6337"/>
    </row>
    <row r="6338" spans="2:2">
      <c r="B6338"/>
    </row>
    <row r="6339" spans="2:2">
      <c r="B6339"/>
    </row>
    <row r="6340" spans="2:2">
      <c r="B6340"/>
    </row>
    <row r="6341" spans="2:2">
      <c r="B6341"/>
    </row>
    <row r="6342" spans="2:2">
      <c r="B6342"/>
    </row>
    <row r="6343" spans="2:2">
      <c r="B6343"/>
    </row>
    <row r="6344" spans="2:2">
      <c r="B6344"/>
    </row>
    <row r="6345" spans="2:2">
      <c r="B6345"/>
    </row>
    <row r="6346" spans="2:2">
      <c r="B6346"/>
    </row>
    <row r="6347" spans="2:2">
      <c r="B6347"/>
    </row>
    <row r="6348" spans="2:2">
      <c r="B6348"/>
    </row>
    <row r="6349" spans="2:2">
      <c r="B6349"/>
    </row>
    <row r="6350" spans="2:2">
      <c r="B6350"/>
    </row>
    <row r="6351" spans="2:2">
      <c r="B6351"/>
    </row>
    <row r="6352" spans="2:2">
      <c r="B6352"/>
    </row>
    <row r="6353" spans="2:2">
      <c r="B6353"/>
    </row>
    <row r="6354" spans="2:2">
      <c r="B6354"/>
    </row>
    <row r="6355" spans="2:2">
      <c r="B6355"/>
    </row>
    <row r="6356" spans="2:2">
      <c r="B6356"/>
    </row>
    <row r="6357" spans="2:2">
      <c r="B6357"/>
    </row>
    <row r="6358" spans="2:2">
      <c r="B6358"/>
    </row>
    <row r="6359" spans="2:2">
      <c r="B6359"/>
    </row>
    <row r="6360" spans="2:2">
      <c r="B6360"/>
    </row>
    <row r="6361" spans="2:2">
      <c r="B6361"/>
    </row>
    <row r="6362" spans="2:2">
      <c r="B6362"/>
    </row>
    <row r="6363" spans="2:2">
      <c r="B6363"/>
    </row>
    <row r="6364" spans="2:2">
      <c r="B6364"/>
    </row>
    <row r="6365" spans="2:2">
      <c r="B6365"/>
    </row>
    <row r="6366" spans="2:2">
      <c r="B6366"/>
    </row>
    <row r="6367" spans="2:2">
      <c r="B6367"/>
    </row>
    <row r="6368" spans="2:2">
      <c r="B6368"/>
    </row>
    <row r="6369" spans="2:2">
      <c r="B6369"/>
    </row>
    <row r="6370" spans="2:2">
      <c r="B6370"/>
    </row>
    <row r="6371" spans="2:2">
      <c r="B6371"/>
    </row>
    <row r="6372" spans="2:2">
      <c r="B6372"/>
    </row>
    <row r="6373" spans="2:2">
      <c r="B6373"/>
    </row>
    <row r="6374" spans="2:2">
      <c r="B6374"/>
    </row>
    <row r="6375" spans="2:2">
      <c r="B6375"/>
    </row>
    <row r="6376" spans="2:2">
      <c r="B6376"/>
    </row>
    <row r="6377" spans="2:2">
      <c r="B6377"/>
    </row>
    <row r="6378" spans="2:2">
      <c r="B6378"/>
    </row>
    <row r="6379" spans="2:2">
      <c r="B6379"/>
    </row>
    <row r="6380" spans="2:2">
      <c r="B6380"/>
    </row>
    <row r="6381" spans="2:2">
      <c r="B6381"/>
    </row>
    <row r="6382" spans="2:2">
      <c r="B6382"/>
    </row>
    <row r="6383" spans="2:2">
      <c r="B6383"/>
    </row>
    <row r="6384" spans="2:2">
      <c r="B6384"/>
    </row>
    <row r="6385" spans="2:2">
      <c r="B6385"/>
    </row>
    <row r="6386" spans="2:2">
      <c r="B6386"/>
    </row>
    <row r="6387" spans="2:2">
      <c r="B6387"/>
    </row>
    <row r="6388" spans="2:2">
      <c r="B6388"/>
    </row>
    <row r="6389" spans="2:2">
      <c r="B6389"/>
    </row>
    <row r="6390" spans="2:2">
      <c r="B6390"/>
    </row>
    <row r="6391" spans="2:2">
      <c r="B6391"/>
    </row>
    <row r="6392" spans="2:2">
      <c r="B6392"/>
    </row>
    <row r="6393" spans="2:2">
      <c r="B6393"/>
    </row>
    <row r="6394" spans="2:2">
      <c r="B6394"/>
    </row>
    <row r="6395" spans="2:2">
      <c r="B6395"/>
    </row>
    <row r="6396" spans="2:2">
      <c r="B6396"/>
    </row>
    <row r="6397" spans="2:2">
      <c r="B6397"/>
    </row>
    <row r="6398" spans="2:2">
      <c r="B6398"/>
    </row>
    <row r="6399" spans="2:2">
      <c r="B6399"/>
    </row>
    <row r="6400" spans="2:2">
      <c r="B6400"/>
    </row>
    <row r="6401" spans="2:2">
      <c r="B6401"/>
    </row>
    <row r="6402" spans="2:2">
      <c r="B6402"/>
    </row>
    <row r="6403" spans="2:2">
      <c r="B6403"/>
    </row>
    <row r="6404" spans="2:2">
      <c r="B6404"/>
    </row>
    <row r="6405" spans="2:2">
      <c r="B6405"/>
    </row>
    <row r="6406" spans="2:2">
      <c r="B6406"/>
    </row>
    <row r="6407" spans="2:2">
      <c r="B6407"/>
    </row>
    <row r="6408" spans="2:2">
      <c r="B6408"/>
    </row>
    <row r="6409" spans="2:2">
      <c r="B6409"/>
    </row>
    <row r="6410" spans="2:2">
      <c r="B6410"/>
    </row>
    <row r="6411" spans="2:2">
      <c r="B6411"/>
    </row>
    <row r="6412" spans="2:2">
      <c r="B6412"/>
    </row>
    <row r="6413" spans="2:2">
      <c r="B6413"/>
    </row>
    <row r="6414" spans="2:2">
      <c r="B6414"/>
    </row>
    <row r="6415" spans="2:2">
      <c r="B6415"/>
    </row>
    <row r="6416" spans="2:2">
      <c r="B6416"/>
    </row>
    <row r="6417" spans="2:2">
      <c r="B6417"/>
    </row>
    <row r="6418" spans="2:2">
      <c r="B6418"/>
    </row>
    <row r="6419" spans="2:2">
      <c r="B6419"/>
    </row>
    <row r="6420" spans="2:2">
      <c r="B6420"/>
    </row>
    <row r="6421" spans="2:2">
      <c r="B6421"/>
    </row>
    <row r="6422" spans="2:2">
      <c r="B6422"/>
    </row>
    <row r="6423" spans="2:2">
      <c r="B6423"/>
    </row>
    <row r="6424" spans="2:2">
      <c r="B6424"/>
    </row>
    <row r="6425" spans="2:2">
      <c r="B6425"/>
    </row>
    <row r="6426" spans="2:2">
      <c r="B6426"/>
    </row>
    <row r="6427" spans="2:2">
      <c r="B6427"/>
    </row>
    <row r="6428" spans="2:2">
      <c r="B6428"/>
    </row>
    <row r="6429" spans="2:2">
      <c r="B6429"/>
    </row>
    <row r="6430" spans="2:2">
      <c r="B6430"/>
    </row>
    <row r="6431" spans="2:2">
      <c r="B6431"/>
    </row>
    <row r="6432" spans="2:2">
      <c r="B6432"/>
    </row>
    <row r="6433" spans="2:2">
      <c r="B6433"/>
    </row>
    <row r="6434" spans="2:2">
      <c r="B6434"/>
    </row>
    <row r="6435" spans="2:2">
      <c r="B6435"/>
    </row>
    <row r="6436" spans="2:2">
      <c r="B6436"/>
    </row>
    <row r="6437" spans="2:2">
      <c r="B6437"/>
    </row>
    <row r="6438" spans="2:2">
      <c r="B6438"/>
    </row>
    <row r="6439" spans="2:2">
      <c r="B6439"/>
    </row>
    <row r="6440" spans="2:2">
      <c r="B6440"/>
    </row>
    <row r="6441" spans="2:2">
      <c r="B6441"/>
    </row>
    <row r="6442" spans="2:2">
      <c r="B6442"/>
    </row>
    <row r="6443" spans="2:2">
      <c r="B6443"/>
    </row>
    <row r="6444" spans="2:2">
      <c r="B6444"/>
    </row>
    <row r="6445" spans="2:2">
      <c r="B6445"/>
    </row>
    <row r="6446" spans="2:2">
      <c r="B6446"/>
    </row>
    <row r="6447" spans="2:2">
      <c r="B6447"/>
    </row>
    <row r="6448" spans="2:2">
      <c r="B6448"/>
    </row>
    <row r="6449" spans="2:2">
      <c r="B6449"/>
    </row>
    <row r="6450" spans="2:2">
      <c r="B6450"/>
    </row>
    <row r="6451" spans="2:2">
      <c r="B6451"/>
    </row>
    <row r="6452" spans="2:2">
      <c r="B6452"/>
    </row>
    <row r="6453" spans="2:2">
      <c r="B6453"/>
    </row>
    <row r="6454" spans="2:2">
      <c r="B6454"/>
    </row>
    <row r="6455" spans="2:2">
      <c r="B6455"/>
    </row>
    <row r="6456" spans="2:2">
      <c r="B6456"/>
    </row>
    <row r="6457" spans="2:2">
      <c r="B6457"/>
    </row>
    <row r="6458" spans="2:2">
      <c r="B6458"/>
    </row>
    <row r="6459" spans="2:2">
      <c r="B6459"/>
    </row>
    <row r="6460" spans="2:2">
      <c r="B6460"/>
    </row>
    <row r="6461" spans="2:2">
      <c r="B6461"/>
    </row>
    <row r="6462" spans="2:2">
      <c r="B6462"/>
    </row>
    <row r="6463" spans="2:2">
      <c r="B6463"/>
    </row>
    <row r="6464" spans="2:2">
      <c r="B6464"/>
    </row>
    <row r="6465" spans="2:2">
      <c r="B6465"/>
    </row>
    <row r="6466" spans="2:2">
      <c r="B6466"/>
    </row>
    <row r="6467" spans="2:2">
      <c r="B6467"/>
    </row>
    <row r="6468" spans="2:2">
      <c r="B6468"/>
    </row>
    <row r="6469" spans="2:2">
      <c r="B6469"/>
    </row>
    <row r="6470" spans="2:2">
      <c r="B6470"/>
    </row>
    <row r="6471" spans="2:2">
      <c r="B6471"/>
    </row>
    <row r="6472" spans="2:2">
      <c r="B6472"/>
    </row>
    <row r="6473" spans="2:2">
      <c r="B6473"/>
    </row>
    <row r="6474" spans="2:2">
      <c r="B6474"/>
    </row>
    <row r="6475" spans="2:2">
      <c r="B6475"/>
    </row>
    <row r="6476" spans="2:2">
      <c r="B6476"/>
    </row>
    <row r="6477" spans="2:2">
      <c r="B6477"/>
    </row>
    <row r="6478" spans="2:2">
      <c r="B6478"/>
    </row>
    <row r="6479" spans="2:2">
      <c r="B6479"/>
    </row>
    <row r="6480" spans="2:2">
      <c r="B6480"/>
    </row>
    <row r="6481" spans="2:2">
      <c r="B6481"/>
    </row>
    <row r="6482" spans="2:2">
      <c r="B6482"/>
    </row>
    <row r="6483" spans="2:2">
      <c r="B6483"/>
    </row>
    <row r="6484" spans="2:2">
      <c r="B6484"/>
    </row>
    <row r="6485" spans="2:2">
      <c r="B6485"/>
    </row>
    <row r="6486" spans="2:2">
      <c r="B6486"/>
    </row>
    <row r="6487" spans="2:2">
      <c r="B6487"/>
    </row>
    <row r="6488" spans="2:2">
      <c r="B6488"/>
    </row>
    <row r="6489" spans="2:2">
      <c r="B6489"/>
    </row>
    <row r="6490" spans="2:2">
      <c r="B6490"/>
    </row>
    <row r="6491" spans="2:2">
      <c r="B6491"/>
    </row>
    <row r="6492" spans="2:2">
      <c r="B6492"/>
    </row>
    <row r="6493" spans="2:2">
      <c r="B6493"/>
    </row>
    <row r="6494" spans="2:2">
      <c r="B6494"/>
    </row>
    <row r="6495" spans="2:2">
      <c r="B6495"/>
    </row>
    <row r="6496" spans="2:2">
      <c r="B6496"/>
    </row>
    <row r="6497" spans="2:2">
      <c r="B6497"/>
    </row>
    <row r="6498" spans="2:2">
      <c r="B6498"/>
    </row>
    <row r="6499" spans="2:2">
      <c r="B6499"/>
    </row>
    <row r="6500" spans="2:2">
      <c r="B6500"/>
    </row>
    <row r="6501" spans="2:2">
      <c r="B6501"/>
    </row>
    <row r="6502" spans="2:2">
      <c r="B6502"/>
    </row>
    <row r="6503" spans="2:2">
      <c r="B6503"/>
    </row>
    <row r="6504" spans="2:2">
      <c r="B6504"/>
    </row>
    <row r="6505" spans="2:2">
      <c r="B6505"/>
    </row>
    <row r="6506" spans="2:2">
      <c r="B6506"/>
    </row>
    <row r="6507" spans="2:2">
      <c r="B6507"/>
    </row>
    <row r="6508" spans="2:2">
      <c r="B6508"/>
    </row>
    <row r="6509" spans="2:2">
      <c r="B6509"/>
    </row>
    <row r="6510" spans="2:2">
      <c r="B6510"/>
    </row>
    <row r="6511" spans="2:2">
      <c r="B6511"/>
    </row>
    <row r="6512" spans="2:2">
      <c r="B6512"/>
    </row>
    <row r="6513" spans="2:2">
      <c r="B6513"/>
    </row>
    <row r="6514" spans="2:2">
      <c r="B6514"/>
    </row>
    <row r="6515" spans="2:2">
      <c r="B6515"/>
    </row>
    <row r="6516" spans="2:2">
      <c r="B6516"/>
    </row>
    <row r="6517" spans="2:2">
      <c r="B6517"/>
    </row>
    <row r="6518" spans="2:2">
      <c r="B6518"/>
    </row>
    <row r="6519" spans="2:2">
      <c r="B6519"/>
    </row>
    <row r="6520" spans="2:2">
      <c r="B6520"/>
    </row>
    <row r="6521" spans="2:2">
      <c r="B6521"/>
    </row>
    <row r="6522" spans="2:2">
      <c r="B6522"/>
    </row>
    <row r="6523" spans="2:2">
      <c r="B6523"/>
    </row>
    <row r="6524" spans="2:2">
      <c r="B6524"/>
    </row>
    <row r="6525" spans="2:2">
      <c r="B6525"/>
    </row>
    <row r="6526" spans="2:2">
      <c r="B6526"/>
    </row>
    <row r="6527" spans="2:2">
      <c r="B6527"/>
    </row>
    <row r="6528" spans="2:2">
      <c r="B6528"/>
    </row>
    <row r="6529" spans="2:2">
      <c r="B6529"/>
    </row>
    <row r="6530" spans="2:2">
      <c r="B6530"/>
    </row>
    <row r="6531" spans="2:2">
      <c r="B6531"/>
    </row>
    <row r="6532" spans="2:2">
      <c r="B6532"/>
    </row>
    <row r="6533" spans="2:2">
      <c r="B6533"/>
    </row>
    <row r="6534" spans="2:2">
      <c r="B6534"/>
    </row>
    <row r="6535" spans="2:2">
      <c r="B6535"/>
    </row>
    <row r="6536" spans="2:2">
      <c r="B6536"/>
    </row>
    <row r="6537" spans="2:2">
      <c r="B6537"/>
    </row>
    <row r="6538" spans="2:2">
      <c r="B6538"/>
    </row>
    <row r="6539" spans="2:2">
      <c r="B6539"/>
    </row>
    <row r="6540" spans="2:2">
      <c r="B6540"/>
    </row>
    <row r="6541" spans="2:2">
      <c r="B6541"/>
    </row>
    <row r="6542" spans="2:2">
      <c r="B6542"/>
    </row>
    <row r="6543" spans="2:2">
      <c r="B6543"/>
    </row>
    <row r="6544" spans="2:2">
      <c r="B6544"/>
    </row>
    <row r="6545" spans="2:2">
      <c r="B6545"/>
    </row>
    <row r="6546" spans="2:2">
      <c r="B6546"/>
    </row>
    <row r="6547" spans="2:2">
      <c r="B6547"/>
    </row>
    <row r="6548" spans="2:2">
      <c r="B6548"/>
    </row>
    <row r="6549" spans="2:2">
      <c r="B6549"/>
    </row>
    <row r="6550" spans="2:2">
      <c r="B6550"/>
    </row>
    <row r="6551" spans="2:2">
      <c r="B6551"/>
    </row>
    <row r="6552" spans="2:2">
      <c r="B6552"/>
    </row>
    <row r="6553" spans="2:2">
      <c r="B6553"/>
    </row>
    <row r="6554" spans="2:2">
      <c r="B6554"/>
    </row>
    <row r="6555" spans="2:2">
      <c r="B6555"/>
    </row>
    <row r="6556" spans="2:2">
      <c r="B6556"/>
    </row>
    <row r="6557" spans="2:2">
      <c r="B6557"/>
    </row>
    <row r="6558" spans="2:2">
      <c r="B6558"/>
    </row>
    <row r="6559" spans="2:2">
      <c r="B6559"/>
    </row>
    <row r="6560" spans="2:2">
      <c r="B6560"/>
    </row>
    <row r="6561" spans="2:2">
      <c r="B6561"/>
    </row>
    <row r="6562" spans="2:2">
      <c r="B6562"/>
    </row>
    <row r="6563" spans="2:2">
      <c r="B6563"/>
    </row>
    <row r="6564" spans="2:2">
      <c r="B6564"/>
    </row>
    <row r="6565" spans="2:2">
      <c r="B6565"/>
    </row>
    <row r="6566" spans="2:2">
      <c r="B6566"/>
    </row>
    <row r="6567" spans="2:2">
      <c r="B6567"/>
    </row>
    <row r="6568" spans="2:2">
      <c r="B6568"/>
    </row>
    <row r="6569" spans="2:2">
      <c r="B6569"/>
    </row>
    <row r="6570" spans="2:2">
      <c r="B6570"/>
    </row>
    <row r="6571" spans="2:2">
      <c r="B6571"/>
    </row>
    <row r="6572" spans="2:2">
      <c r="B6572"/>
    </row>
    <row r="6573" spans="2:2">
      <c r="B6573"/>
    </row>
    <row r="6574" spans="2:2">
      <c r="B6574"/>
    </row>
    <row r="6575" spans="2:2">
      <c r="B6575"/>
    </row>
    <row r="6576" spans="2:2">
      <c r="B6576"/>
    </row>
    <row r="6577" spans="2:2">
      <c r="B6577"/>
    </row>
    <row r="6578" spans="2:2">
      <c r="B6578"/>
    </row>
    <row r="6579" spans="2:2">
      <c r="B6579"/>
    </row>
    <row r="6580" spans="2:2">
      <c r="B6580"/>
    </row>
    <row r="6581" spans="2:2">
      <c r="B6581"/>
    </row>
    <row r="6582" spans="2:2">
      <c r="B6582"/>
    </row>
    <row r="6583" spans="2:2">
      <c r="B6583"/>
    </row>
    <row r="6584" spans="2:2">
      <c r="B6584"/>
    </row>
    <row r="6585" spans="2:2">
      <c r="B6585"/>
    </row>
    <row r="6586" spans="2:2">
      <c r="B6586"/>
    </row>
    <row r="6587" spans="2:2">
      <c r="B6587"/>
    </row>
    <row r="6588" spans="2:2">
      <c r="B6588"/>
    </row>
    <row r="6589" spans="2:2">
      <c r="B6589"/>
    </row>
    <row r="6590" spans="2:2">
      <c r="B6590"/>
    </row>
    <row r="6591" spans="2:2">
      <c r="B6591"/>
    </row>
    <row r="6592" spans="2:2">
      <c r="B6592"/>
    </row>
    <row r="6593" spans="2:2">
      <c r="B6593"/>
    </row>
    <row r="6594" spans="2:2">
      <c r="B6594"/>
    </row>
    <row r="6595" spans="2:2">
      <c r="B6595"/>
    </row>
    <row r="6596" spans="2:2">
      <c r="B6596"/>
    </row>
    <row r="6597" spans="2:2">
      <c r="B6597"/>
    </row>
    <row r="6598" spans="2:2">
      <c r="B6598"/>
    </row>
    <row r="6599" spans="2:2">
      <c r="B6599"/>
    </row>
    <row r="6600" spans="2:2">
      <c r="B6600"/>
    </row>
    <row r="6601" spans="2:2">
      <c r="B6601"/>
    </row>
    <row r="6602" spans="2:2">
      <c r="B6602"/>
    </row>
    <row r="6603" spans="2:2">
      <c r="B6603"/>
    </row>
    <row r="6604" spans="2:2">
      <c r="B6604"/>
    </row>
    <row r="6605" spans="2:2">
      <c r="B6605"/>
    </row>
    <row r="6606" spans="2:2">
      <c r="B6606"/>
    </row>
    <row r="6607" spans="2:2">
      <c r="B6607"/>
    </row>
    <row r="6608" spans="2:2">
      <c r="B6608"/>
    </row>
    <row r="6609" spans="2:2">
      <c r="B6609"/>
    </row>
    <row r="6610" spans="2:2">
      <c r="B6610"/>
    </row>
    <row r="6611" spans="2:2">
      <c r="B6611"/>
    </row>
    <row r="6612" spans="2:2">
      <c r="B6612"/>
    </row>
    <row r="6613" spans="2:2">
      <c r="B6613"/>
    </row>
    <row r="6614" spans="2:2">
      <c r="B6614"/>
    </row>
    <row r="6615" spans="2:2">
      <c r="B6615"/>
    </row>
    <row r="6616" spans="2:2">
      <c r="B6616"/>
    </row>
    <row r="6617" spans="2:2">
      <c r="B6617"/>
    </row>
    <row r="6618" spans="2:2">
      <c r="B6618"/>
    </row>
    <row r="6619" spans="2:2">
      <c r="B6619"/>
    </row>
    <row r="6620" spans="2:2">
      <c r="B6620"/>
    </row>
    <row r="6621" spans="2:2">
      <c r="B6621"/>
    </row>
    <row r="6622" spans="2:2">
      <c r="B6622"/>
    </row>
    <row r="6623" spans="2:2">
      <c r="B6623"/>
    </row>
    <row r="6624" spans="2:2">
      <c r="B6624"/>
    </row>
    <row r="6625" spans="2:2">
      <c r="B6625"/>
    </row>
    <row r="6626" spans="2:2">
      <c r="B6626"/>
    </row>
    <row r="6627" spans="2:2">
      <c r="B6627"/>
    </row>
    <row r="6628" spans="2:2">
      <c r="B6628"/>
    </row>
    <row r="6629" spans="2:2">
      <c r="B6629"/>
    </row>
    <row r="6630" spans="2:2">
      <c r="B6630"/>
    </row>
    <row r="6631" spans="2:2">
      <c r="B6631"/>
    </row>
    <row r="6632" spans="2:2">
      <c r="B6632"/>
    </row>
    <row r="6633" spans="2:2">
      <c r="B6633"/>
    </row>
    <row r="6634" spans="2:2">
      <c r="B6634"/>
    </row>
    <row r="6635" spans="2:2">
      <c r="B6635"/>
    </row>
    <row r="6636" spans="2:2">
      <c r="B6636"/>
    </row>
    <row r="6637" spans="2:2">
      <c r="B6637"/>
    </row>
    <row r="6638" spans="2:2">
      <c r="B6638"/>
    </row>
    <row r="6639" spans="2:2">
      <c r="B6639"/>
    </row>
    <row r="6640" spans="2:2">
      <c r="B6640"/>
    </row>
    <row r="6641" spans="2:2">
      <c r="B6641"/>
    </row>
    <row r="6642" spans="2:2">
      <c r="B6642"/>
    </row>
    <row r="6643" spans="2:2">
      <c r="B6643"/>
    </row>
    <row r="6644" spans="2:2">
      <c r="B6644"/>
    </row>
    <row r="6645" spans="2:2">
      <c r="B6645"/>
    </row>
    <row r="6646" spans="2:2">
      <c r="B6646"/>
    </row>
    <row r="6647" spans="2:2">
      <c r="B6647"/>
    </row>
    <row r="6648" spans="2:2">
      <c r="B6648"/>
    </row>
    <row r="6649" spans="2:2">
      <c r="B6649"/>
    </row>
    <row r="6650" spans="2:2">
      <c r="B6650"/>
    </row>
    <row r="6651" spans="2:2">
      <c r="B6651"/>
    </row>
    <row r="6652" spans="2:2">
      <c r="B6652"/>
    </row>
    <row r="6653" spans="2:2">
      <c r="B6653"/>
    </row>
    <row r="6654" spans="2:2">
      <c r="B6654"/>
    </row>
    <row r="6655" spans="2:2">
      <c r="B6655"/>
    </row>
    <row r="6656" spans="2:2">
      <c r="B6656"/>
    </row>
    <row r="6657" spans="2:2">
      <c r="B6657"/>
    </row>
    <row r="6658" spans="2:2">
      <c r="B6658"/>
    </row>
    <row r="6659" spans="2:2">
      <c r="B6659"/>
    </row>
    <row r="6660" spans="2:2">
      <c r="B6660"/>
    </row>
    <row r="6661" spans="2:2">
      <c r="B6661"/>
    </row>
    <row r="6662" spans="2:2">
      <c r="B6662"/>
    </row>
    <row r="6663" spans="2:2">
      <c r="B6663"/>
    </row>
    <row r="6664" spans="2:2">
      <c r="B6664"/>
    </row>
    <row r="6665" spans="2:2">
      <c r="B6665"/>
    </row>
    <row r="6666" spans="2:2">
      <c r="B6666"/>
    </row>
    <row r="6667" spans="2:2">
      <c r="B6667"/>
    </row>
    <row r="6668" spans="2:2">
      <c r="B6668"/>
    </row>
    <row r="6669" spans="2:2">
      <c r="B6669"/>
    </row>
    <row r="6670" spans="2:2">
      <c r="B6670"/>
    </row>
    <row r="6671" spans="2:2">
      <c r="B6671"/>
    </row>
    <row r="6672" spans="2:2">
      <c r="B6672"/>
    </row>
    <row r="6673" spans="2:2">
      <c r="B6673"/>
    </row>
    <row r="6674" spans="2:2">
      <c r="B6674"/>
    </row>
    <row r="6675" spans="2:2">
      <c r="B6675"/>
    </row>
    <row r="6676" spans="2:2">
      <c r="B6676"/>
    </row>
    <row r="6677" spans="2:2">
      <c r="B6677"/>
    </row>
    <row r="6678" spans="2:2">
      <c r="B6678"/>
    </row>
    <row r="6679" spans="2:2">
      <c r="B6679"/>
    </row>
    <row r="6680" spans="2:2">
      <c r="B6680"/>
    </row>
    <row r="6681" spans="2:2">
      <c r="B6681"/>
    </row>
    <row r="6682" spans="2:2">
      <c r="B6682"/>
    </row>
    <row r="6683" spans="2:2">
      <c r="B6683"/>
    </row>
    <row r="6684" spans="2:2">
      <c r="B6684"/>
    </row>
    <row r="6685" spans="2:2">
      <c r="B6685"/>
    </row>
    <row r="6686" spans="2:2">
      <c r="B6686"/>
    </row>
    <row r="6687" spans="2:2">
      <c r="B6687"/>
    </row>
    <row r="6688" spans="2:2">
      <c r="B6688"/>
    </row>
    <row r="6689" spans="2:2">
      <c r="B6689"/>
    </row>
    <row r="6690" spans="2:2">
      <c r="B6690"/>
    </row>
    <row r="6691" spans="2:2">
      <c r="B6691"/>
    </row>
    <row r="6692" spans="2:2">
      <c r="B6692"/>
    </row>
    <row r="6693" spans="2:2">
      <c r="B6693"/>
    </row>
    <row r="6694" spans="2:2">
      <c r="B6694"/>
    </row>
    <row r="6695" spans="2:2">
      <c r="B6695"/>
    </row>
    <row r="6696" spans="2:2">
      <c r="B6696"/>
    </row>
    <row r="6697" spans="2:2">
      <c r="B6697"/>
    </row>
    <row r="6698" spans="2:2">
      <c r="B6698"/>
    </row>
    <row r="6699" spans="2:2">
      <c r="B6699"/>
    </row>
    <row r="6700" spans="2:2">
      <c r="B6700"/>
    </row>
    <row r="6701" spans="2:2">
      <c r="B6701"/>
    </row>
    <row r="6702" spans="2:2">
      <c r="B6702"/>
    </row>
    <row r="6703" spans="2:2">
      <c r="B6703"/>
    </row>
    <row r="6704" spans="2:2">
      <c r="B6704"/>
    </row>
    <row r="6705" spans="2:2">
      <c r="B6705"/>
    </row>
    <row r="6706" spans="2:2">
      <c r="B6706"/>
    </row>
    <row r="6707" spans="2:2">
      <c r="B6707"/>
    </row>
    <row r="6708" spans="2:2">
      <c r="B6708"/>
    </row>
    <row r="6709" spans="2:2">
      <c r="B6709"/>
    </row>
    <row r="6710" spans="2:2">
      <c r="B6710"/>
    </row>
    <row r="6711" spans="2:2">
      <c r="B6711"/>
    </row>
    <row r="6712" spans="2:2">
      <c r="B6712"/>
    </row>
    <row r="6713" spans="2:2">
      <c r="B6713"/>
    </row>
    <row r="6714" spans="2:2">
      <c r="B6714"/>
    </row>
    <row r="6715" spans="2:2">
      <c r="B6715"/>
    </row>
    <row r="6716" spans="2:2">
      <c r="B6716"/>
    </row>
    <row r="6717" spans="2:2">
      <c r="B6717"/>
    </row>
    <row r="6718" spans="2:2">
      <c r="B6718"/>
    </row>
    <row r="6719" spans="2:2">
      <c r="B6719"/>
    </row>
    <row r="6720" spans="2:2">
      <c r="B6720"/>
    </row>
    <row r="6721" spans="2:2">
      <c r="B6721"/>
    </row>
    <row r="6722" spans="2:2">
      <c r="B6722"/>
    </row>
    <row r="6723" spans="2:2">
      <c r="B6723"/>
    </row>
    <row r="6724" spans="2:2">
      <c r="B6724"/>
    </row>
    <row r="6725" spans="2:2">
      <c r="B6725"/>
    </row>
    <row r="6726" spans="2:2">
      <c r="B6726"/>
    </row>
    <row r="6727" spans="2:2">
      <c r="B6727"/>
    </row>
    <row r="6728" spans="2:2">
      <c r="B6728"/>
    </row>
    <row r="6729" spans="2:2">
      <c r="B6729"/>
    </row>
    <row r="6730" spans="2:2">
      <c r="B6730"/>
    </row>
    <row r="6731" spans="2:2">
      <c r="B6731"/>
    </row>
    <row r="6732" spans="2:2">
      <c r="B6732"/>
    </row>
    <row r="6733" spans="2:2">
      <c r="B6733"/>
    </row>
    <row r="6734" spans="2:2">
      <c r="B6734"/>
    </row>
    <row r="6735" spans="2:2">
      <c r="B6735"/>
    </row>
    <row r="6736" spans="2:2">
      <c r="B6736"/>
    </row>
    <row r="6737" spans="2:2">
      <c r="B6737"/>
    </row>
    <row r="6738" spans="2:2">
      <c r="B6738"/>
    </row>
    <row r="6739" spans="2:2">
      <c r="B6739"/>
    </row>
    <row r="6740" spans="2:2">
      <c r="B6740"/>
    </row>
    <row r="6741" spans="2:2">
      <c r="B6741"/>
    </row>
    <row r="6742" spans="2:2">
      <c r="B6742"/>
    </row>
    <row r="6743" spans="2:2">
      <c r="B6743"/>
    </row>
    <row r="6744" spans="2:2">
      <c r="B6744"/>
    </row>
    <row r="6745" spans="2:2">
      <c r="B6745"/>
    </row>
    <row r="6746" spans="2:2">
      <c r="B6746"/>
    </row>
    <row r="6747" spans="2:2">
      <c r="B6747"/>
    </row>
    <row r="6748" spans="2:2">
      <c r="B6748"/>
    </row>
    <row r="6749" spans="2:2">
      <c r="B6749"/>
    </row>
    <row r="6750" spans="2:2">
      <c r="B6750"/>
    </row>
    <row r="6751" spans="2:2">
      <c r="B6751"/>
    </row>
    <row r="6752" spans="2:2">
      <c r="B6752"/>
    </row>
    <row r="6753" spans="2:2">
      <c r="B6753"/>
    </row>
    <row r="6754" spans="2:2">
      <c r="B6754"/>
    </row>
    <row r="6755" spans="2:2">
      <c r="B6755"/>
    </row>
    <row r="6756" spans="2:2">
      <c r="B6756"/>
    </row>
    <row r="6757" spans="2:2">
      <c r="B6757"/>
    </row>
    <row r="6758" spans="2:2">
      <c r="B6758"/>
    </row>
    <row r="6759" spans="2:2">
      <c r="B6759"/>
    </row>
    <row r="6760" spans="2:2">
      <c r="B6760"/>
    </row>
    <row r="6761" spans="2:2">
      <c r="B6761"/>
    </row>
    <row r="6762" spans="2:2">
      <c r="B6762"/>
    </row>
    <row r="6763" spans="2:2">
      <c r="B6763"/>
    </row>
    <row r="6764" spans="2:2">
      <c r="B6764"/>
    </row>
    <row r="6765" spans="2:2">
      <c r="B6765"/>
    </row>
    <row r="6766" spans="2:2">
      <c r="B6766"/>
    </row>
    <row r="6767" spans="2:2">
      <c r="B6767"/>
    </row>
    <row r="6768" spans="2:2">
      <c r="B6768"/>
    </row>
    <row r="6769" spans="2:2">
      <c r="B6769"/>
    </row>
    <row r="6770" spans="2:2">
      <c r="B6770"/>
    </row>
    <row r="6771" spans="2:2">
      <c r="B6771"/>
    </row>
    <row r="6772" spans="2:2">
      <c r="B6772"/>
    </row>
    <row r="6773" spans="2:2">
      <c r="B6773"/>
    </row>
    <row r="6774" spans="2:2">
      <c r="B6774"/>
    </row>
    <row r="6775" spans="2:2">
      <c r="B6775"/>
    </row>
    <row r="6776" spans="2:2">
      <c r="B6776"/>
    </row>
    <row r="6777" spans="2:2">
      <c r="B6777"/>
    </row>
    <row r="6778" spans="2:2">
      <c r="B6778"/>
    </row>
    <row r="6779" spans="2:2">
      <c r="B6779"/>
    </row>
    <row r="6780" spans="2:2">
      <c r="B6780"/>
    </row>
    <row r="6781" spans="2:2">
      <c r="B6781"/>
    </row>
    <row r="6782" spans="2:2">
      <c r="B6782"/>
    </row>
    <row r="6783" spans="2:2">
      <c r="B6783"/>
    </row>
    <row r="6784" spans="2:2">
      <c r="B6784"/>
    </row>
    <row r="6785" spans="2:2">
      <c r="B6785"/>
    </row>
    <row r="6786" spans="2:2">
      <c r="B6786"/>
    </row>
    <row r="6787" spans="2:2">
      <c r="B6787"/>
    </row>
    <row r="6788" spans="2:2">
      <c r="B6788"/>
    </row>
    <row r="6789" spans="2:2">
      <c r="B6789"/>
    </row>
    <row r="6790" spans="2:2">
      <c r="B6790"/>
    </row>
    <row r="6791" spans="2:2">
      <c r="B6791"/>
    </row>
    <row r="6792" spans="2:2">
      <c r="B6792"/>
    </row>
    <row r="6793" spans="2:2">
      <c r="B6793"/>
    </row>
    <row r="6794" spans="2:2">
      <c r="B6794"/>
    </row>
    <row r="6795" spans="2:2">
      <c r="B6795"/>
    </row>
    <row r="6796" spans="2:2">
      <c r="B6796"/>
    </row>
    <row r="6797" spans="2:2">
      <c r="B6797"/>
    </row>
    <row r="6798" spans="2:2">
      <c r="B6798"/>
    </row>
    <row r="6799" spans="2:2">
      <c r="B6799"/>
    </row>
    <row r="6800" spans="2:2">
      <c r="B6800"/>
    </row>
    <row r="6801" spans="2:2">
      <c r="B6801"/>
    </row>
    <row r="6802" spans="2:2">
      <c r="B6802"/>
    </row>
    <row r="6803" spans="2:2">
      <c r="B6803"/>
    </row>
    <row r="6804" spans="2:2">
      <c r="B6804"/>
    </row>
    <row r="6805" spans="2:2">
      <c r="B6805"/>
    </row>
    <row r="6806" spans="2:2">
      <c r="B6806"/>
    </row>
    <row r="6807" spans="2:2">
      <c r="B6807"/>
    </row>
    <row r="6808" spans="2:2">
      <c r="B6808"/>
    </row>
    <row r="6809" spans="2:2">
      <c r="B6809"/>
    </row>
    <row r="6810" spans="2:2">
      <c r="B6810"/>
    </row>
    <row r="6811" spans="2:2">
      <c r="B6811"/>
    </row>
    <row r="6812" spans="2:2">
      <c r="B6812"/>
    </row>
    <row r="6813" spans="2:2">
      <c r="B6813"/>
    </row>
    <row r="6814" spans="2:2">
      <c r="B6814"/>
    </row>
    <row r="6815" spans="2:2">
      <c r="B6815"/>
    </row>
    <row r="6816" spans="2:2">
      <c r="B6816"/>
    </row>
    <row r="6817" spans="2:2">
      <c r="B6817"/>
    </row>
    <row r="6818" spans="2:2">
      <c r="B6818"/>
    </row>
    <row r="6819" spans="2:2">
      <c r="B6819"/>
    </row>
    <row r="6820" spans="2:2">
      <c r="B6820"/>
    </row>
    <row r="6821" spans="2:2">
      <c r="B6821"/>
    </row>
    <row r="6822" spans="2:2">
      <c r="B6822"/>
    </row>
    <row r="6823" spans="2:2">
      <c r="B6823"/>
    </row>
    <row r="6824" spans="2:2">
      <c r="B6824"/>
    </row>
    <row r="6825" spans="2:2">
      <c r="B6825"/>
    </row>
    <row r="6826" spans="2:2">
      <c r="B6826"/>
    </row>
    <row r="6827" spans="2:2">
      <c r="B6827"/>
    </row>
    <row r="6828" spans="2:2">
      <c r="B6828"/>
    </row>
    <row r="6829" spans="2:2">
      <c r="B6829"/>
    </row>
    <row r="6830" spans="2:2">
      <c r="B6830"/>
    </row>
    <row r="6831" spans="2:2">
      <c r="B6831"/>
    </row>
    <row r="6832" spans="2:2">
      <c r="B6832"/>
    </row>
    <row r="6833" spans="2:2">
      <c r="B6833"/>
    </row>
    <row r="6834" spans="2:2">
      <c r="B6834"/>
    </row>
    <row r="6835" spans="2:2">
      <c r="B6835"/>
    </row>
    <row r="6836" spans="2:2">
      <c r="B6836"/>
    </row>
    <row r="6837" spans="2:2">
      <c r="B6837"/>
    </row>
    <row r="6838" spans="2:2">
      <c r="B6838"/>
    </row>
    <row r="6839" spans="2:2">
      <c r="B6839"/>
    </row>
    <row r="6840" spans="2:2">
      <c r="B6840"/>
    </row>
    <row r="6841" spans="2:2">
      <c r="B6841"/>
    </row>
    <row r="6842" spans="2:2">
      <c r="B6842"/>
    </row>
    <row r="6843" spans="2:2">
      <c r="B6843"/>
    </row>
    <row r="6844" spans="2:2">
      <c r="B6844"/>
    </row>
    <row r="6845" spans="2:2">
      <c r="B6845"/>
    </row>
    <row r="6846" spans="2:2">
      <c r="B6846"/>
    </row>
    <row r="6847" spans="2:2">
      <c r="B6847"/>
    </row>
    <row r="6848" spans="2:2">
      <c r="B6848"/>
    </row>
    <row r="6849" spans="2:2">
      <c r="B6849"/>
    </row>
    <row r="6850" spans="2:2">
      <c r="B6850"/>
    </row>
    <row r="6851" spans="2:2">
      <c r="B6851"/>
    </row>
    <row r="6852" spans="2:2">
      <c r="B6852"/>
    </row>
    <row r="6853" spans="2:2">
      <c r="B6853"/>
    </row>
    <row r="6854" spans="2:2">
      <c r="B6854"/>
    </row>
    <row r="6855" spans="2:2">
      <c r="B6855"/>
    </row>
    <row r="6856" spans="2:2">
      <c r="B6856"/>
    </row>
    <row r="6857" spans="2:2">
      <c r="B6857"/>
    </row>
    <row r="6858" spans="2:2">
      <c r="B6858"/>
    </row>
    <row r="6859" spans="2:2">
      <c r="B6859"/>
    </row>
    <row r="6860" spans="2:2">
      <c r="B6860"/>
    </row>
    <row r="6861" spans="2:2">
      <c r="B6861"/>
    </row>
    <row r="6862" spans="2:2">
      <c r="B6862"/>
    </row>
    <row r="6863" spans="2:2">
      <c r="B6863"/>
    </row>
    <row r="6864" spans="2:2">
      <c r="B6864"/>
    </row>
    <row r="6865" spans="2:2">
      <c r="B6865"/>
    </row>
    <row r="6866" spans="2:2">
      <c r="B6866"/>
    </row>
    <row r="6867" spans="2:2">
      <c r="B6867"/>
    </row>
    <row r="6868" spans="2:2">
      <c r="B6868"/>
    </row>
    <row r="6869" spans="2:2">
      <c r="B6869"/>
    </row>
    <row r="6870" spans="2:2">
      <c r="B6870"/>
    </row>
    <row r="6871" spans="2:2">
      <c r="B6871"/>
    </row>
    <row r="6872" spans="2:2">
      <c r="B6872"/>
    </row>
    <row r="6873" spans="2:2">
      <c r="B6873"/>
    </row>
    <row r="6874" spans="2:2">
      <c r="B6874"/>
    </row>
    <row r="6875" spans="2:2">
      <c r="B6875"/>
    </row>
    <row r="6876" spans="2:2">
      <c r="B6876"/>
    </row>
    <row r="6877" spans="2:2">
      <c r="B6877"/>
    </row>
    <row r="6878" spans="2:2">
      <c r="B6878"/>
    </row>
    <row r="6879" spans="2:2">
      <c r="B6879"/>
    </row>
    <row r="6880" spans="2:2">
      <c r="B6880"/>
    </row>
    <row r="6881" spans="2:2">
      <c r="B6881"/>
    </row>
    <row r="6882" spans="2:2">
      <c r="B6882"/>
    </row>
    <row r="6883" spans="2:2">
      <c r="B6883"/>
    </row>
    <row r="6884" spans="2:2">
      <c r="B6884"/>
    </row>
    <row r="6885" spans="2:2">
      <c r="B6885"/>
    </row>
    <row r="6886" spans="2:2">
      <c r="B6886"/>
    </row>
    <row r="6887" spans="2:2">
      <c r="B6887"/>
    </row>
    <row r="6888" spans="2:2">
      <c r="B6888"/>
    </row>
    <row r="6889" spans="2:2">
      <c r="B6889"/>
    </row>
    <row r="6890" spans="2:2">
      <c r="B6890"/>
    </row>
    <row r="6891" spans="2:2">
      <c r="B6891"/>
    </row>
    <row r="6892" spans="2:2">
      <c r="B6892"/>
    </row>
    <row r="6893" spans="2:2">
      <c r="B6893"/>
    </row>
    <row r="6894" spans="2:2">
      <c r="B6894"/>
    </row>
    <row r="6895" spans="2:2">
      <c r="B6895"/>
    </row>
    <row r="6896" spans="2:2">
      <c r="B6896"/>
    </row>
    <row r="6897" spans="2:2">
      <c r="B6897"/>
    </row>
    <row r="6898" spans="2:2">
      <c r="B6898"/>
    </row>
    <row r="6899" spans="2:2">
      <c r="B6899"/>
    </row>
    <row r="6900" spans="2:2">
      <c r="B6900"/>
    </row>
    <row r="6901" spans="2:2">
      <c r="B6901"/>
    </row>
    <row r="6902" spans="2:2">
      <c r="B6902"/>
    </row>
    <row r="6903" spans="2:2">
      <c r="B6903"/>
    </row>
    <row r="6904" spans="2:2">
      <c r="B6904"/>
    </row>
    <row r="6905" spans="2:2">
      <c r="B6905"/>
    </row>
    <row r="6906" spans="2:2">
      <c r="B6906"/>
    </row>
    <row r="6907" spans="2:2">
      <c r="B6907"/>
    </row>
    <row r="6908" spans="2:2">
      <c r="B6908"/>
    </row>
    <row r="6909" spans="2:2">
      <c r="B6909"/>
    </row>
    <row r="6910" spans="2:2">
      <c r="B6910"/>
    </row>
    <row r="6911" spans="2:2">
      <c r="B6911"/>
    </row>
    <row r="6912" spans="2:2">
      <c r="B6912"/>
    </row>
    <row r="6913" spans="2:2">
      <c r="B6913"/>
    </row>
    <row r="6914" spans="2:2">
      <c r="B6914"/>
    </row>
    <row r="6915" spans="2:2">
      <c r="B6915"/>
    </row>
    <row r="6916" spans="2:2">
      <c r="B6916"/>
    </row>
    <row r="6917" spans="2:2">
      <c r="B6917"/>
    </row>
    <row r="6918" spans="2:2">
      <c r="B6918"/>
    </row>
    <row r="6919" spans="2:2">
      <c r="B6919"/>
    </row>
    <row r="6920" spans="2:2">
      <c r="B6920"/>
    </row>
    <row r="6921" spans="2:2">
      <c r="B6921"/>
    </row>
    <row r="6922" spans="2:2">
      <c r="B6922"/>
    </row>
    <row r="6923" spans="2:2">
      <c r="B6923"/>
    </row>
    <row r="6924" spans="2:2">
      <c r="B6924"/>
    </row>
    <row r="6925" spans="2:2">
      <c r="B6925"/>
    </row>
    <row r="6926" spans="2:2">
      <c r="B6926"/>
    </row>
    <row r="6927" spans="2:2">
      <c r="B6927"/>
    </row>
    <row r="6928" spans="2:2">
      <c r="B6928"/>
    </row>
    <row r="6929" spans="2:2">
      <c r="B6929"/>
    </row>
    <row r="6930" spans="2:2">
      <c r="B6930"/>
    </row>
    <row r="6931" spans="2:2">
      <c r="B6931"/>
    </row>
    <row r="6932" spans="2:2">
      <c r="B6932"/>
    </row>
    <row r="6933" spans="2:2">
      <c r="B6933"/>
    </row>
    <row r="6934" spans="2:2">
      <c r="B6934"/>
    </row>
    <row r="6935" spans="2:2">
      <c r="B6935"/>
    </row>
    <row r="6936" spans="2:2">
      <c r="B6936"/>
    </row>
    <row r="6937" spans="2:2">
      <c r="B6937"/>
    </row>
    <row r="6938" spans="2:2">
      <c r="B6938"/>
    </row>
    <row r="6939" spans="2:2">
      <c r="B6939"/>
    </row>
    <row r="6940" spans="2:2">
      <c r="B6940"/>
    </row>
    <row r="6941" spans="2:2">
      <c r="B6941"/>
    </row>
    <row r="6942" spans="2:2">
      <c r="B6942"/>
    </row>
    <row r="6943" spans="2:2">
      <c r="B6943"/>
    </row>
    <row r="6944" spans="2:2">
      <c r="B6944"/>
    </row>
    <row r="6945" spans="2:2">
      <c r="B6945"/>
    </row>
    <row r="6946" spans="2:2">
      <c r="B6946"/>
    </row>
    <row r="6947" spans="2:2">
      <c r="B6947"/>
    </row>
    <row r="6948" spans="2:2">
      <c r="B6948"/>
    </row>
    <row r="6949" spans="2:2">
      <c r="B6949"/>
    </row>
    <row r="6950" spans="2:2">
      <c r="B6950"/>
    </row>
    <row r="6951" spans="2:2">
      <c r="B6951"/>
    </row>
    <row r="6952" spans="2:2">
      <c r="B6952"/>
    </row>
    <row r="6953" spans="2:2">
      <c r="B6953"/>
    </row>
    <row r="6954" spans="2:2">
      <c r="B6954"/>
    </row>
    <row r="6955" spans="2:2">
      <c r="B6955"/>
    </row>
    <row r="6956" spans="2:2">
      <c r="B6956"/>
    </row>
    <row r="6957" spans="2:2">
      <c r="B6957"/>
    </row>
    <row r="6958" spans="2:2">
      <c r="B6958"/>
    </row>
    <row r="6959" spans="2:2">
      <c r="B6959"/>
    </row>
    <row r="6960" spans="2:2">
      <c r="B6960"/>
    </row>
    <row r="6961" spans="2:2">
      <c r="B6961"/>
    </row>
    <row r="6962" spans="2:2">
      <c r="B6962"/>
    </row>
    <row r="6963" spans="2:2">
      <c r="B6963"/>
    </row>
    <row r="6964" spans="2:2">
      <c r="B6964"/>
    </row>
    <row r="6965" spans="2:2">
      <c r="B6965"/>
    </row>
    <row r="6966" spans="2:2">
      <c r="B6966"/>
    </row>
    <row r="6967" spans="2:2">
      <c r="B6967"/>
    </row>
    <row r="6968" spans="2:2">
      <c r="B6968"/>
    </row>
    <row r="6969" spans="2:2">
      <c r="B6969"/>
    </row>
    <row r="6970" spans="2:2">
      <c r="B6970"/>
    </row>
    <row r="6971" spans="2:2">
      <c r="B6971"/>
    </row>
    <row r="6972" spans="2:2">
      <c r="B6972"/>
    </row>
    <row r="6973" spans="2:2">
      <c r="B6973"/>
    </row>
    <row r="6974" spans="2:2">
      <c r="B6974"/>
    </row>
    <row r="6975" spans="2:2">
      <c r="B6975"/>
    </row>
    <row r="6976" spans="2:2">
      <c r="B6976"/>
    </row>
    <row r="6977" spans="2:2">
      <c r="B6977"/>
    </row>
    <row r="6978" spans="2:2">
      <c r="B6978"/>
    </row>
    <row r="6979" spans="2:2">
      <c r="B6979"/>
    </row>
    <row r="6980" spans="2:2">
      <c r="B6980"/>
    </row>
    <row r="6981" spans="2:2">
      <c r="B6981"/>
    </row>
    <row r="6982" spans="2:2">
      <c r="B6982"/>
    </row>
    <row r="6983" spans="2:2">
      <c r="B6983"/>
    </row>
    <row r="6984" spans="2:2">
      <c r="B6984"/>
    </row>
    <row r="6985" spans="2:2">
      <c r="B6985"/>
    </row>
    <row r="6986" spans="2:2">
      <c r="B6986"/>
    </row>
    <row r="6987" spans="2:2">
      <c r="B6987"/>
    </row>
    <row r="6988" spans="2:2">
      <c r="B6988"/>
    </row>
    <row r="6989" spans="2:2">
      <c r="B6989"/>
    </row>
    <row r="6990" spans="2:2">
      <c r="B6990"/>
    </row>
    <row r="6991" spans="2:2">
      <c r="B6991"/>
    </row>
    <row r="6992" spans="2:2">
      <c r="B6992"/>
    </row>
    <row r="6993" spans="2:2">
      <c r="B6993"/>
    </row>
    <row r="6994" spans="2:2">
      <c r="B6994"/>
    </row>
    <row r="6995" spans="2:2">
      <c r="B6995"/>
    </row>
    <row r="6996" spans="2:2">
      <c r="B6996"/>
    </row>
    <row r="6997" spans="2:2">
      <c r="B6997"/>
    </row>
    <row r="6998" spans="2:2">
      <c r="B6998"/>
    </row>
    <row r="6999" spans="2:2">
      <c r="B6999"/>
    </row>
    <row r="7000" spans="2:2">
      <c r="B7000"/>
    </row>
    <row r="7001" spans="2:2">
      <c r="B7001"/>
    </row>
    <row r="7002" spans="2:2">
      <c r="B7002"/>
    </row>
    <row r="7003" spans="2:2">
      <c r="B7003"/>
    </row>
    <row r="7004" spans="2:2">
      <c r="B7004"/>
    </row>
    <row r="7005" spans="2:2">
      <c r="B7005"/>
    </row>
    <row r="7006" spans="2:2">
      <c r="B7006"/>
    </row>
    <row r="7007" spans="2:2">
      <c r="B7007"/>
    </row>
    <row r="7008" spans="2:2">
      <c r="B7008"/>
    </row>
    <row r="7009" spans="2:2">
      <c r="B7009"/>
    </row>
    <row r="7010" spans="2:2">
      <c r="B7010"/>
    </row>
    <row r="7011" spans="2:2">
      <c r="B7011"/>
    </row>
    <row r="7012" spans="2:2">
      <c r="B7012"/>
    </row>
    <row r="7013" spans="2:2">
      <c r="B7013"/>
    </row>
    <row r="7014" spans="2:2">
      <c r="B7014"/>
    </row>
    <row r="7015" spans="2:2">
      <c r="B7015"/>
    </row>
    <row r="7016" spans="2:2">
      <c r="B7016"/>
    </row>
    <row r="7017" spans="2:2">
      <c r="B7017"/>
    </row>
    <row r="7018" spans="2:2">
      <c r="B7018"/>
    </row>
    <row r="7019" spans="2:2">
      <c r="B7019"/>
    </row>
    <row r="7020" spans="2:2">
      <c r="B7020"/>
    </row>
    <row r="7021" spans="2:2">
      <c r="B7021"/>
    </row>
    <row r="7022" spans="2:2">
      <c r="B7022"/>
    </row>
    <row r="7023" spans="2:2">
      <c r="B7023"/>
    </row>
    <row r="7024" spans="2:2">
      <c r="B7024"/>
    </row>
    <row r="7025" spans="2:2">
      <c r="B7025"/>
    </row>
    <row r="7026" spans="2:2">
      <c r="B7026"/>
    </row>
    <row r="7027" spans="2:2">
      <c r="B7027"/>
    </row>
    <row r="7028" spans="2:2">
      <c r="B7028"/>
    </row>
    <row r="7029" spans="2:2">
      <c r="B7029"/>
    </row>
    <row r="7030" spans="2:2">
      <c r="B7030"/>
    </row>
    <row r="7031" spans="2:2">
      <c r="B7031"/>
    </row>
    <row r="7032" spans="2:2">
      <c r="B7032"/>
    </row>
    <row r="7033" spans="2:2">
      <c r="B7033"/>
    </row>
    <row r="7034" spans="2:2">
      <c r="B7034"/>
    </row>
    <row r="7035" spans="2:2">
      <c r="B7035"/>
    </row>
    <row r="7036" spans="2:2">
      <c r="B7036"/>
    </row>
    <row r="7037" spans="2:2">
      <c r="B7037"/>
    </row>
    <row r="7038" spans="2:2">
      <c r="B7038"/>
    </row>
    <row r="7039" spans="2:2">
      <c r="B7039"/>
    </row>
    <row r="7040" spans="2:2">
      <c r="B7040"/>
    </row>
    <row r="7041" spans="2:2">
      <c r="B7041"/>
    </row>
    <row r="7042" spans="2:2">
      <c r="B7042"/>
    </row>
    <row r="7043" spans="2:2">
      <c r="B7043"/>
    </row>
    <row r="7044" spans="2:2">
      <c r="B7044"/>
    </row>
    <row r="7045" spans="2:2">
      <c r="B7045"/>
    </row>
    <row r="7046" spans="2:2">
      <c r="B7046"/>
    </row>
    <row r="7047" spans="2:2">
      <c r="B7047"/>
    </row>
    <row r="7048" spans="2:2">
      <c r="B7048"/>
    </row>
    <row r="7049" spans="2:2">
      <c r="B7049"/>
    </row>
    <row r="7050" spans="2:2">
      <c r="B7050"/>
    </row>
    <row r="7051" spans="2:2">
      <c r="B7051"/>
    </row>
    <row r="7052" spans="2:2">
      <c r="B7052"/>
    </row>
    <row r="7053" spans="2:2">
      <c r="B7053"/>
    </row>
    <row r="7054" spans="2:2">
      <c r="B7054"/>
    </row>
    <row r="7055" spans="2:2">
      <c r="B7055"/>
    </row>
    <row r="7056" spans="2:2">
      <c r="B7056"/>
    </row>
    <row r="7057" spans="2:2">
      <c r="B7057"/>
    </row>
    <row r="7058" spans="2:2">
      <c r="B7058"/>
    </row>
    <row r="7059" spans="2:2">
      <c r="B7059"/>
    </row>
    <row r="7060" spans="2:2">
      <c r="B7060"/>
    </row>
    <row r="7061" spans="2:2">
      <c r="B7061"/>
    </row>
    <row r="7062" spans="2:2">
      <c r="B7062"/>
    </row>
    <row r="7063" spans="2:2">
      <c r="B7063"/>
    </row>
    <row r="7064" spans="2:2">
      <c r="B7064"/>
    </row>
    <row r="7065" spans="2:2">
      <c r="B7065"/>
    </row>
    <row r="7066" spans="2:2">
      <c r="B7066"/>
    </row>
    <row r="7067" spans="2:2">
      <c r="B7067"/>
    </row>
    <row r="7068" spans="2:2">
      <c r="B7068"/>
    </row>
    <row r="7069" spans="2:2">
      <c r="B7069"/>
    </row>
    <row r="7070" spans="2:2">
      <c r="B7070"/>
    </row>
    <row r="7071" spans="2:2">
      <c r="B7071"/>
    </row>
    <row r="7072" spans="2:2">
      <c r="B7072"/>
    </row>
    <row r="7073" spans="2:2">
      <c r="B7073"/>
    </row>
    <row r="7074" spans="2:2">
      <c r="B7074"/>
    </row>
    <row r="7075" spans="2:2">
      <c r="B7075"/>
    </row>
    <row r="7076" spans="2:2">
      <c r="B7076"/>
    </row>
    <row r="7077" spans="2:2">
      <c r="B7077"/>
    </row>
    <row r="7078" spans="2:2">
      <c r="B7078"/>
    </row>
    <row r="7079" spans="2:2">
      <c r="B7079"/>
    </row>
    <row r="7080" spans="2:2">
      <c r="B7080"/>
    </row>
    <row r="7081" spans="2:2">
      <c r="B7081"/>
    </row>
    <row r="7082" spans="2:2">
      <c r="B7082"/>
    </row>
    <row r="7083" spans="2:2">
      <c r="B7083"/>
    </row>
    <row r="7084" spans="2:2">
      <c r="B7084"/>
    </row>
    <row r="7085" spans="2:2">
      <c r="B7085"/>
    </row>
    <row r="7086" spans="2:2">
      <c r="B7086"/>
    </row>
    <row r="7087" spans="2:2">
      <c r="B7087"/>
    </row>
    <row r="7088" spans="2:2">
      <c r="B7088"/>
    </row>
    <row r="7089" spans="2:2">
      <c r="B7089"/>
    </row>
    <row r="7090" spans="2:2">
      <c r="B7090"/>
    </row>
    <row r="7091" spans="2:2">
      <c r="B7091"/>
    </row>
    <row r="7092" spans="2:2">
      <c r="B7092"/>
    </row>
    <row r="7093" spans="2:2">
      <c r="B7093"/>
    </row>
    <row r="7094" spans="2:2">
      <c r="B7094"/>
    </row>
    <row r="7095" spans="2:2">
      <c r="B7095"/>
    </row>
    <row r="7096" spans="2:2">
      <c r="B7096"/>
    </row>
    <row r="7097" spans="2:2">
      <c r="B7097"/>
    </row>
    <row r="7098" spans="2:2">
      <c r="B7098"/>
    </row>
    <row r="7099" spans="2:2">
      <c r="B7099"/>
    </row>
    <row r="7100" spans="2:2">
      <c r="B7100"/>
    </row>
    <row r="7101" spans="2:2">
      <c r="B7101"/>
    </row>
    <row r="7102" spans="2:2">
      <c r="B7102"/>
    </row>
    <row r="7103" spans="2:2">
      <c r="B7103"/>
    </row>
    <row r="7104" spans="2:2">
      <c r="B7104"/>
    </row>
    <row r="7105" spans="2:2">
      <c r="B7105"/>
    </row>
    <row r="7106" spans="2:2">
      <c r="B7106"/>
    </row>
    <row r="7107" spans="2:2">
      <c r="B7107"/>
    </row>
    <row r="7108" spans="2:2">
      <c r="B7108"/>
    </row>
    <row r="7109" spans="2:2">
      <c r="B7109"/>
    </row>
    <row r="7110" spans="2:2">
      <c r="B7110"/>
    </row>
    <row r="7111" spans="2:2">
      <c r="B7111"/>
    </row>
    <row r="7112" spans="2:2">
      <c r="B7112"/>
    </row>
    <row r="7113" spans="2:2">
      <c r="B7113"/>
    </row>
    <row r="7114" spans="2:2">
      <c r="B7114"/>
    </row>
    <row r="7115" spans="2:2">
      <c r="B7115"/>
    </row>
    <row r="7116" spans="2:2">
      <c r="B7116"/>
    </row>
    <row r="7117" spans="2:2">
      <c r="B7117"/>
    </row>
    <row r="7118" spans="2:2">
      <c r="B7118"/>
    </row>
    <row r="7119" spans="2:2">
      <c r="B7119"/>
    </row>
    <row r="7120" spans="2:2">
      <c r="B7120"/>
    </row>
    <row r="7121" spans="2:2">
      <c r="B7121"/>
    </row>
    <row r="7122" spans="2:2">
      <c r="B7122"/>
    </row>
    <row r="7123" spans="2:2">
      <c r="B7123"/>
    </row>
    <row r="7124" spans="2:2">
      <c r="B7124"/>
    </row>
    <row r="7125" spans="2:2">
      <c r="B7125"/>
    </row>
    <row r="7126" spans="2:2">
      <c r="B7126"/>
    </row>
    <row r="7127" spans="2:2">
      <c r="B7127"/>
    </row>
    <row r="7128" spans="2:2">
      <c r="B7128"/>
    </row>
    <row r="7129" spans="2:2">
      <c r="B7129"/>
    </row>
    <row r="7130" spans="2:2">
      <c r="B7130"/>
    </row>
    <row r="7131" spans="2:2">
      <c r="B7131"/>
    </row>
    <row r="7132" spans="2:2">
      <c r="B7132"/>
    </row>
    <row r="7133" spans="2:2">
      <c r="B7133"/>
    </row>
    <row r="7134" spans="2:2">
      <c r="B7134"/>
    </row>
    <row r="7135" spans="2:2">
      <c r="B7135"/>
    </row>
    <row r="7136" spans="2:2">
      <c r="B7136"/>
    </row>
    <row r="7137" spans="2:2">
      <c r="B7137"/>
    </row>
    <row r="7138" spans="2:2">
      <c r="B7138"/>
    </row>
    <row r="7139" spans="2:2">
      <c r="B7139"/>
    </row>
    <row r="7140" spans="2:2">
      <c r="B7140"/>
    </row>
    <row r="7141" spans="2:2">
      <c r="B7141"/>
    </row>
    <row r="7142" spans="2:2">
      <c r="B7142"/>
    </row>
    <row r="7143" spans="2:2">
      <c r="B7143"/>
    </row>
    <row r="7144" spans="2:2">
      <c r="B7144"/>
    </row>
    <row r="7145" spans="2:2">
      <c r="B7145"/>
    </row>
    <row r="7146" spans="2:2">
      <c r="B7146"/>
    </row>
    <row r="7147" spans="2:2">
      <c r="B7147"/>
    </row>
    <row r="7148" spans="2:2">
      <c r="B7148"/>
    </row>
    <row r="7149" spans="2:2">
      <c r="B7149"/>
    </row>
    <row r="7150" spans="2:2">
      <c r="B7150"/>
    </row>
    <row r="7151" spans="2:2">
      <c r="B7151"/>
    </row>
    <row r="7152" spans="2:2">
      <c r="B7152"/>
    </row>
    <row r="7153" spans="2:2">
      <c r="B7153"/>
    </row>
    <row r="7154" spans="2:2">
      <c r="B7154"/>
    </row>
    <row r="7155" spans="2:2">
      <c r="B7155"/>
    </row>
    <row r="7156" spans="2:2">
      <c r="B7156"/>
    </row>
    <row r="7157" spans="2:2">
      <c r="B7157"/>
    </row>
    <row r="7158" spans="2:2">
      <c r="B7158"/>
    </row>
    <row r="7159" spans="2:2">
      <c r="B7159"/>
    </row>
    <row r="7160" spans="2:2">
      <c r="B7160"/>
    </row>
    <row r="7161" spans="2:2">
      <c r="B7161"/>
    </row>
    <row r="7162" spans="2:2">
      <c r="B7162"/>
    </row>
    <row r="7163" spans="2:2">
      <c r="B7163"/>
    </row>
    <row r="7164" spans="2:2">
      <c r="B7164"/>
    </row>
    <row r="7165" spans="2:2">
      <c r="B7165"/>
    </row>
    <row r="7166" spans="2:2">
      <c r="B7166"/>
    </row>
    <row r="7167" spans="2:2">
      <c r="B7167"/>
    </row>
    <row r="7168" spans="2:2">
      <c r="B7168"/>
    </row>
    <row r="7169" spans="2:2">
      <c r="B7169"/>
    </row>
    <row r="7170" spans="2:2">
      <c r="B7170"/>
    </row>
    <row r="7171" spans="2:2">
      <c r="B7171"/>
    </row>
    <row r="7172" spans="2:2">
      <c r="B7172"/>
    </row>
    <row r="7173" spans="2:2">
      <c r="B7173"/>
    </row>
    <row r="7174" spans="2:2">
      <c r="B7174"/>
    </row>
    <row r="7175" spans="2:2">
      <c r="B7175"/>
    </row>
    <row r="7176" spans="2:2">
      <c r="B7176"/>
    </row>
    <row r="7177" spans="2:2">
      <c r="B7177"/>
    </row>
    <row r="7178" spans="2:2">
      <c r="B7178"/>
    </row>
    <row r="7179" spans="2:2">
      <c r="B7179"/>
    </row>
    <row r="7180" spans="2:2">
      <c r="B7180"/>
    </row>
    <row r="7181" spans="2:2">
      <c r="B7181"/>
    </row>
    <row r="7182" spans="2:2">
      <c r="B7182"/>
    </row>
    <row r="7183" spans="2:2">
      <c r="B7183"/>
    </row>
    <row r="7184" spans="2:2">
      <c r="B7184"/>
    </row>
    <row r="7185" spans="2:2">
      <c r="B7185"/>
    </row>
    <row r="7186" spans="2:2">
      <c r="B7186"/>
    </row>
    <row r="7187" spans="2:2">
      <c r="B7187"/>
    </row>
    <row r="7188" spans="2:2">
      <c r="B7188"/>
    </row>
    <row r="7189" spans="2:2">
      <c r="B7189"/>
    </row>
    <row r="7190" spans="2:2">
      <c r="B7190"/>
    </row>
    <row r="7191" spans="2:2">
      <c r="B7191"/>
    </row>
    <row r="7192" spans="2:2">
      <c r="B7192"/>
    </row>
    <row r="7193" spans="2:2">
      <c r="B7193"/>
    </row>
    <row r="7194" spans="2:2">
      <c r="B7194"/>
    </row>
    <row r="7195" spans="2:2">
      <c r="B7195"/>
    </row>
    <row r="7196" spans="2:2">
      <c r="B7196"/>
    </row>
    <row r="7197" spans="2:2">
      <c r="B7197"/>
    </row>
    <row r="7198" spans="2:2">
      <c r="B7198"/>
    </row>
    <row r="7199" spans="2:2">
      <c r="B7199"/>
    </row>
    <row r="7200" spans="2:2">
      <c r="B7200"/>
    </row>
    <row r="7201" spans="2:2">
      <c r="B7201"/>
    </row>
    <row r="7202" spans="2:2">
      <c r="B7202"/>
    </row>
    <row r="7203" spans="2:2">
      <c r="B7203"/>
    </row>
    <row r="7204" spans="2:2">
      <c r="B7204"/>
    </row>
    <row r="7205" spans="2:2">
      <c r="B7205"/>
    </row>
    <row r="7206" spans="2:2">
      <c r="B7206"/>
    </row>
    <row r="7207" spans="2:2">
      <c r="B7207"/>
    </row>
    <row r="7208" spans="2:2">
      <c r="B7208"/>
    </row>
    <row r="7209" spans="2:2">
      <c r="B7209"/>
    </row>
    <row r="7210" spans="2:2">
      <c r="B7210"/>
    </row>
    <row r="7211" spans="2:2">
      <c r="B7211"/>
    </row>
    <row r="7212" spans="2:2">
      <c r="B7212"/>
    </row>
    <row r="7213" spans="2:2">
      <c r="B7213"/>
    </row>
    <row r="7214" spans="2:2">
      <c r="B7214"/>
    </row>
    <row r="7215" spans="2:2">
      <c r="B7215"/>
    </row>
    <row r="7216" spans="2:2">
      <c r="B7216"/>
    </row>
    <row r="7217" spans="2:2">
      <c r="B7217"/>
    </row>
    <row r="7218" spans="2:2">
      <c r="B7218"/>
    </row>
    <row r="7219" spans="2:2">
      <c r="B7219"/>
    </row>
    <row r="7220" spans="2:2">
      <c r="B7220"/>
    </row>
    <row r="7221" spans="2:2">
      <c r="B7221"/>
    </row>
    <row r="7222" spans="2:2">
      <c r="B7222"/>
    </row>
    <row r="7223" spans="2:2">
      <c r="B7223"/>
    </row>
    <row r="7224" spans="2:2">
      <c r="B7224"/>
    </row>
    <row r="7225" spans="2:2">
      <c r="B7225"/>
    </row>
    <row r="7226" spans="2:2">
      <c r="B7226"/>
    </row>
    <row r="7227" spans="2:2">
      <c r="B7227"/>
    </row>
    <row r="7228" spans="2:2">
      <c r="B7228"/>
    </row>
    <row r="7229" spans="2:2">
      <c r="B7229"/>
    </row>
    <row r="7230" spans="2:2">
      <c r="B7230"/>
    </row>
    <row r="7231" spans="2:2">
      <c r="B7231"/>
    </row>
    <row r="7232" spans="2:2">
      <c r="B7232"/>
    </row>
    <row r="7233" spans="2:2">
      <c r="B7233"/>
    </row>
    <row r="7234" spans="2:2">
      <c r="B7234"/>
    </row>
    <row r="7235" spans="2:2">
      <c r="B7235"/>
    </row>
    <row r="7236" spans="2:2">
      <c r="B7236"/>
    </row>
    <row r="7237" spans="2:2">
      <c r="B7237"/>
    </row>
    <row r="7238" spans="2:2">
      <c r="B7238"/>
    </row>
    <row r="7239" spans="2:2">
      <c r="B7239"/>
    </row>
    <row r="7240" spans="2:2">
      <c r="B7240"/>
    </row>
    <row r="7241" spans="2:2">
      <c r="B7241"/>
    </row>
    <row r="7242" spans="2:2">
      <c r="B7242"/>
    </row>
    <row r="7243" spans="2:2">
      <c r="B7243"/>
    </row>
    <row r="7244" spans="2:2">
      <c r="B7244"/>
    </row>
    <row r="7245" spans="2:2">
      <c r="B7245"/>
    </row>
    <row r="7246" spans="2:2">
      <c r="B7246"/>
    </row>
    <row r="7247" spans="2:2">
      <c r="B7247"/>
    </row>
    <row r="7248" spans="2:2">
      <c r="B7248"/>
    </row>
    <row r="7249" spans="2:2">
      <c r="B7249"/>
    </row>
    <row r="7250" spans="2:2">
      <c r="B7250"/>
    </row>
    <row r="7251" spans="2:2">
      <c r="B7251"/>
    </row>
    <row r="7252" spans="2:2">
      <c r="B7252"/>
    </row>
    <row r="7253" spans="2:2">
      <c r="B7253"/>
    </row>
    <row r="7254" spans="2:2">
      <c r="B7254"/>
    </row>
    <row r="7255" spans="2:2">
      <c r="B7255"/>
    </row>
    <row r="7256" spans="2:2">
      <c r="B7256"/>
    </row>
    <row r="7257" spans="2:2">
      <c r="B7257"/>
    </row>
    <row r="7258" spans="2:2">
      <c r="B7258"/>
    </row>
    <row r="7259" spans="2:2">
      <c r="B7259"/>
    </row>
    <row r="7260" spans="2:2">
      <c r="B7260"/>
    </row>
    <row r="7261" spans="2:2">
      <c r="B7261"/>
    </row>
    <row r="7262" spans="2:2">
      <c r="B7262"/>
    </row>
    <row r="7263" spans="2:2">
      <c r="B7263"/>
    </row>
    <row r="7264" spans="2:2">
      <c r="B7264"/>
    </row>
    <row r="7265" spans="2:2">
      <c r="B7265"/>
    </row>
    <row r="7266" spans="2:2">
      <c r="B7266"/>
    </row>
    <row r="7267" spans="2:2">
      <c r="B7267"/>
    </row>
    <row r="7268" spans="2:2">
      <c r="B7268"/>
    </row>
    <row r="7269" spans="2:2">
      <c r="B7269"/>
    </row>
    <row r="7270" spans="2:2">
      <c r="B7270"/>
    </row>
    <row r="7271" spans="2:2">
      <c r="B7271"/>
    </row>
    <row r="7272" spans="2:2">
      <c r="B7272"/>
    </row>
    <row r="7273" spans="2:2">
      <c r="B7273"/>
    </row>
    <row r="7274" spans="2:2">
      <c r="B7274"/>
    </row>
    <row r="7275" spans="2:2">
      <c r="B7275"/>
    </row>
    <row r="7276" spans="2:2">
      <c r="B7276"/>
    </row>
    <row r="7277" spans="2:2">
      <c r="B7277"/>
    </row>
    <row r="7278" spans="2:2">
      <c r="B7278"/>
    </row>
    <row r="7279" spans="2:2">
      <c r="B7279"/>
    </row>
    <row r="7280" spans="2:2">
      <c r="B7280"/>
    </row>
    <row r="7281" spans="2:2">
      <c r="B7281"/>
    </row>
    <row r="7282" spans="2:2">
      <c r="B7282"/>
    </row>
    <row r="7283" spans="2:2">
      <c r="B7283"/>
    </row>
    <row r="7284" spans="2:2">
      <c r="B7284"/>
    </row>
    <row r="7285" spans="2:2">
      <c r="B7285"/>
    </row>
    <row r="7286" spans="2:2">
      <c r="B7286"/>
    </row>
    <row r="7287" spans="2:2">
      <c r="B7287"/>
    </row>
    <row r="7288" spans="2:2">
      <c r="B7288"/>
    </row>
    <row r="7289" spans="2:2">
      <c r="B7289"/>
    </row>
    <row r="7290" spans="2:2">
      <c r="B7290"/>
    </row>
    <row r="7291" spans="2:2">
      <c r="B7291"/>
    </row>
    <row r="7292" spans="2:2">
      <c r="B7292"/>
    </row>
    <row r="7293" spans="2:2">
      <c r="B7293"/>
    </row>
    <row r="7294" spans="2:2">
      <c r="B7294"/>
    </row>
    <row r="7295" spans="2:2">
      <c r="B7295"/>
    </row>
    <row r="7296" spans="2:2">
      <c r="B7296"/>
    </row>
    <row r="7297" spans="2:2">
      <c r="B7297"/>
    </row>
    <row r="7298" spans="2:2">
      <c r="B7298"/>
    </row>
    <row r="7299" spans="2:2">
      <c r="B7299"/>
    </row>
    <row r="7300" spans="2:2">
      <c r="B7300"/>
    </row>
    <row r="7301" spans="2:2">
      <c r="B7301"/>
    </row>
    <row r="7302" spans="2:2">
      <c r="B7302"/>
    </row>
    <row r="7303" spans="2:2">
      <c r="B7303"/>
    </row>
    <row r="7304" spans="2:2">
      <c r="B7304"/>
    </row>
    <row r="7305" spans="2:2">
      <c r="B7305"/>
    </row>
    <row r="7306" spans="2:2">
      <c r="B7306"/>
    </row>
    <row r="7307" spans="2:2">
      <c r="B7307"/>
    </row>
    <row r="7308" spans="2:2">
      <c r="B7308"/>
    </row>
    <row r="7309" spans="2:2">
      <c r="B7309"/>
    </row>
    <row r="7310" spans="2:2">
      <c r="B7310"/>
    </row>
    <row r="7311" spans="2:2">
      <c r="B7311"/>
    </row>
    <row r="7312" spans="2:2">
      <c r="B7312"/>
    </row>
    <row r="7313" spans="2:2">
      <c r="B7313"/>
    </row>
    <row r="7314" spans="2:2">
      <c r="B7314"/>
    </row>
    <row r="7315" spans="2:2">
      <c r="B7315"/>
    </row>
    <row r="7316" spans="2:2">
      <c r="B7316"/>
    </row>
    <row r="7317" spans="2:2">
      <c r="B7317"/>
    </row>
    <row r="7318" spans="2:2">
      <c r="B7318"/>
    </row>
    <row r="7319" spans="2:2">
      <c r="B7319"/>
    </row>
    <row r="7320" spans="2:2">
      <c r="B7320"/>
    </row>
    <row r="7321" spans="2:2">
      <c r="B7321"/>
    </row>
    <row r="7322" spans="2:2">
      <c r="B7322"/>
    </row>
    <row r="7323" spans="2:2">
      <c r="B7323"/>
    </row>
    <row r="7324" spans="2:2">
      <c r="B7324"/>
    </row>
    <row r="7325" spans="2:2">
      <c r="B7325"/>
    </row>
    <row r="7326" spans="2:2">
      <c r="B7326"/>
    </row>
    <row r="7327" spans="2:2">
      <c r="B7327"/>
    </row>
    <row r="7328" spans="2:2">
      <c r="B7328"/>
    </row>
    <row r="7329" spans="2:2">
      <c r="B7329"/>
    </row>
    <row r="7330" spans="2:2">
      <c r="B7330"/>
    </row>
    <row r="7331" spans="2:2">
      <c r="B7331"/>
    </row>
    <row r="7332" spans="2:2">
      <c r="B7332"/>
    </row>
    <row r="7333" spans="2:2">
      <c r="B7333"/>
    </row>
    <row r="7334" spans="2:2">
      <c r="B7334"/>
    </row>
    <row r="7335" spans="2:2">
      <c r="B7335"/>
    </row>
    <row r="7336" spans="2:2">
      <c r="B7336"/>
    </row>
    <row r="7337" spans="2:2">
      <c r="B7337"/>
    </row>
    <row r="7338" spans="2:2">
      <c r="B7338"/>
    </row>
    <row r="7339" spans="2:2">
      <c r="B7339"/>
    </row>
    <row r="7340" spans="2:2">
      <c r="B7340"/>
    </row>
    <row r="7341" spans="2:2">
      <c r="B7341"/>
    </row>
    <row r="7342" spans="2:2">
      <c r="B7342"/>
    </row>
    <row r="7343" spans="2:2">
      <c r="B7343"/>
    </row>
    <row r="7344" spans="2:2">
      <c r="B7344"/>
    </row>
    <row r="7345" spans="2:2">
      <c r="B7345"/>
    </row>
    <row r="7346" spans="2:2">
      <c r="B7346"/>
    </row>
    <row r="7347" spans="2:2">
      <c r="B7347"/>
    </row>
    <row r="7348" spans="2:2">
      <c r="B7348"/>
    </row>
    <row r="7349" spans="2:2">
      <c r="B7349"/>
    </row>
    <row r="7350" spans="2:2">
      <c r="B7350"/>
    </row>
    <row r="7351" spans="2:2">
      <c r="B7351"/>
    </row>
    <row r="7352" spans="2:2">
      <c r="B7352"/>
    </row>
    <row r="7353" spans="2:2">
      <c r="B7353"/>
    </row>
    <row r="7354" spans="2:2">
      <c r="B7354"/>
    </row>
    <row r="7355" spans="2:2">
      <c r="B7355"/>
    </row>
    <row r="7356" spans="2:2">
      <c r="B7356"/>
    </row>
    <row r="7357" spans="2:2">
      <c r="B7357"/>
    </row>
    <row r="7358" spans="2:2">
      <c r="B7358"/>
    </row>
    <row r="7359" spans="2:2">
      <c r="B7359"/>
    </row>
    <row r="7360" spans="2:2">
      <c r="B7360"/>
    </row>
    <row r="7361" spans="2:2">
      <c r="B7361"/>
    </row>
    <row r="7362" spans="2:2">
      <c r="B7362"/>
    </row>
    <row r="7363" spans="2:2">
      <c r="B7363"/>
    </row>
    <row r="7364" spans="2:2">
      <c r="B7364"/>
    </row>
    <row r="7365" spans="2:2">
      <c r="B7365"/>
    </row>
    <row r="7366" spans="2:2">
      <c r="B7366"/>
    </row>
    <row r="7367" spans="2:2">
      <c r="B7367"/>
    </row>
    <row r="7368" spans="2:2">
      <c r="B7368"/>
    </row>
    <row r="7369" spans="2:2">
      <c r="B7369"/>
    </row>
    <row r="7370" spans="2:2">
      <c r="B7370"/>
    </row>
    <row r="7371" spans="2:2">
      <c r="B7371"/>
    </row>
    <row r="7372" spans="2:2">
      <c r="B7372"/>
    </row>
    <row r="7373" spans="2:2">
      <c r="B7373"/>
    </row>
    <row r="7374" spans="2:2">
      <c r="B7374"/>
    </row>
    <row r="7375" spans="2:2">
      <c r="B7375"/>
    </row>
    <row r="7376" spans="2:2">
      <c r="B7376"/>
    </row>
    <row r="7377" spans="2:2">
      <c r="B7377"/>
    </row>
    <row r="7378" spans="2:2">
      <c r="B7378"/>
    </row>
    <row r="7379" spans="2:2">
      <c r="B7379"/>
    </row>
    <row r="7380" spans="2:2">
      <c r="B7380"/>
    </row>
    <row r="7381" spans="2:2">
      <c r="B7381"/>
    </row>
    <row r="7382" spans="2:2">
      <c r="B7382"/>
    </row>
    <row r="7383" spans="2:2">
      <c r="B7383"/>
    </row>
    <row r="7384" spans="2:2">
      <c r="B7384"/>
    </row>
    <row r="7385" spans="2:2">
      <c r="B7385"/>
    </row>
    <row r="7386" spans="2:2">
      <c r="B7386"/>
    </row>
    <row r="7387" spans="2:2">
      <c r="B7387"/>
    </row>
    <row r="7388" spans="2:2">
      <c r="B7388"/>
    </row>
    <row r="7389" spans="2:2">
      <c r="B7389"/>
    </row>
    <row r="7390" spans="2:2">
      <c r="B7390"/>
    </row>
    <row r="7391" spans="2:2">
      <c r="B7391"/>
    </row>
    <row r="7392" spans="2:2">
      <c r="B7392"/>
    </row>
    <row r="7393" spans="2:2">
      <c r="B7393"/>
    </row>
    <row r="7394" spans="2:2">
      <c r="B7394"/>
    </row>
    <row r="7395" spans="2:2">
      <c r="B7395"/>
    </row>
    <row r="7396" spans="2:2">
      <c r="B7396"/>
    </row>
    <row r="7397" spans="2:2">
      <c r="B7397"/>
    </row>
    <row r="7398" spans="2:2">
      <c r="B7398"/>
    </row>
    <row r="7399" spans="2:2">
      <c r="B7399"/>
    </row>
    <row r="7400" spans="2:2">
      <c r="B7400"/>
    </row>
    <row r="7401" spans="2:2">
      <c r="B7401"/>
    </row>
    <row r="7402" spans="2:2">
      <c r="B7402"/>
    </row>
    <row r="7403" spans="2:2">
      <c r="B7403"/>
    </row>
    <row r="7404" spans="2:2">
      <c r="B7404"/>
    </row>
    <row r="7405" spans="2:2">
      <c r="B7405"/>
    </row>
    <row r="7406" spans="2:2">
      <c r="B7406"/>
    </row>
    <row r="7407" spans="2:2">
      <c r="B7407"/>
    </row>
    <row r="7408" spans="2:2">
      <c r="B7408"/>
    </row>
    <row r="7409" spans="2:2">
      <c r="B7409"/>
    </row>
    <row r="7410" spans="2:2">
      <c r="B7410"/>
    </row>
    <row r="7411" spans="2:2">
      <c r="B7411"/>
    </row>
    <row r="7412" spans="2:2">
      <c r="B7412"/>
    </row>
    <row r="7413" spans="2:2">
      <c r="B7413"/>
    </row>
    <row r="7414" spans="2:2">
      <c r="B7414"/>
    </row>
    <row r="7415" spans="2:2">
      <c r="B7415"/>
    </row>
    <row r="7416" spans="2:2">
      <c r="B7416"/>
    </row>
    <row r="7417" spans="2:2">
      <c r="B7417"/>
    </row>
    <row r="7418" spans="2:2">
      <c r="B7418"/>
    </row>
    <row r="7419" spans="2:2">
      <c r="B7419"/>
    </row>
    <row r="7420" spans="2:2">
      <c r="B7420"/>
    </row>
    <row r="7421" spans="2:2">
      <c r="B7421"/>
    </row>
    <row r="7422" spans="2:2">
      <c r="B7422"/>
    </row>
    <row r="7423" spans="2:2">
      <c r="B7423"/>
    </row>
    <row r="7424" spans="2:2">
      <c r="B7424"/>
    </row>
    <row r="7425" spans="2:2">
      <c r="B7425"/>
    </row>
    <row r="7426" spans="2:2">
      <c r="B7426"/>
    </row>
    <row r="7427" spans="2:2">
      <c r="B7427"/>
    </row>
    <row r="7428" spans="2:2">
      <c r="B7428"/>
    </row>
    <row r="7429" spans="2:2">
      <c r="B7429"/>
    </row>
    <row r="7430" spans="2:2">
      <c r="B7430"/>
    </row>
    <row r="7431" spans="2:2">
      <c r="B7431"/>
    </row>
    <row r="7432" spans="2:2">
      <c r="B7432"/>
    </row>
    <row r="7433" spans="2:2">
      <c r="B7433"/>
    </row>
    <row r="7434" spans="2:2">
      <c r="B7434"/>
    </row>
    <row r="7435" spans="2:2">
      <c r="B7435"/>
    </row>
    <row r="7436" spans="2:2">
      <c r="B7436"/>
    </row>
    <row r="7437" spans="2:2">
      <c r="B7437"/>
    </row>
    <row r="7438" spans="2:2">
      <c r="B7438"/>
    </row>
    <row r="7439" spans="2:2">
      <c r="B7439"/>
    </row>
    <row r="7440" spans="2:2">
      <c r="B7440"/>
    </row>
    <row r="7441" spans="2:2">
      <c r="B7441"/>
    </row>
    <row r="7442" spans="2:2">
      <c r="B7442"/>
    </row>
    <row r="7443" spans="2:2">
      <c r="B7443"/>
    </row>
    <row r="7444" spans="2:2">
      <c r="B7444"/>
    </row>
    <row r="7445" spans="2:2">
      <c r="B7445"/>
    </row>
    <row r="7446" spans="2:2">
      <c r="B7446"/>
    </row>
    <row r="7447" spans="2:2">
      <c r="B7447"/>
    </row>
    <row r="7448" spans="2:2">
      <c r="B7448"/>
    </row>
    <row r="7449" spans="2:2">
      <c r="B7449"/>
    </row>
    <row r="7450" spans="2:2">
      <c r="B7450"/>
    </row>
    <row r="7451" spans="2:2">
      <c r="B7451"/>
    </row>
    <row r="7452" spans="2:2">
      <c r="B7452"/>
    </row>
    <row r="7453" spans="2:2">
      <c r="B7453"/>
    </row>
    <row r="7454" spans="2:2">
      <c r="B7454"/>
    </row>
    <row r="7455" spans="2:2">
      <c r="B7455"/>
    </row>
    <row r="7456" spans="2:2">
      <c r="B7456"/>
    </row>
    <row r="7457" spans="2:2">
      <c r="B7457"/>
    </row>
    <row r="7458" spans="2:2">
      <c r="B7458"/>
    </row>
    <row r="7459" spans="2:2">
      <c r="B7459"/>
    </row>
    <row r="7460" spans="2:2">
      <c r="B7460"/>
    </row>
    <row r="7461" spans="2:2">
      <c r="B7461"/>
    </row>
    <row r="7462" spans="2:2">
      <c r="B7462"/>
    </row>
    <row r="7463" spans="2:2">
      <c r="B7463"/>
    </row>
    <row r="7464" spans="2:2">
      <c r="B7464"/>
    </row>
    <row r="7465" spans="2:2">
      <c r="B7465"/>
    </row>
    <row r="7466" spans="2:2">
      <c r="B7466"/>
    </row>
    <row r="7467" spans="2:2">
      <c r="B7467"/>
    </row>
    <row r="7468" spans="2:2">
      <c r="B7468"/>
    </row>
    <row r="7469" spans="2:2">
      <c r="B7469"/>
    </row>
    <row r="7470" spans="2:2">
      <c r="B7470"/>
    </row>
    <row r="7471" spans="2:2">
      <c r="B7471"/>
    </row>
    <row r="7472" spans="2:2">
      <c r="B7472"/>
    </row>
    <row r="7473" spans="2:2">
      <c r="B7473"/>
    </row>
    <row r="7474" spans="2:2">
      <c r="B7474"/>
    </row>
    <row r="7475" spans="2:2">
      <c r="B7475"/>
    </row>
    <row r="7476" spans="2:2">
      <c r="B7476"/>
    </row>
    <row r="7477" spans="2:2">
      <c r="B7477"/>
    </row>
    <row r="7478" spans="2:2">
      <c r="B7478"/>
    </row>
    <row r="7479" spans="2:2">
      <c r="B7479"/>
    </row>
    <row r="7480" spans="2:2">
      <c r="B7480"/>
    </row>
    <row r="7481" spans="2:2">
      <c r="B7481"/>
    </row>
    <row r="7482" spans="2:2">
      <c r="B7482"/>
    </row>
    <row r="7483" spans="2:2">
      <c r="B7483"/>
    </row>
    <row r="7484" spans="2:2">
      <c r="B7484"/>
    </row>
    <row r="7485" spans="2:2">
      <c r="B7485"/>
    </row>
    <row r="7486" spans="2:2">
      <c r="B7486"/>
    </row>
    <row r="7487" spans="2:2">
      <c r="B7487"/>
    </row>
    <row r="7488" spans="2:2">
      <c r="B7488"/>
    </row>
    <row r="7489" spans="2:2">
      <c r="B7489"/>
    </row>
    <row r="7490" spans="2:2">
      <c r="B7490"/>
    </row>
    <row r="7491" spans="2:2">
      <c r="B7491"/>
    </row>
    <row r="7492" spans="2:2">
      <c r="B7492"/>
    </row>
    <row r="7493" spans="2:2">
      <c r="B7493"/>
    </row>
    <row r="7494" spans="2:2">
      <c r="B7494"/>
    </row>
    <row r="7495" spans="2:2">
      <c r="B7495"/>
    </row>
    <row r="7496" spans="2:2">
      <c r="B7496"/>
    </row>
    <row r="7497" spans="2:2">
      <c r="B7497"/>
    </row>
    <row r="7498" spans="2:2">
      <c r="B7498"/>
    </row>
    <row r="7499" spans="2:2">
      <c r="B7499"/>
    </row>
    <row r="7500" spans="2:2">
      <c r="B7500"/>
    </row>
    <row r="7501" spans="2:2">
      <c r="B7501"/>
    </row>
    <row r="7502" spans="2:2">
      <c r="B7502"/>
    </row>
    <row r="7503" spans="2:2">
      <c r="B7503"/>
    </row>
    <row r="7504" spans="2:2">
      <c r="B7504"/>
    </row>
    <row r="7505" spans="2:2">
      <c r="B7505"/>
    </row>
    <row r="7506" spans="2:2">
      <c r="B7506"/>
    </row>
    <row r="7507" spans="2:2">
      <c r="B7507"/>
    </row>
    <row r="7508" spans="2:2">
      <c r="B7508"/>
    </row>
    <row r="7509" spans="2:2">
      <c r="B7509"/>
    </row>
    <row r="7510" spans="2:2">
      <c r="B7510"/>
    </row>
    <row r="7511" spans="2:2">
      <c r="B7511"/>
    </row>
    <row r="7512" spans="2:2">
      <c r="B7512"/>
    </row>
    <row r="7513" spans="2:2">
      <c r="B7513"/>
    </row>
    <row r="7514" spans="2:2">
      <c r="B7514"/>
    </row>
    <row r="7515" spans="2:2">
      <c r="B7515"/>
    </row>
    <row r="7516" spans="2:2">
      <c r="B7516"/>
    </row>
    <row r="7517" spans="2:2">
      <c r="B7517"/>
    </row>
    <row r="7518" spans="2:2">
      <c r="B7518"/>
    </row>
    <row r="7519" spans="2:2">
      <c r="B7519"/>
    </row>
    <row r="7520" spans="2:2">
      <c r="B7520"/>
    </row>
    <row r="7521" spans="2:2">
      <c r="B7521"/>
    </row>
    <row r="7522" spans="2:2">
      <c r="B7522"/>
    </row>
    <row r="7523" spans="2:2">
      <c r="B7523"/>
    </row>
    <row r="7524" spans="2:2">
      <c r="B7524"/>
    </row>
    <row r="7525" spans="2:2">
      <c r="B7525"/>
    </row>
    <row r="7526" spans="2:2">
      <c r="B7526"/>
    </row>
    <row r="7527" spans="2:2">
      <c r="B7527"/>
    </row>
    <row r="7528" spans="2:2">
      <c r="B7528"/>
    </row>
    <row r="7529" spans="2:2">
      <c r="B7529"/>
    </row>
    <row r="7530" spans="2:2">
      <c r="B7530"/>
    </row>
    <row r="7531" spans="2:2">
      <c r="B7531"/>
    </row>
    <row r="7532" spans="2:2">
      <c r="B7532"/>
    </row>
    <row r="7533" spans="2:2">
      <c r="B7533"/>
    </row>
    <row r="7534" spans="2:2">
      <c r="B7534"/>
    </row>
    <row r="7535" spans="2:2">
      <c r="B7535"/>
    </row>
    <row r="7536" spans="2:2">
      <c r="B7536"/>
    </row>
    <row r="7537" spans="2:2">
      <c r="B7537"/>
    </row>
    <row r="7538" spans="2:2">
      <c r="B7538"/>
    </row>
    <row r="7539" spans="2:2">
      <c r="B7539"/>
    </row>
    <row r="7540" spans="2:2">
      <c r="B7540"/>
    </row>
    <row r="7541" spans="2:2">
      <c r="B7541"/>
    </row>
    <row r="7542" spans="2:2">
      <c r="B7542"/>
    </row>
    <row r="7543" spans="2:2">
      <c r="B7543"/>
    </row>
    <row r="7544" spans="2:2">
      <c r="B7544"/>
    </row>
    <row r="7545" spans="2:2">
      <c r="B7545"/>
    </row>
    <row r="7546" spans="2:2">
      <c r="B7546"/>
    </row>
    <row r="7547" spans="2:2">
      <c r="B7547"/>
    </row>
    <row r="7548" spans="2:2">
      <c r="B7548"/>
    </row>
    <row r="7549" spans="2:2">
      <c r="B7549"/>
    </row>
    <row r="7550" spans="2:2">
      <c r="B7550"/>
    </row>
    <row r="7551" spans="2:2">
      <c r="B7551"/>
    </row>
    <row r="7552" spans="2:2">
      <c r="B7552"/>
    </row>
    <row r="7553" spans="2:2">
      <c r="B7553"/>
    </row>
    <row r="7554" spans="2:2">
      <c r="B7554"/>
    </row>
    <row r="7555" spans="2:2">
      <c r="B7555"/>
    </row>
    <row r="7556" spans="2:2">
      <c r="B7556"/>
    </row>
    <row r="7557" spans="2:2">
      <c r="B7557"/>
    </row>
    <row r="7558" spans="2:2">
      <c r="B7558"/>
    </row>
    <row r="7559" spans="2:2">
      <c r="B7559"/>
    </row>
    <row r="7560" spans="2:2">
      <c r="B7560"/>
    </row>
    <row r="7561" spans="2:2">
      <c r="B7561"/>
    </row>
    <row r="7562" spans="2:2">
      <c r="B7562"/>
    </row>
    <row r="7563" spans="2:2">
      <c r="B7563"/>
    </row>
    <row r="7564" spans="2:2">
      <c r="B7564"/>
    </row>
    <row r="7565" spans="2:2">
      <c r="B7565"/>
    </row>
    <row r="7566" spans="2:2">
      <c r="B7566"/>
    </row>
    <row r="7567" spans="2:2">
      <c r="B7567"/>
    </row>
    <row r="7568" spans="2:2">
      <c r="B7568"/>
    </row>
    <row r="7569" spans="2:2">
      <c r="B7569"/>
    </row>
    <row r="7570" spans="2:2">
      <c r="B7570"/>
    </row>
    <row r="7571" spans="2:2">
      <c r="B7571"/>
    </row>
    <row r="7572" spans="2:2">
      <c r="B7572"/>
    </row>
    <row r="7573" spans="2:2">
      <c r="B7573"/>
    </row>
    <row r="7574" spans="2:2">
      <c r="B7574"/>
    </row>
    <row r="7575" spans="2:2">
      <c r="B7575"/>
    </row>
    <row r="7576" spans="2:2">
      <c r="B7576"/>
    </row>
    <row r="7577" spans="2:2">
      <c r="B7577"/>
    </row>
    <row r="7578" spans="2:2">
      <c r="B7578"/>
    </row>
    <row r="7579" spans="2:2">
      <c r="B7579"/>
    </row>
    <row r="7580" spans="2:2">
      <c r="B7580"/>
    </row>
    <row r="7581" spans="2:2">
      <c r="B7581"/>
    </row>
    <row r="7582" spans="2:2">
      <c r="B7582"/>
    </row>
    <row r="7583" spans="2:2">
      <c r="B7583"/>
    </row>
    <row r="7584" spans="2:2">
      <c r="B7584"/>
    </row>
    <row r="7585" spans="2:2">
      <c r="B7585"/>
    </row>
    <row r="7586" spans="2:2">
      <c r="B7586"/>
    </row>
    <row r="7587" spans="2:2">
      <c r="B7587"/>
    </row>
    <row r="7588" spans="2:2">
      <c r="B7588"/>
    </row>
    <row r="7589" spans="2:2">
      <c r="B7589"/>
    </row>
    <row r="7590" spans="2:2">
      <c r="B7590"/>
    </row>
    <row r="7591" spans="2:2">
      <c r="B7591"/>
    </row>
    <row r="7592" spans="2:2">
      <c r="B7592"/>
    </row>
    <row r="7593" spans="2:2">
      <c r="B7593"/>
    </row>
    <row r="7594" spans="2:2">
      <c r="B7594"/>
    </row>
    <row r="7595" spans="2:2">
      <c r="B7595"/>
    </row>
    <row r="7596" spans="2:2">
      <c r="B7596"/>
    </row>
    <row r="7597" spans="2:2">
      <c r="B7597"/>
    </row>
    <row r="7598" spans="2:2">
      <c r="B7598"/>
    </row>
    <row r="7599" spans="2:2">
      <c r="B7599"/>
    </row>
    <row r="7600" spans="2:2">
      <c r="B7600"/>
    </row>
    <row r="7601" spans="2:2">
      <c r="B7601"/>
    </row>
    <row r="7602" spans="2:2">
      <c r="B7602"/>
    </row>
    <row r="7603" spans="2:2">
      <c r="B7603"/>
    </row>
    <row r="7604" spans="2:2">
      <c r="B7604"/>
    </row>
    <row r="7605" spans="2:2">
      <c r="B7605"/>
    </row>
    <row r="7606" spans="2:2">
      <c r="B7606"/>
    </row>
    <row r="7607" spans="2:2">
      <c r="B7607"/>
    </row>
    <row r="7608" spans="2:2">
      <c r="B7608"/>
    </row>
    <row r="7609" spans="2:2">
      <c r="B7609"/>
    </row>
    <row r="7610" spans="2:2">
      <c r="B7610"/>
    </row>
    <row r="7611" spans="2:2">
      <c r="B7611"/>
    </row>
    <row r="7612" spans="2:2">
      <c r="B7612"/>
    </row>
    <row r="7613" spans="2:2">
      <c r="B7613"/>
    </row>
    <row r="7614" spans="2:2">
      <c r="B7614"/>
    </row>
    <row r="7615" spans="2:2">
      <c r="B7615"/>
    </row>
    <row r="7616" spans="2:2">
      <c r="B7616"/>
    </row>
    <row r="7617" spans="2:2">
      <c r="B7617"/>
    </row>
    <row r="7618" spans="2:2">
      <c r="B7618"/>
    </row>
    <row r="7619" spans="2:2">
      <c r="B7619"/>
    </row>
    <row r="7620" spans="2:2">
      <c r="B7620"/>
    </row>
    <row r="7621" spans="2:2">
      <c r="B7621"/>
    </row>
    <row r="7622" spans="2:2">
      <c r="B7622"/>
    </row>
    <row r="7623" spans="2:2">
      <c r="B7623"/>
    </row>
    <row r="7624" spans="2:2">
      <c r="B7624"/>
    </row>
    <row r="7625" spans="2:2">
      <c r="B7625"/>
    </row>
    <row r="7626" spans="2:2">
      <c r="B7626"/>
    </row>
    <row r="7627" spans="2:2">
      <c r="B7627"/>
    </row>
    <row r="7628" spans="2:2">
      <c r="B7628"/>
    </row>
    <row r="7629" spans="2:2">
      <c r="B7629"/>
    </row>
    <row r="7630" spans="2:2">
      <c r="B7630"/>
    </row>
    <row r="7631" spans="2:2">
      <c r="B7631"/>
    </row>
    <row r="7632" spans="2:2">
      <c r="B7632"/>
    </row>
    <row r="7633" spans="2:2">
      <c r="B7633"/>
    </row>
    <row r="7634" spans="2:2">
      <c r="B7634"/>
    </row>
    <row r="7635" spans="2:2">
      <c r="B7635"/>
    </row>
    <row r="7636" spans="2:2">
      <c r="B7636"/>
    </row>
    <row r="7637" spans="2:2">
      <c r="B7637"/>
    </row>
    <row r="7638" spans="2:2">
      <c r="B7638"/>
    </row>
    <row r="7639" spans="2:2">
      <c r="B7639"/>
    </row>
    <row r="7640" spans="2:2">
      <c r="B7640"/>
    </row>
    <row r="7641" spans="2:2">
      <c r="B7641"/>
    </row>
    <row r="7642" spans="2:2">
      <c r="B7642"/>
    </row>
    <row r="7643" spans="2:2">
      <c r="B7643"/>
    </row>
    <row r="7644" spans="2:2">
      <c r="B7644"/>
    </row>
    <row r="7645" spans="2:2">
      <c r="B7645"/>
    </row>
    <row r="7646" spans="2:2">
      <c r="B7646"/>
    </row>
    <row r="7647" spans="2:2">
      <c r="B7647"/>
    </row>
    <row r="7648" spans="2:2">
      <c r="B7648"/>
    </row>
    <row r="7649" spans="2:2">
      <c r="B7649"/>
    </row>
    <row r="7650" spans="2:2">
      <c r="B7650"/>
    </row>
    <row r="7651" spans="2:2">
      <c r="B7651"/>
    </row>
    <row r="7652" spans="2:2">
      <c r="B7652"/>
    </row>
    <row r="7653" spans="2:2">
      <c r="B7653"/>
    </row>
    <row r="7654" spans="2:2">
      <c r="B7654"/>
    </row>
    <row r="7655" spans="2:2">
      <c r="B7655"/>
    </row>
    <row r="7656" spans="2:2">
      <c r="B7656"/>
    </row>
    <row r="7657" spans="2:2">
      <c r="B7657"/>
    </row>
    <row r="7658" spans="2:2">
      <c r="B7658"/>
    </row>
    <row r="7659" spans="2:2">
      <c r="B7659"/>
    </row>
    <row r="7660" spans="2:2">
      <c r="B7660"/>
    </row>
    <row r="7661" spans="2:2">
      <c r="B7661"/>
    </row>
    <row r="7662" spans="2:2">
      <c r="B7662"/>
    </row>
    <row r="7663" spans="2:2">
      <c r="B7663"/>
    </row>
    <row r="7664" spans="2:2">
      <c r="B7664"/>
    </row>
    <row r="7665" spans="2:2">
      <c r="B7665"/>
    </row>
    <row r="7666" spans="2:2">
      <c r="B7666"/>
    </row>
    <row r="7667" spans="2:2">
      <c r="B7667"/>
    </row>
    <row r="7668" spans="2:2">
      <c r="B7668"/>
    </row>
    <row r="7669" spans="2:2">
      <c r="B7669"/>
    </row>
    <row r="7670" spans="2:2">
      <c r="B7670"/>
    </row>
    <row r="7671" spans="2:2">
      <c r="B7671"/>
    </row>
    <row r="7672" spans="2:2">
      <c r="B7672"/>
    </row>
    <row r="7673" spans="2:2">
      <c r="B7673"/>
    </row>
    <row r="7674" spans="2:2">
      <c r="B7674"/>
    </row>
    <row r="7675" spans="2:2">
      <c r="B7675"/>
    </row>
    <row r="7676" spans="2:2">
      <c r="B7676"/>
    </row>
    <row r="7677" spans="2:2">
      <c r="B7677"/>
    </row>
    <row r="7678" spans="2:2">
      <c r="B7678"/>
    </row>
    <row r="7679" spans="2:2">
      <c r="B7679"/>
    </row>
    <row r="7680" spans="2:2">
      <c r="B7680"/>
    </row>
    <row r="7681" spans="2:2">
      <c r="B7681"/>
    </row>
    <row r="7682" spans="2:2">
      <c r="B7682"/>
    </row>
    <row r="7683" spans="2:2">
      <c r="B7683"/>
    </row>
    <row r="7684" spans="2:2">
      <c r="B7684"/>
    </row>
    <row r="7685" spans="2:2">
      <c r="B7685"/>
    </row>
    <row r="7686" spans="2:2">
      <c r="B7686"/>
    </row>
    <row r="7687" spans="2:2">
      <c r="B7687"/>
    </row>
    <row r="7688" spans="2:2">
      <c r="B7688"/>
    </row>
    <row r="7689" spans="2:2">
      <c r="B7689"/>
    </row>
    <row r="7690" spans="2:2">
      <c r="B7690"/>
    </row>
    <row r="7691" spans="2:2">
      <c r="B7691"/>
    </row>
    <row r="7692" spans="2:2">
      <c r="B7692"/>
    </row>
    <row r="7693" spans="2:2">
      <c r="B7693"/>
    </row>
    <row r="7694" spans="2:2">
      <c r="B7694"/>
    </row>
    <row r="7695" spans="2:2">
      <c r="B7695"/>
    </row>
    <row r="7696" spans="2:2">
      <c r="B7696"/>
    </row>
    <row r="7697" spans="2:2">
      <c r="B7697"/>
    </row>
    <row r="7698" spans="2:2">
      <c r="B7698"/>
    </row>
    <row r="7699" spans="2:2">
      <c r="B7699"/>
    </row>
    <row r="7700" spans="2:2">
      <c r="B7700"/>
    </row>
    <row r="7701" spans="2:2">
      <c r="B7701"/>
    </row>
    <row r="7702" spans="2:2">
      <c r="B7702"/>
    </row>
    <row r="7703" spans="2:2">
      <c r="B7703"/>
    </row>
    <row r="7704" spans="2:2">
      <c r="B7704"/>
    </row>
    <row r="7705" spans="2:2">
      <c r="B7705"/>
    </row>
    <row r="7706" spans="2:2">
      <c r="B7706"/>
    </row>
    <row r="7707" spans="2:2">
      <c r="B7707"/>
    </row>
    <row r="7708" spans="2:2">
      <c r="B7708"/>
    </row>
    <row r="7709" spans="2:2">
      <c r="B7709"/>
    </row>
    <row r="7710" spans="2:2">
      <c r="B7710"/>
    </row>
    <row r="7711" spans="2:2">
      <c r="B7711"/>
    </row>
    <row r="7712" spans="2:2">
      <c r="B7712"/>
    </row>
    <row r="7713" spans="2:2">
      <c r="B7713"/>
    </row>
    <row r="7714" spans="2:2">
      <c r="B7714"/>
    </row>
    <row r="7715" spans="2:2">
      <c r="B7715"/>
    </row>
    <row r="7716" spans="2:2">
      <c r="B7716"/>
    </row>
    <row r="7717" spans="2:2">
      <c r="B7717"/>
    </row>
    <row r="7718" spans="2:2">
      <c r="B7718"/>
    </row>
    <row r="7719" spans="2:2">
      <c r="B7719"/>
    </row>
    <row r="7720" spans="2:2">
      <c r="B7720"/>
    </row>
    <row r="7721" spans="2:2">
      <c r="B7721"/>
    </row>
    <row r="7722" spans="2:2">
      <c r="B7722"/>
    </row>
    <row r="7723" spans="2:2">
      <c r="B7723"/>
    </row>
    <row r="7724" spans="2:2">
      <c r="B7724"/>
    </row>
    <row r="7725" spans="2:2">
      <c r="B7725"/>
    </row>
    <row r="7726" spans="2:2">
      <c r="B7726"/>
    </row>
    <row r="7727" spans="2:2">
      <c r="B7727"/>
    </row>
    <row r="7728" spans="2:2">
      <c r="B7728"/>
    </row>
    <row r="7729" spans="2:2">
      <c r="B7729"/>
    </row>
    <row r="7730" spans="2:2">
      <c r="B7730"/>
    </row>
    <row r="7731" spans="2:2">
      <c r="B7731"/>
    </row>
    <row r="7732" spans="2:2">
      <c r="B7732"/>
    </row>
    <row r="7733" spans="2:2">
      <c r="B7733"/>
    </row>
    <row r="7734" spans="2:2">
      <c r="B7734"/>
    </row>
    <row r="7735" spans="2:2">
      <c r="B7735"/>
    </row>
    <row r="7736" spans="2:2">
      <c r="B7736"/>
    </row>
    <row r="7737" spans="2:2">
      <c r="B7737"/>
    </row>
    <row r="7738" spans="2:2">
      <c r="B7738"/>
    </row>
    <row r="7739" spans="2:2">
      <c r="B7739"/>
    </row>
    <row r="7740" spans="2:2">
      <c r="B7740"/>
    </row>
    <row r="7741" spans="2:2">
      <c r="B7741"/>
    </row>
    <row r="7742" spans="2:2">
      <c r="B7742"/>
    </row>
    <row r="7743" spans="2:2">
      <c r="B7743"/>
    </row>
    <row r="7744" spans="2:2">
      <c r="B7744"/>
    </row>
    <row r="7745" spans="2:2">
      <c r="B7745"/>
    </row>
    <row r="7746" spans="2:2">
      <c r="B7746"/>
    </row>
    <row r="7747" spans="2:2">
      <c r="B7747"/>
    </row>
    <row r="7748" spans="2:2">
      <c r="B7748"/>
    </row>
    <row r="7749" spans="2:2">
      <c r="B7749"/>
    </row>
    <row r="7750" spans="2:2">
      <c r="B7750"/>
    </row>
    <row r="7751" spans="2:2">
      <c r="B7751"/>
    </row>
    <row r="7752" spans="2:2">
      <c r="B7752"/>
    </row>
    <row r="7753" spans="2:2">
      <c r="B7753"/>
    </row>
    <row r="7754" spans="2:2">
      <c r="B7754"/>
    </row>
    <row r="7755" spans="2:2">
      <c r="B7755"/>
    </row>
    <row r="7756" spans="2:2">
      <c r="B7756"/>
    </row>
    <row r="7757" spans="2:2">
      <c r="B7757"/>
    </row>
    <row r="7758" spans="2:2">
      <c r="B7758"/>
    </row>
    <row r="7759" spans="2:2">
      <c r="B7759"/>
    </row>
    <row r="7760" spans="2:2">
      <c r="B7760"/>
    </row>
    <row r="7761" spans="2:2">
      <c r="B7761"/>
    </row>
    <row r="7762" spans="2:2">
      <c r="B7762"/>
    </row>
    <row r="7763" spans="2:2">
      <c r="B7763"/>
    </row>
    <row r="7764" spans="2:2">
      <c r="B7764"/>
    </row>
    <row r="7765" spans="2:2">
      <c r="B7765"/>
    </row>
    <row r="7766" spans="2:2">
      <c r="B7766"/>
    </row>
    <row r="7767" spans="2:2">
      <c r="B7767"/>
    </row>
    <row r="7768" spans="2:2">
      <c r="B7768"/>
    </row>
    <row r="7769" spans="2:2">
      <c r="B7769"/>
    </row>
    <row r="7770" spans="2:2">
      <c r="B7770"/>
    </row>
    <row r="7771" spans="2:2">
      <c r="B7771"/>
    </row>
    <row r="7772" spans="2:2">
      <c r="B7772"/>
    </row>
    <row r="7773" spans="2:2">
      <c r="B7773"/>
    </row>
    <row r="7774" spans="2:2">
      <c r="B7774"/>
    </row>
    <row r="7775" spans="2:2">
      <c r="B7775"/>
    </row>
    <row r="7776" spans="2:2">
      <c r="B7776"/>
    </row>
    <row r="7777" spans="2:2">
      <c r="B7777"/>
    </row>
    <row r="7778" spans="2:2">
      <c r="B7778"/>
    </row>
    <row r="7779" spans="2:2">
      <c r="B7779"/>
    </row>
    <row r="7780" spans="2:2">
      <c r="B7780"/>
    </row>
    <row r="7781" spans="2:2">
      <c r="B7781"/>
    </row>
    <row r="7782" spans="2:2">
      <c r="B7782"/>
    </row>
    <row r="7783" spans="2:2">
      <c r="B7783"/>
    </row>
    <row r="7784" spans="2:2">
      <c r="B7784"/>
    </row>
    <row r="7785" spans="2:2">
      <c r="B7785"/>
    </row>
    <row r="7786" spans="2:2">
      <c r="B7786"/>
    </row>
    <row r="7787" spans="2:2">
      <c r="B7787"/>
    </row>
    <row r="7788" spans="2:2">
      <c r="B7788"/>
    </row>
    <row r="7789" spans="2:2">
      <c r="B7789"/>
    </row>
    <row r="7790" spans="2:2">
      <c r="B7790"/>
    </row>
    <row r="7791" spans="2:2">
      <c r="B7791"/>
    </row>
    <row r="7792" spans="2:2">
      <c r="B7792"/>
    </row>
    <row r="7793" spans="2:2">
      <c r="B7793"/>
    </row>
    <row r="7794" spans="2:2">
      <c r="B7794"/>
    </row>
    <row r="7795" spans="2:2">
      <c r="B7795"/>
    </row>
    <row r="7796" spans="2:2">
      <c r="B7796"/>
    </row>
    <row r="7797" spans="2:2">
      <c r="B7797"/>
    </row>
    <row r="7798" spans="2:2">
      <c r="B7798"/>
    </row>
    <row r="7799" spans="2:2">
      <c r="B7799"/>
    </row>
    <row r="7800" spans="2:2">
      <c r="B7800"/>
    </row>
    <row r="7801" spans="2:2">
      <c r="B7801"/>
    </row>
    <row r="7802" spans="2:2">
      <c r="B7802"/>
    </row>
    <row r="7803" spans="2:2">
      <c r="B7803"/>
    </row>
    <row r="7804" spans="2:2">
      <c r="B7804"/>
    </row>
    <row r="7805" spans="2:2">
      <c r="B7805"/>
    </row>
    <row r="7806" spans="2:2">
      <c r="B7806"/>
    </row>
    <row r="7807" spans="2:2">
      <c r="B7807"/>
    </row>
    <row r="7808" spans="2:2">
      <c r="B7808"/>
    </row>
    <row r="7809" spans="2:2">
      <c r="B7809"/>
    </row>
    <row r="7810" spans="2:2">
      <c r="B7810"/>
    </row>
    <row r="7811" spans="2:2">
      <c r="B7811"/>
    </row>
    <row r="7812" spans="2:2">
      <c r="B7812"/>
    </row>
    <row r="7813" spans="2:2">
      <c r="B7813"/>
    </row>
    <row r="7814" spans="2:2">
      <c r="B7814"/>
    </row>
    <row r="7815" spans="2:2">
      <c r="B7815"/>
    </row>
    <row r="7816" spans="2:2">
      <c r="B7816"/>
    </row>
    <row r="7817" spans="2:2">
      <c r="B7817"/>
    </row>
    <row r="7818" spans="2:2">
      <c r="B7818"/>
    </row>
    <row r="7819" spans="2:2">
      <c r="B7819"/>
    </row>
    <row r="7820" spans="2:2">
      <c r="B7820"/>
    </row>
    <row r="7821" spans="2:2">
      <c r="B7821"/>
    </row>
    <row r="7822" spans="2:2">
      <c r="B7822"/>
    </row>
    <row r="7823" spans="2:2">
      <c r="B7823"/>
    </row>
    <row r="7824" spans="2:2">
      <c r="B7824"/>
    </row>
    <row r="7825" spans="2:2">
      <c r="B7825"/>
    </row>
    <row r="7826" spans="2:2">
      <c r="B7826"/>
    </row>
    <row r="7827" spans="2:2">
      <c r="B7827"/>
    </row>
    <row r="7828" spans="2:2">
      <c r="B7828"/>
    </row>
    <row r="7829" spans="2:2">
      <c r="B7829"/>
    </row>
    <row r="7830" spans="2:2">
      <c r="B7830"/>
    </row>
    <row r="7831" spans="2:2">
      <c r="B7831"/>
    </row>
    <row r="7832" spans="2:2">
      <c r="B7832"/>
    </row>
    <row r="7833" spans="2:2">
      <c r="B7833"/>
    </row>
    <row r="7834" spans="2:2">
      <c r="B7834"/>
    </row>
    <row r="7835" spans="2:2">
      <c r="B7835"/>
    </row>
    <row r="7836" spans="2:2">
      <c r="B7836"/>
    </row>
    <row r="7837" spans="2:2">
      <c r="B7837"/>
    </row>
    <row r="7838" spans="2:2">
      <c r="B7838"/>
    </row>
    <row r="7839" spans="2:2">
      <c r="B7839"/>
    </row>
    <row r="7840" spans="2:2">
      <c r="B7840"/>
    </row>
    <row r="7841" spans="2:2">
      <c r="B7841"/>
    </row>
    <row r="7842" spans="2:2">
      <c r="B7842"/>
    </row>
    <row r="7843" spans="2:2">
      <c r="B7843"/>
    </row>
    <row r="7844" spans="2:2">
      <c r="B7844"/>
    </row>
    <row r="7845" spans="2:2">
      <c r="B7845"/>
    </row>
    <row r="7846" spans="2:2">
      <c r="B7846"/>
    </row>
    <row r="7847" spans="2:2">
      <c r="B7847"/>
    </row>
    <row r="7848" spans="2:2">
      <c r="B7848"/>
    </row>
    <row r="7849" spans="2:2">
      <c r="B7849"/>
    </row>
    <row r="7850" spans="2:2">
      <c r="B7850"/>
    </row>
    <row r="7851" spans="2:2">
      <c r="B7851"/>
    </row>
    <row r="7852" spans="2:2">
      <c r="B7852"/>
    </row>
    <row r="7853" spans="2:2">
      <c r="B7853"/>
    </row>
    <row r="7854" spans="2:2">
      <c r="B7854"/>
    </row>
    <row r="7855" spans="2:2">
      <c r="B7855"/>
    </row>
    <row r="7856" spans="2:2">
      <c r="B7856"/>
    </row>
    <row r="7857" spans="2:2">
      <c r="B7857"/>
    </row>
    <row r="7858" spans="2:2">
      <c r="B7858"/>
    </row>
    <row r="7859" spans="2:2">
      <c r="B7859"/>
    </row>
    <row r="7860" spans="2:2">
      <c r="B7860"/>
    </row>
    <row r="7861" spans="2:2">
      <c r="B7861"/>
    </row>
    <row r="7862" spans="2:2">
      <c r="B7862"/>
    </row>
    <row r="7863" spans="2:2">
      <c r="B7863"/>
    </row>
    <row r="7864" spans="2:2">
      <c r="B7864"/>
    </row>
    <row r="7865" spans="2:2">
      <c r="B7865"/>
    </row>
    <row r="7866" spans="2:2">
      <c r="B7866"/>
    </row>
    <row r="7867" spans="2:2">
      <c r="B7867"/>
    </row>
    <row r="7868" spans="2:2">
      <c r="B7868"/>
    </row>
    <row r="7869" spans="2:2">
      <c r="B7869"/>
    </row>
    <row r="7870" spans="2:2">
      <c r="B7870"/>
    </row>
    <row r="7871" spans="2:2">
      <c r="B7871"/>
    </row>
    <row r="7872" spans="2:2">
      <c r="B7872"/>
    </row>
    <row r="7873" spans="2:2">
      <c r="B7873"/>
    </row>
    <row r="7874" spans="2:2">
      <c r="B7874"/>
    </row>
    <row r="7875" spans="2:2">
      <c r="B7875"/>
    </row>
    <row r="7876" spans="2:2">
      <c r="B7876"/>
    </row>
    <row r="7877" spans="2:2">
      <c r="B7877"/>
    </row>
    <row r="7878" spans="2:2">
      <c r="B7878"/>
    </row>
    <row r="7879" spans="2:2">
      <c r="B7879"/>
    </row>
    <row r="7880" spans="2:2">
      <c r="B7880"/>
    </row>
    <row r="7881" spans="2:2">
      <c r="B7881"/>
    </row>
    <row r="7882" spans="2:2">
      <c r="B7882"/>
    </row>
    <row r="7883" spans="2:2">
      <c r="B7883"/>
    </row>
    <row r="7884" spans="2:2">
      <c r="B7884"/>
    </row>
    <row r="7885" spans="2:2">
      <c r="B7885"/>
    </row>
    <row r="7886" spans="2:2">
      <c r="B7886"/>
    </row>
    <row r="7887" spans="2:2">
      <c r="B7887"/>
    </row>
    <row r="7888" spans="2:2">
      <c r="B7888"/>
    </row>
    <row r="7889" spans="2:2">
      <c r="B7889"/>
    </row>
    <row r="7890" spans="2:2">
      <c r="B7890"/>
    </row>
    <row r="7891" spans="2:2">
      <c r="B7891"/>
    </row>
    <row r="7892" spans="2:2">
      <c r="B7892"/>
    </row>
    <row r="7893" spans="2:2">
      <c r="B7893"/>
    </row>
    <row r="7894" spans="2:2">
      <c r="B7894"/>
    </row>
    <row r="7895" spans="2:2">
      <c r="B7895"/>
    </row>
    <row r="7896" spans="2:2">
      <c r="B7896"/>
    </row>
    <row r="7897" spans="2:2">
      <c r="B7897"/>
    </row>
    <row r="7898" spans="2:2">
      <c r="B7898"/>
    </row>
    <row r="7899" spans="2:2">
      <c r="B7899"/>
    </row>
    <row r="7900" spans="2:2">
      <c r="B7900"/>
    </row>
    <row r="7901" spans="2:2">
      <c r="B7901"/>
    </row>
    <row r="7902" spans="2:2">
      <c r="B7902"/>
    </row>
    <row r="7903" spans="2:2">
      <c r="B7903"/>
    </row>
    <row r="7904" spans="2:2">
      <c r="B7904"/>
    </row>
    <row r="7905" spans="2:2">
      <c r="B7905"/>
    </row>
    <row r="7906" spans="2:2">
      <c r="B7906"/>
    </row>
    <row r="7907" spans="2:2">
      <c r="B7907"/>
    </row>
    <row r="7908" spans="2:2">
      <c r="B7908"/>
    </row>
    <row r="7909" spans="2:2">
      <c r="B7909"/>
    </row>
    <row r="7910" spans="2:2">
      <c r="B7910"/>
    </row>
    <row r="7911" spans="2:2">
      <c r="B7911"/>
    </row>
    <row r="7912" spans="2:2">
      <c r="B7912"/>
    </row>
    <row r="7913" spans="2:2">
      <c r="B7913"/>
    </row>
    <row r="7914" spans="2:2">
      <c r="B7914"/>
    </row>
    <row r="7915" spans="2:2">
      <c r="B7915"/>
    </row>
    <row r="7916" spans="2:2">
      <c r="B7916"/>
    </row>
    <row r="7917" spans="2:2">
      <c r="B7917"/>
    </row>
    <row r="7918" spans="2:2">
      <c r="B7918"/>
    </row>
    <row r="7919" spans="2:2">
      <c r="B7919"/>
    </row>
    <row r="7920" spans="2:2">
      <c r="B7920"/>
    </row>
    <row r="7921" spans="2:2">
      <c r="B7921"/>
    </row>
    <row r="7922" spans="2:2">
      <c r="B7922"/>
    </row>
    <row r="7923" spans="2:2">
      <c r="B7923"/>
    </row>
    <row r="7924" spans="2:2">
      <c r="B7924"/>
    </row>
    <row r="7925" spans="2:2">
      <c r="B7925"/>
    </row>
    <row r="7926" spans="2:2">
      <c r="B7926"/>
    </row>
    <row r="7927" spans="2:2">
      <c r="B7927"/>
    </row>
    <row r="7928" spans="2:2">
      <c r="B7928"/>
    </row>
    <row r="7929" spans="2:2">
      <c r="B7929"/>
    </row>
    <row r="7930" spans="2:2">
      <c r="B7930"/>
    </row>
    <row r="7931" spans="2:2">
      <c r="B7931"/>
    </row>
    <row r="7932" spans="2:2">
      <c r="B7932"/>
    </row>
    <row r="7933" spans="2:2">
      <c r="B7933"/>
    </row>
    <row r="7934" spans="2:2">
      <c r="B7934"/>
    </row>
    <row r="7935" spans="2:2">
      <c r="B7935"/>
    </row>
    <row r="7936" spans="2:2">
      <c r="B7936"/>
    </row>
    <row r="7937" spans="2:2">
      <c r="B7937"/>
    </row>
    <row r="7938" spans="2:2">
      <c r="B7938"/>
    </row>
    <row r="7939" spans="2:2">
      <c r="B7939"/>
    </row>
    <row r="7940" spans="2:2">
      <c r="B7940"/>
    </row>
    <row r="7941" spans="2:2">
      <c r="B7941"/>
    </row>
    <row r="7942" spans="2:2">
      <c r="B7942"/>
    </row>
    <row r="7943" spans="2:2">
      <c r="B7943"/>
    </row>
    <row r="7944" spans="2:2">
      <c r="B7944"/>
    </row>
    <row r="7945" spans="2:2">
      <c r="B7945"/>
    </row>
    <row r="7946" spans="2:2">
      <c r="B7946"/>
    </row>
    <row r="7947" spans="2:2">
      <c r="B7947"/>
    </row>
    <row r="7948" spans="2:2">
      <c r="B7948"/>
    </row>
    <row r="7949" spans="2:2">
      <c r="B7949"/>
    </row>
    <row r="7950" spans="2:2">
      <c r="B7950"/>
    </row>
    <row r="7951" spans="2:2">
      <c r="B7951"/>
    </row>
    <row r="7952" spans="2:2">
      <c r="B7952"/>
    </row>
    <row r="7953" spans="2:2">
      <c r="B7953"/>
    </row>
    <row r="7954" spans="2:2">
      <c r="B7954"/>
    </row>
    <row r="7955" spans="2:2">
      <c r="B7955"/>
    </row>
    <row r="7956" spans="2:2">
      <c r="B7956"/>
    </row>
    <row r="7957" spans="2:2">
      <c r="B7957"/>
    </row>
    <row r="7958" spans="2:2">
      <c r="B7958"/>
    </row>
    <row r="7959" spans="2:2">
      <c r="B7959"/>
    </row>
    <row r="7960" spans="2:2">
      <c r="B7960"/>
    </row>
    <row r="7961" spans="2:2">
      <c r="B7961"/>
    </row>
    <row r="7962" spans="2:2">
      <c r="B7962"/>
    </row>
    <row r="7963" spans="2:2">
      <c r="B7963"/>
    </row>
    <row r="7964" spans="2:2">
      <c r="B7964"/>
    </row>
    <row r="7965" spans="2:2">
      <c r="B7965"/>
    </row>
    <row r="7966" spans="2:2">
      <c r="B7966"/>
    </row>
    <row r="7967" spans="2:2">
      <c r="B7967"/>
    </row>
    <row r="7968" spans="2:2">
      <c r="B7968"/>
    </row>
    <row r="7969" spans="2:2">
      <c r="B7969"/>
    </row>
    <row r="7970" spans="2:2">
      <c r="B7970"/>
    </row>
    <row r="7971" spans="2:2">
      <c r="B7971"/>
    </row>
    <row r="7972" spans="2:2">
      <c r="B7972"/>
    </row>
    <row r="7973" spans="2:2">
      <c r="B7973"/>
    </row>
    <row r="7974" spans="2:2">
      <c r="B7974"/>
    </row>
    <row r="7975" spans="2:2">
      <c r="B7975"/>
    </row>
    <row r="7976" spans="2:2">
      <c r="B7976"/>
    </row>
    <row r="7977" spans="2:2">
      <c r="B7977"/>
    </row>
    <row r="7978" spans="2:2">
      <c r="B7978"/>
    </row>
    <row r="7979" spans="2:2">
      <c r="B7979"/>
    </row>
    <row r="7980" spans="2:2">
      <c r="B7980"/>
    </row>
    <row r="7981" spans="2:2">
      <c r="B7981"/>
    </row>
    <row r="7982" spans="2:2">
      <c r="B7982"/>
    </row>
    <row r="7983" spans="2:2">
      <c r="B7983"/>
    </row>
    <row r="7984" spans="2:2">
      <c r="B7984"/>
    </row>
    <row r="7985" spans="2:2">
      <c r="B7985"/>
    </row>
    <row r="7986" spans="2:2">
      <c r="B7986"/>
    </row>
    <row r="7987" spans="2:2">
      <c r="B7987"/>
    </row>
    <row r="7988" spans="2:2">
      <c r="B7988"/>
    </row>
    <row r="7989" spans="2:2">
      <c r="B7989"/>
    </row>
    <row r="7990" spans="2:2">
      <c r="B7990"/>
    </row>
    <row r="7991" spans="2:2">
      <c r="B7991"/>
    </row>
    <row r="7992" spans="2:2">
      <c r="B7992"/>
    </row>
    <row r="7993" spans="2:2">
      <c r="B7993"/>
    </row>
    <row r="7994" spans="2:2">
      <c r="B7994"/>
    </row>
    <row r="7995" spans="2:2">
      <c r="B7995"/>
    </row>
    <row r="7996" spans="2:2">
      <c r="B7996"/>
    </row>
    <row r="7997" spans="2:2">
      <c r="B7997"/>
    </row>
    <row r="7998" spans="2:2">
      <c r="B7998"/>
    </row>
    <row r="7999" spans="2:2">
      <c r="B7999"/>
    </row>
    <row r="8000" spans="2:2">
      <c r="B8000"/>
    </row>
    <row r="8001" spans="2:2">
      <c r="B8001"/>
    </row>
    <row r="8002" spans="2:2">
      <c r="B8002"/>
    </row>
    <row r="8003" spans="2:2">
      <c r="B8003"/>
    </row>
    <row r="8004" spans="2:2">
      <c r="B8004"/>
    </row>
    <row r="8005" spans="2:2">
      <c r="B8005"/>
    </row>
    <row r="8006" spans="2:2">
      <c r="B8006"/>
    </row>
    <row r="8007" spans="2:2">
      <c r="B8007"/>
    </row>
    <row r="8008" spans="2:2">
      <c r="B8008"/>
    </row>
    <row r="8009" spans="2:2">
      <c r="B8009"/>
    </row>
    <row r="8010" spans="2:2">
      <c r="B8010"/>
    </row>
    <row r="8011" spans="2:2">
      <c r="B8011"/>
    </row>
    <row r="8012" spans="2:2">
      <c r="B8012"/>
    </row>
    <row r="8013" spans="2:2">
      <c r="B8013"/>
    </row>
    <row r="8014" spans="2:2">
      <c r="B8014"/>
    </row>
    <row r="8015" spans="2:2">
      <c r="B8015"/>
    </row>
    <row r="8016" spans="2:2">
      <c r="B8016"/>
    </row>
    <row r="8017" spans="2:2">
      <c r="B8017"/>
    </row>
    <row r="8018" spans="2:2">
      <c r="B8018"/>
    </row>
    <row r="8019" spans="2:2">
      <c r="B8019"/>
    </row>
    <row r="8020" spans="2:2">
      <c r="B8020"/>
    </row>
    <row r="8021" spans="2:2">
      <c r="B8021"/>
    </row>
    <row r="8022" spans="2:2">
      <c r="B8022"/>
    </row>
    <row r="8023" spans="2:2">
      <c r="B8023"/>
    </row>
    <row r="8024" spans="2:2">
      <c r="B8024"/>
    </row>
    <row r="8025" spans="2:2">
      <c r="B8025"/>
    </row>
    <row r="8026" spans="2:2">
      <c r="B8026"/>
    </row>
    <row r="8027" spans="2:2">
      <c r="B8027"/>
    </row>
    <row r="8028" spans="2:2">
      <c r="B8028"/>
    </row>
    <row r="8029" spans="2:2">
      <c r="B8029"/>
    </row>
    <row r="8030" spans="2:2">
      <c r="B8030"/>
    </row>
    <row r="8031" spans="2:2">
      <c r="B8031"/>
    </row>
    <row r="8032" spans="2:2">
      <c r="B8032"/>
    </row>
    <row r="8033" spans="2:2">
      <c r="B8033"/>
    </row>
    <row r="8034" spans="2:2">
      <c r="B8034"/>
    </row>
    <row r="8035" spans="2:2">
      <c r="B8035"/>
    </row>
    <row r="8036" spans="2:2">
      <c r="B8036"/>
    </row>
    <row r="8037" spans="2:2">
      <c r="B8037"/>
    </row>
    <row r="8038" spans="2:2">
      <c r="B8038"/>
    </row>
    <row r="8039" spans="2:2">
      <c r="B8039"/>
    </row>
    <row r="8040" spans="2:2">
      <c r="B8040"/>
    </row>
    <row r="8041" spans="2:2">
      <c r="B8041"/>
    </row>
    <row r="8042" spans="2:2">
      <c r="B8042"/>
    </row>
    <row r="8043" spans="2:2">
      <c r="B8043"/>
    </row>
    <row r="8044" spans="2:2">
      <c r="B8044"/>
    </row>
    <row r="8045" spans="2:2">
      <c r="B8045"/>
    </row>
    <row r="8046" spans="2:2">
      <c r="B8046"/>
    </row>
    <row r="8047" spans="2:2">
      <c r="B8047"/>
    </row>
    <row r="8048" spans="2:2">
      <c r="B8048"/>
    </row>
    <row r="8049" spans="2:2">
      <c r="B8049"/>
    </row>
    <row r="8050" spans="2:2">
      <c r="B8050"/>
    </row>
    <row r="8051" spans="2:2">
      <c r="B8051"/>
    </row>
    <row r="8052" spans="2:2">
      <c r="B8052"/>
    </row>
    <row r="8053" spans="2:2">
      <c r="B8053"/>
    </row>
    <row r="8054" spans="2:2">
      <c r="B8054"/>
    </row>
    <row r="8055" spans="2:2">
      <c r="B8055"/>
    </row>
    <row r="8056" spans="2:2">
      <c r="B8056"/>
    </row>
    <row r="8057" spans="2:2">
      <c r="B8057"/>
    </row>
    <row r="8058" spans="2:2">
      <c r="B8058"/>
    </row>
    <row r="8059" spans="2:2">
      <c r="B8059"/>
    </row>
    <row r="8060" spans="2:2">
      <c r="B8060"/>
    </row>
    <row r="8061" spans="2:2">
      <c r="B8061"/>
    </row>
    <row r="8062" spans="2:2">
      <c r="B8062"/>
    </row>
    <row r="8063" spans="2:2">
      <c r="B8063"/>
    </row>
    <row r="8064" spans="2:2">
      <c r="B8064"/>
    </row>
    <row r="8065" spans="2:2">
      <c r="B8065"/>
    </row>
    <row r="8066" spans="2:2">
      <c r="B8066"/>
    </row>
    <row r="8067" spans="2:2">
      <c r="B8067"/>
    </row>
    <row r="8068" spans="2:2">
      <c r="B8068"/>
    </row>
    <row r="8069" spans="2:2">
      <c r="B8069"/>
    </row>
    <row r="8070" spans="2:2">
      <c r="B8070"/>
    </row>
    <row r="8071" spans="2:2">
      <c r="B8071"/>
    </row>
    <row r="8072" spans="2:2">
      <c r="B8072"/>
    </row>
    <row r="8073" spans="2:2">
      <c r="B8073"/>
    </row>
    <row r="8074" spans="2:2">
      <c r="B8074"/>
    </row>
    <row r="8075" spans="2:2">
      <c r="B8075"/>
    </row>
    <row r="8076" spans="2:2">
      <c r="B8076"/>
    </row>
    <row r="8077" spans="2:2">
      <c r="B8077"/>
    </row>
    <row r="8078" spans="2:2">
      <c r="B8078"/>
    </row>
    <row r="8079" spans="2:2">
      <c r="B8079"/>
    </row>
    <row r="8080" spans="2:2">
      <c r="B8080"/>
    </row>
    <row r="8081" spans="2:2">
      <c r="B8081"/>
    </row>
    <row r="8082" spans="2:2">
      <c r="B8082"/>
    </row>
    <row r="8083" spans="2:2">
      <c r="B8083"/>
    </row>
    <row r="8084" spans="2:2">
      <c r="B8084"/>
    </row>
    <row r="8085" spans="2:2">
      <c r="B8085"/>
    </row>
    <row r="8086" spans="2:2">
      <c r="B8086"/>
    </row>
    <row r="8087" spans="2:2">
      <c r="B8087"/>
    </row>
    <row r="8088" spans="2:2">
      <c r="B8088"/>
    </row>
    <row r="8089" spans="2:2">
      <c r="B8089"/>
    </row>
    <row r="8090" spans="2:2">
      <c r="B8090"/>
    </row>
    <row r="8091" spans="2:2">
      <c r="B8091"/>
    </row>
    <row r="8092" spans="2:2">
      <c r="B8092"/>
    </row>
    <row r="8093" spans="2:2">
      <c r="B8093"/>
    </row>
    <row r="8094" spans="2:2">
      <c r="B8094"/>
    </row>
    <row r="8095" spans="2:2">
      <c r="B8095"/>
    </row>
    <row r="8096" spans="2:2">
      <c r="B8096"/>
    </row>
    <row r="8097" spans="2:2">
      <c r="B8097"/>
    </row>
    <row r="8098" spans="2:2">
      <c r="B8098"/>
    </row>
    <row r="8099" spans="2:2">
      <c r="B8099"/>
    </row>
    <row r="8100" spans="2:2">
      <c r="B8100"/>
    </row>
    <row r="8101" spans="2:2">
      <c r="B8101"/>
    </row>
    <row r="8102" spans="2:2">
      <c r="B8102"/>
    </row>
    <row r="8103" spans="2:2">
      <c r="B8103"/>
    </row>
    <row r="8104" spans="2:2">
      <c r="B8104"/>
    </row>
    <row r="8105" spans="2:2">
      <c r="B8105"/>
    </row>
    <row r="8106" spans="2:2">
      <c r="B8106"/>
    </row>
    <row r="8107" spans="2:2">
      <c r="B8107"/>
    </row>
    <row r="8108" spans="2:2">
      <c r="B8108"/>
    </row>
    <row r="8109" spans="2:2">
      <c r="B8109"/>
    </row>
    <row r="8110" spans="2:2">
      <c r="B8110"/>
    </row>
    <row r="8111" spans="2:2">
      <c r="B8111"/>
    </row>
    <row r="8112" spans="2:2">
      <c r="B8112"/>
    </row>
    <row r="8113" spans="2:2">
      <c r="B8113"/>
    </row>
    <row r="8114" spans="2:2">
      <c r="B8114"/>
    </row>
    <row r="8115" spans="2:2">
      <c r="B8115"/>
    </row>
    <row r="8116" spans="2:2">
      <c r="B8116"/>
    </row>
    <row r="8117" spans="2:2">
      <c r="B8117"/>
    </row>
    <row r="8118" spans="2:2">
      <c r="B8118"/>
    </row>
    <row r="8119" spans="2:2">
      <c r="B8119"/>
    </row>
    <row r="8120" spans="2:2">
      <c r="B8120"/>
    </row>
    <row r="8121" spans="2:2">
      <c r="B8121"/>
    </row>
    <row r="8122" spans="2:2">
      <c r="B8122"/>
    </row>
    <row r="8123" spans="2:2">
      <c r="B8123"/>
    </row>
    <row r="8124" spans="2:2">
      <c r="B8124"/>
    </row>
    <row r="8125" spans="2:2">
      <c r="B8125"/>
    </row>
    <row r="8126" spans="2:2">
      <c r="B8126"/>
    </row>
    <row r="8127" spans="2:2">
      <c r="B8127"/>
    </row>
    <row r="8128" spans="2:2">
      <c r="B8128"/>
    </row>
    <row r="8129" spans="2:2">
      <c r="B8129"/>
    </row>
    <row r="8130" spans="2:2">
      <c r="B8130"/>
    </row>
    <row r="8131" spans="2:2">
      <c r="B8131"/>
    </row>
    <row r="8132" spans="2:2">
      <c r="B8132"/>
    </row>
    <row r="8133" spans="2:2">
      <c r="B8133"/>
    </row>
    <row r="8134" spans="2:2">
      <c r="B8134"/>
    </row>
    <row r="8135" spans="2:2">
      <c r="B8135"/>
    </row>
    <row r="8136" spans="2:2">
      <c r="B8136"/>
    </row>
    <row r="8137" spans="2:2">
      <c r="B8137"/>
    </row>
    <row r="8138" spans="2:2">
      <c r="B8138"/>
    </row>
    <row r="8139" spans="2:2">
      <c r="B8139"/>
    </row>
    <row r="8140" spans="2:2">
      <c r="B8140"/>
    </row>
    <row r="8141" spans="2:2">
      <c r="B8141"/>
    </row>
    <row r="8142" spans="2:2">
      <c r="B8142"/>
    </row>
    <row r="8143" spans="2:2">
      <c r="B8143"/>
    </row>
    <row r="8144" spans="2:2">
      <c r="B8144"/>
    </row>
    <row r="8145" spans="2:2">
      <c r="B8145"/>
    </row>
    <row r="8146" spans="2:2">
      <c r="B8146"/>
    </row>
    <row r="8147" spans="2:2">
      <c r="B8147"/>
    </row>
    <row r="8148" spans="2:2">
      <c r="B8148"/>
    </row>
    <row r="8149" spans="2:2">
      <c r="B8149"/>
    </row>
    <row r="8150" spans="2:2">
      <c r="B8150"/>
    </row>
    <row r="8151" spans="2:2">
      <c r="B8151"/>
    </row>
    <row r="8152" spans="2:2">
      <c r="B8152"/>
    </row>
    <row r="8153" spans="2:2">
      <c r="B8153"/>
    </row>
    <row r="8154" spans="2:2">
      <c r="B8154"/>
    </row>
    <row r="8155" spans="2:2">
      <c r="B8155"/>
    </row>
    <row r="8156" spans="2:2">
      <c r="B8156"/>
    </row>
    <row r="8157" spans="2:2">
      <c r="B8157"/>
    </row>
    <row r="8158" spans="2:2">
      <c r="B8158"/>
    </row>
    <row r="8159" spans="2:2">
      <c r="B8159"/>
    </row>
    <row r="8160" spans="2:2">
      <c r="B8160"/>
    </row>
    <row r="8161" spans="2:2">
      <c r="B8161"/>
    </row>
    <row r="8162" spans="2:2">
      <c r="B8162"/>
    </row>
    <row r="8163" spans="2:2">
      <c r="B8163"/>
    </row>
    <row r="8164" spans="2:2">
      <c r="B8164"/>
    </row>
    <row r="8165" spans="2:2">
      <c r="B8165"/>
    </row>
    <row r="8166" spans="2:2">
      <c r="B8166"/>
    </row>
    <row r="8167" spans="2:2">
      <c r="B8167"/>
    </row>
    <row r="8168" spans="2:2">
      <c r="B8168"/>
    </row>
    <row r="8169" spans="2:2">
      <c r="B8169"/>
    </row>
    <row r="8170" spans="2:2">
      <c r="B8170"/>
    </row>
    <row r="8171" spans="2:2">
      <c r="B8171"/>
    </row>
    <row r="8172" spans="2:2">
      <c r="B8172"/>
    </row>
    <row r="8173" spans="2:2">
      <c r="B8173"/>
    </row>
    <row r="8174" spans="2:2">
      <c r="B8174"/>
    </row>
    <row r="8175" spans="2:2">
      <c r="B8175"/>
    </row>
    <row r="8176" spans="2:2">
      <c r="B8176"/>
    </row>
    <row r="8177" spans="2:2">
      <c r="B8177"/>
    </row>
    <row r="8178" spans="2:2">
      <c r="B8178"/>
    </row>
    <row r="8179" spans="2:2">
      <c r="B8179"/>
    </row>
    <row r="8180" spans="2:2">
      <c r="B8180"/>
    </row>
    <row r="8181" spans="2:2">
      <c r="B8181"/>
    </row>
    <row r="8182" spans="2:2">
      <c r="B8182"/>
    </row>
    <row r="8183" spans="2:2">
      <c r="B8183"/>
    </row>
    <row r="8184" spans="2:2">
      <c r="B8184"/>
    </row>
    <row r="8185" spans="2:2">
      <c r="B8185"/>
    </row>
    <row r="8186" spans="2:2">
      <c r="B8186"/>
    </row>
    <row r="8187" spans="2:2">
      <c r="B8187"/>
    </row>
    <row r="8188" spans="2:2">
      <c r="B8188"/>
    </row>
    <row r="8189" spans="2:2">
      <c r="B8189"/>
    </row>
    <row r="8190" spans="2:2">
      <c r="B8190"/>
    </row>
    <row r="8191" spans="2:2">
      <c r="B8191"/>
    </row>
    <row r="8192" spans="2:2">
      <c r="B8192"/>
    </row>
    <row r="8193" spans="2:2">
      <c r="B8193"/>
    </row>
    <row r="8194" spans="2:2">
      <c r="B8194"/>
    </row>
    <row r="8195" spans="2:2">
      <c r="B8195"/>
    </row>
    <row r="8196" spans="2:2">
      <c r="B8196"/>
    </row>
    <row r="8197" spans="2:2">
      <c r="B8197"/>
    </row>
    <row r="8198" spans="2:2">
      <c r="B8198"/>
    </row>
    <row r="8199" spans="2:2">
      <c r="B8199"/>
    </row>
    <row r="8200" spans="2:2">
      <c r="B8200"/>
    </row>
    <row r="8201" spans="2:2">
      <c r="B8201"/>
    </row>
    <row r="8202" spans="2:2">
      <c r="B8202"/>
    </row>
    <row r="8203" spans="2:2">
      <c r="B8203"/>
    </row>
    <row r="8204" spans="2:2">
      <c r="B8204"/>
    </row>
    <row r="8205" spans="2:2">
      <c r="B8205"/>
    </row>
    <row r="8206" spans="2:2">
      <c r="B8206"/>
    </row>
    <row r="8207" spans="2:2">
      <c r="B8207"/>
    </row>
    <row r="8208" spans="2:2">
      <c r="B8208"/>
    </row>
    <row r="8209" spans="2:2">
      <c r="B8209"/>
    </row>
    <row r="8210" spans="2:2">
      <c r="B8210"/>
    </row>
    <row r="8211" spans="2:2">
      <c r="B8211"/>
    </row>
    <row r="8212" spans="2:2">
      <c r="B8212"/>
    </row>
    <row r="8213" spans="2:2">
      <c r="B8213"/>
    </row>
    <row r="8214" spans="2:2">
      <c r="B8214"/>
    </row>
    <row r="8215" spans="2:2">
      <c r="B8215"/>
    </row>
    <row r="8216" spans="2:2">
      <c r="B8216"/>
    </row>
    <row r="8217" spans="2:2">
      <c r="B8217"/>
    </row>
    <row r="8218" spans="2:2">
      <c r="B8218"/>
    </row>
    <row r="8219" spans="2:2">
      <c r="B8219"/>
    </row>
    <row r="8220" spans="2:2">
      <c r="B8220"/>
    </row>
    <row r="8221" spans="2:2">
      <c r="B8221"/>
    </row>
    <row r="8222" spans="2:2">
      <c r="B8222"/>
    </row>
    <row r="8223" spans="2:2">
      <c r="B8223"/>
    </row>
    <row r="8224" spans="2:2">
      <c r="B8224"/>
    </row>
    <row r="8225" spans="2:2">
      <c r="B8225"/>
    </row>
    <row r="8226" spans="2:2">
      <c r="B8226"/>
    </row>
    <row r="8227" spans="2:2">
      <c r="B8227"/>
    </row>
    <row r="8228" spans="2:2">
      <c r="B8228"/>
    </row>
    <row r="8229" spans="2:2">
      <c r="B8229"/>
    </row>
    <row r="8230" spans="2:2">
      <c r="B8230"/>
    </row>
    <row r="8231" spans="2:2">
      <c r="B8231"/>
    </row>
    <row r="8232" spans="2:2">
      <c r="B8232"/>
    </row>
    <row r="8233" spans="2:2">
      <c r="B8233"/>
    </row>
    <row r="8234" spans="2:2">
      <c r="B8234"/>
    </row>
    <row r="8235" spans="2:2">
      <c r="B8235"/>
    </row>
    <row r="8236" spans="2:2">
      <c r="B8236"/>
    </row>
    <row r="8237" spans="2:2">
      <c r="B8237"/>
    </row>
    <row r="8238" spans="2:2">
      <c r="B8238"/>
    </row>
    <row r="8239" spans="2:2">
      <c r="B8239"/>
    </row>
    <row r="8240" spans="2:2">
      <c r="B8240"/>
    </row>
    <row r="8241" spans="2:2">
      <c r="B8241"/>
    </row>
    <row r="8242" spans="2:2">
      <c r="B8242"/>
    </row>
    <row r="8243" spans="2:2">
      <c r="B8243"/>
    </row>
    <row r="8244" spans="2:2">
      <c r="B8244"/>
    </row>
    <row r="8245" spans="2:2">
      <c r="B8245"/>
    </row>
    <row r="8246" spans="2:2">
      <c r="B8246"/>
    </row>
    <row r="8247" spans="2:2">
      <c r="B8247"/>
    </row>
    <row r="8248" spans="2:2">
      <c r="B8248"/>
    </row>
    <row r="8249" spans="2:2">
      <c r="B8249"/>
    </row>
    <row r="8250" spans="2:2">
      <c r="B8250"/>
    </row>
    <row r="8251" spans="2:2">
      <c r="B8251"/>
    </row>
    <row r="8252" spans="2:2">
      <c r="B8252"/>
    </row>
    <row r="8253" spans="2:2">
      <c r="B8253"/>
    </row>
    <row r="8254" spans="2:2">
      <c r="B8254"/>
    </row>
    <row r="8255" spans="2:2">
      <c r="B8255"/>
    </row>
    <row r="8256" spans="2:2">
      <c r="B8256"/>
    </row>
    <row r="8257" spans="2:2">
      <c r="B8257"/>
    </row>
    <row r="8258" spans="2:2">
      <c r="B8258"/>
    </row>
    <row r="8259" spans="2:2">
      <c r="B8259"/>
    </row>
    <row r="8260" spans="2:2">
      <c r="B8260"/>
    </row>
    <row r="8261" spans="2:2">
      <c r="B8261"/>
    </row>
    <row r="8262" spans="2:2">
      <c r="B8262"/>
    </row>
    <row r="8263" spans="2:2">
      <c r="B8263"/>
    </row>
    <row r="8264" spans="2:2">
      <c r="B8264"/>
    </row>
    <row r="8265" spans="2:2">
      <c r="B8265"/>
    </row>
    <row r="8266" spans="2:2">
      <c r="B8266"/>
    </row>
    <row r="8267" spans="2:2">
      <c r="B8267"/>
    </row>
    <row r="8268" spans="2:2">
      <c r="B8268"/>
    </row>
    <row r="8269" spans="2:2">
      <c r="B8269"/>
    </row>
    <row r="8270" spans="2:2">
      <c r="B8270"/>
    </row>
    <row r="8271" spans="2:2">
      <c r="B8271"/>
    </row>
    <row r="8272" spans="2:2">
      <c r="B8272"/>
    </row>
    <row r="8273" spans="2:2">
      <c r="B8273"/>
    </row>
    <row r="8274" spans="2:2">
      <c r="B8274"/>
    </row>
    <row r="8275" spans="2:2">
      <c r="B8275"/>
    </row>
    <row r="8276" spans="2:2">
      <c r="B8276"/>
    </row>
    <row r="8277" spans="2:2">
      <c r="B8277"/>
    </row>
    <row r="8278" spans="2:2">
      <c r="B8278"/>
    </row>
    <row r="8279" spans="2:2">
      <c r="B8279"/>
    </row>
    <row r="8280" spans="2:2">
      <c r="B8280"/>
    </row>
    <row r="8281" spans="2:2">
      <c r="B8281"/>
    </row>
    <row r="8282" spans="2:2">
      <c r="B8282"/>
    </row>
    <row r="8283" spans="2:2">
      <c r="B8283"/>
    </row>
    <row r="8284" spans="2:2">
      <c r="B8284"/>
    </row>
    <row r="8285" spans="2:2">
      <c r="B8285"/>
    </row>
    <row r="8286" spans="2:2">
      <c r="B8286"/>
    </row>
    <row r="8287" spans="2:2">
      <c r="B8287"/>
    </row>
    <row r="8288" spans="2:2">
      <c r="B8288"/>
    </row>
    <row r="8289" spans="2:2">
      <c r="B8289"/>
    </row>
    <row r="8290" spans="2:2">
      <c r="B8290"/>
    </row>
    <row r="8291" spans="2:2">
      <c r="B8291"/>
    </row>
    <row r="8292" spans="2:2">
      <c r="B8292"/>
    </row>
    <row r="8293" spans="2:2">
      <c r="B8293"/>
    </row>
    <row r="8294" spans="2:2">
      <c r="B8294"/>
    </row>
    <row r="8295" spans="2:2">
      <c r="B8295"/>
    </row>
    <row r="8296" spans="2:2">
      <c r="B8296"/>
    </row>
    <row r="8297" spans="2:2">
      <c r="B8297"/>
    </row>
    <row r="8298" spans="2:2">
      <c r="B8298"/>
    </row>
    <row r="8299" spans="2:2">
      <c r="B8299"/>
    </row>
    <row r="8300" spans="2:2">
      <c r="B8300"/>
    </row>
    <row r="8301" spans="2:2">
      <c r="B8301"/>
    </row>
    <row r="8302" spans="2:2">
      <c r="B8302"/>
    </row>
    <row r="8303" spans="2:2">
      <c r="B8303"/>
    </row>
    <row r="8304" spans="2:2">
      <c r="B8304"/>
    </row>
    <row r="8305" spans="2:2">
      <c r="B8305"/>
    </row>
    <row r="8306" spans="2:2">
      <c r="B8306"/>
    </row>
    <row r="8307" spans="2:2">
      <c r="B8307"/>
    </row>
    <row r="8308" spans="2:2">
      <c r="B8308"/>
    </row>
    <row r="8309" spans="2:2">
      <c r="B8309"/>
    </row>
    <row r="8310" spans="2:2">
      <c r="B8310"/>
    </row>
    <row r="8311" spans="2:2">
      <c r="B8311"/>
    </row>
    <row r="8312" spans="2:2">
      <c r="B8312"/>
    </row>
    <row r="8313" spans="2:2">
      <c r="B8313"/>
    </row>
    <row r="8314" spans="2:2">
      <c r="B8314"/>
    </row>
    <row r="8315" spans="2:2">
      <c r="B8315"/>
    </row>
    <row r="8316" spans="2:2">
      <c r="B8316"/>
    </row>
    <row r="8317" spans="2:2">
      <c r="B8317"/>
    </row>
    <row r="8318" spans="2:2">
      <c r="B8318"/>
    </row>
    <row r="8319" spans="2:2">
      <c r="B8319"/>
    </row>
    <row r="8320" spans="2:2">
      <c r="B8320"/>
    </row>
    <row r="8321" spans="2:2">
      <c r="B8321"/>
    </row>
    <row r="8322" spans="2:2">
      <c r="B8322"/>
    </row>
    <row r="8323" spans="2:2">
      <c r="B8323"/>
    </row>
    <row r="8324" spans="2:2">
      <c r="B8324"/>
    </row>
    <row r="8325" spans="2:2">
      <c r="B8325"/>
    </row>
    <row r="8326" spans="2:2">
      <c r="B8326"/>
    </row>
    <row r="8327" spans="2:2">
      <c r="B8327"/>
    </row>
    <row r="8328" spans="2:2">
      <c r="B8328"/>
    </row>
    <row r="8329" spans="2:2">
      <c r="B8329"/>
    </row>
    <row r="8330" spans="2:2">
      <c r="B8330"/>
    </row>
    <row r="8331" spans="2:2">
      <c r="B8331"/>
    </row>
    <row r="8332" spans="2:2">
      <c r="B8332"/>
    </row>
    <row r="8333" spans="2:2">
      <c r="B8333"/>
    </row>
    <row r="8334" spans="2:2">
      <c r="B8334"/>
    </row>
    <row r="8335" spans="2:2">
      <c r="B8335"/>
    </row>
    <row r="8336" spans="2:2">
      <c r="B8336"/>
    </row>
    <row r="8337" spans="2:2">
      <c r="B8337"/>
    </row>
    <row r="8338" spans="2:2">
      <c r="B8338"/>
    </row>
    <row r="8339" spans="2:2">
      <c r="B8339"/>
    </row>
    <row r="8340" spans="2:2">
      <c r="B8340"/>
    </row>
    <row r="8341" spans="2:2">
      <c r="B8341"/>
    </row>
    <row r="8342" spans="2:2">
      <c r="B8342"/>
    </row>
    <row r="8343" spans="2:2">
      <c r="B8343"/>
    </row>
    <row r="8344" spans="2:2">
      <c r="B8344"/>
    </row>
    <row r="8345" spans="2:2">
      <c r="B8345"/>
    </row>
    <row r="8346" spans="2:2">
      <c r="B8346"/>
    </row>
    <row r="8347" spans="2:2">
      <c r="B8347"/>
    </row>
    <row r="8348" spans="2:2">
      <c r="B8348"/>
    </row>
    <row r="8349" spans="2:2">
      <c r="B8349"/>
    </row>
    <row r="8350" spans="2:2">
      <c r="B8350"/>
    </row>
    <row r="8351" spans="2:2">
      <c r="B8351"/>
    </row>
    <row r="8352" spans="2:2">
      <c r="B8352"/>
    </row>
    <row r="8353" spans="2:2">
      <c r="B8353"/>
    </row>
    <row r="8354" spans="2:2">
      <c r="B8354"/>
    </row>
    <row r="8355" spans="2:2">
      <c r="B8355"/>
    </row>
    <row r="8356" spans="2:2">
      <c r="B8356"/>
    </row>
    <row r="8357" spans="2:2">
      <c r="B8357"/>
    </row>
    <row r="8358" spans="2:2">
      <c r="B8358"/>
    </row>
    <row r="8359" spans="2:2">
      <c r="B8359"/>
    </row>
    <row r="8360" spans="2:2">
      <c r="B8360"/>
    </row>
    <row r="8361" spans="2:2">
      <c r="B8361"/>
    </row>
    <row r="8362" spans="2:2">
      <c r="B8362"/>
    </row>
    <row r="8363" spans="2:2">
      <c r="B8363"/>
    </row>
    <row r="8364" spans="2:2">
      <c r="B8364"/>
    </row>
    <row r="8365" spans="2:2">
      <c r="B8365"/>
    </row>
    <row r="8366" spans="2:2">
      <c r="B8366"/>
    </row>
    <row r="8367" spans="2:2">
      <c r="B8367"/>
    </row>
    <row r="8368" spans="2:2">
      <c r="B8368"/>
    </row>
    <row r="8369" spans="2:2">
      <c r="B8369"/>
    </row>
    <row r="8370" spans="2:2">
      <c r="B8370"/>
    </row>
    <row r="8371" spans="2:2">
      <c r="B8371"/>
    </row>
    <row r="8372" spans="2:2">
      <c r="B8372"/>
    </row>
    <row r="8373" spans="2:2">
      <c r="B8373"/>
    </row>
    <row r="8374" spans="2:2">
      <c r="B8374"/>
    </row>
    <row r="8375" spans="2:2">
      <c r="B8375"/>
    </row>
    <row r="8376" spans="2:2">
      <c r="B8376"/>
    </row>
    <row r="8377" spans="2:2">
      <c r="B8377"/>
    </row>
    <row r="8378" spans="2:2">
      <c r="B8378"/>
    </row>
    <row r="8379" spans="2:2">
      <c r="B8379"/>
    </row>
    <row r="8380" spans="2:2">
      <c r="B8380"/>
    </row>
    <row r="8381" spans="2:2">
      <c r="B8381"/>
    </row>
    <row r="8382" spans="2:2">
      <c r="B8382"/>
    </row>
    <row r="8383" spans="2:2">
      <c r="B8383"/>
    </row>
    <row r="8384" spans="2:2">
      <c r="B8384"/>
    </row>
    <row r="8385" spans="2:2">
      <c r="B8385"/>
    </row>
    <row r="8386" spans="2:2">
      <c r="B8386"/>
    </row>
    <row r="8387" spans="2:2">
      <c r="B8387"/>
    </row>
    <row r="8388" spans="2:2">
      <c r="B8388"/>
    </row>
    <row r="8389" spans="2:2">
      <c r="B8389"/>
    </row>
    <row r="8390" spans="2:2">
      <c r="B8390"/>
    </row>
    <row r="8391" spans="2:2">
      <c r="B8391"/>
    </row>
    <row r="8392" spans="2:2">
      <c r="B8392"/>
    </row>
    <row r="8393" spans="2:2">
      <c r="B8393"/>
    </row>
    <row r="8394" spans="2:2">
      <c r="B8394"/>
    </row>
    <row r="8395" spans="2:2">
      <c r="B8395"/>
    </row>
    <row r="8396" spans="2:2">
      <c r="B8396"/>
    </row>
    <row r="8397" spans="2:2">
      <c r="B8397"/>
    </row>
    <row r="8398" spans="2:2">
      <c r="B8398"/>
    </row>
    <row r="8399" spans="2:2">
      <c r="B8399"/>
    </row>
    <row r="8400" spans="2:2">
      <c r="B8400"/>
    </row>
    <row r="8401" spans="2:2">
      <c r="B8401"/>
    </row>
    <row r="8402" spans="2:2">
      <c r="B8402"/>
    </row>
    <row r="8403" spans="2:2">
      <c r="B8403"/>
    </row>
    <row r="8404" spans="2:2">
      <c r="B8404"/>
    </row>
    <row r="8405" spans="2:2">
      <c r="B8405"/>
    </row>
    <row r="8406" spans="2:2">
      <c r="B8406"/>
    </row>
    <row r="8407" spans="2:2">
      <c r="B8407"/>
    </row>
    <row r="8408" spans="2:2">
      <c r="B8408"/>
    </row>
    <row r="8409" spans="2:2">
      <c r="B8409"/>
    </row>
    <row r="8410" spans="2:2">
      <c r="B8410"/>
    </row>
    <row r="8411" spans="2:2">
      <c r="B8411"/>
    </row>
    <row r="8412" spans="2:2">
      <c r="B8412"/>
    </row>
    <row r="8413" spans="2:2">
      <c r="B8413"/>
    </row>
    <row r="8414" spans="2:2">
      <c r="B8414"/>
    </row>
    <row r="8415" spans="2:2">
      <c r="B8415"/>
    </row>
    <row r="8416" spans="2:2">
      <c r="B8416"/>
    </row>
    <row r="8417" spans="2:2">
      <c r="B8417"/>
    </row>
    <row r="8418" spans="2:2">
      <c r="B8418"/>
    </row>
    <row r="8419" spans="2:2">
      <c r="B8419"/>
    </row>
    <row r="8420" spans="2:2">
      <c r="B8420"/>
    </row>
    <row r="8421" spans="2:2">
      <c r="B8421"/>
    </row>
    <row r="8422" spans="2:2">
      <c r="B8422"/>
    </row>
    <row r="8423" spans="2:2">
      <c r="B8423"/>
    </row>
    <row r="8424" spans="2:2">
      <c r="B8424"/>
    </row>
    <row r="8425" spans="2:2">
      <c r="B8425"/>
    </row>
    <row r="8426" spans="2:2">
      <c r="B8426"/>
    </row>
    <row r="8427" spans="2:2">
      <c r="B8427"/>
    </row>
    <row r="8428" spans="2:2">
      <c r="B8428"/>
    </row>
    <row r="8429" spans="2:2">
      <c r="B8429"/>
    </row>
    <row r="8430" spans="2:2">
      <c r="B8430"/>
    </row>
    <row r="8431" spans="2:2">
      <c r="B8431"/>
    </row>
    <row r="8432" spans="2:2">
      <c r="B8432"/>
    </row>
    <row r="8433" spans="2:2">
      <c r="B8433"/>
    </row>
    <row r="8434" spans="2:2">
      <c r="B8434"/>
    </row>
    <row r="8435" spans="2:2">
      <c r="B8435"/>
    </row>
    <row r="8436" spans="2:2">
      <c r="B8436"/>
    </row>
    <row r="8437" spans="2:2">
      <c r="B8437"/>
    </row>
    <row r="8438" spans="2:2">
      <c r="B8438"/>
    </row>
    <row r="8439" spans="2:2">
      <c r="B8439"/>
    </row>
    <row r="8440" spans="2:2">
      <c r="B8440"/>
    </row>
    <row r="8441" spans="2:2">
      <c r="B8441"/>
    </row>
    <row r="8442" spans="2:2">
      <c r="B8442"/>
    </row>
    <row r="8443" spans="2:2">
      <c r="B8443"/>
    </row>
    <row r="8444" spans="2:2">
      <c r="B8444"/>
    </row>
    <row r="8445" spans="2:2">
      <c r="B8445"/>
    </row>
    <row r="8446" spans="2:2">
      <c r="B8446"/>
    </row>
    <row r="8447" spans="2:2">
      <c r="B8447"/>
    </row>
    <row r="8448" spans="2:2">
      <c r="B8448"/>
    </row>
    <row r="8449" spans="2:2">
      <c r="B8449"/>
    </row>
    <row r="8450" spans="2:2">
      <c r="B8450"/>
    </row>
    <row r="8451" spans="2:2">
      <c r="B8451"/>
    </row>
    <row r="8452" spans="2:2">
      <c r="B8452"/>
    </row>
    <row r="8453" spans="2:2">
      <c r="B8453"/>
    </row>
    <row r="8454" spans="2:2">
      <c r="B8454"/>
    </row>
    <row r="8455" spans="2:2">
      <c r="B8455"/>
    </row>
    <row r="8456" spans="2:2">
      <c r="B8456"/>
    </row>
    <row r="8457" spans="2:2">
      <c r="B8457"/>
    </row>
    <row r="8458" spans="2:2">
      <c r="B8458"/>
    </row>
    <row r="8459" spans="2:2">
      <c r="B8459"/>
    </row>
    <row r="8460" spans="2:2">
      <c r="B8460"/>
    </row>
    <row r="8461" spans="2:2">
      <c r="B8461"/>
    </row>
    <row r="8462" spans="2:2">
      <c r="B8462"/>
    </row>
    <row r="8463" spans="2:2">
      <c r="B8463"/>
    </row>
    <row r="8464" spans="2:2">
      <c r="B8464"/>
    </row>
    <row r="8465" spans="2:2">
      <c r="B8465"/>
    </row>
    <row r="8466" spans="2:2">
      <c r="B8466"/>
    </row>
    <row r="8467" spans="2:2">
      <c r="B8467"/>
    </row>
    <row r="8468" spans="2:2">
      <c r="B8468"/>
    </row>
    <row r="8469" spans="2:2">
      <c r="B8469"/>
    </row>
    <row r="8470" spans="2:2">
      <c r="B8470"/>
    </row>
    <row r="8471" spans="2:2">
      <c r="B8471"/>
    </row>
    <row r="8472" spans="2:2">
      <c r="B8472"/>
    </row>
    <row r="8473" spans="2:2">
      <c r="B8473"/>
    </row>
    <row r="8474" spans="2:2">
      <c r="B8474"/>
    </row>
    <row r="8475" spans="2:2">
      <c r="B8475"/>
    </row>
    <row r="8476" spans="2:2">
      <c r="B8476"/>
    </row>
    <row r="8477" spans="2:2">
      <c r="B8477"/>
    </row>
    <row r="8478" spans="2:2">
      <c r="B8478"/>
    </row>
    <row r="8479" spans="2:2">
      <c r="B8479"/>
    </row>
    <row r="8480" spans="2:2">
      <c r="B8480"/>
    </row>
    <row r="8481" spans="2:2">
      <c r="B8481"/>
    </row>
    <row r="8482" spans="2:2">
      <c r="B8482"/>
    </row>
    <row r="8483" spans="2:2">
      <c r="B8483"/>
    </row>
    <row r="8484" spans="2:2">
      <c r="B8484"/>
    </row>
    <row r="8485" spans="2:2">
      <c r="B8485"/>
    </row>
    <row r="8486" spans="2:2">
      <c r="B8486"/>
    </row>
    <row r="8487" spans="2:2">
      <c r="B8487"/>
    </row>
    <row r="8488" spans="2:2">
      <c r="B8488"/>
    </row>
    <row r="8489" spans="2:2">
      <c r="B8489"/>
    </row>
    <row r="8490" spans="2:2">
      <c r="B8490"/>
    </row>
    <row r="8491" spans="2:2">
      <c r="B8491"/>
    </row>
    <row r="8492" spans="2:2">
      <c r="B8492"/>
    </row>
    <row r="8493" spans="2:2">
      <c r="B8493"/>
    </row>
    <row r="8494" spans="2:2">
      <c r="B8494"/>
    </row>
    <row r="8495" spans="2:2">
      <c r="B8495"/>
    </row>
    <row r="8496" spans="2:2">
      <c r="B8496"/>
    </row>
    <row r="8497" spans="2:2">
      <c r="B8497"/>
    </row>
    <row r="8498" spans="2:2">
      <c r="B8498"/>
    </row>
    <row r="8499" spans="2:2">
      <c r="B8499"/>
    </row>
    <row r="8500" spans="2:2">
      <c r="B8500"/>
    </row>
    <row r="8501" spans="2:2">
      <c r="B8501"/>
    </row>
    <row r="8502" spans="2:2">
      <c r="B8502"/>
    </row>
    <row r="8503" spans="2:2">
      <c r="B8503"/>
    </row>
    <row r="8504" spans="2:2">
      <c r="B8504"/>
    </row>
    <row r="8505" spans="2:2">
      <c r="B8505"/>
    </row>
    <row r="8506" spans="2:2">
      <c r="B8506"/>
    </row>
    <row r="8507" spans="2:2">
      <c r="B8507"/>
    </row>
    <row r="8508" spans="2:2">
      <c r="B8508"/>
    </row>
    <row r="8509" spans="2:2">
      <c r="B8509"/>
    </row>
    <row r="8510" spans="2:2">
      <c r="B8510"/>
    </row>
    <row r="8511" spans="2:2">
      <c r="B8511"/>
    </row>
    <row r="8512" spans="2:2">
      <c r="B8512"/>
    </row>
    <row r="8513" spans="2:2">
      <c r="B8513"/>
    </row>
    <row r="8514" spans="2:2">
      <c r="B8514"/>
    </row>
    <row r="8515" spans="2:2">
      <c r="B8515"/>
    </row>
    <row r="8516" spans="2:2">
      <c r="B8516"/>
    </row>
    <row r="8517" spans="2:2">
      <c r="B8517"/>
    </row>
    <row r="8518" spans="2:2">
      <c r="B8518"/>
    </row>
    <row r="8519" spans="2:2">
      <c r="B8519"/>
    </row>
    <row r="8520" spans="2:2">
      <c r="B8520"/>
    </row>
    <row r="8521" spans="2:2">
      <c r="B8521"/>
    </row>
    <row r="8522" spans="2:2">
      <c r="B8522"/>
    </row>
    <row r="8523" spans="2:2">
      <c r="B8523"/>
    </row>
    <row r="8524" spans="2:2">
      <c r="B8524"/>
    </row>
    <row r="8525" spans="2:2">
      <c r="B8525"/>
    </row>
    <row r="8526" spans="2:2">
      <c r="B8526"/>
    </row>
    <row r="8527" spans="2:2">
      <c r="B8527"/>
    </row>
    <row r="8528" spans="2:2">
      <c r="B8528"/>
    </row>
    <row r="8529" spans="2:2">
      <c r="B8529"/>
    </row>
    <row r="8530" spans="2:2">
      <c r="B8530"/>
    </row>
    <row r="8531" spans="2:2">
      <c r="B8531"/>
    </row>
    <row r="8532" spans="2:2">
      <c r="B8532"/>
    </row>
    <row r="8533" spans="2:2">
      <c r="B8533"/>
    </row>
    <row r="8534" spans="2:2">
      <c r="B8534"/>
    </row>
    <row r="8535" spans="2:2">
      <c r="B8535"/>
    </row>
    <row r="8536" spans="2:2">
      <c r="B8536"/>
    </row>
    <row r="8537" spans="2:2">
      <c r="B8537"/>
    </row>
    <row r="8538" spans="2:2">
      <c r="B8538"/>
    </row>
    <row r="8539" spans="2:2">
      <c r="B8539"/>
    </row>
    <row r="8540" spans="2:2">
      <c r="B8540"/>
    </row>
    <row r="8541" spans="2:2">
      <c r="B8541"/>
    </row>
    <row r="8542" spans="2:2">
      <c r="B8542"/>
    </row>
    <row r="8543" spans="2:2">
      <c r="B8543"/>
    </row>
    <row r="8544" spans="2:2">
      <c r="B8544"/>
    </row>
    <row r="8545" spans="2:2">
      <c r="B8545"/>
    </row>
    <row r="8546" spans="2:2">
      <c r="B8546"/>
    </row>
    <row r="8547" spans="2:2">
      <c r="B8547"/>
    </row>
    <row r="8548" spans="2:2">
      <c r="B8548"/>
    </row>
    <row r="8549" spans="2:2">
      <c r="B8549"/>
    </row>
    <row r="8550" spans="2:2">
      <c r="B8550"/>
    </row>
    <row r="8551" spans="2:2">
      <c r="B8551"/>
    </row>
    <row r="8552" spans="2:2">
      <c r="B8552"/>
    </row>
    <row r="8553" spans="2:2">
      <c r="B8553"/>
    </row>
    <row r="8554" spans="2:2">
      <c r="B8554"/>
    </row>
    <row r="8555" spans="2:2">
      <c r="B8555"/>
    </row>
    <row r="8556" spans="2:2">
      <c r="B8556"/>
    </row>
    <row r="8557" spans="2:2">
      <c r="B8557"/>
    </row>
    <row r="8558" spans="2:2">
      <c r="B8558"/>
    </row>
    <row r="8559" spans="2:2">
      <c r="B8559"/>
    </row>
    <row r="8560" spans="2:2">
      <c r="B8560"/>
    </row>
    <row r="8561" spans="2:2">
      <c r="B8561"/>
    </row>
    <row r="8562" spans="2:2">
      <c r="B8562"/>
    </row>
    <row r="8563" spans="2:2">
      <c r="B8563"/>
    </row>
    <row r="8564" spans="2:2">
      <c r="B8564"/>
    </row>
    <row r="8565" spans="2:2">
      <c r="B8565"/>
    </row>
    <row r="8566" spans="2:2">
      <c r="B8566"/>
    </row>
    <row r="8567" spans="2:2">
      <c r="B8567"/>
    </row>
    <row r="8568" spans="2:2">
      <c r="B8568"/>
    </row>
    <row r="8569" spans="2:2">
      <c r="B8569"/>
    </row>
    <row r="8570" spans="2:2">
      <c r="B8570"/>
    </row>
    <row r="8571" spans="2:2">
      <c r="B8571"/>
    </row>
    <row r="8572" spans="2:2">
      <c r="B8572"/>
    </row>
    <row r="8573" spans="2:2">
      <c r="B8573"/>
    </row>
    <row r="8574" spans="2:2">
      <c r="B8574"/>
    </row>
    <row r="8575" spans="2:2">
      <c r="B8575"/>
    </row>
    <row r="8576" spans="2:2">
      <c r="B8576"/>
    </row>
    <row r="8577" spans="2:2">
      <c r="B8577"/>
    </row>
    <row r="8578" spans="2:2">
      <c r="B8578"/>
    </row>
    <row r="8579" spans="2:2">
      <c r="B8579"/>
    </row>
    <row r="8580" spans="2:2">
      <c r="B8580"/>
    </row>
    <row r="8581" spans="2:2">
      <c r="B8581"/>
    </row>
    <row r="8582" spans="2:2">
      <c r="B8582"/>
    </row>
    <row r="8583" spans="2:2">
      <c r="B8583"/>
    </row>
    <row r="8584" spans="2:2">
      <c r="B8584"/>
    </row>
    <row r="8585" spans="2:2">
      <c r="B8585"/>
    </row>
    <row r="8586" spans="2:2">
      <c r="B8586"/>
    </row>
    <row r="8587" spans="2:2">
      <c r="B8587"/>
    </row>
    <row r="8588" spans="2:2">
      <c r="B8588"/>
    </row>
    <row r="8589" spans="2:2">
      <c r="B8589"/>
    </row>
    <row r="8590" spans="2:2">
      <c r="B8590"/>
    </row>
    <row r="8591" spans="2:2">
      <c r="B8591"/>
    </row>
    <row r="8592" spans="2:2">
      <c r="B8592"/>
    </row>
    <row r="8593" spans="2:2">
      <c r="B8593"/>
    </row>
    <row r="8594" spans="2:2">
      <c r="B8594"/>
    </row>
    <row r="8595" spans="2:2">
      <c r="B8595"/>
    </row>
    <row r="8596" spans="2:2">
      <c r="B8596"/>
    </row>
    <row r="8597" spans="2:2">
      <c r="B8597"/>
    </row>
    <row r="8598" spans="2:2">
      <c r="B8598"/>
    </row>
    <row r="8599" spans="2:2">
      <c r="B8599"/>
    </row>
    <row r="8600" spans="2:2">
      <c r="B8600"/>
    </row>
    <row r="8601" spans="2:2">
      <c r="B8601"/>
    </row>
    <row r="8602" spans="2:2">
      <c r="B8602"/>
    </row>
    <row r="8603" spans="2:2">
      <c r="B8603"/>
    </row>
    <row r="8604" spans="2:2">
      <c r="B8604"/>
    </row>
    <row r="8605" spans="2:2">
      <c r="B8605"/>
    </row>
    <row r="8606" spans="2:2">
      <c r="B8606"/>
    </row>
    <row r="8607" spans="2:2">
      <c r="B8607"/>
    </row>
    <row r="8608" spans="2:2">
      <c r="B8608"/>
    </row>
    <row r="8609" spans="2:2">
      <c r="B8609"/>
    </row>
    <row r="8610" spans="2:2">
      <c r="B8610"/>
    </row>
    <row r="8611" spans="2:2">
      <c r="B8611"/>
    </row>
    <row r="8612" spans="2:2">
      <c r="B8612"/>
    </row>
    <row r="8613" spans="2:2">
      <c r="B8613"/>
    </row>
    <row r="8614" spans="2:2">
      <c r="B8614"/>
    </row>
    <row r="8615" spans="2:2">
      <c r="B8615"/>
    </row>
    <row r="8616" spans="2:2">
      <c r="B8616"/>
    </row>
    <row r="8617" spans="2:2">
      <c r="B8617"/>
    </row>
    <row r="8618" spans="2:2">
      <c r="B8618"/>
    </row>
    <row r="8619" spans="2:2">
      <c r="B8619"/>
    </row>
    <row r="8620" spans="2:2">
      <c r="B8620"/>
    </row>
    <row r="8621" spans="2:2">
      <c r="B8621"/>
    </row>
    <row r="8622" spans="2:2">
      <c r="B8622"/>
    </row>
    <row r="8623" spans="2:2">
      <c r="B8623"/>
    </row>
    <row r="8624" spans="2:2">
      <c r="B8624"/>
    </row>
    <row r="8625" spans="2:2">
      <c r="B8625"/>
    </row>
    <row r="8626" spans="2:2">
      <c r="B8626"/>
    </row>
    <row r="8627" spans="2:2">
      <c r="B8627"/>
    </row>
    <row r="8628" spans="2:2">
      <c r="B8628"/>
    </row>
    <row r="8629" spans="2:2">
      <c r="B8629"/>
    </row>
    <row r="8630" spans="2:2">
      <c r="B8630"/>
    </row>
    <row r="8631" spans="2:2">
      <c r="B8631"/>
    </row>
    <row r="8632" spans="2:2">
      <c r="B8632"/>
    </row>
    <row r="8633" spans="2:2">
      <c r="B8633"/>
    </row>
    <row r="8634" spans="2:2">
      <c r="B8634"/>
    </row>
    <row r="8635" spans="2:2">
      <c r="B8635"/>
    </row>
    <row r="8636" spans="2:2">
      <c r="B8636"/>
    </row>
    <row r="8637" spans="2:2">
      <c r="B8637"/>
    </row>
    <row r="8638" spans="2:2">
      <c r="B8638"/>
    </row>
    <row r="8639" spans="2:2">
      <c r="B8639"/>
    </row>
    <row r="8640" spans="2:2">
      <c r="B8640"/>
    </row>
    <row r="8641" spans="2:2">
      <c r="B8641"/>
    </row>
    <row r="8642" spans="2:2">
      <c r="B8642"/>
    </row>
    <row r="8643" spans="2:2">
      <c r="B8643"/>
    </row>
    <row r="8644" spans="2:2">
      <c r="B8644"/>
    </row>
    <row r="8645" spans="2:2">
      <c r="B8645"/>
    </row>
    <row r="8646" spans="2:2">
      <c r="B8646"/>
    </row>
    <row r="8647" spans="2:2">
      <c r="B8647"/>
    </row>
    <row r="8648" spans="2:2">
      <c r="B8648"/>
    </row>
    <row r="8649" spans="2:2">
      <c r="B8649"/>
    </row>
    <row r="8650" spans="2:2">
      <c r="B8650"/>
    </row>
    <row r="8651" spans="2:2">
      <c r="B8651"/>
    </row>
    <row r="8652" spans="2:2">
      <c r="B8652"/>
    </row>
    <row r="8653" spans="2:2">
      <c r="B8653"/>
    </row>
    <row r="8654" spans="2:2">
      <c r="B8654"/>
    </row>
    <row r="8655" spans="2:2">
      <c r="B8655"/>
    </row>
    <row r="8656" spans="2:2">
      <c r="B8656"/>
    </row>
    <row r="8657" spans="2:2">
      <c r="B8657"/>
    </row>
    <row r="8658" spans="2:2">
      <c r="B8658"/>
    </row>
    <row r="8659" spans="2:2">
      <c r="B8659"/>
    </row>
    <row r="8660" spans="2:2">
      <c r="B8660"/>
    </row>
    <row r="8661" spans="2:2">
      <c r="B8661"/>
    </row>
    <row r="8662" spans="2:2">
      <c r="B8662"/>
    </row>
    <row r="8663" spans="2:2">
      <c r="B8663"/>
    </row>
    <row r="8664" spans="2:2">
      <c r="B8664"/>
    </row>
    <row r="8665" spans="2:2">
      <c r="B8665"/>
    </row>
    <row r="8666" spans="2:2">
      <c r="B8666"/>
    </row>
    <row r="8667" spans="2:2">
      <c r="B8667"/>
    </row>
    <row r="8668" spans="2:2">
      <c r="B8668"/>
    </row>
    <row r="8669" spans="2:2">
      <c r="B8669"/>
    </row>
    <row r="8670" spans="2:2">
      <c r="B8670"/>
    </row>
    <row r="8671" spans="2:2">
      <c r="B8671"/>
    </row>
    <row r="8672" spans="2:2">
      <c r="B8672"/>
    </row>
    <row r="8673" spans="2:2">
      <c r="B8673"/>
    </row>
    <row r="8674" spans="2:2">
      <c r="B8674"/>
    </row>
    <row r="8675" spans="2:2">
      <c r="B8675"/>
    </row>
    <row r="8676" spans="2:2">
      <c r="B8676"/>
    </row>
    <row r="8677" spans="2:2">
      <c r="B8677"/>
    </row>
    <row r="8678" spans="2:2">
      <c r="B8678"/>
    </row>
    <row r="8679" spans="2:2">
      <c r="B8679"/>
    </row>
    <row r="8680" spans="2:2">
      <c r="B8680"/>
    </row>
    <row r="8681" spans="2:2">
      <c r="B8681"/>
    </row>
    <row r="8682" spans="2:2">
      <c r="B8682"/>
    </row>
    <row r="8683" spans="2:2">
      <c r="B8683"/>
    </row>
    <row r="8684" spans="2:2">
      <c r="B8684"/>
    </row>
    <row r="8685" spans="2:2">
      <c r="B8685"/>
    </row>
    <row r="8686" spans="2:2">
      <c r="B8686"/>
    </row>
    <row r="8687" spans="2:2">
      <c r="B8687"/>
    </row>
    <row r="8688" spans="2:2">
      <c r="B8688"/>
    </row>
    <row r="8689" spans="2:2">
      <c r="B8689"/>
    </row>
    <row r="8690" spans="2:2">
      <c r="B8690"/>
    </row>
    <row r="8691" spans="2:2">
      <c r="B8691"/>
    </row>
    <row r="8692" spans="2:2">
      <c r="B8692"/>
    </row>
    <row r="8693" spans="2:2">
      <c r="B8693"/>
    </row>
    <row r="8694" spans="2:2">
      <c r="B8694"/>
    </row>
    <row r="8695" spans="2:2">
      <c r="B8695"/>
    </row>
    <row r="8696" spans="2:2">
      <c r="B8696"/>
    </row>
    <row r="8697" spans="2:2">
      <c r="B8697"/>
    </row>
    <row r="8698" spans="2:2">
      <c r="B8698"/>
    </row>
    <row r="8699" spans="2:2">
      <c r="B8699"/>
    </row>
    <row r="8700" spans="2:2">
      <c r="B8700"/>
    </row>
    <row r="8701" spans="2:2">
      <c r="B8701"/>
    </row>
    <row r="8702" spans="2:2">
      <c r="B8702"/>
    </row>
    <row r="8703" spans="2:2">
      <c r="B8703"/>
    </row>
    <row r="8704" spans="2:2">
      <c r="B8704"/>
    </row>
    <row r="8705" spans="2:2">
      <c r="B8705"/>
    </row>
    <row r="8706" spans="2:2">
      <c r="B8706"/>
    </row>
    <row r="8707" spans="2:2">
      <c r="B8707"/>
    </row>
    <row r="8708" spans="2:2">
      <c r="B8708"/>
    </row>
    <row r="8709" spans="2:2">
      <c r="B8709"/>
    </row>
    <row r="8710" spans="2:2">
      <c r="B8710"/>
    </row>
    <row r="8711" spans="2:2">
      <c r="B8711"/>
    </row>
    <row r="8712" spans="2:2">
      <c r="B8712"/>
    </row>
    <row r="8713" spans="2:2">
      <c r="B8713"/>
    </row>
    <row r="8714" spans="2:2">
      <c r="B8714"/>
    </row>
    <row r="8715" spans="2:2">
      <c r="B8715"/>
    </row>
    <row r="8716" spans="2:2">
      <c r="B8716"/>
    </row>
    <row r="8717" spans="2:2">
      <c r="B8717"/>
    </row>
    <row r="8718" spans="2:2">
      <c r="B8718"/>
    </row>
    <row r="8719" spans="2:2">
      <c r="B8719"/>
    </row>
    <row r="8720" spans="2:2">
      <c r="B8720"/>
    </row>
    <row r="8721" spans="2:2">
      <c r="B8721"/>
    </row>
    <row r="8722" spans="2:2">
      <c r="B8722"/>
    </row>
    <row r="8723" spans="2:2">
      <c r="B8723"/>
    </row>
    <row r="8724" spans="2:2">
      <c r="B8724"/>
    </row>
    <row r="8725" spans="2:2">
      <c r="B8725"/>
    </row>
    <row r="8726" spans="2:2">
      <c r="B8726"/>
    </row>
    <row r="8727" spans="2:2">
      <c r="B8727"/>
    </row>
    <row r="8728" spans="2:2">
      <c r="B8728"/>
    </row>
    <row r="8729" spans="2:2">
      <c r="B8729"/>
    </row>
    <row r="8730" spans="2:2">
      <c r="B8730"/>
    </row>
    <row r="8731" spans="2:2">
      <c r="B8731"/>
    </row>
    <row r="8732" spans="2:2">
      <c r="B8732"/>
    </row>
    <row r="8733" spans="2:2">
      <c r="B8733"/>
    </row>
    <row r="8734" spans="2:2">
      <c r="B8734"/>
    </row>
    <row r="8735" spans="2:2">
      <c r="B8735"/>
    </row>
    <row r="8736" spans="2:2">
      <c r="B8736"/>
    </row>
    <row r="8737" spans="2:2">
      <c r="B8737"/>
    </row>
    <row r="8738" spans="2:2">
      <c r="B8738"/>
    </row>
    <row r="8739" spans="2:2">
      <c r="B8739"/>
    </row>
    <row r="8740" spans="2:2">
      <c r="B8740"/>
    </row>
    <row r="8741" spans="2:2">
      <c r="B8741"/>
    </row>
    <row r="8742" spans="2:2">
      <c r="B8742"/>
    </row>
    <row r="8743" spans="2:2">
      <c r="B8743"/>
    </row>
    <row r="8744" spans="2:2">
      <c r="B8744"/>
    </row>
    <row r="8745" spans="2:2">
      <c r="B8745"/>
    </row>
    <row r="8746" spans="2:2">
      <c r="B8746"/>
    </row>
    <row r="8747" spans="2:2">
      <c r="B8747"/>
    </row>
    <row r="8748" spans="2:2">
      <c r="B8748"/>
    </row>
    <row r="8749" spans="2:2">
      <c r="B8749"/>
    </row>
    <row r="8750" spans="2:2">
      <c r="B8750"/>
    </row>
    <row r="8751" spans="2:2">
      <c r="B8751"/>
    </row>
    <row r="8752" spans="2:2">
      <c r="B8752"/>
    </row>
    <row r="8753" spans="2:2">
      <c r="B8753"/>
    </row>
    <row r="8754" spans="2:2">
      <c r="B8754"/>
    </row>
    <row r="8755" spans="2:2">
      <c r="B8755"/>
    </row>
    <row r="8756" spans="2:2">
      <c r="B8756"/>
    </row>
    <row r="8757" spans="2:2">
      <c r="B8757"/>
    </row>
    <row r="8758" spans="2:2">
      <c r="B8758"/>
    </row>
    <row r="8759" spans="2:2">
      <c r="B8759"/>
    </row>
    <row r="8760" spans="2:2">
      <c r="B8760"/>
    </row>
    <row r="8761" spans="2:2">
      <c r="B8761"/>
    </row>
    <row r="8762" spans="2:2">
      <c r="B8762"/>
    </row>
    <row r="8763" spans="2:2">
      <c r="B8763"/>
    </row>
    <row r="8764" spans="2:2">
      <c r="B8764"/>
    </row>
    <row r="8765" spans="2:2">
      <c r="B8765"/>
    </row>
    <row r="8766" spans="2:2">
      <c r="B8766"/>
    </row>
    <row r="8767" spans="2:2">
      <c r="B8767"/>
    </row>
    <row r="8768" spans="2:2">
      <c r="B8768"/>
    </row>
    <row r="8769" spans="2:2">
      <c r="B8769"/>
    </row>
    <row r="8770" spans="2:2">
      <c r="B8770"/>
    </row>
    <row r="8771" spans="2:2">
      <c r="B8771"/>
    </row>
    <row r="8772" spans="2:2">
      <c r="B8772"/>
    </row>
    <row r="8773" spans="2:2">
      <c r="B8773"/>
    </row>
    <row r="8774" spans="2:2">
      <c r="B8774"/>
    </row>
    <row r="8775" spans="2:2">
      <c r="B8775"/>
    </row>
    <row r="8776" spans="2:2">
      <c r="B8776"/>
    </row>
    <row r="8777" spans="2:2">
      <c r="B8777"/>
    </row>
    <row r="8778" spans="2:2">
      <c r="B8778"/>
    </row>
    <row r="8779" spans="2:2">
      <c r="B8779"/>
    </row>
    <row r="8780" spans="2:2">
      <c r="B8780"/>
    </row>
    <row r="8781" spans="2:2">
      <c r="B8781"/>
    </row>
    <row r="8782" spans="2:2">
      <c r="B8782"/>
    </row>
    <row r="8783" spans="2:2">
      <c r="B8783"/>
    </row>
    <row r="8784" spans="2:2">
      <c r="B8784"/>
    </row>
    <row r="8785" spans="2:2">
      <c r="B8785"/>
    </row>
    <row r="8786" spans="2:2">
      <c r="B8786"/>
    </row>
    <row r="8787" spans="2:2">
      <c r="B8787"/>
    </row>
    <row r="8788" spans="2:2">
      <c r="B8788"/>
    </row>
    <row r="8789" spans="2:2">
      <c r="B8789"/>
    </row>
    <row r="8790" spans="2:2">
      <c r="B8790"/>
    </row>
    <row r="8791" spans="2:2">
      <c r="B8791"/>
    </row>
    <row r="8792" spans="2:2">
      <c r="B8792"/>
    </row>
    <row r="8793" spans="2:2">
      <c r="B8793"/>
    </row>
    <row r="8794" spans="2:2">
      <c r="B8794"/>
    </row>
    <row r="8795" spans="2:2">
      <c r="B8795"/>
    </row>
    <row r="8796" spans="2:2">
      <c r="B8796"/>
    </row>
    <row r="8797" spans="2:2">
      <c r="B8797"/>
    </row>
    <row r="8798" spans="2:2">
      <c r="B8798"/>
    </row>
    <row r="8799" spans="2:2">
      <c r="B8799"/>
    </row>
    <row r="8800" spans="2:2">
      <c r="B8800"/>
    </row>
    <row r="8801" spans="2:2">
      <c r="B8801"/>
    </row>
    <row r="8802" spans="2:2">
      <c r="B8802"/>
    </row>
    <row r="8803" spans="2:2">
      <c r="B8803"/>
    </row>
    <row r="8804" spans="2:2">
      <c r="B8804"/>
    </row>
    <row r="8805" spans="2:2">
      <c r="B8805"/>
    </row>
    <row r="8806" spans="2:2">
      <c r="B8806"/>
    </row>
    <row r="8807" spans="2:2">
      <c r="B8807"/>
    </row>
    <row r="8808" spans="2:2">
      <c r="B8808"/>
    </row>
    <row r="8809" spans="2:2">
      <c r="B8809"/>
    </row>
    <row r="8810" spans="2:2">
      <c r="B8810"/>
    </row>
    <row r="8811" spans="2:2">
      <c r="B8811"/>
    </row>
    <row r="8812" spans="2:2">
      <c r="B8812"/>
    </row>
    <row r="8813" spans="2:2">
      <c r="B8813"/>
    </row>
    <row r="8814" spans="2:2">
      <c r="B8814"/>
    </row>
    <row r="8815" spans="2:2">
      <c r="B8815"/>
    </row>
    <row r="8816" spans="2:2">
      <c r="B8816"/>
    </row>
    <row r="8817" spans="2:2">
      <c r="B8817"/>
    </row>
    <row r="8818" spans="2:2">
      <c r="B8818"/>
    </row>
    <row r="8819" spans="2:2">
      <c r="B8819"/>
    </row>
    <row r="8820" spans="2:2">
      <c r="B8820"/>
    </row>
    <row r="8821" spans="2:2">
      <c r="B8821"/>
    </row>
    <row r="8822" spans="2:2">
      <c r="B8822"/>
    </row>
    <row r="8823" spans="2:2">
      <c r="B8823"/>
    </row>
    <row r="8824" spans="2:2">
      <c r="B8824"/>
    </row>
    <row r="8825" spans="2:2">
      <c r="B8825"/>
    </row>
    <row r="8826" spans="2:2">
      <c r="B8826"/>
    </row>
    <row r="8827" spans="2:2">
      <c r="B8827"/>
    </row>
    <row r="8828" spans="2:2">
      <c r="B8828"/>
    </row>
    <row r="8829" spans="2:2">
      <c r="B8829"/>
    </row>
    <row r="8830" spans="2:2">
      <c r="B8830"/>
    </row>
    <row r="8831" spans="2:2">
      <c r="B8831"/>
    </row>
    <row r="8832" spans="2:2">
      <c r="B8832"/>
    </row>
    <row r="8833" spans="2:2">
      <c r="B8833"/>
    </row>
    <row r="8834" spans="2:2">
      <c r="B8834"/>
    </row>
    <row r="8835" spans="2:2">
      <c r="B8835"/>
    </row>
    <row r="8836" spans="2:2">
      <c r="B8836"/>
    </row>
    <row r="8837" spans="2:2">
      <c r="B8837"/>
    </row>
    <row r="8838" spans="2:2">
      <c r="B8838"/>
    </row>
    <row r="8839" spans="2:2">
      <c r="B8839"/>
    </row>
    <row r="8840" spans="2:2">
      <c r="B8840"/>
    </row>
    <row r="8841" spans="2:2">
      <c r="B8841"/>
    </row>
    <row r="8842" spans="2:2">
      <c r="B8842"/>
    </row>
    <row r="8843" spans="2:2">
      <c r="B8843"/>
    </row>
    <row r="8844" spans="2:2">
      <c r="B8844"/>
    </row>
    <row r="8845" spans="2:2">
      <c r="B8845"/>
    </row>
    <row r="8846" spans="2:2">
      <c r="B8846"/>
    </row>
    <row r="8847" spans="2:2">
      <c r="B8847"/>
    </row>
    <row r="8848" spans="2:2">
      <c r="B8848"/>
    </row>
    <row r="8849" spans="2:2">
      <c r="B8849"/>
    </row>
    <row r="8850" spans="2:2">
      <c r="B8850"/>
    </row>
    <row r="8851" spans="2:2">
      <c r="B8851"/>
    </row>
    <row r="8852" spans="2:2">
      <c r="B8852"/>
    </row>
    <row r="8853" spans="2:2">
      <c r="B8853"/>
    </row>
    <row r="8854" spans="2:2">
      <c r="B8854"/>
    </row>
    <row r="8855" spans="2:2">
      <c r="B8855"/>
    </row>
    <row r="8856" spans="2:2">
      <c r="B8856"/>
    </row>
    <row r="8857" spans="2:2">
      <c r="B8857"/>
    </row>
    <row r="8858" spans="2:2">
      <c r="B8858"/>
    </row>
    <row r="8859" spans="2:2">
      <c r="B8859"/>
    </row>
    <row r="8860" spans="2:2">
      <c r="B8860"/>
    </row>
    <row r="8861" spans="2:2">
      <c r="B8861"/>
    </row>
    <row r="8862" spans="2:2">
      <c r="B8862"/>
    </row>
    <row r="8863" spans="2:2">
      <c r="B8863"/>
    </row>
    <row r="8864" spans="2:2">
      <c r="B8864"/>
    </row>
    <row r="8865" spans="2:2">
      <c r="B8865"/>
    </row>
    <row r="8866" spans="2:2">
      <c r="B8866"/>
    </row>
    <row r="8867" spans="2:2">
      <c r="B8867"/>
    </row>
    <row r="8868" spans="2:2">
      <c r="B8868"/>
    </row>
    <row r="8869" spans="2:2">
      <c r="B8869"/>
    </row>
    <row r="8870" spans="2:2">
      <c r="B8870"/>
    </row>
    <row r="8871" spans="2:2">
      <c r="B8871"/>
    </row>
    <row r="8872" spans="2:2">
      <c r="B8872"/>
    </row>
    <row r="8873" spans="2:2">
      <c r="B8873"/>
    </row>
    <row r="8874" spans="2:2">
      <c r="B8874"/>
    </row>
    <row r="8875" spans="2:2">
      <c r="B8875"/>
    </row>
    <row r="8876" spans="2:2">
      <c r="B8876"/>
    </row>
    <row r="8877" spans="2:2">
      <c r="B8877"/>
    </row>
    <row r="8878" spans="2:2">
      <c r="B8878"/>
    </row>
    <row r="8879" spans="2:2">
      <c r="B8879"/>
    </row>
    <row r="8880" spans="2:2">
      <c r="B8880"/>
    </row>
    <row r="8881" spans="2:2">
      <c r="B8881"/>
    </row>
    <row r="8882" spans="2:2">
      <c r="B8882"/>
    </row>
    <row r="8883" spans="2:2">
      <c r="B8883"/>
    </row>
    <row r="8884" spans="2:2">
      <c r="B8884"/>
    </row>
    <row r="8885" spans="2:2">
      <c r="B8885"/>
    </row>
    <row r="8886" spans="2:2">
      <c r="B8886"/>
    </row>
    <row r="8887" spans="2:2">
      <c r="B8887"/>
    </row>
    <row r="8888" spans="2:2">
      <c r="B8888"/>
    </row>
    <row r="8889" spans="2:2">
      <c r="B8889"/>
    </row>
    <row r="8890" spans="2:2">
      <c r="B8890"/>
    </row>
    <row r="8891" spans="2:2">
      <c r="B8891"/>
    </row>
    <row r="8892" spans="2:2">
      <c r="B8892"/>
    </row>
    <row r="8893" spans="2:2">
      <c r="B8893"/>
    </row>
    <row r="8894" spans="2:2">
      <c r="B8894"/>
    </row>
    <row r="8895" spans="2:2">
      <c r="B8895"/>
    </row>
    <row r="8896" spans="2:2">
      <c r="B8896"/>
    </row>
    <row r="8897" spans="2:2">
      <c r="B8897"/>
    </row>
    <row r="8898" spans="2:2">
      <c r="B8898"/>
    </row>
    <row r="8899" spans="2:2">
      <c r="B8899"/>
    </row>
    <row r="8900" spans="2:2">
      <c r="B8900"/>
    </row>
    <row r="8901" spans="2:2">
      <c r="B8901"/>
    </row>
    <row r="8902" spans="2:2">
      <c r="B8902"/>
    </row>
    <row r="8903" spans="2:2">
      <c r="B8903"/>
    </row>
    <row r="8904" spans="2:2">
      <c r="B8904"/>
    </row>
    <row r="8905" spans="2:2">
      <c r="B8905"/>
    </row>
    <row r="8906" spans="2:2">
      <c r="B8906"/>
    </row>
    <row r="8907" spans="2:2">
      <c r="B8907"/>
    </row>
    <row r="8908" spans="2:2">
      <c r="B8908"/>
    </row>
    <row r="8909" spans="2:2">
      <c r="B8909"/>
    </row>
    <row r="8910" spans="2:2">
      <c r="B8910"/>
    </row>
    <row r="8911" spans="2:2">
      <c r="B8911"/>
    </row>
    <row r="8912" spans="2:2">
      <c r="B8912"/>
    </row>
    <row r="8913" spans="2:2">
      <c r="B8913"/>
    </row>
    <row r="8914" spans="2:2">
      <c r="B8914"/>
    </row>
    <row r="8915" spans="2:2">
      <c r="B8915"/>
    </row>
    <row r="8916" spans="2:2">
      <c r="B8916"/>
    </row>
    <row r="8917" spans="2:2">
      <c r="B8917"/>
    </row>
    <row r="8918" spans="2:2">
      <c r="B8918"/>
    </row>
    <row r="8919" spans="2:2">
      <c r="B8919"/>
    </row>
    <row r="8920" spans="2:2">
      <c r="B8920"/>
    </row>
    <row r="8921" spans="2:2">
      <c r="B8921"/>
    </row>
    <row r="8922" spans="2:2">
      <c r="B8922"/>
    </row>
    <row r="8923" spans="2:2">
      <c r="B8923"/>
    </row>
    <row r="8924" spans="2:2">
      <c r="B8924"/>
    </row>
    <row r="8925" spans="2:2">
      <c r="B8925"/>
    </row>
    <row r="8926" spans="2:2">
      <c r="B8926"/>
    </row>
    <row r="8927" spans="2:2">
      <c r="B8927"/>
    </row>
    <row r="8928" spans="2:2">
      <c r="B8928"/>
    </row>
    <row r="8929" spans="2:2">
      <c r="B8929"/>
    </row>
    <row r="8930" spans="2:2">
      <c r="B8930"/>
    </row>
    <row r="8931" spans="2:2">
      <c r="B8931"/>
    </row>
    <row r="8932" spans="2:2">
      <c r="B8932"/>
    </row>
    <row r="8933" spans="2:2">
      <c r="B8933"/>
    </row>
    <row r="8934" spans="2:2">
      <c r="B8934"/>
    </row>
    <row r="8935" spans="2:2">
      <c r="B8935"/>
    </row>
    <row r="8936" spans="2:2">
      <c r="B8936"/>
    </row>
    <row r="8937" spans="2:2">
      <c r="B8937"/>
    </row>
    <row r="8938" spans="2:2">
      <c r="B8938"/>
    </row>
    <row r="8939" spans="2:2">
      <c r="B8939"/>
    </row>
    <row r="8940" spans="2:2">
      <c r="B8940"/>
    </row>
    <row r="8941" spans="2:2">
      <c r="B8941"/>
    </row>
    <row r="8942" spans="2:2">
      <c r="B8942"/>
    </row>
    <row r="8943" spans="2:2">
      <c r="B8943"/>
    </row>
    <row r="8944" spans="2:2">
      <c r="B8944"/>
    </row>
    <row r="8945" spans="2:2">
      <c r="B8945"/>
    </row>
    <row r="8946" spans="2:2">
      <c r="B8946"/>
    </row>
    <row r="8947" spans="2:2">
      <c r="B8947"/>
    </row>
    <row r="8948" spans="2:2">
      <c r="B8948"/>
    </row>
    <row r="8949" spans="2:2">
      <c r="B8949"/>
    </row>
    <row r="8950" spans="2:2">
      <c r="B8950"/>
    </row>
    <row r="8951" spans="2:2">
      <c r="B8951"/>
    </row>
    <row r="8952" spans="2:2">
      <c r="B8952"/>
    </row>
    <row r="8953" spans="2:2">
      <c r="B8953"/>
    </row>
    <row r="8954" spans="2:2">
      <c r="B8954"/>
    </row>
    <row r="8955" spans="2:2">
      <c r="B8955"/>
    </row>
    <row r="8956" spans="2:2">
      <c r="B8956"/>
    </row>
    <row r="8957" spans="2:2">
      <c r="B8957"/>
    </row>
    <row r="8958" spans="2:2">
      <c r="B8958"/>
    </row>
    <row r="8959" spans="2:2">
      <c r="B8959"/>
    </row>
    <row r="8960" spans="2:2">
      <c r="B8960"/>
    </row>
    <row r="8961" spans="2:2">
      <c r="B8961"/>
    </row>
    <row r="8962" spans="2:2">
      <c r="B8962"/>
    </row>
    <row r="8963" spans="2:2">
      <c r="B8963"/>
    </row>
    <row r="8964" spans="2:2">
      <c r="B8964"/>
    </row>
    <row r="8965" spans="2:2">
      <c r="B8965"/>
    </row>
    <row r="8966" spans="2:2">
      <c r="B8966"/>
    </row>
    <row r="8967" spans="2:2">
      <c r="B8967"/>
    </row>
    <row r="8968" spans="2:2">
      <c r="B8968"/>
    </row>
    <row r="8969" spans="2:2">
      <c r="B8969"/>
    </row>
    <row r="8970" spans="2:2">
      <c r="B8970"/>
    </row>
    <row r="8971" spans="2:2">
      <c r="B8971"/>
    </row>
    <row r="8972" spans="2:2">
      <c r="B8972"/>
    </row>
    <row r="8973" spans="2:2">
      <c r="B8973"/>
    </row>
    <row r="8974" spans="2:2">
      <c r="B8974"/>
    </row>
    <row r="8975" spans="2:2">
      <c r="B8975"/>
    </row>
    <row r="8976" spans="2:2">
      <c r="B8976"/>
    </row>
    <row r="8977" spans="2:2">
      <c r="B8977"/>
    </row>
    <row r="8978" spans="2:2">
      <c r="B8978"/>
    </row>
    <row r="8979" spans="2:2">
      <c r="B8979"/>
    </row>
    <row r="8980" spans="2:2">
      <c r="B8980"/>
    </row>
    <row r="8981" spans="2:2">
      <c r="B8981"/>
    </row>
    <row r="8982" spans="2:2">
      <c r="B8982"/>
    </row>
    <row r="8983" spans="2:2">
      <c r="B8983"/>
    </row>
    <row r="8984" spans="2:2">
      <c r="B8984"/>
    </row>
    <row r="8985" spans="2:2">
      <c r="B8985"/>
    </row>
    <row r="8986" spans="2:2">
      <c r="B8986"/>
    </row>
    <row r="8987" spans="2:2">
      <c r="B8987"/>
    </row>
    <row r="8988" spans="2:2">
      <c r="B8988"/>
    </row>
    <row r="8989" spans="2:2">
      <c r="B8989"/>
    </row>
    <row r="8990" spans="2:2">
      <c r="B8990"/>
    </row>
    <row r="8991" spans="2:2">
      <c r="B8991"/>
    </row>
    <row r="8992" spans="2:2">
      <c r="B8992"/>
    </row>
    <row r="8993" spans="2:2">
      <c r="B8993"/>
    </row>
    <row r="8994" spans="2:2">
      <c r="B8994"/>
    </row>
    <row r="8995" spans="2:2">
      <c r="B8995"/>
    </row>
    <row r="8996" spans="2:2">
      <c r="B8996"/>
    </row>
    <row r="8997" spans="2:2">
      <c r="B8997"/>
    </row>
    <row r="8998" spans="2:2">
      <c r="B8998"/>
    </row>
    <row r="8999" spans="2:2">
      <c r="B8999"/>
    </row>
    <row r="9000" spans="2:2">
      <c r="B9000"/>
    </row>
    <row r="9001" spans="2:2">
      <c r="B9001"/>
    </row>
    <row r="9002" spans="2:2">
      <c r="B9002"/>
    </row>
    <row r="9003" spans="2:2">
      <c r="B9003"/>
    </row>
    <row r="9004" spans="2:2">
      <c r="B9004"/>
    </row>
    <row r="9005" spans="2:2">
      <c r="B9005"/>
    </row>
    <row r="9006" spans="2:2">
      <c r="B9006"/>
    </row>
    <row r="9007" spans="2:2">
      <c r="B9007"/>
    </row>
    <row r="9008" spans="2:2">
      <c r="B9008"/>
    </row>
    <row r="9009" spans="2:2">
      <c r="B9009"/>
    </row>
    <row r="9010" spans="2:2">
      <c r="B9010"/>
    </row>
    <row r="9011" spans="2:2">
      <c r="B9011"/>
    </row>
    <row r="9012" spans="2:2">
      <c r="B9012"/>
    </row>
    <row r="9013" spans="2:2">
      <c r="B9013"/>
    </row>
    <row r="9014" spans="2:2">
      <c r="B9014"/>
    </row>
    <row r="9015" spans="2:2">
      <c r="B9015"/>
    </row>
    <row r="9016" spans="2:2">
      <c r="B9016"/>
    </row>
    <row r="9017" spans="2:2">
      <c r="B9017"/>
    </row>
    <row r="9018" spans="2:2">
      <c r="B9018"/>
    </row>
    <row r="9019" spans="2:2">
      <c r="B9019"/>
    </row>
    <row r="9020" spans="2:2">
      <c r="B9020"/>
    </row>
    <row r="9021" spans="2:2">
      <c r="B9021"/>
    </row>
    <row r="9022" spans="2:2">
      <c r="B9022"/>
    </row>
    <row r="9023" spans="2:2">
      <c r="B9023"/>
    </row>
    <row r="9024" spans="2:2">
      <c r="B9024"/>
    </row>
    <row r="9025" spans="2:2">
      <c r="B9025"/>
    </row>
    <row r="9026" spans="2:2">
      <c r="B9026"/>
    </row>
    <row r="9027" spans="2:2">
      <c r="B9027"/>
    </row>
    <row r="9028" spans="2:2">
      <c r="B9028"/>
    </row>
    <row r="9029" spans="2:2">
      <c r="B9029"/>
    </row>
    <row r="9030" spans="2:2">
      <c r="B9030"/>
    </row>
    <row r="9031" spans="2:2">
      <c r="B9031"/>
    </row>
    <row r="9032" spans="2:2">
      <c r="B9032"/>
    </row>
    <row r="9033" spans="2:2">
      <c r="B9033"/>
    </row>
    <row r="9034" spans="2:2">
      <c r="B9034"/>
    </row>
    <row r="9035" spans="2:2">
      <c r="B9035"/>
    </row>
    <row r="9036" spans="2:2">
      <c r="B9036"/>
    </row>
    <row r="9037" spans="2:2">
      <c r="B9037"/>
    </row>
    <row r="9038" spans="2:2">
      <c r="B9038"/>
    </row>
    <row r="9039" spans="2:2">
      <c r="B9039"/>
    </row>
    <row r="9040" spans="2:2">
      <c r="B9040"/>
    </row>
    <row r="9041" spans="2:2">
      <c r="B9041"/>
    </row>
    <row r="9042" spans="2:2">
      <c r="B9042"/>
    </row>
    <row r="9043" spans="2:2">
      <c r="B9043"/>
    </row>
    <row r="9044" spans="2:2">
      <c r="B9044"/>
    </row>
    <row r="9045" spans="2:2">
      <c r="B9045"/>
    </row>
    <row r="9046" spans="2:2">
      <c r="B9046"/>
    </row>
    <row r="9047" spans="2:2">
      <c r="B9047"/>
    </row>
    <row r="9048" spans="2:2">
      <c r="B9048"/>
    </row>
    <row r="9049" spans="2:2">
      <c r="B9049"/>
    </row>
    <row r="9050" spans="2:2">
      <c r="B9050"/>
    </row>
    <row r="9051" spans="2:2">
      <c r="B9051"/>
    </row>
    <row r="9052" spans="2:2">
      <c r="B9052"/>
    </row>
    <row r="9053" spans="2:2">
      <c r="B9053"/>
    </row>
    <row r="9054" spans="2:2">
      <c r="B9054"/>
    </row>
    <row r="9055" spans="2:2">
      <c r="B9055"/>
    </row>
    <row r="9056" spans="2:2">
      <c r="B9056"/>
    </row>
    <row r="9057" spans="2:2">
      <c r="B9057"/>
    </row>
    <row r="9058" spans="2:2">
      <c r="B9058"/>
    </row>
    <row r="9059" spans="2:2">
      <c r="B9059"/>
    </row>
    <row r="9060" spans="2:2">
      <c r="B9060"/>
    </row>
    <row r="9061" spans="2:2">
      <c r="B9061"/>
    </row>
    <row r="9062" spans="2:2">
      <c r="B9062"/>
    </row>
    <row r="9063" spans="2:2">
      <c r="B9063"/>
    </row>
    <row r="9064" spans="2:2">
      <c r="B9064"/>
    </row>
    <row r="9065" spans="2:2">
      <c r="B9065"/>
    </row>
    <row r="9066" spans="2:2">
      <c r="B9066"/>
    </row>
    <row r="9067" spans="2:2">
      <c r="B9067"/>
    </row>
    <row r="9068" spans="2:2">
      <c r="B9068"/>
    </row>
    <row r="9069" spans="2:2">
      <c r="B9069"/>
    </row>
    <row r="9070" spans="2:2">
      <c r="B9070"/>
    </row>
    <row r="9071" spans="2:2">
      <c r="B9071"/>
    </row>
    <row r="9072" spans="2:2">
      <c r="B9072"/>
    </row>
    <row r="9073" spans="2:2">
      <c r="B9073"/>
    </row>
    <row r="9074" spans="2:2">
      <c r="B9074"/>
    </row>
    <row r="9075" spans="2:2">
      <c r="B9075"/>
    </row>
    <row r="9076" spans="2:2">
      <c r="B9076"/>
    </row>
    <row r="9077" spans="2:2">
      <c r="B9077"/>
    </row>
    <row r="9078" spans="2:2">
      <c r="B9078"/>
    </row>
    <row r="9079" spans="2:2">
      <c r="B9079"/>
    </row>
    <row r="9080" spans="2:2">
      <c r="B9080"/>
    </row>
    <row r="9081" spans="2:2">
      <c r="B9081"/>
    </row>
    <row r="9082" spans="2:2">
      <c r="B9082"/>
    </row>
    <row r="9083" spans="2:2">
      <c r="B9083"/>
    </row>
    <row r="9084" spans="2:2">
      <c r="B9084"/>
    </row>
    <row r="9085" spans="2:2">
      <c r="B9085"/>
    </row>
    <row r="9086" spans="2:2">
      <c r="B9086"/>
    </row>
    <row r="9087" spans="2:2">
      <c r="B9087"/>
    </row>
    <row r="9088" spans="2:2">
      <c r="B9088"/>
    </row>
    <row r="9089" spans="2:2">
      <c r="B9089"/>
    </row>
    <row r="9090" spans="2:2">
      <c r="B9090"/>
    </row>
    <row r="9091" spans="2:2">
      <c r="B9091"/>
    </row>
    <row r="9092" spans="2:2">
      <c r="B9092"/>
    </row>
    <row r="9093" spans="2:2">
      <c r="B9093"/>
    </row>
    <row r="9094" spans="2:2">
      <c r="B9094"/>
    </row>
    <row r="9095" spans="2:2">
      <c r="B9095"/>
    </row>
    <row r="9096" spans="2:2">
      <c r="B9096"/>
    </row>
    <row r="9097" spans="2:2">
      <c r="B9097"/>
    </row>
    <row r="9098" spans="2:2">
      <c r="B9098"/>
    </row>
    <row r="9099" spans="2:2">
      <c r="B9099"/>
    </row>
    <row r="9100" spans="2:2">
      <c r="B9100"/>
    </row>
    <row r="9101" spans="2:2">
      <c r="B9101"/>
    </row>
    <row r="9102" spans="2:2">
      <c r="B9102"/>
    </row>
    <row r="9103" spans="2:2">
      <c r="B9103"/>
    </row>
    <row r="9104" spans="2:2">
      <c r="B9104"/>
    </row>
    <row r="9105" spans="2:2">
      <c r="B9105"/>
    </row>
    <row r="9106" spans="2:2">
      <c r="B9106"/>
    </row>
    <row r="9107" spans="2:2">
      <c r="B9107"/>
    </row>
    <row r="9108" spans="2:2">
      <c r="B9108"/>
    </row>
    <row r="9109" spans="2:2">
      <c r="B9109"/>
    </row>
    <row r="9110" spans="2:2">
      <c r="B9110"/>
    </row>
    <row r="9111" spans="2:2">
      <c r="B9111"/>
    </row>
    <row r="9112" spans="2:2">
      <c r="B9112"/>
    </row>
    <row r="9113" spans="2:2">
      <c r="B9113"/>
    </row>
    <row r="9114" spans="2:2">
      <c r="B9114"/>
    </row>
    <row r="9115" spans="2:2">
      <c r="B9115"/>
    </row>
    <row r="9116" spans="2:2">
      <c r="B9116"/>
    </row>
    <row r="9117" spans="2:2">
      <c r="B9117"/>
    </row>
    <row r="9118" spans="2:2">
      <c r="B9118"/>
    </row>
    <row r="9119" spans="2:2">
      <c r="B9119"/>
    </row>
    <row r="9120" spans="2:2">
      <c r="B9120"/>
    </row>
    <row r="9121" spans="2:2">
      <c r="B9121"/>
    </row>
    <row r="9122" spans="2:2">
      <c r="B9122"/>
    </row>
    <row r="9123" spans="2:2">
      <c r="B9123"/>
    </row>
    <row r="9124" spans="2:2">
      <c r="B9124"/>
    </row>
    <row r="9125" spans="2:2">
      <c r="B9125"/>
    </row>
    <row r="9126" spans="2:2">
      <c r="B9126"/>
    </row>
    <row r="9127" spans="2:2">
      <c r="B9127"/>
    </row>
    <row r="9128" spans="2:2">
      <c r="B9128"/>
    </row>
    <row r="9129" spans="2:2">
      <c r="B9129"/>
    </row>
    <row r="9130" spans="2:2">
      <c r="B9130"/>
    </row>
    <row r="9131" spans="2:2">
      <c r="B9131"/>
    </row>
    <row r="9132" spans="2:2">
      <c r="B9132"/>
    </row>
    <row r="9133" spans="2:2">
      <c r="B9133"/>
    </row>
    <row r="9134" spans="2:2">
      <c r="B9134"/>
    </row>
    <row r="9135" spans="2:2">
      <c r="B9135"/>
    </row>
    <row r="9136" spans="2:2">
      <c r="B9136"/>
    </row>
    <row r="9137" spans="2:2">
      <c r="B9137"/>
    </row>
    <row r="9138" spans="2:2">
      <c r="B9138"/>
    </row>
    <row r="9139" spans="2:2">
      <c r="B9139"/>
    </row>
    <row r="9140" spans="2:2">
      <c r="B9140"/>
    </row>
    <row r="9141" spans="2:2">
      <c r="B9141"/>
    </row>
    <row r="9142" spans="2:2">
      <c r="B9142"/>
    </row>
    <row r="9143" spans="2:2">
      <c r="B9143"/>
    </row>
    <row r="9144" spans="2:2">
      <c r="B9144"/>
    </row>
    <row r="9145" spans="2:2">
      <c r="B9145"/>
    </row>
    <row r="9146" spans="2:2">
      <c r="B9146"/>
    </row>
    <row r="9147" spans="2:2">
      <c r="B9147"/>
    </row>
    <row r="9148" spans="2:2">
      <c r="B9148"/>
    </row>
    <row r="9149" spans="2:2">
      <c r="B9149"/>
    </row>
    <row r="9150" spans="2:2">
      <c r="B9150"/>
    </row>
    <row r="9151" spans="2:2">
      <c r="B9151"/>
    </row>
    <row r="9152" spans="2:2">
      <c r="B9152"/>
    </row>
    <row r="9153" spans="2:2">
      <c r="B9153"/>
    </row>
    <row r="9154" spans="2:2">
      <c r="B9154"/>
    </row>
    <row r="9155" spans="2:2">
      <c r="B9155"/>
    </row>
    <row r="9156" spans="2:2">
      <c r="B9156"/>
    </row>
    <row r="9157" spans="2:2">
      <c r="B9157"/>
    </row>
    <row r="9158" spans="2:2">
      <c r="B9158"/>
    </row>
    <row r="9159" spans="2:2">
      <c r="B9159"/>
    </row>
    <row r="9160" spans="2:2">
      <c r="B9160"/>
    </row>
    <row r="9161" spans="2:2">
      <c r="B9161"/>
    </row>
    <row r="9162" spans="2:2">
      <c r="B9162"/>
    </row>
    <row r="9163" spans="2:2">
      <c r="B9163"/>
    </row>
    <row r="9164" spans="2:2">
      <c r="B9164"/>
    </row>
    <row r="9165" spans="2:2">
      <c r="B9165"/>
    </row>
    <row r="9166" spans="2:2">
      <c r="B9166"/>
    </row>
    <row r="9167" spans="2:2">
      <c r="B9167"/>
    </row>
    <row r="9168" spans="2:2">
      <c r="B9168"/>
    </row>
    <row r="9169" spans="2:2">
      <c r="B9169"/>
    </row>
    <row r="9170" spans="2:2">
      <c r="B9170"/>
    </row>
    <row r="9171" spans="2:2">
      <c r="B9171"/>
    </row>
    <row r="9172" spans="2:2">
      <c r="B9172"/>
    </row>
    <row r="9173" spans="2:2">
      <c r="B9173"/>
    </row>
    <row r="9174" spans="2:2">
      <c r="B9174"/>
    </row>
    <row r="9175" spans="2:2">
      <c r="B9175"/>
    </row>
    <row r="9176" spans="2:2">
      <c r="B9176"/>
    </row>
    <row r="9177" spans="2:2">
      <c r="B9177"/>
    </row>
    <row r="9178" spans="2:2">
      <c r="B9178"/>
    </row>
    <row r="9179" spans="2:2">
      <c r="B9179"/>
    </row>
    <row r="9180" spans="2:2">
      <c r="B9180"/>
    </row>
    <row r="9181" spans="2:2">
      <c r="B9181"/>
    </row>
    <row r="9182" spans="2:2">
      <c r="B9182"/>
    </row>
    <row r="9183" spans="2:2">
      <c r="B9183"/>
    </row>
    <row r="9184" spans="2:2">
      <c r="B9184"/>
    </row>
    <row r="9185" spans="2:2">
      <c r="B9185"/>
    </row>
    <row r="9186" spans="2:2">
      <c r="B9186"/>
    </row>
    <row r="9187" spans="2:2">
      <c r="B9187"/>
    </row>
    <row r="9188" spans="2:2">
      <c r="B9188"/>
    </row>
    <row r="9189" spans="2:2">
      <c r="B9189"/>
    </row>
    <row r="9190" spans="2:2">
      <c r="B9190"/>
    </row>
    <row r="9191" spans="2:2">
      <c r="B9191"/>
    </row>
    <row r="9192" spans="2:2">
      <c r="B9192"/>
    </row>
    <row r="9193" spans="2:2">
      <c r="B9193"/>
    </row>
    <row r="9194" spans="2:2">
      <c r="B9194"/>
    </row>
    <row r="9195" spans="2:2">
      <c r="B9195"/>
    </row>
    <row r="9196" spans="2:2">
      <c r="B9196"/>
    </row>
    <row r="9197" spans="2:2">
      <c r="B9197"/>
    </row>
    <row r="9198" spans="2:2">
      <c r="B9198"/>
    </row>
    <row r="9199" spans="2:2">
      <c r="B9199"/>
    </row>
    <row r="9200" spans="2:2">
      <c r="B9200"/>
    </row>
    <row r="9201" spans="2:2">
      <c r="B9201"/>
    </row>
    <row r="9202" spans="2:2">
      <c r="B9202"/>
    </row>
    <row r="9203" spans="2:2">
      <c r="B9203"/>
    </row>
    <row r="9204" spans="2:2">
      <c r="B9204"/>
    </row>
    <row r="9205" spans="2:2">
      <c r="B9205"/>
    </row>
    <row r="9206" spans="2:2">
      <c r="B9206"/>
    </row>
    <row r="9207" spans="2:2">
      <c r="B9207"/>
    </row>
    <row r="9208" spans="2:2">
      <c r="B9208"/>
    </row>
    <row r="9209" spans="2:2">
      <c r="B9209"/>
    </row>
    <row r="9210" spans="2:2">
      <c r="B9210"/>
    </row>
    <row r="9211" spans="2:2">
      <c r="B9211"/>
    </row>
    <row r="9212" spans="2:2">
      <c r="B9212"/>
    </row>
    <row r="9213" spans="2:2">
      <c r="B9213"/>
    </row>
    <row r="9214" spans="2:2">
      <c r="B9214"/>
    </row>
    <row r="9215" spans="2:2">
      <c r="B9215"/>
    </row>
    <row r="9216" spans="2:2">
      <c r="B9216"/>
    </row>
    <row r="9217" spans="2:2">
      <c r="B9217"/>
    </row>
    <row r="9218" spans="2:2">
      <c r="B9218"/>
    </row>
    <row r="9219" spans="2:2">
      <c r="B9219"/>
    </row>
    <row r="9220" spans="2:2">
      <c r="B9220"/>
    </row>
    <row r="9221" spans="2:2">
      <c r="B9221"/>
    </row>
    <row r="9222" spans="2:2">
      <c r="B9222"/>
    </row>
    <row r="9223" spans="2:2">
      <c r="B9223"/>
    </row>
    <row r="9224" spans="2:2">
      <c r="B9224"/>
    </row>
    <row r="9225" spans="2:2">
      <c r="B9225"/>
    </row>
    <row r="9226" spans="2:2">
      <c r="B9226"/>
    </row>
    <row r="9227" spans="2:2">
      <c r="B9227"/>
    </row>
    <row r="9228" spans="2:2">
      <c r="B9228"/>
    </row>
    <row r="9229" spans="2:2">
      <c r="B9229"/>
    </row>
    <row r="9230" spans="2:2">
      <c r="B9230"/>
    </row>
    <row r="9231" spans="2:2">
      <c r="B9231"/>
    </row>
    <row r="9232" spans="2:2">
      <c r="B9232"/>
    </row>
    <row r="9233" spans="2:2">
      <c r="B9233"/>
    </row>
    <row r="9234" spans="2:2">
      <c r="B9234"/>
    </row>
    <row r="9235" spans="2:2">
      <c r="B9235"/>
    </row>
    <row r="9236" spans="2:2">
      <c r="B9236"/>
    </row>
    <row r="9237" spans="2:2">
      <c r="B9237"/>
    </row>
    <row r="9238" spans="2:2">
      <c r="B9238"/>
    </row>
    <row r="9239" spans="2:2">
      <c r="B9239"/>
    </row>
    <row r="9240" spans="2:2">
      <c r="B9240"/>
    </row>
    <row r="9241" spans="2:2">
      <c r="B9241"/>
    </row>
    <row r="9242" spans="2:2">
      <c r="B9242"/>
    </row>
    <row r="9243" spans="2:2">
      <c r="B9243"/>
    </row>
    <row r="9244" spans="2:2">
      <c r="B9244"/>
    </row>
    <row r="9245" spans="2:2">
      <c r="B9245"/>
    </row>
    <row r="9246" spans="2:2">
      <c r="B9246"/>
    </row>
    <row r="9247" spans="2:2">
      <c r="B9247"/>
    </row>
    <row r="9248" spans="2:2">
      <c r="B9248"/>
    </row>
    <row r="9249" spans="2:2">
      <c r="B9249"/>
    </row>
    <row r="9250" spans="2:2">
      <c r="B9250"/>
    </row>
    <row r="9251" spans="2:2">
      <c r="B9251"/>
    </row>
    <row r="9252" spans="2:2">
      <c r="B9252"/>
    </row>
    <row r="9253" spans="2:2">
      <c r="B9253"/>
    </row>
    <row r="9254" spans="2:2">
      <c r="B9254"/>
    </row>
    <row r="9255" spans="2:2">
      <c r="B9255"/>
    </row>
    <row r="9256" spans="2:2">
      <c r="B9256"/>
    </row>
    <row r="9257" spans="2:2">
      <c r="B9257"/>
    </row>
    <row r="9258" spans="2:2">
      <c r="B9258"/>
    </row>
    <row r="9259" spans="2:2">
      <c r="B9259"/>
    </row>
    <row r="9260" spans="2:2">
      <c r="B9260"/>
    </row>
    <row r="9261" spans="2:2">
      <c r="B9261"/>
    </row>
    <row r="9262" spans="2:2">
      <c r="B9262"/>
    </row>
    <row r="9263" spans="2:2">
      <c r="B9263"/>
    </row>
    <row r="9264" spans="2:2">
      <c r="B9264"/>
    </row>
    <row r="9265" spans="2:2">
      <c r="B9265"/>
    </row>
    <row r="9266" spans="2:2">
      <c r="B9266"/>
    </row>
    <row r="9267" spans="2:2">
      <c r="B9267"/>
    </row>
    <row r="9268" spans="2:2">
      <c r="B9268"/>
    </row>
    <row r="9269" spans="2:2">
      <c r="B9269"/>
    </row>
    <row r="9270" spans="2:2">
      <c r="B9270"/>
    </row>
    <row r="9271" spans="2:2">
      <c r="B9271"/>
    </row>
    <row r="9272" spans="2:2">
      <c r="B9272"/>
    </row>
    <row r="9273" spans="2:2">
      <c r="B9273"/>
    </row>
    <row r="9274" spans="2:2">
      <c r="B9274"/>
    </row>
    <row r="9275" spans="2:2">
      <c r="B9275"/>
    </row>
    <row r="9276" spans="2:2">
      <c r="B9276"/>
    </row>
    <row r="9277" spans="2:2">
      <c r="B9277"/>
    </row>
    <row r="9278" spans="2:2">
      <c r="B9278"/>
    </row>
    <row r="9279" spans="2:2">
      <c r="B9279"/>
    </row>
    <row r="9280" spans="2:2">
      <c r="B9280"/>
    </row>
    <row r="9281" spans="2:2">
      <c r="B9281"/>
    </row>
    <row r="9282" spans="2:2">
      <c r="B9282"/>
    </row>
    <row r="9283" spans="2:2">
      <c r="B9283"/>
    </row>
    <row r="9284" spans="2:2">
      <c r="B9284"/>
    </row>
    <row r="9285" spans="2:2">
      <c r="B9285"/>
    </row>
    <row r="9286" spans="2:2">
      <c r="B9286"/>
    </row>
    <row r="9287" spans="2:2">
      <c r="B9287"/>
    </row>
    <row r="9288" spans="2:2">
      <c r="B9288"/>
    </row>
    <row r="9289" spans="2:2">
      <c r="B9289"/>
    </row>
    <row r="9290" spans="2:2">
      <c r="B9290"/>
    </row>
    <row r="9291" spans="2:2">
      <c r="B9291"/>
    </row>
    <row r="9292" spans="2:2">
      <c r="B9292"/>
    </row>
    <row r="9293" spans="2:2">
      <c r="B9293"/>
    </row>
    <row r="9294" spans="2:2">
      <c r="B9294"/>
    </row>
    <row r="9295" spans="2:2">
      <c r="B9295"/>
    </row>
    <row r="9296" spans="2:2">
      <c r="B9296"/>
    </row>
    <row r="9297" spans="2:2">
      <c r="B9297"/>
    </row>
    <row r="9298" spans="2:2">
      <c r="B9298"/>
    </row>
    <row r="9299" spans="2:2">
      <c r="B9299"/>
    </row>
    <row r="9300" spans="2:2">
      <c r="B9300"/>
    </row>
    <row r="9301" spans="2:2">
      <c r="B9301"/>
    </row>
    <row r="9302" spans="2:2">
      <c r="B9302"/>
    </row>
    <row r="9303" spans="2:2">
      <c r="B9303"/>
    </row>
    <row r="9304" spans="2:2">
      <c r="B9304"/>
    </row>
    <row r="9305" spans="2:2">
      <c r="B9305"/>
    </row>
    <row r="9306" spans="2:2">
      <c r="B9306"/>
    </row>
    <row r="9307" spans="2:2">
      <c r="B9307"/>
    </row>
    <row r="9308" spans="2:2">
      <c r="B9308"/>
    </row>
    <row r="9309" spans="2:2">
      <c r="B9309"/>
    </row>
    <row r="9310" spans="2:2">
      <c r="B9310"/>
    </row>
    <row r="9311" spans="2:2">
      <c r="B9311"/>
    </row>
    <row r="9312" spans="2:2">
      <c r="B9312"/>
    </row>
    <row r="9313" spans="2:2">
      <c r="B9313"/>
    </row>
    <row r="9314" spans="2:2">
      <c r="B9314"/>
    </row>
    <row r="9315" spans="2:2">
      <c r="B9315"/>
    </row>
    <row r="9316" spans="2:2">
      <c r="B9316"/>
    </row>
    <row r="9317" spans="2:2">
      <c r="B9317"/>
    </row>
    <row r="9318" spans="2:2">
      <c r="B9318"/>
    </row>
    <row r="9319" spans="2:2">
      <c r="B9319"/>
    </row>
    <row r="9320" spans="2:2">
      <c r="B9320"/>
    </row>
    <row r="9321" spans="2:2">
      <c r="B9321"/>
    </row>
    <row r="9322" spans="2:2">
      <c r="B9322"/>
    </row>
    <row r="9323" spans="2:2">
      <c r="B9323"/>
    </row>
    <row r="9324" spans="2:2">
      <c r="B9324"/>
    </row>
    <row r="9325" spans="2:2">
      <c r="B9325"/>
    </row>
    <row r="9326" spans="2:2">
      <c r="B9326"/>
    </row>
    <row r="9327" spans="2:2">
      <c r="B9327"/>
    </row>
    <row r="9328" spans="2:2">
      <c r="B9328"/>
    </row>
    <row r="9329" spans="2:2">
      <c r="B9329"/>
    </row>
    <row r="9330" spans="2:2">
      <c r="B9330"/>
    </row>
    <row r="9331" spans="2:2">
      <c r="B9331"/>
    </row>
    <row r="9332" spans="2:2">
      <c r="B9332"/>
    </row>
    <row r="9333" spans="2:2">
      <c r="B9333"/>
    </row>
    <row r="9334" spans="2:2">
      <c r="B9334"/>
    </row>
    <row r="9335" spans="2:2">
      <c r="B9335"/>
    </row>
    <row r="9336" spans="2:2">
      <c r="B9336"/>
    </row>
    <row r="9337" spans="2:2">
      <c r="B9337"/>
    </row>
    <row r="9338" spans="2:2">
      <c r="B9338"/>
    </row>
    <row r="9339" spans="2:2">
      <c r="B9339"/>
    </row>
    <row r="9340" spans="2:2">
      <c r="B9340"/>
    </row>
    <row r="9341" spans="2:2">
      <c r="B9341"/>
    </row>
    <row r="9342" spans="2:2">
      <c r="B9342"/>
    </row>
    <row r="9343" spans="2:2">
      <c r="B9343"/>
    </row>
    <row r="9344" spans="2:2">
      <c r="B9344"/>
    </row>
    <row r="9345" spans="2:2">
      <c r="B9345"/>
    </row>
    <row r="9346" spans="2:2">
      <c r="B9346"/>
    </row>
    <row r="9347" spans="2:2">
      <c r="B9347"/>
    </row>
    <row r="9348" spans="2:2">
      <c r="B9348"/>
    </row>
    <row r="9349" spans="2:2">
      <c r="B9349"/>
    </row>
    <row r="9350" spans="2:2">
      <c r="B9350"/>
    </row>
    <row r="9351" spans="2:2">
      <c r="B9351"/>
    </row>
    <row r="9352" spans="2:2">
      <c r="B9352"/>
    </row>
    <row r="9353" spans="2:2">
      <c r="B9353"/>
    </row>
    <row r="9354" spans="2:2">
      <c r="B9354"/>
    </row>
    <row r="9355" spans="2:2">
      <c r="B9355"/>
    </row>
    <row r="9356" spans="2:2">
      <c r="B9356"/>
    </row>
    <row r="9357" spans="2:2">
      <c r="B9357"/>
    </row>
    <row r="9358" spans="2:2">
      <c r="B9358"/>
    </row>
    <row r="9359" spans="2:2">
      <c r="B9359"/>
    </row>
    <row r="9360" spans="2:2">
      <c r="B9360"/>
    </row>
    <row r="9361" spans="2:2">
      <c r="B9361"/>
    </row>
    <row r="9362" spans="2:2">
      <c r="B9362"/>
    </row>
    <row r="9363" spans="2:2">
      <c r="B9363"/>
    </row>
    <row r="9364" spans="2:2">
      <c r="B9364"/>
    </row>
    <row r="9365" spans="2:2">
      <c r="B9365"/>
    </row>
    <row r="9366" spans="2:2">
      <c r="B9366"/>
    </row>
    <row r="9367" spans="2:2">
      <c r="B9367"/>
    </row>
    <row r="9368" spans="2:2">
      <c r="B9368"/>
    </row>
    <row r="9369" spans="2:2">
      <c r="B9369"/>
    </row>
    <row r="9370" spans="2:2">
      <c r="B9370"/>
    </row>
    <row r="9371" spans="2:2">
      <c r="B9371"/>
    </row>
    <row r="9372" spans="2:2">
      <c r="B9372"/>
    </row>
    <row r="9373" spans="2:2">
      <c r="B9373"/>
    </row>
    <row r="9374" spans="2:2">
      <c r="B9374"/>
    </row>
    <row r="9375" spans="2:2">
      <c r="B9375"/>
    </row>
    <row r="9376" spans="2:2">
      <c r="B9376"/>
    </row>
    <row r="9377" spans="2:2">
      <c r="B9377"/>
    </row>
    <row r="9378" spans="2:2">
      <c r="B9378"/>
    </row>
    <row r="9379" spans="2:2">
      <c r="B9379"/>
    </row>
    <row r="9380" spans="2:2">
      <c r="B9380"/>
    </row>
    <row r="9381" spans="2:2">
      <c r="B9381"/>
    </row>
    <row r="9382" spans="2:2">
      <c r="B9382"/>
    </row>
    <row r="9383" spans="2:2">
      <c r="B9383"/>
    </row>
    <row r="9384" spans="2:2">
      <c r="B9384"/>
    </row>
    <row r="9385" spans="2:2">
      <c r="B9385"/>
    </row>
    <row r="9386" spans="2:2">
      <c r="B9386"/>
    </row>
    <row r="9387" spans="2:2">
      <c r="B9387"/>
    </row>
    <row r="9388" spans="2:2">
      <c r="B9388"/>
    </row>
    <row r="9389" spans="2:2">
      <c r="B9389"/>
    </row>
    <row r="9390" spans="2:2">
      <c r="B9390"/>
    </row>
    <row r="9391" spans="2:2">
      <c r="B9391"/>
    </row>
    <row r="9392" spans="2:2">
      <c r="B9392"/>
    </row>
    <row r="9393" spans="2:2">
      <c r="B9393"/>
    </row>
    <row r="9394" spans="2:2">
      <c r="B9394"/>
    </row>
    <row r="9395" spans="2:2">
      <c r="B9395"/>
    </row>
    <row r="9396" spans="2:2">
      <c r="B9396"/>
    </row>
    <row r="9397" spans="2:2">
      <c r="B9397"/>
    </row>
    <row r="9398" spans="2:2">
      <c r="B9398"/>
    </row>
    <row r="9399" spans="2:2">
      <c r="B9399"/>
    </row>
    <row r="9400" spans="2:2">
      <c r="B9400"/>
    </row>
    <row r="9401" spans="2:2">
      <c r="B9401"/>
    </row>
    <row r="9402" spans="2:2">
      <c r="B9402"/>
    </row>
    <row r="9403" spans="2:2">
      <c r="B9403"/>
    </row>
    <row r="9404" spans="2:2">
      <c r="B9404"/>
    </row>
    <row r="9405" spans="2:2">
      <c r="B9405"/>
    </row>
    <row r="9406" spans="2:2">
      <c r="B9406"/>
    </row>
    <row r="9407" spans="2:2">
      <c r="B9407"/>
    </row>
    <row r="9408" spans="2:2">
      <c r="B9408"/>
    </row>
    <row r="9409" spans="2:2">
      <c r="B9409"/>
    </row>
    <row r="9410" spans="2:2">
      <c r="B9410"/>
    </row>
    <row r="9411" spans="2:2">
      <c r="B9411"/>
    </row>
    <row r="9412" spans="2:2">
      <c r="B9412"/>
    </row>
    <row r="9413" spans="2:2">
      <c r="B9413"/>
    </row>
    <row r="9414" spans="2:2">
      <c r="B9414"/>
    </row>
    <row r="9415" spans="2:2">
      <c r="B9415"/>
    </row>
    <row r="9416" spans="2:2">
      <c r="B9416"/>
    </row>
    <row r="9417" spans="2:2">
      <c r="B9417"/>
    </row>
    <row r="9418" spans="2:2">
      <c r="B9418"/>
    </row>
    <row r="9419" spans="2:2">
      <c r="B9419"/>
    </row>
    <row r="9420" spans="2:2">
      <c r="B9420"/>
    </row>
    <row r="9421" spans="2:2">
      <c r="B9421"/>
    </row>
    <row r="9422" spans="2:2">
      <c r="B9422"/>
    </row>
    <row r="9423" spans="2:2">
      <c r="B9423"/>
    </row>
    <row r="9424" spans="2:2">
      <c r="B9424"/>
    </row>
    <row r="9425" spans="2:2">
      <c r="B9425"/>
    </row>
    <row r="9426" spans="2:2">
      <c r="B9426"/>
    </row>
    <row r="9427" spans="2:2">
      <c r="B9427"/>
    </row>
    <row r="9428" spans="2:2">
      <c r="B9428"/>
    </row>
    <row r="9429" spans="2:2">
      <c r="B9429"/>
    </row>
    <row r="9430" spans="2:2">
      <c r="B9430"/>
    </row>
    <row r="9431" spans="2:2">
      <c r="B9431"/>
    </row>
    <row r="9432" spans="2:2">
      <c r="B9432"/>
    </row>
    <row r="9433" spans="2:2">
      <c r="B9433"/>
    </row>
    <row r="9434" spans="2:2">
      <c r="B9434"/>
    </row>
    <row r="9435" spans="2:2">
      <c r="B9435"/>
    </row>
    <row r="9436" spans="2:2">
      <c r="B9436"/>
    </row>
    <row r="9437" spans="2:2">
      <c r="B9437"/>
    </row>
    <row r="9438" spans="2:2">
      <c r="B9438"/>
    </row>
    <row r="9439" spans="2:2">
      <c r="B9439"/>
    </row>
    <row r="9440" spans="2:2">
      <c r="B9440"/>
    </row>
    <row r="9441" spans="2:2">
      <c r="B9441"/>
    </row>
    <row r="9442" spans="2:2">
      <c r="B9442"/>
    </row>
    <row r="9443" spans="2:2">
      <c r="B9443"/>
    </row>
    <row r="9444" spans="2:2">
      <c r="B9444"/>
    </row>
    <row r="9445" spans="2:2">
      <c r="B9445"/>
    </row>
    <row r="9446" spans="2:2">
      <c r="B9446"/>
    </row>
    <row r="9447" spans="2:2">
      <c r="B9447"/>
    </row>
    <row r="9448" spans="2:2">
      <c r="B9448"/>
    </row>
    <row r="9449" spans="2:2">
      <c r="B9449"/>
    </row>
    <row r="9450" spans="2:2">
      <c r="B9450"/>
    </row>
    <row r="9451" spans="2:2">
      <c r="B9451"/>
    </row>
    <row r="9452" spans="2:2">
      <c r="B9452"/>
    </row>
    <row r="9453" spans="2:2">
      <c r="B9453"/>
    </row>
    <row r="9454" spans="2:2">
      <c r="B9454"/>
    </row>
    <row r="9455" spans="2:2">
      <c r="B9455"/>
    </row>
    <row r="9456" spans="2:2">
      <c r="B9456"/>
    </row>
    <row r="9457" spans="2:2">
      <c r="B9457"/>
    </row>
    <row r="9458" spans="2:2">
      <c r="B9458"/>
    </row>
    <row r="9459" spans="2:2">
      <c r="B9459"/>
    </row>
    <row r="9460" spans="2:2">
      <c r="B9460"/>
    </row>
    <row r="9461" spans="2:2">
      <c r="B9461"/>
    </row>
    <row r="9462" spans="2:2">
      <c r="B9462"/>
    </row>
    <row r="9463" spans="2:2">
      <c r="B9463"/>
    </row>
    <row r="9464" spans="2:2">
      <c r="B9464"/>
    </row>
    <row r="9465" spans="2:2">
      <c r="B9465"/>
    </row>
    <row r="9466" spans="2:2">
      <c r="B9466"/>
    </row>
    <row r="9467" spans="2:2">
      <c r="B9467"/>
    </row>
    <row r="9468" spans="2:2">
      <c r="B9468"/>
    </row>
    <row r="9469" spans="2:2">
      <c r="B9469"/>
    </row>
    <row r="9470" spans="2:2">
      <c r="B9470"/>
    </row>
    <row r="9471" spans="2:2">
      <c r="B9471"/>
    </row>
    <row r="9472" spans="2:2">
      <c r="B9472"/>
    </row>
    <row r="9473" spans="2:2">
      <c r="B9473"/>
    </row>
    <row r="9474" spans="2:2">
      <c r="B9474"/>
    </row>
    <row r="9475" spans="2:2">
      <c r="B9475"/>
    </row>
    <row r="9476" spans="2:2">
      <c r="B9476"/>
    </row>
    <row r="9477" spans="2:2">
      <c r="B9477"/>
    </row>
    <row r="9478" spans="2:2">
      <c r="B9478"/>
    </row>
    <row r="9479" spans="2:2">
      <c r="B9479"/>
    </row>
    <row r="9480" spans="2:2">
      <c r="B9480"/>
    </row>
    <row r="9481" spans="2:2">
      <c r="B9481"/>
    </row>
    <row r="9482" spans="2:2">
      <c r="B9482"/>
    </row>
    <row r="9483" spans="2:2">
      <c r="B9483"/>
    </row>
    <row r="9484" spans="2:2">
      <c r="B9484"/>
    </row>
    <row r="9485" spans="2:2">
      <c r="B9485"/>
    </row>
    <row r="9486" spans="2:2">
      <c r="B9486"/>
    </row>
    <row r="9487" spans="2:2">
      <c r="B9487"/>
    </row>
    <row r="9488" spans="2:2">
      <c r="B9488"/>
    </row>
    <row r="9489" spans="2:2">
      <c r="B9489"/>
    </row>
    <row r="9490" spans="2:2">
      <c r="B9490"/>
    </row>
    <row r="9491" spans="2:2">
      <c r="B9491"/>
    </row>
    <row r="9492" spans="2:2">
      <c r="B9492"/>
    </row>
    <row r="9493" spans="2:2">
      <c r="B9493"/>
    </row>
    <row r="9494" spans="2:2">
      <c r="B9494"/>
    </row>
    <row r="9495" spans="2:2">
      <c r="B9495"/>
    </row>
    <row r="9496" spans="2:2">
      <c r="B9496"/>
    </row>
    <row r="9497" spans="2:2">
      <c r="B9497"/>
    </row>
    <row r="9498" spans="2:2">
      <c r="B9498"/>
    </row>
    <row r="9499" spans="2:2">
      <c r="B9499"/>
    </row>
    <row r="9500" spans="2:2">
      <c r="B9500"/>
    </row>
    <row r="9501" spans="2:2">
      <c r="B9501"/>
    </row>
    <row r="9502" spans="2:2">
      <c r="B9502"/>
    </row>
    <row r="9503" spans="2:2">
      <c r="B9503"/>
    </row>
    <row r="9504" spans="2:2">
      <c r="B9504"/>
    </row>
    <row r="9505" spans="2:2">
      <c r="B9505"/>
    </row>
    <row r="9506" spans="2:2">
      <c r="B9506"/>
    </row>
    <row r="9507" spans="2:2">
      <c r="B9507"/>
    </row>
    <row r="9508" spans="2:2">
      <c r="B9508"/>
    </row>
    <row r="9509" spans="2:2">
      <c r="B9509"/>
    </row>
    <row r="9510" spans="2:2">
      <c r="B9510"/>
    </row>
    <row r="9511" spans="2:2">
      <c r="B9511"/>
    </row>
    <row r="9512" spans="2:2">
      <c r="B9512"/>
    </row>
    <row r="9513" spans="2:2">
      <c r="B9513"/>
    </row>
    <row r="9514" spans="2:2">
      <c r="B9514"/>
    </row>
    <row r="9515" spans="2:2">
      <c r="B9515"/>
    </row>
    <row r="9516" spans="2:2">
      <c r="B9516"/>
    </row>
    <row r="9517" spans="2:2">
      <c r="B9517"/>
    </row>
    <row r="9518" spans="2:2">
      <c r="B9518"/>
    </row>
    <row r="9519" spans="2:2">
      <c r="B9519"/>
    </row>
    <row r="9520" spans="2:2">
      <c r="B9520"/>
    </row>
    <row r="9521" spans="2:2">
      <c r="B9521"/>
    </row>
    <row r="9522" spans="2:2">
      <c r="B9522"/>
    </row>
    <row r="9523" spans="2:2">
      <c r="B9523"/>
    </row>
    <row r="9524" spans="2:2">
      <c r="B9524"/>
    </row>
    <row r="9525" spans="2:2">
      <c r="B9525"/>
    </row>
    <row r="9526" spans="2:2">
      <c r="B9526"/>
    </row>
    <row r="9527" spans="2:2">
      <c r="B9527"/>
    </row>
    <row r="9528" spans="2:2">
      <c r="B9528"/>
    </row>
    <row r="9529" spans="2:2">
      <c r="B9529"/>
    </row>
    <row r="9530" spans="2:2">
      <c r="B9530"/>
    </row>
    <row r="9531" spans="2:2">
      <c r="B9531"/>
    </row>
    <row r="9532" spans="2:2">
      <c r="B9532"/>
    </row>
    <row r="9533" spans="2:2">
      <c r="B9533"/>
    </row>
    <row r="9534" spans="2:2">
      <c r="B9534"/>
    </row>
    <row r="9535" spans="2:2">
      <c r="B9535"/>
    </row>
    <row r="9536" spans="2:2">
      <c r="B9536"/>
    </row>
    <row r="9537" spans="2:2">
      <c r="B9537"/>
    </row>
    <row r="9538" spans="2:2">
      <c r="B9538"/>
    </row>
    <row r="9539" spans="2:2">
      <c r="B9539"/>
    </row>
    <row r="9540" spans="2:2">
      <c r="B9540"/>
    </row>
    <row r="9541" spans="2:2">
      <c r="B9541"/>
    </row>
    <row r="9542" spans="2:2">
      <c r="B9542"/>
    </row>
    <row r="9543" spans="2:2">
      <c r="B9543"/>
    </row>
    <row r="9544" spans="2:2">
      <c r="B9544"/>
    </row>
    <row r="9545" spans="2:2">
      <c r="B9545"/>
    </row>
    <row r="9546" spans="2:2">
      <c r="B9546"/>
    </row>
    <row r="9547" spans="2:2">
      <c r="B9547"/>
    </row>
    <row r="9548" spans="2:2">
      <c r="B9548"/>
    </row>
    <row r="9549" spans="2:2">
      <c r="B9549"/>
    </row>
    <row r="9550" spans="2:2">
      <c r="B9550"/>
    </row>
    <row r="9551" spans="2:2">
      <c r="B9551"/>
    </row>
    <row r="9552" spans="2:2">
      <c r="B9552"/>
    </row>
    <row r="9553" spans="2:2">
      <c r="B9553"/>
    </row>
    <row r="9554" spans="2:2">
      <c r="B9554"/>
    </row>
    <row r="9555" spans="2:2">
      <c r="B9555"/>
    </row>
    <row r="9556" spans="2:2">
      <c r="B9556"/>
    </row>
    <row r="9557" spans="2:2">
      <c r="B9557"/>
    </row>
    <row r="9558" spans="2:2">
      <c r="B9558"/>
    </row>
    <row r="9559" spans="2:2">
      <c r="B9559"/>
    </row>
    <row r="9560" spans="2:2">
      <c r="B9560"/>
    </row>
    <row r="9561" spans="2:2">
      <c r="B9561"/>
    </row>
    <row r="9562" spans="2:2">
      <c r="B9562"/>
    </row>
    <row r="9563" spans="2:2">
      <c r="B9563"/>
    </row>
    <row r="9564" spans="2:2">
      <c r="B9564"/>
    </row>
    <row r="9565" spans="2:2">
      <c r="B9565"/>
    </row>
    <row r="9566" spans="2:2">
      <c r="B9566"/>
    </row>
    <row r="9567" spans="2:2">
      <c r="B9567"/>
    </row>
    <row r="9568" spans="2:2">
      <c r="B9568"/>
    </row>
    <row r="9569" spans="2:2">
      <c r="B9569"/>
    </row>
    <row r="9570" spans="2:2">
      <c r="B9570"/>
    </row>
    <row r="9571" spans="2:2">
      <c r="B9571"/>
    </row>
    <row r="9572" spans="2:2">
      <c r="B9572"/>
    </row>
    <row r="9573" spans="2:2">
      <c r="B9573"/>
    </row>
    <row r="9574" spans="2:2">
      <c r="B9574"/>
    </row>
    <row r="9575" spans="2:2">
      <c r="B9575"/>
    </row>
    <row r="9576" spans="2:2">
      <c r="B9576"/>
    </row>
    <row r="9577" spans="2:2">
      <c r="B9577"/>
    </row>
    <row r="9578" spans="2:2">
      <c r="B9578"/>
    </row>
    <row r="9579" spans="2:2">
      <c r="B9579"/>
    </row>
    <row r="9580" spans="2:2">
      <c r="B9580"/>
    </row>
    <row r="9581" spans="2:2">
      <c r="B9581"/>
    </row>
    <row r="9582" spans="2:2">
      <c r="B9582"/>
    </row>
    <row r="9583" spans="2:2">
      <c r="B9583"/>
    </row>
    <row r="9584" spans="2:2">
      <c r="B9584"/>
    </row>
    <row r="9585" spans="2:2">
      <c r="B9585"/>
    </row>
    <row r="9586" spans="2:2">
      <c r="B9586"/>
    </row>
    <row r="9587" spans="2:2">
      <c r="B9587"/>
    </row>
    <row r="9588" spans="2:2">
      <c r="B9588"/>
    </row>
    <row r="9589" spans="2:2">
      <c r="B9589"/>
    </row>
    <row r="9590" spans="2:2">
      <c r="B9590"/>
    </row>
    <row r="9591" spans="2:2">
      <c r="B9591"/>
    </row>
    <row r="9592" spans="2:2">
      <c r="B9592"/>
    </row>
    <row r="9593" spans="2:2">
      <c r="B9593"/>
    </row>
    <row r="9594" spans="2:2">
      <c r="B9594"/>
    </row>
    <row r="9595" spans="2:2">
      <c r="B9595"/>
    </row>
    <row r="9596" spans="2:2">
      <c r="B9596"/>
    </row>
    <row r="9597" spans="2:2">
      <c r="B9597"/>
    </row>
    <row r="9598" spans="2:2">
      <c r="B9598"/>
    </row>
    <row r="9599" spans="2:2">
      <c r="B9599"/>
    </row>
    <row r="9600" spans="2:2">
      <c r="B9600"/>
    </row>
    <row r="9601" spans="2:2">
      <c r="B9601"/>
    </row>
    <row r="9602" spans="2:2">
      <c r="B9602"/>
    </row>
    <row r="9603" spans="2:2">
      <c r="B9603"/>
    </row>
    <row r="9604" spans="2:2">
      <c r="B9604"/>
    </row>
    <row r="9605" spans="2:2">
      <c r="B9605"/>
    </row>
    <row r="9606" spans="2:2">
      <c r="B9606"/>
    </row>
    <row r="9607" spans="2:2">
      <c r="B9607"/>
    </row>
    <row r="9608" spans="2:2">
      <c r="B9608"/>
    </row>
    <row r="9609" spans="2:2">
      <c r="B9609"/>
    </row>
    <row r="9610" spans="2:2">
      <c r="B9610"/>
    </row>
    <row r="9611" spans="2:2">
      <c r="B9611"/>
    </row>
    <row r="9612" spans="2:2">
      <c r="B9612"/>
    </row>
    <row r="9613" spans="2:2">
      <c r="B9613"/>
    </row>
    <row r="9614" spans="2:2">
      <c r="B9614"/>
    </row>
    <row r="9615" spans="2:2">
      <c r="B9615"/>
    </row>
    <row r="9616" spans="2:2">
      <c r="B9616"/>
    </row>
    <row r="9617" spans="2:2">
      <c r="B9617"/>
    </row>
    <row r="9618" spans="2:2">
      <c r="B9618"/>
    </row>
    <row r="9619" spans="2:2">
      <c r="B9619"/>
    </row>
    <row r="9620" spans="2:2">
      <c r="B9620"/>
    </row>
    <row r="9621" spans="2:2">
      <c r="B9621"/>
    </row>
    <row r="9622" spans="2:2">
      <c r="B9622"/>
    </row>
    <row r="9623" spans="2:2">
      <c r="B9623"/>
    </row>
    <row r="9624" spans="2:2">
      <c r="B9624"/>
    </row>
    <row r="9625" spans="2:2">
      <c r="B9625"/>
    </row>
    <row r="9626" spans="2:2">
      <c r="B9626"/>
    </row>
    <row r="9627" spans="2:2">
      <c r="B9627"/>
    </row>
    <row r="9628" spans="2:2">
      <c r="B9628"/>
    </row>
    <row r="9629" spans="2:2">
      <c r="B9629"/>
    </row>
    <row r="9630" spans="2:2">
      <c r="B9630"/>
    </row>
    <row r="9631" spans="2:2">
      <c r="B9631"/>
    </row>
    <row r="9632" spans="2:2">
      <c r="B9632"/>
    </row>
    <row r="9633" spans="2:2">
      <c r="B9633"/>
    </row>
    <row r="9634" spans="2:2">
      <c r="B9634"/>
    </row>
    <row r="9635" spans="2:2">
      <c r="B9635"/>
    </row>
    <row r="9636" spans="2:2">
      <c r="B9636"/>
    </row>
    <row r="9637" spans="2:2">
      <c r="B9637"/>
    </row>
    <row r="9638" spans="2:2">
      <c r="B9638"/>
    </row>
    <row r="9639" spans="2:2">
      <c r="B9639"/>
    </row>
    <row r="9640" spans="2:2">
      <c r="B9640"/>
    </row>
    <row r="9641" spans="2:2">
      <c r="B9641"/>
    </row>
    <row r="9642" spans="2:2">
      <c r="B9642"/>
    </row>
    <row r="9643" spans="2:2">
      <c r="B9643"/>
    </row>
    <row r="9644" spans="2:2">
      <c r="B9644"/>
    </row>
    <row r="9645" spans="2:2">
      <c r="B9645"/>
    </row>
    <row r="9646" spans="2:2">
      <c r="B9646"/>
    </row>
    <row r="9647" spans="2:2">
      <c r="B9647"/>
    </row>
    <row r="9648" spans="2:2">
      <c r="B9648"/>
    </row>
    <row r="9649" spans="2:2">
      <c r="B9649"/>
    </row>
    <row r="9650" spans="2:2">
      <c r="B9650"/>
    </row>
    <row r="9651" spans="2:2">
      <c r="B9651"/>
    </row>
    <row r="9652" spans="2:2">
      <c r="B9652"/>
    </row>
    <row r="9653" spans="2:2">
      <c r="B9653"/>
    </row>
    <row r="9654" spans="2:2">
      <c r="B9654"/>
    </row>
    <row r="9655" spans="2:2">
      <c r="B9655"/>
    </row>
    <row r="9656" spans="2:2">
      <c r="B9656"/>
    </row>
    <row r="9657" spans="2:2">
      <c r="B9657"/>
    </row>
    <row r="9658" spans="2:2">
      <c r="B9658"/>
    </row>
    <row r="9659" spans="2:2">
      <c r="B9659"/>
    </row>
    <row r="9660" spans="2:2">
      <c r="B9660"/>
    </row>
    <row r="9661" spans="2:2">
      <c r="B9661"/>
    </row>
    <row r="9662" spans="2:2">
      <c r="B9662"/>
    </row>
    <row r="9663" spans="2:2">
      <c r="B9663"/>
    </row>
    <row r="9664" spans="2:2">
      <c r="B9664"/>
    </row>
    <row r="9665" spans="2:2">
      <c r="B9665"/>
    </row>
    <row r="9666" spans="2:2">
      <c r="B9666"/>
    </row>
    <row r="9667" spans="2:2">
      <c r="B9667"/>
    </row>
    <row r="9668" spans="2:2">
      <c r="B9668"/>
    </row>
    <row r="9669" spans="2:2">
      <c r="B9669"/>
    </row>
    <row r="9670" spans="2:2">
      <c r="B9670"/>
    </row>
    <row r="9671" spans="2:2">
      <c r="B9671"/>
    </row>
    <row r="9672" spans="2:2">
      <c r="B9672"/>
    </row>
    <row r="9673" spans="2:2">
      <c r="B9673"/>
    </row>
    <row r="9674" spans="2:2">
      <c r="B9674"/>
    </row>
    <row r="9675" spans="2:2">
      <c r="B9675"/>
    </row>
    <row r="9676" spans="2:2">
      <c r="B9676"/>
    </row>
    <row r="9677" spans="2:2">
      <c r="B9677"/>
    </row>
    <row r="9678" spans="2:2">
      <c r="B9678"/>
    </row>
    <row r="9679" spans="2:2">
      <c r="B9679"/>
    </row>
    <row r="9680" spans="2:2">
      <c r="B9680"/>
    </row>
    <row r="9681" spans="2:2">
      <c r="B9681"/>
    </row>
    <row r="9682" spans="2:2">
      <c r="B9682"/>
    </row>
    <row r="9683" spans="2:2">
      <c r="B9683"/>
    </row>
    <row r="9684" spans="2:2">
      <c r="B9684"/>
    </row>
    <row r="9685" spans="2:2">
      <c r="B9685"/>
    </row>
    <row r="9686" spans="2:2">
      <c r="B9686"/>
    </row>
    <row r="9687" spans="2:2">
      <c r="B9687"/>
    </row>
    <row r="9688" spans="2:2">
      <c r="B9688"/>
    </row>
    <row r="9689" spans="2:2">
      <c r="B9689"/>
    </row>
    <row r="9690" spans="2:2">
      <c r="B9690"/>
    </row>
    <row r="9691" spans="2:2">
      <c r="B9691"/>
    </row>
    <row r="9692" spans="2:2">
      <c r="B9692"/>
    </row>
    <row r="9693" spans="2:2">
      <c r="B9693"/>
    </row>
    <row r="9694" spans="2:2">
      <c r="B9694"/>
    </row>
    <row r="9695" spans="2:2">
      <c r="B9695"/>
    </row>
    <row r="9696" spans="2:2">
      <c r="B9696"/>
    </row>
    <row r="9697" spans="2:2">
      <c r="B9697"/>
    </row>
    <row r="9698" spans="2:2">
      <c r="B9698"/>
    </row>
    <row r="9699" spans="2:2">
      <c r="B9699"/>
    </row>
    <row r="9700" spans="2:2">
      <c r="B9700"/>
    </row>
    <row r="9701" spans="2:2">
      <c r="B9701"/>
    </row>
    <row r="9702" spans="2:2">
      <c r="B9702"/>
    </row>
    <row r="9703" spans="2:2">
      <c r="B9703"/>
    </row>
    <row r="9704" spans="2:2">
      <c r="B9704"/>
    </row>
    <row r="9705" spans="2:2">
      <c r="B9705"/>
    </row>
    <row r="9706" spans="2:2">
      <c r="B9706"/>
    </row>
    <row r="9707" spans="2:2">
      <c r="B9707"/>
    </row>
    <row r="9708" spans="2:2">
      <c r="B9708"/>
    </row>
    <row r="9709" spans="2:2">
      <c r="B9709"/>
    </row>
    <row r="9710" spans="2:2">
      <c r="B9710"/>
    </row>
    <row r="9711" spans="2:2">
      <c r="B9711"/>
    </row>
    <row r="9712" spans="2:2">
      <c r="B9712"/>
    </row>
    <row r="9713" spans="2:2">
      <c r="B9713"/>
    </row>
    <row r="9714" spans="2:2">
      <c r="B9714"/>
    </row>
    <row r="9715" spans="2:2">
      <c r="B9715"/>
    </row>
    <row r="9716" spans="2:2">
      <c r="B9716"/>
    </row>
    <row r="9717" spans="2:2">
      <c r="B9717"/>
    </row>
    <row r="9718" spans="2:2">
      <c r="B9718"/>
    </row>
    <row r="9719" spans="2:2">
      <c r="B9719"/>
    </row>
    <row r="9720" spans="2:2">
      <c r="B9720"/>
    </row>
    <row r="9721" spans="2:2">
      <c r="B9721"/>
    </row>
    <row r="9722" spans="2:2">
      <c r="B9722"/>
    </row>
    <row r="9723" spans="2:2">
      <c r="B9723"/>
    </row>
    <row r="9724" spans="2:2">
      <c r="B9724"/>
    </row>
    <row r="9725" spans="2:2">
      <c r="B9725"/>
    </row>
    <row r="9726" spans="2:2">
      <c r="B9726"/>
    </row>
    <row r="9727" spans="2:2">
      <c r="B9727"/>
    </row>
    <row r="9728" spans="2:2">
      <c r="B9728"/>
    </row>
    <row r="9729" spans="2:2">
      <c r="B9729"/>
    </row>
    <row r="9730" spans="2:2">
      <c r="B9730"/>
    </row>
    <row r="9731" spans="2:2">
      <c r="B9731"/>
    </row>
    <row r="9732" spans="2:2">
      <c r="B9732"/>
    </row>
    <row r="9733" spans="2:2">
      <c r="B9733"/>
    </row>
    <row r="9734" spans="2:2">
      <c r="B9734"/>
    </row>
    <row r="9735" spans="2:2">
      <c r="B9735"/>
    </row>
    <row r="9736" spans="2:2">
      <c r="B9736"/>
    </row>
    <row r="9737" spans="2:2">
      <c r="B9737"/>
    </row>
    <row r="9738" spans="2:2">
      <c r="B9738"/>
    </row>
    <row r="9739" spans="2:2">
      <c r="B9739"/>
    </row>
    <row r="9740" spans="2:2">
      <c r="B9740"/>
    </row>
    <row r="9741" spans="2:2">
      <c r="B9741"/>
    </row>
    <row r="9742" spans="2:2">
      <c r="B9742"/>
    </row>
    <row r="9743" spans="2:2">
      <c r="B9743"/>
    </row>
    <row r="9744" spans="2:2">
      <c r="B9744"/>
    </row>
    <row r="9745" spans="2:2">
      <c r="B9745"/>
    </row>
    <row r="9746" spans="2:2">
      <c r="B9746"/>
    </row>
    <row r="9747" spans="2:2">
      <c r="B9747"/>
    </row>
    <row r="9748" spans="2:2">
      <c r="B9748"/>
    </row>
    <row r="9749" spans="2:2">
      <c r="B9749"/>
    </row>
    <row r="9750" spans="2:2">
      <c r="B9750"/>
    </row>
    <row r="9751" spans="2:2">
      <c r="B9751"/>
    </row>
    <row r="9752" spans="2:2">
      <c r="B9752"/>
    </row>
    <row r="9753" spans="2:2">
      <c r="B9753"/>
    </row>
    <row r="9754" spans="2:2">
      <c r="B9754"/>
    </row>
    <row r="9755" spans="2:2">
      <c r="B9755"/>
    </row>
    <row r="9756" spans="2:2">
      <c r="B9756"/>
    </row>
    <row r="9757" spans="2:2">
      <c r="B9757"/>
    </row>
    <row r="9758" spans="2:2">
      <c r="B9758"/>
    </row>
    <row r="9759" spans="2:2">
      <c r="B9759"/>
    </row>
    <row r="9760" spans="2:2">
      <c r="B9760"/>
    </row>
    <row r="9761" spans="2:2">
      <c r="B9761"/>
    </row>
    <row r="9762" spans="2:2">
      <c r="B9762"/>
    </row>
    <row r="9763" spans="2:2">
      <c r="B9763"/>
    </row>
    <row r="9764" spans="2:2">
      <c r="B9764"/>
    </row>
    <row r="9765" spans="2:2">
      <c r="B9765"/>
    </row>
    <row r="9766" spans="2:2">
      <c r="B9766"/>
    </row>
    <row r="9767" spans="2:2">
      <c r="B9767"/>
    </row>
    <row r="9768" spans="2:2">
      <c r="B9768"/>
    </row>
    <row r="9769" spans="2:2">
      <c r="B9769"/>
    </row>
    <row r="9770" spans="2:2">
      <c r="B9770"/>
    </row>
    <row r="9771" spans="2:2">
      <c r="B9771"/>
    </row>
    <row r="9772" spans="2:2">
      <c r="B9772"/>
    </row>
    <row r="9773" spans="2:2">
      <c r="B9773"/>
    </row>
    <row r="9774" spans="2:2">
      <c r="B9774"/>
    </row>
    <row r="9775" spans="2:2">
      <c r="B9775"/>
    </row>
    <row r="9776" spans="2:2">
      <c r="B9776"/>
    </row>
    <row r="9777" spans="2:2">
      <c r="B9777"/>
    </row>
    <row r="9778" spans="2:2">
      <c r="B9778"/>
    </row>
    <row r="9779" spans="2:2">
      <c r="B9779"/>
    </row>
    <row r="9780" spans="2:2">
      <c r="B9780"/>
    </row>
    <row r="9781" spans="2:2">
      <c r="B9781"/>
    </row>
    <row r="9782" spans="2:2">
      <c r="B9782"/>
    </row>
    <row r="9783" spans="2:2">
      <c r="B9783"/>
    </row>
    <row r="9784" spans="2:2">
      <c r="B9784"/>
    </row>
    <row r="9785" spans="2:2">
      <c r="B9785"/>
    </row>
    <row r="9786" spans="2:2">
      <c r="B9786"/>
    </row>
    <row r="9787" spans="2:2">
      <c r="B9787"/>
    </row>
    <row r="9788" spans="2:2">
      <c r="B9788"/>
    </row>
    <row r="9789" spans="2:2">
      <c r="B9789"/>
    </row>
    <row r="9790" spans="2:2">
      <c r="B9790"/>
    </row>
    <row r="9791" spans="2:2">
      <c r="B9791"/>
    </row>
    <row r="9792" spans="2:2">
      <c r="B9792"/>
    </row>
    <row r="9793" spans="2:2">
      <c r="B9793"/>
    </row>
    <row r="9794" spans="2:2">
      <c r="B9794"/>
    </row>
    <row r="9795" spans="2:2">
      <c r="B9795"/>
    </row>
    <row r="9796" spans="2:2">
      <c r="B9796"/>
    </row>
    <row r="9797" spans="2:2">
      <c r="B9797"/>
    </row>
    <row r="9798" spans="2:2">
      <c r="B9798"/>
    </row>
    <row r="9799" spans="2:2">
      <c r="B9799"/>
    </row>
    <row r="9800" spans="2:2">
      <c r="B9800"/>
    </row>
    <row r="9801" spans="2:2">
      <c r="B9801"/>
    </row>
    <row r="9802" spans="2:2">
      <c r="B9802"/>
    </row>
    <row r="9803" spans="2:2">
      <c r="B9803"/>
    </row>
    <row r="9804" spans="2:2">
      <c r="B9804"/>
    </row>
    <row r="9805" spans="2:2">
      <c r="B9805"/>
    </row>
    <row r="9806" spans="2:2">
      <c r="B9806"/>
    </row>
    <row r="9807" spans="2:2">
      <c r="B9807"/>
    </row>
    <row r="9808" spans="2:2">
      <c r="B9808"/>
    </row>
    <row r="9809" spans="2:2">
      <c r="B9809"/>
    </row>
    <row r="9810" spans="2:2">
      <c r="B9810"/>
    </row>
    <row r="9811" spans="2:2">
      <c r="B9811"/>
    </row>
    <row r="9812" spans="2:2">
      <c r="B9812"/>
    </row>
    <row r="9813" spans="2:2">
      <c r="B9813"/>
    </row>
    <row r="9814" spans="2:2">
      <c r="B9814"/>
    </row>
    <row r="9815" spans="2:2">
      <c r="B9815"/>
    </row>
    <row r="9816" spans="2:2">
      <c r="B9816"/>
    </row>
    <row r="9817" spans="2:2">
      <c r="B9817"/>
    </row>
    <row r="9818" spans="2:2">
      <c r="B9818"/>
    </row>
    <row r="9819" spans="2:2">
      <c r="B9819"/>
    </row>
    <row r="9820" spans="2:2">
      <c r="B9820"/>
    </row>
    <row r="9821" spans="2:2">
      <c r="B9821"/>
    </row>
    <row r="9822" spans="2:2">
      <c r="B9822"/>
    </row>
    <row r="9823" spans="2:2">
      <c r="B9823"/>
    </row>
    <row r="9824" spans="2:2">
      <c r="B9824"/>
    </row>
    <row r="9825" spans="2:2">
      <c r="B9825"/>
    </row>
    <row r="9826" spans="2:2">
      <c r="B9826"/>
    </row>
    <row r="9827" spans="2:2">
      <c r="B9827"/>
    </row>
    <row r="9828" spans="2:2">
      <c r="B9828"/>
    </row>
    <row r="9829" spans="2:2">
      <c r="B9829"/>
    </row>
    <row r="9830" spans="2:2">
      <c r="B9830"/>
    </row>
    <row r="9831" spans="2:2">
      <c r="B9831"/>
    </row>
    <row r="9832" spans="2:2">
      <c r="B9832"/>
    </row>
    <row r="9833" spans="2:2">
      <c r="B9833"/>
    </row>
    <row r="9834" spans="2:2">
      <c r="B9834"/>
    </row>
    <row r="9835" spans="2:2">
      <c r="B9835"/>
    </row>
    <row r="9836" spans="2:2">
      <c r="B9836"/>
    </row>
    <row r="9837" spans="2:2">
      <c r="B9837"/>
    </row>
    <row r="9838" spans="2:2">
      <c r="B9838"/>
    </row>
    <row r="9839" spans="2:2">
      <c r="B9839"/>
    </row>
    <row r="9840" spans="2:2">
      <c r="B9840"/>
    </row>
    <row r="9841" spans="2:2">
      <c r="B9841"/>
    </row>
    <row r="9842" spans="2:2">
      <c r="B9842"/>
    </row>
    <row r="9843" spans="2:2">
      <c r="B9843"/>
    </row>
    <row r="9844" spans="2:2">
      <c r="B9844"/>
    </row>
    <row r="9845" spans="2:2">
      <c r="B9845"/>
    </row>
    <row r="9846" spans="2:2">
      <c r="B9846"/>
    </row>
    <row r="9847" spans="2:2">
      <c r="B9847"/>
    </row>
    <row r="9848" spans="2:2">
      <c r="B9848"/>
    </row>
    <row r="9849" spans="2:2">
      <c r="B9849"/>
    </row>
    <row r="9850" spans="2:2">
      <c r="B9850"/>
    </row>
    <row r="9851" spans="2:2">
      <c r="B9851"/>
    </row>
    <row r="9852" spans="2:2">
      <c r="B9852"/>
    </row>
    <row r="9853" spans="2:2">
      <c r="B9853"/>
    </row>
    <row r="9854" spans="2:2">
      <c r="B9854"/>
    </row>
    <row r="9855" spans="2:2">
      <c r="B9855"/>
    </row>
    <row r="9856" spans="2:2">
      <c r="B9856"/>
    </row>
    <row r="9857" spans="2:2">
      <c r="B9857"/>
    </row>
    <row r="9858" spans="2:2">
      <c r="B9858"/>
    </row>
    <row r="9859" spans="2:2">
      <c r="B9859"/>
    </row>
    <row r="9860" spans="2:2">
      <c r="B9860"/>
    </row>
    <row r="9861" spans="2:2">
      <c r="B9861"/>
    </row>
    <row r="9862" spans="2:2">
      <c r="B9862"/>
    </row>
    <row r="9863" spans="2:2">
      <c r="B9863"/>
    </row>
    <row r="9864" spans="2:2">
      <c r="B9864"/>
    </row>
    <row r="9865" spans="2:2">
      <c r="B9865"/>
    </row>
    <row r="9866" spans="2:2">
      <c r="B9866"/>
    </row>
    <row r="9867" spans="2:2">
      <c r="B9867"/>
    </row>
    <row r="9868" spans="2:2">
      <c r="B9868"/>
    </row>
    <row r="9869" spans="2:2">
      <c r="B9869"/>
    </row>
    <row r="9870" spans="2:2">
      <c r="B9870"/>
    </row>
    <row r="9871" spans="2:2">
      <c r="B9871"/>
    </row>
    <row r="9872" spans="2:2">
      <c r="B9872"/>
    </row>
    <row r="9873" spans="2:2">
      <c r="B9873"/>
    </row>
    <row r="9874" spans="2:2">
      <c r="B9874"/>
    </row>
    <row r="9875" spans="2:2">
      <c r="B9875"/>
    </row>
    <row r="9876" spans="2:2">
      <c r="B9876"/>
    </row>
    <row r="9877" spans="2:2">
      <c r="B9877"/>
    </row>
    <row r="9878" spans="2:2">
      <c r="B9878"/>
    </row>
    <row r="9879" spans="2:2">
      <c r="B9879"/>
    </row>
    <row r="9880" spans="2:2">
      <c r="B9880"/>
    </row>
    <row r="9881" spans="2:2">
      <c r="B9881"/>
    </row>
    <row r="9882" spans="2:2">
      <c r="B9882"/>
    </row>
    <row r="9883" spans="2:2">
      <c r="B9883"/>
    </row>
    <row r="9884" spans="2:2">
      <c r="B9884"/>
    </row>
    <row r="9885" spans="2:2">
      <c r="B9885"/>
    </row>
    <row r="9886" spans="2:2">
      <c r="B9886"/>
    </row>
    <row r="9887" spans="2:2">
      <c r="B9887"/>
    </row>
    <row r="9888" spans="2:2">
      <c r="B9888"/>
    </row>
    <row r="9889" spans="2:2">
      <c r="B9889"/>
    </row>
    <row r="9890" spans="2:2">
      <c r="B9890"/>
    </row>
    <row r="9891" spans="2:2">
      <c r="B9891"/>
    </row>
    <row r="9892" spans="2:2">
      <c r="B9892"/>
    </row>
    <row r="9893" spans="2:2">
      <c r="B9893"/>
    </row>
    <row r="9894" spans="2:2">
      <c r="B9894"/>
    </row>
    <row r="9895" spans="2:2">
      <c r="B9895"/>
    </row>
    <row r="9896" spans="2:2">
      <c r="B9896"/>
    </row>
    <row r="9897" spans="2:2">
      <c r="B9897"/>
    </row>
    <row r="9898" spans="2:2">
      <c r="B9898"/>
    </row>
    <row r="9899" spans="2:2">
      <c r="B9899"/>
    </row>
    <row r="9900" spans="2:2">
      <c r="B9900"/>
    </row>
    <row r="9901" spans="2:2">
      <c r="B9901"/>
    </row>
    <row r="9902" spans="2:2">
      <c r="B9902"/>
    </row>
    <row r="9903" spans="2:2">
      <c r="B9903"/>
    </row>
    <row r="9904" spans="2:2">
      <c r="B9904"/>
    </row>
    <row r="9905" spans="2:2">
      <c r="B9905"/>
    </row>
    <row r="9906" spans="2:2">
      <c r="B9906"/>
    </row>
    <row r="9907" spans="2:2">
      <c r="B9907"/>
    </row>
    <row r="9908" spans="2:2">
      <c r="B9908"/>
    </row>
    <row r="9909" spans="2:2">
      <c r="B9909"/>
    </row>
    <row r="9910" spans="2:2">
      <c r="B9910"/>
    </row>
    <row r="9911" spans="2:2">
      <c r="B9911"/>
    </row>
    <row r="9912" spans="2:2">
      <c r="B9912"/>
    </row>
    <row r="9913" spans="2:2">
      <c r="B9913"/>
    </row>
    <row r="9914" spans="2:2">
      <c r="B9914"/>
    </row>
    <row r="9915" spans="2:2">
      <c r="B9915"/>
    </row>
    <row r="9916" spans="2:2">
      <c r="B9916"/>
    </row>
    <row r="9917" spans="2:2">
      <c r="B9917"/>
    </row>
    <row r="9918" spans="2:2">
      <c r="B9918"/>
    </row>
    <row r="9919" spans="2:2">
      <c r="B9919"/>
    </row>
    <row r="9920" spans="2:2">
      <c r="B9920"/>
    </row>
    <row r="9921" spans="2:2">
      <c r="B9921"/>
    </row>
    <row r="9922" spans="2:2">
      <c r="B9922"/>
    </row>
    <row r="9923" spans="2:2">
      <c r="B9923"/>
    </row>
    <row r="9924" spans="2:2">
      <c r="B9924"/>
    </row>
    <row r="9925" spans="2:2">
      <c r="B9925"/>
    </row>
    <row r="9926" spans="2:2">
      <c r="B9926"/>
    </row>
    <row r="9927" spans="2:2">
      <c r="B9927"/>
    </row>
    <row r="9928" spans="2:2">
      <c r="B9928"/>
    </row>
    <row r="9929" spans="2:2">
      <c r="B9929"/>
    </row>
    <row r="9930" spans="2:2">
      <c r="B9930"/>
    </row>
    <row r="9931" spans="2:2">
      <c r="B9931"/>
    </row>
    <row r="9932" spans="2:2">
      <c r="B9932"/>
    </row>
    <row r="9933" spans="2:2">
      <c r="B9933"/>
    </row>
    <row r="9934" spans="2:2">
      <c r="B9934"/>
    </row>
    <row r="9935" spans="2:2">
      <c r="B9935"/>
    </row>
    <row r="9936" spans="2:2">
      <c r="B9936"/>
    </row>
    <row r="9937" spans="2:2">
      <c r="B9937"/>
    </row>
    <row r="9938" spans="2:2">
      <c r="B9938"/>
    </row>
    <row r="9939" spans="2:2">
      <c r="B9939"/>
    </row>
    <row r="9940" spans="2:2">
      <c r="B9940"/>
    </row>
    <row r="9941" spans="2:2">
      <c r="B9941"/>
    </row>
    <row r="9942" spans="2:2">
      <c r="B9942"/>
    </row>
    <row r="9943" spans="2:2">
      <c r="B9943"/>
    </row>
    <row r="9944" spans="2:2">
      <c r="B9944"/>
    </row>
    <row r="9945" spans="2:2">
      <c r="B9945"/>
    </row>
    <row r="9946" spans="2:2">
      <c r="B9946"/>
    </row>
    <row r="9947" spans="2:2">
      <c r="B9947"/>
    </row>
    <row r="9948" spans="2:2">
      <c r="B9948"/>
    </row>
    <row r="9949" spans="2:2">
      <c r="B9949"/>
    </row>
    <row r="9950" spans="2:2">
      <c r="B9950"/>
    </row>
    <row r="9951" spans="2:2">
      <c r="B9951"/>
    </row>
    <row r="9952" spans="2:2">
      <c r="B9952"/>
    </row>
    <row r="9953" spans="2:2">
      <c r="B9953"/>
    </row>
    <row r="9954" spans="2:2">
      <c r="B9954"/>
    </row>
    <row r="9955" spans="2:2">
      <c r="B9955"/>
    </row>
    <row r="9956" spans="2:2">
      <c r="B9956"/>
    </row>
    <row r="9957" spans="2:2">
      <c r="B9957"/>
    </row>
    <row r="9958" spans="2:2">
      <c r="B9958"/>
    </row>
    <row r="9959" spans="2:2">
      <c r="B9959"/>
    </row>
    <row r="9960" spans="2:2">
      <c r="B9960"/>
    </row>
    <row r="9961" spans="2:2">
      <c r="B9961"/>
    </row>
    <row r="9962" spans="2:2">
      <c r="B9962"/>
    </row>
    <row r="9963" spans="2:2">
      <c r="B9963"/>
    </row>
    <row r="9964" spans="2:2">
      <c r="B9964"/>
    </row>
    <row r="9965" spans="2:2">
      <c r="B9965"/>
    </row>
    <row r="9966" spans="2:2">
      <c r="B9966"/>
    </row>
    <row r="9967" spans="2:2">
      <c r="B9967"/>
    </row>
    <row r="9968" spans="2:2">
      <c r="B9968"/>
    </row>
    <row r="9969" spans="2:2">
      <c r="B9969"/>
    </row>
    <row r="9970" spans="2:2">
      <c r="B9970"/>
    </row>
    <row r="9971" spans="2:2">
      <c r="B9971"/>
    </row>
    <row r="9972" spans="2:2">
      <c r="B9972"/>
    </row>
    <row r="9973" spans="2:2">
      <c r="B9973"/>
    </row>
    <row r="9974" spans="2:2">
      <c r="B9974"/>
    </row>
    <row r="9975" spans="2:2">
      <c r="B9975"/>
    </row>
    <row r="9976" spans="2:2">
      <c r="B9976"/>
    </row>
    <row r="9977" spans="2:2">
      <c r="B9977"/>
    </row>
    <row r="9978" spans="2:2">
      <c r="B9978"/>
    </row>
    <row r="9979" spans="2:2">
      <c r="B9979"/>
    </row>
    <row r="9980" spans="2:2">
      <c r="B9980"/>
    </row>
    <row r="9981" spans="2:2">
      <c r="B9981"/>
    </row>
    <row r="9982" spans="2:2">
      <c r="B9982"/>
    </row>
    <row r="9983" spans="2:2">
      <c r="B9983"/>
    </row>
    <row r="9984" spans="2:2">
      <c r="B9984"/>
    </row>
    <row r="9985" spans="2:2">
      <c r="B9985"/>
    </row>
    <row r="9986" spans="2:2">
      <c r="B9986"/>
    </row>
    <row r="9987" spans="2:2">
      <c r="B9987"/>
    </row>
    <row r="9988" spans="2:2">
      <c r="B9988"/>
    </row>
    <row r="9989" spans="2:2">
      <c r="B9989"/>
    </row>
    <row r="9990" spans="2:2">
      <c r="B9990"/>
    </row>
    <row r="9991" spans="2:2">
      <c r="B9991"/>
    </row>
    <row r="9992" spans="2:2">
      <c r="B9992"/>
    </row>
    <row r="9993" spans="2:2">
      <c r="B9993"/>
    </row>
    <row r="9994" spans="2:2">
      <c r="B9994"/>
    </row>
    <row r="9995" spans="2:2">
      <c r="B9995"/>
    </row>
    <row r="9996" spans="2:2">
      <c r="B9996"/>
    </row>
    <row r="9997" spans="2:2">
      <c r="B9997"/>
    </row>
    <row r="9998" spans="2:2">
      <c r="B9998"/>
    </row>
    <row r="9999" spans="2:2">
      <c r="B9999"/>
    </row>
    <row r="10000" spans="2:2">
      <c r="B10000"/>
    </row>
    <row r="10001" spans="2:2">
      <c r="B10001"/>
    </row>
    <row r="10002" spans="2:2">
      <c r="B10002"/>
    </row>
    <row r="10003" spans="2:2">
      <c r="B10003"/>
    </row>
    <row r="10004" spans="2:2">
      <c r="B10004"/>
    </row>
    <row r="10005" spans="2:2">
      <c r="B10005"/>
    </row>
    <row r="10006" spans="2:2">
      <c r="B10006"/>
    </row>
    <row r="10007" spans="2:2">
      <c r="B10007"/>
    </row>
    <row r="10008" spans="2:2">
      <c r="B10008"/>
    </row>
    <row r="10009" spans="2:2">
      <c r="B10009"/>
    </row>
    <row r="10010" spans="2:2">
      <c r="B10010"/>
    </row>
    <row r="10011" spans="2:2">
      <c r="B10011"/>
    </row>
    <row r="10012" spans="2:2">
      <c r="B10012"/>
    </row>
    <row r="10013" spans="2:2">
      <c r="B10013"/>
    </row>
    <row r="10014" spans="2:2">
      <c r="B10014"/>
    </row>
    <row r="10015" spans="2:2">
      <c r="B10015"/>
    </row>
    <row r="10016" spans="2:2">
      <c r="B10016"/>
    </row>
    <row r="10017" spans="2:2">
      <c r="B10017"/>
    </row>
    <row r="10018" spans="2:2">
      <c r="B10018"/>
    </row>
    <row r="10019" spans="2:2">
      <c r="B10019"/>
    </row>
    <row r="10020" spans="2:2">
      <c r="B10020"/>
    </row>
    <row r="10021" spans="2:2">
      <c r="B10021"/>
    </row>
    <row r="10022" spans="2:2">
      <c r="B10022"/>
    </row>
    <row r="10023" spans="2:2">
      <c r="B10023"/>
    </row>
    <row r="10024" spans="2:2">
      <c r="B10024"/>
    </row>
    <row r="10025" spans="2:2">
      <c r="B10025"/>
    </row>
    <row r="10026" spans="2:2">
      <c r="B10026"/>
    </row>
    <row r="10027" spans="2:2">
      <c r="B10027"/>
    </row>
    <row r="10028" spans="2:2">
      <c r="B10028"/>
    </row>
    <row r="10029" spans="2:2">
      <c r="B10029"/>
    </row>
    <row r="10030" spans="2:2">
      <c r="B10030"/>
    </row>
    <row r="10031" spans="2:2">
      <c r="B10031"/>
    </row>
    <row r="10032" spans="2:2">
      <c r="B10032"/>
    </row>
    <row r="10033" spans="2:2">
      <c r="B10033"/>
    </row>
    <row r="10034" spans="2:2">
      <c r="B10034"/>
    </row>
    <row r="10035" spans="2:2">
      <c r="B10035"/>
    </row>
    <row r="10036" spans="2:2">
      <c r="B10036"/>
    </row>
    <row r="10037" spans="2:2">
      <c r="B10037"/>
    </row>
    <row r="10038" spans="2:2">
      <c r="B10038"/>
    </row>
    <row r="10039" spans="2:2">
      <c r="B10039"/>
    </row>
    <row r="10040" spans="2:2">
      <c r="B10040"/>
    </row>
    <row r="10041" spans="2:2">
      <c r="B10041"/>
    </row>
    <row r="10042" spans="2:2">
      <c r="B10042"/>
    </row>
    <row r="10043" spans="2:2">
      <c r="B10043"/>
    </row>
    <row r="10044" spans="2:2">
      <c r="B10044"/>
    </row>
    <row r="10045" spans="2:2">
      <c r="B10045"/>
    </row>
    <row r="10046" spans="2:2">
      <c r="B10046"/>
    </row>
    <row r="10047" spans="2:2">
      <c r="B10047"/>
    </row>
    <row r="10048" spans="2:2">
      <c r="B10048"/>
    </row>
    <row r="10049" spans="2:2">
      <c r="B10049"/>
    </row>
    <row r="10050" spans="2:2">
      <c r="B10050"/>
    </row>
    <row r="10051" spans="2:2">
      <c r="B10051"/>
    </row>
    <row r="10052" spans="2:2">
      <c r="B10052"/>
    </row>
    <row r="10053" spans="2:2">
      <c r="B10053"/>
    </row>
    <row r="10054" spans="2:2">
      <c r="B10054"/>
    </row>
    <row r="10055" spans="2:2">
      <c r="B10055"/>
    </row>
    <row r="10056" spans="2:2">
      <c r="B10056"/>
    </row>
    <row r="10057" spans="2:2">
      <c r="B10057"/>
    </row>
    <row r="10058" spans="2:2">
      <c r="B10058"/>
    </row>
    <row r="10059" spans="2:2">
      <c r="B10059"/>
    </row>
    <row r="10060" spans="2:2">
      <c r="B10060"/>
    </row>
    <row r="10061" spans="2:2">
      <c r="B10061"/>
    </row>
    <row r="10062" spans="2:2">
      <c r="B10062"/>
    </row>
    <row r="10063" spans="2:2">
      <c r="B10063"/>
    </row>
    <row r="10064" spans="2:2">
      <c r="B10064"/>
    </row>
    <row r="10065" spans="2:2">
      <c r="B10065"/>
    </row>
    <row r="10066" spans="2:2">
      <c r="B10066"/>
    </row>
    <row r="10067" spans="2:2">
      <c r="B10067"/>
    </row>
    <row r="10068" spans="2:2">
      <c r="B10068"/>
    </row>
    <row r="10069" spans="2:2">
      <c r="B10069"/>
    </row>
    <row r="10070" spans="2:2">
      <c r="B10070"/>
    </row>
    <row r="10071" spans="2:2">
      <c r="B10071"/>
    </row>
    <row r="10072" spans="2:2">
      <c r="B10072"/>
    </row>
    <row r="10073" spans="2:2">
      <c r="B10073"/>
    </row>
    <row r="10074" spans="2:2">
      <c r="B10074"/>
    </row>
    <row r="10075" spans="2:2">
      <c r="B10075"/>
    </row>
    <row r="10076" spans="2:2">
      <c r="B10076"/>
    </row>
    <row r="10077" spans="2:2">
      <c r="B10077"/>
    </row>
    <row r="10078" spans="2:2">
      <c r="B10078"/>
    </row>
    <row r="10079" spans="2:2">
      <c r="B10079"/>
    </row>
    <row r="10080" spans="2:2">
      <c r="B10080"/>
    </row>
    <row r="10081" spans="2:2">
      <c r="B10081"/>
    </row>
    <row r="10082" spans="2:2">
      <c r="B10082"/>
    </row>
    <row r="10083" spans="2:2">
      <c r="B10083"/>
    </row>
    <row r="10084" spans="2:2">
      <c r="B10084"/>
    </row>
    <row r="10085" spans="2:2">
      <c r="B10085"/>
    </row>
    <row r="10086" spans="2:2">
      <c r="B10086"/>
    </row>
    <row r="10087" spans="2:2">
      <c r="B10087"/>
    </row>
    <row r="10088" spans="2:2">
      <c r="B10088"/>
    </row>
    <row r="10089" spans="2:2">
      <c r="B10089"/>
    </row>
    <row r="10090" spans="2:2">
      <c r="B10090"/>
    </row>
    <row r="10091" spans="2:2">
      <c r="B10091"/>
    </row>
    <row r="10092" spans="2:2">
      <c r="B10092"/>
    </row>
    <row r="10093" spans="2:2">
      <c r="B10093"/>
    </row>
    <row r="10094" spans="2:2">
      <c r="B10094"/>
    </row>
    <row r="10095" spans="2:2">
      <c r="B10095"/>
    </row>
    <row r="10096" spans="2:2">
      <c r="B10096"/>
    </row>
    <row r="10097" spans="2:2">
      <c r="B10097"/>
    </row>
    <row r="10098" spans="2:2">
      <c r="B10098"/>
    </row>
    <row r="10099" spans="2:2">
      <c r="B10099"/>
    </row>
    <row r="10100" spans="2:2">
      <c r="B10100"/>
    </row>
    <row r="10101" spans="2:2">
      <c r="B10101"/>
    </row>
    <row r="10102" spans="2:2">
      <c r="B10102"/>
    </row>
    <row r="10103" spans="2:2">
      <c r="B10103"/>
    </row>
    <row r="10104" spans="2:2">
      <c r="B10104"/>
    </row>
    <row r="10105" spans="2:2">
      <c r="B10105"/>
    </row>
    <row r="10106" spans="2:2">
      <c r="B10106"/>
    </row>
    <row r="10107" spans="2:2">
      <c r="B10107"/>
    </row>
    <row r="10108" spans="2:2">
      <c r="B10108"/>
    </row>
    <row r="10109" spans="2:2">
      <c r="B10109"/>
    </row>
    <row r="10110" spans="2:2">
      <c r="B10110"/>
    </row>
    <row r="10111" spans="2:2">
      <c r="B10111"/>
    </row>
    <row r="10112" spans="2:2">
      <c r="B10112"/>
    </row>
    <row r="10113" spans="2:2">
      <c r="B10113"/>
    </row>
    <row r="10114" spans="2:2">
      <c r="B10114"/>
    </row>
    <row r="10115" spans="2:2">
      <c r="B10115"/>
    </row>
    <row r="10116" spans="2:2">
      <c r="B10116"/>
    </row>
    <row r="10117" spans="2:2">
      <c r="B10117"/>
    </row>
    <row r="10118" spans="2:2">
      <c r="B10118"/>
    </row>
    <row r="10119" spans="2:2">
      <c r="B10119"/>
    </row>
    <row r="10120" spans="2:2">
      <c r="B10120"/>
    </row>
    <row r="10121" spans="2:2">
      <c r="B10121"/>
    </row>
    <row r="10122" spans="2:2">
      <c r="B10122"/>
    </row>
    <row r="10123" spans="2:2">
      <c r="B10123"/>
    </row>
    <row r="10124" spans="2:2">
      <c r="B10124"/>
    </row>
    <row r="10125" spans="2:2">
      <c r="B10125"/>
    </row>
    <row r="10126" spans="2:2">
      <c r="B10126"/>
    </row>
    <row r="10127" spans="2:2">
      <c r="B10127"/>
    </row>
    <row r="10128" spans="2:2">
      <c r="B10128"/>
    </row>
    <row r="10129" spans="2:2">
      <c r="B10129"/>
    </row>
    <row r="10130" spans="2:2">
      <c r="B10130"/>
    </row>
    <row r="10131" spans="2:2">
      <c r="B10131"/>
    </row>
    <row r="10132" spans="2:2">
      <c r="B10132"/>
    </row>
    <row r="10133" spans="2:2">
      <c r="B10133"/>
    </row>
    <row r="10134" spans="2:2">
      <c r="B10134"/>
    </row>
    <row r="10135" spans="2:2">
      <c r="B10135"/>
    </row>
    <row r="10136" spans="2:2">
      <c r="B10136"/>
    </row>
    <row r="10137" spans="2:2">
      <c r="B10137"/>
    </row>
    <row r="10138" spans="2:2">
      <c r="B10138"/>
    </row>
    <row r="10139" spans="2:2">
      <c r="B10139"/>
    </row>
    <row r="10140" spans="2:2">
      <c r="B10140"/>
    </row>
    <row r="10141" spans="2:2">
      <c r="B10141"/>
    </row>
    <row r="10142" spans="2:2">
      <c r="B10142"/>
    </row>
    <row r="10143" spans="2:2">
      <c r="B10143"/>
    </row>
    <row r="10144" spans="2:2">
      <c r="B10144"/>
    </row>
    <row r="10145" spans="2:2">
      <c r="B10145"/>
    </row>
    <row r="10146" spans="2:2">
      <c r="B10146"/>
    </row>
    <row r="10147" spans="2:2">
      <c r="B10147"/>
    </row>
    <row r="10148" spans="2:2">
      <c r="B10148"/>
    </row>
    <row r="10149" spans="2:2">
      <c r="B10149"/>
    </row>
    <row r="10150" spans="2:2">
      <c r="B10150"/>
    </row>
    <row r="10151" spans="2:2">
      <c r="B10151"/>
    </row>
    <row r="10152" spans="2:2">
      <c r="B10152"/>
    </row>
    <row r="10153" spans="2:2">
      <c r="B10153"/>
    </row>
    <row r="10154" spans="2:2">
      <c r="B10154"/>
    </row>
    <row r="10155" spans="2:2">
      <c r="B10155"/>
    </row>
    <row r="10156" spans="2:2">
      <c r="B10156"/>
    </row>
    <row r="10157" spans="2:2">
      <c r="B10157"/>
    </row>
    <row r="10158" spans="2:2">
      <c r="B10158"/>
    </row>
    <row r="10159" spans="2:2">
      <c r="B10159"/>
    </row>
    <row r="10160" spans="2:2">
      <c r="B10160"/>
    </row>
    <row r="10161" spans="2:2">
      <c r="B10161"/>
    </row>
    <row r="10162" spans="2:2">
      <c r="B10162"/>
    </row>
    <row r="10163" spans="2:2">
      <c r="B10163"/>
    </row>
    <row r="10164" spans="2:2">
      <c r="B10164"/>
    </row>
    <row r="10165" spans="2:2">
      <c r="B10165"/>
    </row>
    <row r="10166" spans="2:2">
      <c r="B10166"/>
    </row>
    <row r="10167" spans="2:2">
      <c r="B10167"/>
    </row>
    <row r="10168" spans="2:2">
      <c r="B10168"/>
    </row>
    <row r="10169" spans="2:2">
      <c r="B10169"/>
    </row>
    <row r="10170" spans="2:2">
      <c r="B10170"/>
    </row>
    <row r="10171" spans="2:2">
      <c r="B10171"/>
    </row>
    <row r="10172" spans="2:2">
      <c r="B10172"/>
    </row>
    <row r="10173" spans="2:2">
      <c r="B10173"/>
    </row>
    <row r="10174" spans="2:2">
      <c r="B10174"/>
    </row>
    <row r="10175" spans="2:2">
      <c r="B10175"/>
    </row>
    <row r="10176" spans="2:2">
      <c r="B10176"/>
    </row>
    <row r="10177" spans="2:2">
      <c r="B10177"/>
    </row>
    <row r="10178" spans="2:2">
      <c r="B10178"/>
    </row>
    <row r="10179" spans="2:2">
      <c r="B10179"/>
    </row>
    <row r="10180" spans="2:2">
      <c r="B10180"/>
    </row>
    <row r="10181" spans="2:2">
      <c r="B10181"/>
    </row>
    <row r="10182" spans="2:2">
      <c r="B10182"/>
    </row>
    <row r="10183" spans="2:2">
      <c r="B10183"/>
    </row>
    <row r="10184" spans="2:2">
      <c r="B10184"/>
    </row>
    <row r="10185" spans="2:2">
      <c r="B10185"/>
    </row>
    <row r="10186" spans="2:2">
      <c r="B10186"/>
    </row>
    <row r="10187" spans="2:2">
      <c r="B10187"/>
    </row>
    <row r="10188" spans="2:2">
      <c r="B10188"/>
    </row>
    <row r="10189" spans="2:2">
      <c r="B10189"/>
    </row>
    <row r="10190" spans="2:2">
      <c r="B10190"/>
    </row>
    <row r="10191" spans="2:2">
      <c r="B10191"/>
    </row>
    <row r="10192" spans="2:2">
      <c r="B10192"/>
    </row>
    <row r="10193" spans="2:2">
      <c r="B10193"/>
    </row>
    <row r="10194" spans="2:2">
      <c r="B10194"/>
    </row>
    <row r="10195" spans="2:2">
      <c r="B10195"/>
    </row>
    <row r="10196" spans="2:2">
      <c r="B10196"/>
    </row>
    <row r="10197" spans="2:2">
      <c r="B10197"/>
    </row>
    <row r="10198" spans="2:2">
      <c r="B10198"/>
    </row>
    <row r="10199" spans="2:2">
      <c r="B10199"/>
    </row>
    <row r="10200" spans="2:2">
      <c r="B10200"/>
    </row>
    <row r="10201" spans="2:2">
      <c r="B10201"/>
    </row>
    <row r="10202" spans="2:2">
      <c r="B10202"/>
    </row>
    <row r="10203" spans="2:2">
      <c r="B10203"/>
    </row>
    <row r="10204" spans="2:2">
      <c r="B10204"/>
    </row>
    <row r="10205" spans="2:2">
      <c r="B10205"/>
    </row>
    <row r="10206" spans="2:2">
      <c r="B10206"/>
    </row>
    <row r="10207" spans="2:2">
      <c r="B10207"/>
    </row>
    <row r="10208" spans="2:2">
      <c r="B10208"/>
    </row>
    <row r="10209" spans="2:2">
      <c r="B10209"/>
    </row>
    <row r="10210" spans="2:2">
      <c r="B10210"/>
    </row>
    <row r="10211" spans="2:2">
      <c r="B10211"/>
    </row>
    <row r="10212" spans="2:2">
      <c r="B10212"/>
    </row>
    <row r="10213" spans="2:2">
      <c r="B10213"/>
    </row>
    <row r="10214" spans="2:2">
      <c r="B10214"/>
    </row>
    <row r="10215" spans="2:2">
      <c r="B10215"/>
    </row>
    <row r="10216" spans="2:2">
      <c r="B10216"/>
    </row>
    <row r="10217" spans="2:2">
      <c r="B10217"/>
    </row>
    <row r="10218" spans="2:2">
      <c r="B10218"/>
    </row>
    <row r="10219" spans="2:2">
      <c r="B10219"/>
    </row>
    <row r="10220" spans="2:2">
      <c r="B10220"/>
    </row>
    <row r="10221" spans="2:2">
      <c r="B10221"/>
    </row>
    <row r="10222" spans="2:2">
      <c r="B10222"/>
    </row>
    <row r="10223" spans="2:2">
      <c r="B10223"/>
    </row>
    <row r="10224" spans="2:2">
      <c r="B10224"/>
    </row>
    <row r="10225" spans="2:2">
      <c r="B10225"/>
    </row>
    <row r="10226" spans="2:2">
      <c r="B10226"/>
    </row>
    <row r="10227" spans="2:2">
      <c r="B10227"/>
    </row>
    <row r="10228" spans="2:2">
      <c r="B10228"/>
    </row>
    <row r="10229" spans="2:2">
      <c r="B10229"/>
    </row>
    <row r="10230" spans="2:2">
      <c r="B10230"/>
    </row>
    <row r="10231" spans="2:2">
      <c r="B10231"/>
    </row>
    <row r="10232" spans="2:2">
      <c r="B10232"/>
    </row>
    <row r="10233" spans="2:2">
      <c r="B10233"/>
    </row>
    <row r="10234" spans="2:2">
      <c r="B10234"/>
    </row>
    <row r="10235" spans="2:2">
      <c r="B10235"/>
    </row>
    <row r="10236" spans="2:2">
      <c r="B10236"/>
    </row>
    <row r="10237" spans="2:2">
      <c r="B10237"/>
    </row>
    <row r="10238" spans="2:2">
      <c r="B10238"/>
    </row>
    <row r="10239" spans="2:2">
      <c r="B10239"/>
    </row>
    <row r="10240" spans="2:2">
      <c r="B10240"/>
    </row>
    <row r="10241" spans="2:2">
      <c r="B10241"/>
    </row>
    <row r="10242" spans="2:2">
      <c r="B10242"/>
    </row>
    <row r="10243" spans="2:2">
      <c r="B10243"/>
    </row>
    <row r="10244" spans="2:2">
      <c r="B10244"/>
    </row>
    <row r="10245" spans="2:2">
      <c r="B10245"/>
    </row>
    <row r="10246" spans="2:2">
      <c r="B10246"/>
    </row>
    <row r="10247" spans="2:2">
      <c r="B10247"/>
    </row>
    <row r="10248" spans="2:2">
      <c r="B10248"/>
    </row>
    <row r="10249" spans="2:2">
      <c r="B10249"/>
    </row>
    <row r="10250" spans="2:2">
      <c r="B10250"/>
    </row>
    <row r="10251" spans="2:2">
      <c r="B10251"/>
    </row>
    <row r="10252" spans="2:2">
      <c r="B10252"/>
    </row>
    <row r="10253" spans="2:2">
      <c r="B10253"/>
    </row>
    <row r="10254" spans="2:2">
      <c r="B10254"/>
    </row>
    <row r="10255" spans="2:2">
      <c r="B10255"/>
    </row>
    <row r="10256" spans="2:2">
      <c r="B10256"/>
    </row>
    <row r="10257" spans="2:2">
      <c r="B10257"/>
    </row>
    <row r="10258" spans="2:2">
      <c r="B10258"/>
    </row>
    <row r="10259" spans="2:2">
      <c r="B10259"/>
    </row>
    <row r="10260" spans="2:2">
      <c r="B10260"/>
    </row>
    <row r="10261" spans="2:2">
      <c r="B10261"/>
    </row>
    <row r="10262" spans="2:2">
      <c r="B10262"/>
    </row>
    <row r="10263" spans="2:2">
      <c r="B10263"/>
    </row>
    <row r="10264" spans="2:2">
      <c r="B10264"/>
    </row>
    <row r="10265" spans="2:2">
      <c r="B10265"/>
    </row>
    <row r="10266" spans="2:2">
      <c r="B10266"/>
    </row>
    <row r="10267" spans="2:2">
      <c r="B10267"/>
    </row>
    <row r="10268" spans="2:2">
      <c r="B10268"/>
    </row>
    <row r="10269" spans="2:2">
      <c r="B10269"/>
    </row>
    <row r="10270" spans="2:2">
      <c r="B10270"/>
    </row>
    <row r="10271" spans="2:2">
      <c r="B10271"/>
    </row>
    <row r="10272" spans="2:2">
      <c r="B10272"/>
    </row>
    <row r="10273" spans="2:2">
      <c r="B10273"/>
    </row>
    <row r="10274" spans="2:2">
      <c r="B10274"/>
    </row>
    <row r="10275" spans="2:2">
      <c r="B10275"/>
    </row>
    <row r="10276" spans="2:2">
      <c r="B10276"/>
    </row>
    <row r="10277" spans="2:2">
      <c r="B10277"/>
    </row>
    <row r="10278" spans="2:2">
      <c r="B10278"/>
    </row>
    <row r="10279" spans="2:2">
      <c r="B10279"/>
    </row>
    <row r="10280" spans="2:2">
      <c r="B10280"/>
    </row>
    <row r="10281" spans="2:2">
      <c r="B10281"/>
    </row>
    <row r="10282" spans="2:2">
      <c r="B10282"/>
    </row>
    <row r="10283" spans="2:2">
      <c r="B10283"/>
    </row>
    <row r="10284" spans="2:2">
      <c r="B10284"/>
    </row>
    <row r="10285" spans="2:2">
      <c r="B10285"/>
    </row>
    <row r="10286" spans="2:2">
      <c r="B10286"/>
    </row>
    <row r="10287" spans="2:2">
      <c r="B10287"/>
    </row>
    <row r="10288" spans="2:2">
      <c r="B10288"/>
    </row>
    <row r="10289" spans="2:2">
      <c r="B10289"/>
    </row>
    <row r="10290" spans="2:2">
      <c r="B10290"/>
    </row>
    <row r="10291" spans="2:2">
      <c r="B10291"/>
    </row>
    <row r="10292" spans="2:2">
      <c r="B10292"/>
    </row>
    <row r="10293" spans="2:2">
      <c r="B10293"/>
    </row>
    <row r="10294" spans="2:2">
      <c r="B10294"/>
    </row>
    <row r="10295" spans="2:2">
      <c r="B10295"/>
    </row>
    <row r="10296" spans="2:2">
      <c r="B10296"/>
    </row>
    <row r="10297" spans="2:2">
      <c r="B10297"/>
    </row>
    <row r="10298" spans="2:2">
      <c r="B10298"/>
    </row>
    <row r="10299" spans="2:2">
      <c r="B10299"/>
    </row>
    <row r="10300" spans="2:2">
      <c r="B10300"/>
    </row>
    <row r="10301" spans="2:2">
      <c r="B10301"/>
    </row>
    <row r="10302" spans="2:2">
      <c r="B10302"/>
    </row>
    <row r="10303" spans="2:2">
      <c r="B10303"/>
    </row>
    <row r="10304" spans="2:2">
      <c r="B10304"/>
    </row>
    <row r="10305" spans="2:2">
      <c r="B10305"/>
    </row>
    <row r="10306" spans="2:2">
      <c r="B10306"/>
    </row>
    <row r="10307" spans="2:2">
      <c r="B10307"/>
    </row>
    <row r="10308" spans="2:2">
      <c r="B10308"/>
    </row>
    <row r="10309" spans="2:2">
      <c r="B10309"/>
    </row>
    <row r="10310" spans="2:2">
      <c r="B10310"/>
    </row>
    <row r="10311" spans="2:2">
      <c r="B10311"/>
    </row>
    <row r="10312" spans="2:2">
      <c r="B10312"/>
    </row>
    <row r="10313" spans="2:2">
      <c r="B10313"/>
    </row>
    <row r="10314" spans="2:2">
      <c r="B10314"/>
    </row>
    <row r="10315" spans="2:2">
      <c r="B10315"/>
    </row>
    <row r="10316" spans="2:2">
      <c r="B10316"/>
    </row>
    <row r="10317" spans="2:2">
      <c r="B10317"/>
    </row>
    <row r="10318" spans="2:2">
      <c r="B10318"/>
    </row>
    <row r="10319" spans="2:2">
      <c r="B10319"/>
    </row>
    <row r="10320" spans="2:2">
      <c r="B10320"/>
    </row>
    <row r="10321" spans="2:2">
      <c r="B10321"/>
    </row>
    <row r="10322" spans="2:2">
      <c r="B10322"/>
    </row>
    <row r="10323" spans="2:2">
      <c r="B10323"/>
    </row>
    <row r="10324" spans="2:2">
      <c r="B10324"/>
    </row>
    <row r="10325" spans="2:2">
      <c r="B10325"/>
    </row>
    <row r="10326" spans="2:2">
      <c r="B10326"/>
    </row>
    <row r="10327" spans="2:2">
      <c r="B10327"/>
    </row>
    <row r="10328" spans="2:2">
      <c r="B10328"/>
    </row>
    <row r="10329" spans="2:2">
      <c r="B10329"/>
    </row>
    <row r="10330" spans="2:2">
      <c r="B10330"/>
    </row>
    <row r="10331" spans="2:2">
      <c r="B10331"/>
    </row>
    <row r="10332" spans="2:2">
      <c r="B10332"/>
    </row>
    <row r="10333" spans="2:2">
      <c r="B10333"/>
    </row>
    <row r="10334" spans="2:2">
      <c r="B10334"/>
    </row>
    <row r="10335" spans="2:2">
      <c r="B10335"/>
    </row>
    <row r="10336" spans="2:2">
      <c r="B10336"/>
    </row>
    <row r="10337" spans="2:2">
      <c r="B10337"/>
    </row>
    <row r="10338" spans="2:2">
      <c r="B10338"/>
    </row>
    <row r="10339" spans="2:2">
      <c r="B10339"/>
    </row>
    <row r="10340" spans="2:2">
      <c r="B10340"/>
    </row>
    <row r="10341" spans="2:2">
      <c r="B10341"/>
    </row>
    <row r="10342" spans="2:2">
      <c r="B10342"/>
    </row>
    <row r="10343" spans="2:2">
      <c r="B10343"/>
    </row>
    <row r="10344" spans="2:2">
      <c r="B10344"/>
    </row>
    <row r="10345" spans="2:2">
      <c r="B10345"/>
    </row>
    <row r="10346" spans="2:2">
      <c r="B10346"/>
    </row>
    <row r="10347" spans="2:2">
      <c r="B10347"/>
    </row>
    <row r="10348" spans="2:2">
      <c r="B10348"/>
    </row>
    <row r="10349" spans="2:2">
      <c r="B10349"/>
    </row>
    <row r="10350" spans="2:2">
      <c r="B10350"/>
    </row>
    <row r="10351" spans="2:2">
      <c r="B10351"/>
    </row>
    <row r="10352" spans="2:2">
      <c r="B10352"/>
    </row>
    <row r="10353" spans="2:2">
      <c r="B10353"/>
    </row>
    <row r="10354" spans="2:2">
      <c r="B10354"/>
    </row>
    <row r="10355" spans="2:2">
      <c r="B10355"/>
    </row>
    <row r="10356" spans="2:2">
      <c r="B10356"/>
    </row>
    <row r="10357" spans="2:2">
      <c r="B10357"/>
    </row>
    <row r="10358" spans="2:2">
      <c r="B10358"/>
    </row>
    <row r="10359" spans="2:2">
      <c r="B10359"/>
    </row>
    <row r="10360" spans="2:2">
      <c r="B10360"/>
    </row>
    <row r="10361" spans="2:2">
      <c r="B10361"/>
    </row>
    <row r="10362" spans="2:2">
      <c r="B10362"/>
    </row>
    <row r="10363" spans="2:2">
      <c r="B10363"/>
    </row>
    <row r="10364" spans="2:2">
      <c r="B10364"/>
    </row>
    <row r="10365" spans="2:2">
      <c r="B10365"/>
    </row>
    <row r="10366" spans="2:2">
      <c r="B10366"/>
    </row>
    <row r="10367" spans="2:2">
      <c r="B10367"/>
    </row>
    <row r="10368" spans="2:2">
      <c r="B10368"/>
    </row>
    <row r="10369" spans="2:2">
      <c r="B10369"/>
    </row>
    <row r="10370" spans="2:2">
      <c r="B10370"/>
    </row>
    <row r="10371" spans="2:2">
      <c r="B10371"/>
    </row>
    <row r="10372" spans="2:2">
      <c r="B10372"/>
    </row>
    <row r="10373" spans="2:2">
      <c r="B10373"/>
    </row>
    <row r="10374" spans="2:2">
      <c r="B10374"/>
    </row>
    <row r="10375" spans="2:2">
      <c r="B10375"/>
    </row>
    <row r="10376" spans="2:2">
      <c r="B10376"/>
    </row>
    <row r="10377" spans="2:2">
      <c r="B10377"/>
    </row>
    <row r="10378" spans="2:2">
      <c r="B10378"/>
    </row>
    <row r="10379" spans="2:2">
      <c r="B10379"/>
    </row>
    <row r="10380" spans="2:2">
      <c r="B10380"/>
    </row>
    <row r="10381" spans="2:2">
      <c r="B10381"/>
    </row>
    <row r="10382" spans="2:2">
      <c r="B10382"/>
    </row>
    <row r="10383" spans="2:2">
      <c r="B10383"/>
    </row>
    <row r="10384" spans="2:2">
      <c r="B10384"/>
    </row>
    <row r="10385" spans="2:2">
      <c r="B10385"/>
    </row>
    <row r="10386" spans="2:2">
      <c r="B10386"/>
    </row>
    <row r="10387" spans="2:2">
      <c r="B10387"/>
    </row>
    <row r="10388" spans="2:2">
      <c r="B10388"/>
    </row>
    <row r="10389" spans="2:2">
      <c r="B10389"/>
    </row>
    <row r="10390" spans="2:2">
      <c r="B10390"/>
    </row>
    <row r="10391" spans="2:2">
      <c r="B10391"/>
    </row>
    <row r="10392" spans="2:2">
      <c r="B10392"/>
    </row>
    <row r="10393" spans="2:2">
      <c r="B10393"/>
    </row>
    <row r="10394" spans="2:2">
      <c r="B10394"/>
    </row>
    <row r="10395" spans="2:2">
      <c r="B10395"/>
    </row>
    <row r="10396" spans="2:2">
      <c r="B10396"/>
    </row>
    <row r="10397" spans="2:2">
      <c r="B10397"/>
    </row>
    <row r="10398" spans="2:2">
      <c r="B10398"/>
    </row>
    <row r="10399" spans="2:2">
      <c r="B10399"/>
    </row>
    <row r="10400" spans="2:2">
      <c r="B10400"/>
    </row>
    <row r="10401" spans="2:2">
      <c r="B10401"/>
    </row>
    <row r="10402" spans="2:2">
      <c r="B10402"/>
    </row>
    <row r="10403" spans="2:2">
      <c r="B10403"/>
    </row>
    <row r="10404" spans="2:2">
      <c r="B10404"/>
    </row>
    <row r="10405" spans="2:2">
      <c r="B10405"/>
    </row>
    <row r="10406" spans="2:2">
      <c r="B10406"/>
    </row>
    <row r="10407" spans="2:2">
      <c r="B10407"/>
    </row>
    <row r="10408" spans="2:2">
      <c r="B10408"/>
    </row>
    <row r="10409" spans="2:2">
      <c r="B10409"/>
    </row>
    <row r="10410" spans="2:2">
      <c r="B10410"/>
    </row>
    <row r="10411" spans="2:2">
      <c r="B10411"/>
    </row>
    <row r="10412" spans="2:2">
      <c r="B10412"/>
    </row>
    <row r="10413" spans="2:2">
      <c r="B10413"/>
    </row>
    <row r="10414" spans="2:2">
      <c r="B10414"/>
    </row>
    <row r="10415" spans="2:2">
      <c r="B10415"/>
    </row>
    <row r="10416" spans="2:2">
      <c r="B10416"/>
    </row>
    <row r="10417" spans="2:2">
      <c r="B10417"/>
    </row>
    <row r="10418" spans="2:2">
      <c r="B10418"/>
    </row>
    <row r="10419" spans="2:2">
      <c r="B10419"/>
    </row>
    <row r="10420" spans="2:2">
      <c r="B10420"/>
    </row>
    <row r="10421" spans="2:2">
      <c r="B10421"/>
    </row>
    <row r="10422" spans="2:2">
      <c r="B10422"/>
    </row>
    <row r="10423" spans="2:2">
      <c r="B10423"/>
    </row>
    <row r="10424" spans="2:2">
      <c r="B10424"/>
    </row>
    <row r="10425" spans="2:2">
      <c r="B10425"/>
    </row>
    <row r="10426" spans="2:2">
      <c r="B10426"/>
    </row>
    <row r="10427" spans="2:2">
      <c r="B10427"/>
    </row>
    <row r="10428" spans="2:2">
      <c r="B10428"/>
    </row>
    <row r="10429" spans="2:2">
      <c r="B10429"/>
    </row>
    <row r="10430" spans="2:2">
      <c r="B10430"/>
    </row>
    <row r="10431" spans="2:2">
      <c r="B10431"/>
    </row>
    <row r="10432" spans="2:2">
      <c r="B10432"/>
    </row>
    <row r="10433" spans="2:2">
      <c r="B10433"/>
    </row>
    <row r="10434" spans="2:2">
      <c r="B10434"/>
    </row>
    <row r="10435" spans="2:2">
      <c r="B10435"/>
    </row>
    <row r="10436" spans="2:2">
      <c r="B10436"/>
    </row>
    <row r="10437" spans="2:2">
      <c r="B10437"/>
    </row>
    <row r="10438" spans="2:2">
      <c r="B10438"/>
    </row>
    <row r="10439" spans="2:2">
      <c r="B10439"/>
    </row>
    <row r="10440" spans="2:2">
      <c r="B10440"/>
    </row>
    <row r="10441" spans="2:2">
      <c r="B10441"/>
    </row>
    <row r="10442" spans="2:2">
      <c r="B10442"/>
    </row>
    <row r="10443" spans="2:2">
      <c r="B10443"/>
    </row>
    <row r="10444" spans="2:2">
      <c r="B10444"/>
    </row>
    <row r="10445" spans="2:2">
      <c r="B10445"/>
    </row>
    <row r="10446" spans="2:2">
      <c r="B10446"/>
    </row>
    <row r="10447" spans="2:2">
      <c r="B10447"/>
    </row>
    <row r="10448" spans="2:2">
      <c r="B10448"/>
    </row>
    <row r="10449" spans="2:2">
      <c r="B10449"/>
    </row>
    <row r="10450" spans="2:2">
      <c r="B10450"/>
    </row>
    <row r="10451" spans="2:2">
      <c r="B10451"/>
    </row>
    <row r="10452" spans="2:2">
      <c r="B10452"/>
    </row>
    <row r="10453" spans="2:2">
      <c r="B10453"/>
    </row>
    <row r="10454" spans="2:2">
      <c r="B10454"/>
    </row>
    <row r="10455" spans="2:2">
      <c r="B10455"/>
    </row>
    <row r="10456" spans="2:2">
      <c r="B10456"/>
    </row>
    <row r="10457" spans="2:2">
      <c r="B10457"/>
    </row>
    <row r="10458" spans="2:2">
      <c r="B10458"/>
    </row>
    <row r="10459" spans="2:2">
      <c r="B10459"/>
    </row>
    <row r="10460" spans="2:2">
      <c r="B10460"/>
    </row>
    <row r="10461" spans="2:2">
      <c r="B10461"/>
    </row>
    <row r="10462" spans="2:2">
      <c r="B10462"/>
    </row>
    <row r="10463" spans="2:2">
      <c r="B10463"/>
    </row>
    <row r="10464" spans="2:2">
      <c r="B10464"/>
    </row>
    <row r="10465" spans="2:2">
      <c r="B10465"/>
    </row>
    <row r="10466" spans="2:2">
      <c r="B10466"/>
    </row>
    <row r="10467" spans="2:2">
      <c r="B10467"/>
    </row>
    <row r="10468" spans="2:2">
      <c r="B10468"/>
    </row>
    <row r="10469" spans="2:2">
      <c r="B10469"/>
    </row>
    <row r="10470" spans="2:2">
      <c r="B10470"/>
    </row>
    <row r="10471" spans="2:2">
      <c r="B10471"/>
    </row>
    <row r="10472" spans="2:2">
      <c r="B10472"/>
    </row>
    <row r="10473" spans="2:2">
      <c r="B10473"/>
    </row>
    <row r="10474" spans="2:2">
      <c r="B10474"/>
    </row>
    <row r="10475" spans="2:2">
      <c r="B10475"/>
    </row>
    <row r="10476" spans="2:2">
      <c r="B10476"/>
    </row>
    <row r="10477" spans="2:2">
      <c r="B10477"/>
    </row>
    <row r="10478" spans="2:2">
      <c r="B10478"/>
    </row>
    <row r="10479" spans="2:2">
      <c r="B10479"/>
    </row>
    <row r="10480" spans="2:2">
      <c r="B10480"/>
    </row>
    <row r="10481" spans="2:2">
      <c r="B10481"/>
    </row>
    <row r="10482" spans="2:2">
      <c r="B10482"/>
    </row>
    <row r="10483" spans="2:2">
      <c r="B10483"/>
    </row>
    <row r="10484" spans="2:2">
      <c r="B10484"/>
    </row>
    <row r="10485" spans="2:2">
      <c r="B10485"/>
    </row>
    <row r="10486" spans="2:2">
      <c r="B10486"/>
    </row>
    <row r="10487" spans="2:2">
      <c r="B10487"/>
    </row>
    <row r="10488" spans="2:2">
      <c r="B10488"/>
    </row>
    <row r="10489" spans="2:2">
      <c r="B10489"/>
    </row>
    <row r="10490" spans="2:2">
      <c r="B10490"/>
    </row>
    <row r="10491" spans="2:2">
      <c r="B10491"/>
    </row>
    <row r="10492" spans="2:2">
      <c r="B10492"/>
    </row>
    <row r="10493" spans="2:2">
      <c r="B10493"/>
    </row>
    <row r="10494" spans="2:2">
      <c r="B10494"/>
    </row>
    <row r="10495" spans="2:2">
      <c r="B10495"/>
    </row>
    <row r="10496" spans="2:2">
      <c r="B10496"/>
    </row>
    <row r="10497" spans="2:2">
      <c r="B10497"/>
    </row>
    <row r="10498" spans="2:2">
      <c r="B10498"/>
    </row>
    <row r="10499" spans="2:2">
      <c r="B10499"/>
    </row>
    <row r="10500" spans="2:2">
      <c r="B10500"/>
    </row>
    <row r="10501" spans="2:2">
      <c r="B10501"/>
    </row>
    <row r="10502" spans="2:2">
      <c r="B10502"/>
    </row>
    <row r="10503" spans="2:2">
      <c r="B10503"/>
    </row>
    <row r="10504" spans="2:2">
      <c r="B10504"/>
    </row>
    <row r="10505" spans="2:2">
      <c r="B10505"/>
    </row>
    <row r="10506" spans="2:2">
      <c r="B10506"/>
    </row>
    <row r="10507" spans="2:2">
      <c r="B10507"/>
    </row>
    <row r="10508" spans="2:2">
      <c r="B10508"/>
    </row>
    <row r="10509" spans="2:2">
      <c r="B10509"/>
    </row>
    <row r="10510" spans="2:2">
      <c r="B10510"/>
    </row>
    <row r="10511" spans="2:2">
      <c r="B10511"/>
    </row>
    <row r="10512" spans="2:2">
      <c r="B10512"/>
    </row>
    <row r="10513" spans="2:2">
      <c r="B10513"/>
    </row>
    <row r="10514" spans="2:2">
      <c r="B10514"/>
    </row>
    <row r="10515" spans="2:2">
      <c r="B10515"/>
    </row>
    <row r="10516" spans="2:2">
      <c r="B10516"/>
    </row>
    <row r="10517" spans="2:2">
      <c r="B10517"/>
    </row>
    <row r="10518" spans="2:2">
      <c r="B10518"/>
    </row>
    <row r="10519" spans="2:2">
      <c r="B10519"/>
    </row>
    <row r="10520" spans="2:2">
      <c r="B10520"/>
    </row>
    <row r="10521" spans="2:2">
      <c r="B10521"/>
    </row>
    <row r="10522" spans="2:2">
      <c r="B10522"/>
    </row>
    <row r="10523" spans="2:2">
      <c r="B10523"/>
    </row>
    <row r="10524" spans="2:2">
      <c r="B10524"/>
    </row>
    <row r="10525" spans="2:2">
      <c r="B10525"/>
    </row>
    <row r="10526" spans="2:2">
      <c r="B10526"/>
    </row>
    <row r="10527" spans="2:2">
      <c r="B10527"/>
    </row>
    <row r="10528" spans="2:2">
      <c r="B10528"/>
    </row>
    <row r="10529" spans="2:2">
      <c r="B10529"/>
    </row>
    <row r="10530" spans="2:2">
      <c r="B10530"/>
    </row>
    <row r="10531" spans="2:2">
      <c r="B10531"/>
    </row>
    <row r="10532" spans="2:2">
      <c r="B10532"/>
    </row>
    <row r="10533" spans="2:2">
      <c r="B10533"/>
    </row>
    <row r="10534" spans="2:2">
      <c r="B10534"/>
    </row>
    <row r="10535" spans="2:2">
      <c r="B10535"/>
    </row>
    <row r="10536" spans="2:2">
      <c r="B10536"/>
    </row>
    <row r="10537" spans="2:2">
      <c r="B10537"/>
    </row>
    <row r="10538" spans="2:2">
      <c r="B10538"/>
    </row>
    <row r="10539" spans="2:2">
      <c r="B10539"/>
    </row>
    <row r="10540" spans="2:2">
      <c r="B10540"/>
    </row>
    <row r="10541" spans="2:2">
      <c r="B10541"/>
    </row>
    <row r="10542" spans="2:2">
      <c r="B10542"/>
    </row>
    <row r="10543" spans="2:2">
      <c r="B10543"/>
    </row>
    <row r="10544" spans="2:2">
      <c r="B10544"/>
    </row>
    <row r="10545" spans="2:2">
      <c r="B10545"/>
    </row>
    <row r="10546" spans="2:2">
      <c r="B10546"/>
    </row>
    <row r="10547" spans="2:2">
      <c r="B10547"/>
    </row>
    <row r="10548" spans="2:2">
      <c r="B10548"/>
    </row>
    <row r="10549" spans="2:2">
      <c r="B10549"/>
    </row>
    <row r="10550" spans="2:2">
      <c r="B10550"/>
    </row>
    <row r="10551" spans="2:2">
      <c r="B10551"/>
    </row>
    <row r="10552" spans="2:2">
      <c r="B10552"/>
    </row>
    <row r="10553" spans="2:2">
      <c r="B10553"/>
    </row>
    <row r="10554" spans="2:2">
      <c r="B10554"/>
    </row>
    <row r="10555" spans="2:2">
      <c r="B10555"/>
    </row>
    <row r="10556" spans="2:2">
      <c r="B10556"/>
    </row>
    <row r="10557" spans="2:2">
      <c r="B10557"/>
    </row>
    <row r="10558" spans="2:2">
      <c r="B10558"/>
    </row>
    <row r="10559" spans="2:2">
      <c r="B10559"/>
    </row>
    <row r="10560" spans="2:2">
      <c r="B10560"/>
    </row>
    <row r="10561" spans="2:2">
      <c r="B10561"/>
    </row>
    <row r="10562" spans="2:2">
      <c r="B10562"/>
    </row>
    <row r="10563" spans="2:2">
      <c r="B10563"/>
    </row>
    <row r="10564" spans="2:2">
      <c r="B10564"/>
    </row>
    <row r="10565" spans="2:2">
      <c r="B10565"/>
    </row>
    <row r="10566" spans="2:2">
      <c r="B10566"/>
    </row>
    <row r="10567" spans="2:2">
      <c r="B10567"/>
    </row>
    <row r="10568" spans="2:2">
      <c r="B10568"/>
    </row>
    <row r="10569" spans="2:2">
      <c r="B10569"/>
    </row>
    <row r="10570" spans="2:2">
      <c r="B10570"/>
    </row>
    <row r="10571" spans="2:2">
      <c r="B10571"/>
    </row>
    <row r="10572" spans="2:2">
      <c r="B10572"/>
    </row>
    <row r="10573" spans="2:2">
      <c r="B10573"/>
    </row>
    <row r="10574" spans="2:2">
      <c r="B10574"/>
    </row>
    <row r="10575" spans="2:2">
      <c r="B10575"/>
    </row>
    <row r="10576" spans="2:2">
      <c r="B10576"/>
    </row>
    <row r="10577" spans="2:2">
      <c r="B10577"/>
    </row>
    <row r="10578" spans="2:2">
      <c r="B10578"/>
    </row>
    <row r="10579" spans="2:2">
      <c r="B10579"/>
    </row>
    <row r="10580" spans="2:2">
      <c r="B10580"/>
    </row>
    <row r="10581" spans="2:2">
      <c r="B10581"/>
    </row>
    <row r="10582" spans="2:2">
      <c r="B10582"/>
    </row>
    <row r="10583" spans="2:2">
      <c r="B10583"/>
    </row>
    <row r="10584" spans="2:2">
      <c r="B10584"/>
    </row>
    <row r="10585" spans="2:2">
      <c r="B10585"/>
    </row>
    <row r="10586" spans="2:2">
      <c r="B10586"/>
    </row>
    <row r="10587" spans="2:2">
      <c r="B10587"/>
    </row>
    <row r="10588" spans="2:2">
      <c r="B10588"/>
    </row>
    <row r="10589" spans="2:2">
      <c r="B10589"/>
    </row>
    <row r="10590" spans="2:2">
      <c r="B10590"/>
    </row>
    <row r="10591" spans="2:2">
      <c r="B10591"/>
    </row>
    <row r="10592" spans="2:2">
      <c r="B10592"/>
    </row>
    <row r="10593" spans="2:2">
      <c r="B10593"/>
    </row>
    <row r="10594" spans="2:2">
      <c r="B10594"/>
    </row>
    <row r="10595" spans="2:2">
      <c r="B10595"/>
    </row>
    <row r="10596" spans="2:2">
      <c r="B10596"/>
    </row>
    <row r="10597" spans="2:2">
      <c r="B10597"/>
    </row>
    <row r="10598" spans="2:2">
      <c r="B10598"/>
    </row>
    <row r="10599" spans="2:2">
      <c r="B10599"/>
    </row>
    <row r="10600" spans="2:2">
      <c r="B10600"/>
    </row>
    <row r="10601" spans="2:2">
      <c r="B10601"/>
    </row>
    <row r="10602" spans="2:2">
      <c r="B10602"/>
    </row>
    <row r="10603" spans="2:2">
      <c r="B10603"/>
    </row>
    <row r="10604" spans="2:2">
      <c r="B10604"/>
    </row>
    <row r="10605" spans="2:2">
      <c r="B10605"/>
    </row>
    <row r="10606" spans="2:2">
      <c r="B10606"/>
    </row>
    <row r="10607" spans="2:2">
      <c r="B10607"/>
    </row>
    <row r="10608" spans="2:2">
      <c r="B10608"/>
    </row>
    <row r="10609" spans="2:2">
      <c r="B10609"/>
    </row>
    <row r="10610" spans="2:2">
      <c r="B10610"/>
    </row>
    <row r="10611" spans="2:2">
      <c r="B10611"/>
    </row>
    <row r="10612" spans="2:2">
      <c r="B10612"/>
    </row>
    <row r="10613" spans="2:2">
      <c r="B10613"/>
    </row>
    <row r="10614" spans="2:2">
      <c r="B10614"/>
    </row>
    <row r="10615" spans="2:2">
      <c r="B10615"/>
    </row>
    <row r="10616" spans="2:2">
      <c r="B10616"/>
    </row>
    <row r="10617" spans="2:2">
      <c r="B10617"/>
    </row>
    <row r="10618" spans="2:2">
      <c r="B10618"/>
    </row>
    <row r="10619" spans="2:2">
      <c r="B10619"/>
    </row>
    <row r="10620" spans="2:2">
      <c r="B10620"/>
    </row>
    <row r="10621" spans="2:2">
      <c r="B10621"/>
    </row>
    <row r="10622" spans="2:2">
      <c r="B10622"/>
    </row>
    <row r="10623" spans="2:2">
      <c r="B10623"/>
    </row>
    <row r="10624" spans="2:2">
      <c r="B10624"/>
    </row>
    <row r="10625" spans="2:2">
      <c r="B10625"/>
    </row>
    <row r="10626" spans="2:2">
      <c r="B10626"/>
    </row>
    <row r="10627" spans="2:2">
      <c r="B10627"/>
    </row>
    <row r="10628" spans="2:2">
      <c r="B10628"/>
    </row>
    <row r="10629" spans="2:2">
      <c r="B10629"/>
    </row>
    <row r="10630" spans="2:2">
      <c r="B10630"/>
    </row>
    <row r="10631" spans="2:2">
      <c r="B10631"/>
    </row>
    <row r="10632" spans="2:2">
      <c r="B10632"/>
    </row>
    <row r="10633" spans="2:2">
      <c r="B10633"/>
    </row>
    <row r="10634" spans="2:2">
      <c r="B10634"/>
    </row>
    <row r="10635" spans="2:2">
      <c r="B10635"/>
    </row>
    <row r="10636" spans="2:2">
      <c r="B10636"/>
    </row>
    <row r="10637" spans="2:2">
      <c r="B10637"/>
    </row>
    <row r="10638" spans="2:2">
      <c r="B10638"/>
    </row>
    <row r="10639" spans="2:2">
      <c r="B10639"/>
    </row>
    <row r="10640" spans="2:2">
      <c r="B10640"/>
    </row>
    <row r="10641" spans="2:2">
      <c r="B10641"/>
    </row>
    <row r="10642" spans="2:2">
      <c r="B10642"/>
    </row>
    <row r="10643" spans="2:2">
      <c r="B10643"/>
    </row>
    <row r="10644" spans="2:2">
      <c r="B10644"/>
    </row>
    <row r="10645" spans="2:2">
      <c r="B10645"/>
    </row>
    <row r="10646" spans="2:2">
      <c r="B10646"/>
    </row>
    <row r="10647" spans="2:2">
      <c r="B10647"/>
    </row>
    <row r="10648" spans="2:2">
      <c r="B10648"/>
    </row>
    <row r="10649" spans="2:2">
      <c r="B10649"/>
    </row>
    <row r="10650" spans="2:2">
      <c r="B10650"/>
    </row>
    <row r="10651" spans="2:2">
      <c r="B10651"/>
    </row>
    <row r="10652" spans="2:2">
      <c r="B10652"/>
    </row>
    <row r="10653" spans="2:2">
      <c r="B10653"/>
    </row>
    <row r="10654" spans="2:2">
      <c r="B10654"/>
    </row>
    <row r="10655" spans="2:2">
      <c r="B10655"/>
    </row>
    <row r="10656" spans="2:2">
      <c r="B10656"/>
    </row>
    <row r="10657" spans="2:2">
      <c r="B10657"/>
    </row>
    <row r="10658" spans="2:2">
      <c r="B10658"/>
    </row>
    <row r="10659" spans="2:2">
      <c r="B10659"/>
    </row>
    <row r="10660" spans="2:2">
      <c r="B10660"/>
    </row>
    <row r="10661" spans="2:2">
      <c r="B10661"/>
    </row>
    <row r="10662" spans="2:2">
      <c r="B10662"/>
    </row>
    <row r="10663" spans="2:2">
      <c r="B10663"/>
    </row>
    <row r="10664" spans="2:2">
      <c r="B10664"/>
    </row>
    <row r="10665" spans="2:2">
      <c r="B10665"/>
    </row>
    <row r="10666" spans="2:2">
      <c r="B10666"/>
    </row>
    <row r="10667" spans="2:2">
      <c r="B10667"/>
    </row>
    <row r="10668" spans="2:2">
      <c r="B10668"/>
    </row>
    <row r="10669" spans="2:2">
      <c r="B10669"/>
    </row>
    <row r="10670" spans="2:2">
      <c r="B10670"/>
    </row>
    <row r="10671" spans="2:2">
      <c r="B10671"/>
    </row>
    <row r="10672" spans="2:2">
      <c r="B10672"/>
    </row>
    <row r="10673" spans="2:2">
      <c r="B10673"/>
    </row>
    <row r="10674" spans="2:2">
      <c r="B10674"/>
    </row>
    <row r="10675" spans="2:2">
      <c r="B10675"/>
    </row>
    <row r="10676" spans="2:2">
      <c r="B10676"/>
    </row>
    <row r="10677" spans="2:2">
      <c r="B10677"/>
    </row>
    <row r="10678" spans="2:2">
      <c r="B10678"/>
    </row>
    <row r="10679" spans="2:2">
      <c r="B10679"/>
    </row>
    <row r="10680" spans="2:2">
      <c r="B10680"/>
    </row>
    <row r="10681" spans="2:2">
      <c r="B10681"/>
    </row>
    <row r="10682" spans="2:2">
      <c r="B10682"/>
    </row>
    <row r="10683" spans="2:2">
      <c r="B10683"/>
    </row>
    <row r="10684" spans="2:2">
      <c r="B10684"/>
    </row>
    <row r="10685" spans="2:2">
      <c r="B10685"/>
    </row>
    <row r="10686" spans="2:2">
      <c r="B10686"/>
    </row>
    <row r="10687" spans="2:2">
      <c r="B10687"/>
    </row>
    <row r="10688" spans="2:2">
      <c r="B10688"/>
    </row>
    <row r="10689" spans="2:2">
      <c r="B10689"/>
    </row>
    <row r="10690" spans="2:2">
      <c r="B10690"/>
    </row>
    <row r="10691" spans="2:2">
      <c r="B10691"/>
    </row>
    <row r="10692" spans="2:2">
      <c r="B10692"/>
    </row>
    <row r="10693" spans="2:2">
      <c r="B10693"/>
    </row>
    <row r="10694" spans="2:2">
      <c r="B10694"/>
    </row>
    <row r="10695" spans="2:2">
      <c r="B10695"/>
    </row>
    <row r="10696" spans="2:2">
      <c r="B10696"/>
    </row>
    <row r="10697" spans="2:2">
      <c r="B10697"/>
    </row>
    <row r="10698" spans="2:2">
      <c r="B10698"/>
    </row>
    <row r="10699" spans="2:2">
      <c r="B10699"/>
    </row>
    <row r="10700" spans="2:2">
      <c r="B10700"/>
    </row>
    <row r="10701" spans="2:2">
      <c r="B10701"/>
    </row>
    <row r="10702" spans="2:2">
      <c r="B10702"/>
    </row>
    <row r="10703" spans="2:2">
      <c r="B10703"/>
    </row>
    <row r="10704" spans="2:2">
      <c r="B10704"/>
    </row>
    <row r="10705" spans="2:2">
      <c r="B10705"/>
    </row>
    <row r="10706" spans="2:2">
      <c r="B10706"/>
    </row>
    <row r="10707" spans="2:2">
      <c r="B10707"/>
    </row>
    <row r="10708" spans="2:2">
      <c r="B10708"/>
    </row>
    <row r="10709" spans="2:2">
      <c r="B10709"/>
    </row>
    <row r="10710" spans="2:2">
      <c r="B10710"/>
    </row>
    <row r="10711" spans="2:2">
      <c r="B10711"/>
    </row>
    <row r="10712" spans="2:2">
      <c r="B10712"/>
    </row>
    <row r="10713" spans="2:2">
      <c r="B10713"/>
    </row>
    <row r="10714" spans="2:2">
      <c r="B10714"/>
    </row>
    <row r="10715" spans="2:2">
      <c r="B10715"/>
    </row>
    <row r="10716" spans="2:2">
      <c r="B10716"/>
    </row>
    <row r="10717" spans="2:2">
      <c r="B10717"/>
    </row>
    <row r="10718" spans="2:2">
      <c r="B10718"/>
    </row>
    <row r="10719" spans="2:2">
      <c r="B10719"/>
    </row>
    <row r="10720" spans="2:2">
      <c r="B10720"/>
    </row>
    <row r="10721" spans="2:2">
      <c r="B10721"/>
    </row>
    <row r="10722" spans="2:2">
      <c r="B10722"/>
    </row>
    <row r="10723" spans="2:2">
      <c r="B10723"/>
    </row>
    <row r="10724" spans="2:2">
      <c r="B10724"/>
    </row>
    <row r="10725" spans="2:2">
      <c r="B10725"/>
    </row>
    <row r="10726" spans="2:2">
      <c r="B10726"/>
    </row>
    <row r="10727" spans="2:2">
      <c r="B10727"/>
    </row>
    <row r="10728" spans="2:2">
      <c r="B10728"/>
    </row>
    <row r="10729" spans="2:2">
      <c r="B10729"/>
    </row>
    <row r="10730" spans="2:2">
      <c r="B10730"/>
    </row>
    <row r="10731" spans="2:2">
      <c r="B10731"/>
    </row>
    <row r="10732" spans="2:2">
      <c r="B10732"/>
    </row>
    <row r="10733" spans="2:2">
      <c r="B10733"/>
    </row>
    <row r="10734" spans="2:2">
      <c r="B10734"/>
    </row>
    <row r="10735" spans="2:2">
      <c r="B10735"/>
    </row>
    <row r="10736" spans="2:2">
      <c r="B10736"/>
    </row>
    <row r="10737" spans="2:2">
      <c r="B10737"/>
    </row>
    <row r="10738" spans="2:2">
      <c r="B10738"/>
    </row>
    <row r="10739" spans="2:2">
      <c r="B10739"/>
    </row>
    <row r="10740" spans="2:2">
      <c r="B10740"/>
    </row>
    <row r="10741" spans="2:2">
      <c r="B10741"/>
    </row>
    <row r="10742" spans="2:2">
      <c r="B10742"/>
    </row>
    <row r="10743" spans="2:2">
      <c r="B10743"/>
    </row>
    <row r="10744" spans="2:2">
      <c r="B10744"/>
    </row>
    <row r="10745" spans="2:2">
      <c r="B10745"/>
    </row>
    <row r="10746" spans="2:2">
      <c r="B10746"/>
    </row>
    <row r="10747" spans="2:2">
      <c r="B10747"/>
    </row>
    <row r="10748" spans="2:2">
      <c r="B10748"/>
    </row>
    <row r="10749" spans="2:2">
      <c r="B10749"/>
    </row>
    <row r="10750" spans="2:2">
      <c r="B10750"/>
    </row>
    <row r="10751" spans="2:2">
      <c r="B10751"/>
    </row>
    <row r="10752" spans="2:2">
      <c r="B10752"/>
    </row>
    <row r="10753" spans="2:2">
      <c r="B10753"/>
    </row>
    <row r="10754" spans="2:2">
      <c r="B10754"/>
    </row>
    <row r="10755" spans="2:2">
      <c r="B10755"/>
    </row>
    <row r="10756" spans="2:2">
      <c r="B10756"/>
    </row>
    <row r="10757" spans="2:2">
      <c r="B10757"/>
    </row>
    <row r="10758" spans="2:2">
      <c r="B10758"/>
    </row>
    <row r="10759" spans="2:2">
      <c r="B10759"/>
    </row>
    <row r="10760" spans="2:2">
      <c r="B10760"/>
    </row>
    <row r="10761" spans="2:2">
      <c r="B10761"/>
    </row>
    <row r="10762" spans="2:2">
      <c r="B10762"/>
    </row>
    <row r="10763" spans="2:2">
      <c r="B10763"/>
    </row>
    <row r="10764" spans="2:2">
      <c r="B10764"/>
    </row>
    <row r="10765" spans="2:2">
      <c r="B10765"/>
    </row>
    <row r="10766" spans="2:2">
      <c r="B10766"/>
    </row>
    <row r="10767" spans="2:2">
      <c r="B10767"/>
    </row>
    <row r="10768" spans="2:2">
      <c r="B10768"/>
    </row>
    <row r="10769" spans="2:2">
      <c r="B10769"/>
    </row>
    <row r="10770" spans="2:2">
      <c r="B10770"/>
    </row>
    <row r="10771" spans="2:2">
      <c r="B10771"/>
    </row>
    <row r="10772" spans="2:2">
      <c r="B10772"/>
    </row>
    <row r="10773" spans="2:2">
      <c r="B10773"/>
    </row>
    <row r="10774" spans="2:2">
      <c r="B10774"/>
    </row>
    <row r="10775" spans="2:2">
      <c r="B10775"/>
    </row>
    <row r="10776" spans="2:2">
      <c r="B10776"/>
    </row>
    <row r="10777" spans="2:2">
      <c r="B10777"/>
    </row>
    <row r="10778" spans="2:2">
      <c r="B10778"/>
    </row>
    <row r="10779" spans="2:2">
      <c r="B10779"/>
    </row>
    <row r="10780" spans="2:2">
      <c r="B10780"/>
    </row>
    <row r="10781" spans="2:2">
      <c r="B10781"/>
    </row>
    <row r="10782" spans="2:2">
      <c r="B10782"/>
    </row>
    <row r="10783" spans="2:2">
      <c r="B10783"/>
    </row>
    <row r="10784" spans="2:2">
      <c r="B10784"/>
    </row>
    <row r="10785" spans="2:2">
      <c r="B10785"/>
    </row>
    <row r="10786" spans="2:2">
      <c r="B10786"/>
    </row>
    <row r="10787" spans="2:2">
      <c r="B10787"/>
    </row>
    <row r="10788" spans="2:2">
      <c r="B10788"/>
    </row>
    <row r="10789" spans="2:2">
      <c r="B10789"/>
    </row>
    <row r="10790" spans="2:2">
      <c r="B10790"/>
    </row>
    <row r="10791" spans="2:2">
      <c r="B10791"/>
    </row>
    <row r="10792" spans="2:2">
      <c r="B10792"/>
    </row>
    <row r="10793" spans="2:2">
      <c r="B10793"/>
    </row>
    <row r="10794" spans="2:2">
      <c r="B10794"/>
    </row>
    <row r="10795" spans="2:2">
      <c r="B10795"/>
    </row>
    <row r="10796" spans="2:2">
      <c r="B10796"/>
    </row>
    <row r="10797" spans="2:2">
      <c r="B10797"/>
    </row>
    <row r="10798" spans="2:2">
      <c r="B10798"/>
    </row>
    <row r="10799" spans="2:2">
      <c r="B10799"/>
    </row>
    <row r="10800" spans="2:2">
      <c r="B10800"/>
    </row>
    <row r="10801" spans="2:2">
      <c r="B10801"/>
    </row>
    <row r="10802" spans="2:2">
      <c r="B10802"/>
    </row>
    <row r="10803" spans="2:2">
      <c r="B10803"/>
    </row>
    <row r="10804" spans="2:2">
      <c r="B10804"/>
    </row>
    <row r="10805" spans="2:2">
      <c r="B10805"/>
    </row>
    <row r="10806" spans="2:2">
      <c r="B10806"/>
    </row>
    <row r="10807" spans="2:2">
      <c r="B10807"/>
    </row>
    <row r="10808" spans="2:2">
      <c r="B10808"/>
    </row>
    <row r="10809" spans="2:2">
      <c r="B10809"/>
    </row>
    <row r="10810" spans="2:2">
      <c r="B10810"/>
    </row>
    <row r="10811" spans="2:2">
      <c r="B10811"/>
    </row>
    <row r="10812" spans="2:2">
      <c r="B10812"/>
    </row>
    <row r="10813" spans="2:2">
      <c r="B10813"/>
    </row>
    <row r="10814" spans="2:2">
      <c r="B10814"/>
    </row>
    <row r="10815" spans="2:2">
      <c r="B10815"/>
    </row>
    <row r="10816" spans="2:2">
      <c r="B10816"/>
    </row>
    <row r="10817" spans="2:2">
      <c r="B10817"/>
    </row>
    <row r="10818" spans="2:2">
      <c r="B10818"/>
    </row>
    <row r="10819" spans="2:2">
      <c r="B10819"/>
    </row>
    <row r="10820" spans="2:2">
      <c r="B10820"/>
    </row>
    <row r="10821" spans="2:2">
      <c r="B10821"/>
    </row>
    <row r="10822" spans="2:2">
      <c r="B10822"/>
    </row>
    <row r="10823" spans="2:2">
      <c r="B10823"/>
    </row>
    <row r="10824" spans="2:2">
      <c r="B10824"/>
    </row>
    <row r="10825" spans="2:2">
      <c r="B10825"/>
    </row>
    <row r="10826" spans="2:2">
      <c r="B10826"/>
    </row>
    <row r="10827" spans="2:2">
      <c r="B10827"/>
    </row>
    <row r="10828" spans="2:2">
      <c r="B10828"/>
    </row>
    <row r="10829" spans="2:2">
      <c r="B10829"/>
    </row>
    <row r="10830" spans="2:2">
      <c r="B10830"/>
    </row>
    <row r="10831" spans="2:2">
      <c r="B10831"/>
    </row>
    <row r="10832" spans="2:2">
      <c r="B10832"/>
    </row>
    <row r="10833" spans="2:2">
      <c r="B10833"/>
    </row>
    <row r="10834" spans="2:2">
      <c r="B10834"/>
    </row>
    <row r="10835" spans="2:2">
      <c r="B10835"/>
    </row>
    <row r="10836" spans="2:2">
      <c r="B10836"/>
    </row>
    <row r="10837" spans="2:2">
      <c r="B10837"/>
    </row>
    <row r="10838" spans="2:2">
      <c r="B10838"/>
    </row>
    <row r="10839" spans="2:2">
      <c r="B10839"/>
    </row>
    <row r="10840" spans="2:2">
      <c r="B10840"/>
    </row>
    <row r="10841" spans="2:2">
      <c r="B10841"/>
    </row>
    <row r="10842" spans="2:2">
      <c r="B10842"/>
    </row>
    <row r="10843" spans="2:2">
      <c r="B10843"/>
    </row>
    <row r="10844" spans="2:2">
      <c r="B10844"/>
    </row>
    <row r="10845" spans="2:2">
      <c r="B10845"/>
    </row>
    <row r="10846" spans="2:2">
      <c r="B10846"/>
    </row>
    <row r="10847" spans="2:2">
      <c r="B10847"/>
    </row>
    <row r="10848" spans="2:2">
      <c r="B10848"/>
    </row>
    <row r="10849" spans="2:2">
      <c r="B10849"/>
    </row>
    <row r="10850" spans="2:2">
      <c r="B10850"/>
    </row>
    <row r="10851" spans="2:2">
      <c r="B10851"/>
    </row>
    <row r="10852" spans="2:2">
      <c r="B10852"/>
    </row>
    <row r="10853" spans="2:2">
      <c r="B10853"/>
    </row>
    <row r="10854" spans="2:2">
      <c r="B10854"/>
    </row>
    <row r="10855" spans="2:2">
      <c r="B10855"/>
    </row>
    <row r="10856" spans="2:2">
      <c r="B10856"/>
    </row>
    <row r="10857" spans="2:2">
      <c r="B10857"/>
    </row>
    <row r="10858" spans="2:2">
      <c r="B10858"/>
    </row>
    <row r="10859" spans="2:2">
      <c r="B10859"/>
    </row>
    <row r="10860" spans="2:2">
      <c r="B10860"/>
    </row>
    <row r="10861" spans="2:2">
      <c r="B10861"/>
    </row>
    <row r="10862" spans="2:2">
      <c r="B10862"/>
    </row>
    <row r="10863" spans="2:2">
      <c r="B10863"/>
    </row>
    <row r="10864" spans="2:2">
      <c r="B10864"/>
    </row>
    <row r="10865" spans="2:2">
      <c r="B10865"/>
    </row>
    <row r="10866" spans="2:2">
      <c r="B10866"/>
    </row>
    <row r="10867" spans="2:2">
      <c r="B10867"/>
    </row>
    <row r="10868" spans="2:2">
      <c r="B10868"/>
    </row>
    <row r="10869" spans="2:2">
      <c r="B10869"/>
    </row>
    <row r="10870" spans="2:2">
      <c r="B10870"/>
    </row>
    <row r="10871" spans="2:2">
      <c r="B10871"/>
    </row>
    <row r="10872" spans="2:2">
      <c r="B10872"/>
    </row>
    <row r="10873" spans="2:2">
      <c r="B10873"/>
    </row>
    <row r="10874" spans="2:2">
      <c r="B10874"/>
    </row>
    <row r="10875" spans="2:2">
      <c r="B10875"/>
    </row>
    <row r="10876" spans="2:2">
      <c r="B10876"/>
    </row>
    <row r="10877" spans="2:2">
      <c r="B10877"/>
    </row>
    <row r="10878" spans="2:2">
      <c r="B10878"/>
    </row>
    <row r="10879" spans="2:2">
      <c r="B10879"/>
    </row>
    <row r="10880" spans="2:2">
      <c r="B10880"/>
    </row>
    <row r="10881" spans="2:2">
      <c r="B10881"/>
    </row>
    <row r="10882" spans="2:2">
      <c r="B10882"/>
    </row>
    <row r="10883" spans="2:2">
      <c r="B10883"/>
    </row>
    <row r="10884" spans="2:2">
      <c r="B10884"/>
    </row>
    <row r="10885" spans="2:2">
      <c r="B10885"/>
    </row>
    <row r="10886" spans="2:2">
      <c r="B10886"/>
    </row>
    <row r="10887" spans="2:2">
      <c r="B10887"/>
    </row>
    <row r="10888" spans="2:2">
      <c r="B10888"/>
    </row>
    <row r="10889" spans="2:2">
      <c r="B10889"/>
    </row>
    <row r="10890" spans="2:2">
      <c r="B10890"/>
    </row>
    <row r="10891" spans="2:2">
      <c r="B10891"/>
    </row>
    <row r="10892" spans="2:2">
      <c r="B10892"/>
    </row>
    <row r="10893" spans="2:2">
      <c r="B10893"/>
    </row>
    <row r="10894" spans="2:2">
      <c r="B10894"/>
    </row>
    <row r="10895" spans="2:2">
      <c r="B10895"/>
    </row>
    <row r="10896" spans="2:2">
      <c r="B10896"/>
    </row>
    <row r="10897" spans="2:2">
      <c r="B10897"/>
    </row>
    <row r="10898" spans="2:2">
      <c r="B10898"/>
    </row>
    <row r="10899" spans="2:2">
      <c r="B10899"/>
    </row>
    <row r="10900" spans="2:2">
      <c r="B10900"/>
    </row>
    <row r="10901" spans="2:2">
      <c r="B10901"/>
    </row>
    <row r="10902" spans="2:2">
      <c r="B10902"/>
    </row>
    <row r="10903" spans="2:2">
      <c r="B10903"/>
    </row>
    <row r="10904" spans="2:2">
      <c r="B10904"/>
    </row>
    <row r="10905" spans="2:2">
      <c r="B10905"/>
    </row>
    <row r="10906" spans="2:2">
      <c r="B10906"/>
    </row>
    <row r="10907" spans="2:2">
      <c r="B10907"/>
    </row>
    <row r="10908" spans="2:2">
      <c r="B10908"/>
    </row>
    <row r="10909" spans="2:2">
      <c r="B10909"/>
    </row>
    <row r="10910" spans="2:2">
      <c r="B10910"/>
    </row>
    <row r="10911" spans="2:2">
      <c r="B10911"/>
    </row>
    <row r="10912" spans="2:2">
      <c r="B10912"/>
    </row>
    <row r="10913" spans="2:2">
      <c r="B10913"/>
    </row>
    <row r="10914" spans="2:2">
      <c r="B10914"/>
    </row>
    <row r="10915" spans="2:2">
      <c r="B10915"/>
    </row>
    <row r="10916" spans="2:2">
      <c r="B10916"/>
    </row>
    <row r="10917" spans="2:2">
      <c r="B10917"/>
    </row>
    <row r="10918" spans="2:2">
      <c r="B10918"/>
    </row>
    <row r="10919" spans="2:2">
      <c r="B10919"/>
    </row>
    <row r="10920" spans="2:2">
      <c r="B10920"/>
    </row>
    <row r="10921" spans="2:2">
      <c r="B10921"/>
    </row>
    <row r="10922" spans="2:2">
      <c r="B10922"/>
    </row>
    <row r="10923" spans="2:2">
      <c r="B10923"/>
    </row>
    <row r="10924" spans="2:2">
      <c r="B10924"/>
    </row>
    <row r="10925" spans="2:2">
      <c r="B10925"/>
    </row>
    <row r="10926" spans="2:2">
      <c r="B10926"/>
    </row>
    <row r="10927" spans="2:2">
      <c r="B10927"/>
    </row>
    <row r="10928" spans="2:2">
      <c r="B10928"/>
    </row>
    <row r="10929" spans="2:2">
      <c r="B10929"/>
    </row>
    <row r="10930" spans="2:2">
      <c r="B10930"/>
    </row>
    <row r="10931" spans="2:2">
      <c r="B10931"/>
    </row>
    <row r="10932" spans="2:2">
      <c r="B10932"/>
    </row>
    <row r="10933" spans="2:2">
      <c r="B10933"/>
    </row>
    <row r="10934" spans="2:2">
      <c r="B10934"/>
    </row>
    <row r="10935" spans="2:2">
      <c r="B10935"/>
    </row>
    <row r="10936" spans="2:2">
      <c r="B10936"/>
    </row>
    <row r="10937" spans="2:2">
      <c r="B10937"/>
    </row>
    <row r="10938" spans="2:2">
      <c r="B10938"/>
    </row>
    <row r="10939" spans="2:2">
      <c r="B10939"/>
    </row>
    <row r="10940" spans="2:2">
      <c r="B10940"/>
    </row>
    <row r="10941" spans="2:2">
      <c r="B10941"/>
    </row>
    <row r="10942" spans="2:2">
      <c r="B10942"/>
    </row>
    <row r="10943" spans="2:2">
      <c r="B10943"/>
    </row>
    <row r="10944" spans="2:2">
      <c r="B10944"/>
    </row>
    <row r="10945" spans="2:2">
      <c r="B10945"/>
    </row>
    <row r="10946" spans="2:2">
      <c r="B10946"/>
    </row>
    <row r="10947" spans="2:2">
      <c r="B10947"/>
    </row>
    <row r="10948" spans="2:2">
      <c r="B10948"/>
    </row>
    <row r="10949" spans="2:2">
      <c r="B10949"/>
    </row>
    <row r="10950" spans="2:2">
      <c r="B10950"/>
    </row>
    <row r="10951" spans="2:2">
      <c r="B10951"/>
    </row>
    <row r="10952" spans="2:2">
      <c r="B10952"/>
    </row>
    <row r="10953" spans="2:2">
      <c r="B10953"/>
    </row>
    <row r="10954" spans="2:2">
      <c r="B10954"/>
    </row>
    <row r="10955" spans="2:2">
      <c r="B10955"/>
    </row>
    <row r="10956" spans="2:2">
      <c r="B10956"/>
    </row>
    <row r="10957" spans="2:2">
      <c r="B10957"/>
    </row>
    <row r="10958" spans="2:2">
      <c r="B10958"/>
    </row>
    <row r="10959" spans="2:2">
      <c r="B10959"/>
    </row>
    <row r="10960" spans="2:2">
      <c r="B10960"/>
    </row>
    <row r="10961" spans="2:2">
      <c r="B10961"/>
    </row>
    <row r="10962" spans="2:2">
      <c r="B10962"/>
    </row>
    <row r="10963" spans="2:2">
      <c r="B10963"/>
    </row>
    <row r="10964" spans="2:2">
      <c r="B10964"/>
    </row>
    <row r="10965" spans="2:2">
      <c r="B10965"/>
    </row>
    <row r="10966" spans="2:2">
      <c r="B10966"/>
    </row>
    <row r="10967" spans="2:2">
      <c r="B10967"/>
    </row>
    <row r="10968" spans="2:2">
      <c r="B10968"/>
    </row>
    <row r="10969" spans="2:2">
      <c r="B10969"/>
    </row>
    <row r="10970" spans="2:2">
      <c r="B10970"/>
    </row>
    <row r="10971" spans="2:2">
      <c r="B10971"/>
    </row>
    <row r="10972" spans="2:2">
      <c r="B10972"/>
    </row>
    <row r="10973" spans="2:2">
      <c r="B10973"/>
    </row>
    <row r="10974" spans="2:2">
      <c r="B10974"/>
    </row>
    <row r="10975" spans="2:2">
      <c r="B10975"/>
    </row>
    <row r="10976" spans="2:2">
      <c r="B10976"/>
    </row>
    <row r="10977" spans="2:2">
      <c r="B10977"/>
    </row>
    <row r="10978" spans="2:2">
      <c r="B10978"/>
    </row>
    <row r="10979" spans="2:2">
      <c r="B10979"/>
    </row>
    <row r="10980" spans="2:2">
      <c r="B10980"/>
    </row>
    <row r="10981" spans="2:2">
      <c r="B10981"/>
    </row>
    <row r="10982" spans="2:2">
      <c r="B10982"/>
    </row>
    <row r="10983" spans="2:2">
      <c r="B10983"/>
    </row>
    <row r="10984" spans="2:2">
      <c r="B10984"/>
    </row>
    <row r="10985" spans="2:2">
      <c r="B10985"/>
    </row>
    <row r="10986" spans="2:2">
      <c r="B10986"/>
    </row>
    <row r="10987" spans="2:2">
      <c r="B10987"/>
    </row>
    <row r="10988" spans="2:2">
      <c r="B10988"/>
    </row>
    <row r="10989" spans="2:2">
      <c r="B10989"/>
    </row>
    <row r="10990" spans="2:2">
      <c r="B10990"/>
    </row>
    <row r="10991" spans="2:2">
      <c r="B10991"/>
    </row>
    <row r="10992" spans="2:2">
      <c r="B10992"/>
    </row>
    <row r="10993" spans="2:2">
      <c r="B10993"/>
    </row>
    <row r="10994" spans="2:2">
      <c r="B10994"/>
    </row>
    <row r="10995" spans="2:2">
      <c r="B10995"/>
    </row>
    <row r="10996" spans="2:2">
      <c r="B10996"/>
    </row>
    <row r="10997" spans="2:2">
      <c r="B10997"/>
    </row>
    <row r="10998" spans="2:2">
      <c r="B10998"/>
    </row>
    <row r="10999" spans="2:2">
      <c r="B10999"/>
    </row>
    <row r="11000" spans="2:2">
      <c r="B11000"/>
    </row>
    <row r="11001" spans="2:2">
      <c r="B11001"/>
    </row>
    <row r="11002" spans="2:2">
      <c r="B11002"/>
    </row>
    <row r="11003" spans="2:2">
      <c r="B11003"/>
    </row>
    <row r="11004" spans="2:2">
      <c r="B11004"/>
    </row>
    <row r="11005" spans="2:2">
      <c r="B11005"/>
    </row>
    <row r="11006" spans="2:2">
      <c r="B11006"/>
    </row>
    <row r="11007" spans="2:2">
      <c r="B11007"/>
    </row>
    <row r="11008" spans="2:2">
      <c r="B11008"/>
    </row>
    <row r="11009" spans="2:2">
      <c r="B11009"/>
    </row>
    <row r="11010" spans="2:2">
      <c r="B11010"/>
    </row>
    <row r="11011" spans="2:2">
      <c r="B11011"/>
    </row>
    <row r="11012" spans="2:2">
      <c r="B11012"/>
    </row>
    <row r="11013" spans="2:2">
      <c r="B11013"/>
    </row>
    <row r="11014" spans="2:2">
      <c r="B11014"/>
    </row>
    <row r="11015" spans="2:2">
      <c r="B11015"/>
    </row>
    <row r="11016" spans="2:2">
      <c r="B11016"/>
    </row>
    <row r="11017" spans="2:2">
      <c r="B11017"/>
    </row>
    <row r="11018" spans="2:2">
      <c r="B11018"/>
    </row>
    <row r="11019" spans="2:2">
      <c r="B11019"/>
    </row>
    <row r="11020" spans="2:2">
      <c r="B11020"/>
    </row>
    <row r="11021" spans="2:2">
      <c r="B11021"/>
    </row>
    <row r="11022" spans="2:2">
      <c r="B11022"/>
    </row>
    <row r="11023" spans="2:2">
      <c r="B11023"/>
    </row>
    <row r="11024" spans="2:2">
      <c r="B11024"/>
    </row>
    <row r="11025" spans="2:2">
      <c r="B11025"/>
    </row>
    <row r="11026" spans="2:2">
      <c r="B11026"/>
    </row>
    <row r="11027" spans="2:2">
      <c r="B11027"/>
    </row>
    <row r="11028" spans="2:2">
      <c r="B11028"/>
    </row>
    <row r="11029" spans="2:2">
      <c r="B11029"/>
    </row>
    <row r="11030" spans="2:2">
      <c r="B11030"/>
    </row>
    <row r="11031" spans="2:2">
      <c r="B11031"/>
    </row>
    <row r="11032" spans="2:2">
      <c r="B11032"/>
    </row>
    <row r="11033" spans="2:2">
      <c r="B11033"/>
    </row>
    <row r="11034" spans="2:2">
      <c r="B11034"/>
    </row>
    <row r="11035" spans="2:2">
      <c r="B11035"/>
    </row>
    <row r="11036" spans="2:2">
      <c r="B11036"/>
    </row>
    <row r="11037" spans="2:2">
      <c r="B11037"/>
    </row>
    <row r="11038" spans="2:2">
      <c r="B11038"/>
    </row>
    <row r="11039" spans="2:2">
      <c r="B11039"/>
    </row>
    <row r="11040" spans="2:2">
      <c r="B11040"/>
    </row>
    <row r="11041" spans="2:2">
      <c r="B11041"/>
    </row>
    <row r="11042" spans="2:2">
      <c r="B11042"/>
    </row>
    <row r="11043" spans="2:2">
      <c r="B11043"/>
    </row>
    <row r="11044" spans="2:2">
      <c r="B11044"/>
    </row>
    <row r="11045" spans="2:2">
      <c r="B11045"/>
    </row>
    <row r="11046" spans="2:2">
      <c r="B11046"/>
    </row>
    <row r="11047" spans="2:2">
      <c r="B11047"/>
    </row>
    <row r="11048" spans="2:2">
      <c r="B11048"/>
    </row>
    <row r="11049" spans="2:2">
      <c r="B11049"/>
    </row>
    <row r="11050" spans="2:2">
      <c r="B11050"/>
    </row>
    <row r="11051" spans="2:2">
      <c r="B11051"/>
    </row>
    <row r="11052" spans="2:2">
      <c r="B11052"/>
    </row>
    <row r="11053" spans="2:2">
      <c r="B11053"/>
    </row>
    <row r="11054" spans="2:2">
      <c r="B11054"/>
    </row>
    <row r="11055" spans="2:2">
      <c r="B11055"/>
    </row>
    <row r="11056" spans="2:2">
      <c r="B11056"/>
    </row>
    <row r="11057" spans="2:2">
      <c r="B11057"/>
    </row>
    <row r="11058" spans="2:2">
      <c r="B11058"/>
    </row>
    <row r="11059" spans="2:2">
      <c r="B11059"/>
    </row>
    <row r="11060" spans="2:2">
      <c r="B11060"/>
    </row>
    <row r="11061" spans="2:2">
      <c r="B11061"/>
    </row>
    <row r="11062" spans="2:2">
      <c r="B11062"/>
    </row>
    <row r="11063" spans="2:2">
      <c r="B11063"/>
    </row>
    <row r="11064" spans="2:2">
      <c r="B11064"/>
    </row>
    <row r="11065" spans="2:2">
      <c r="B11065"/>
    </row>
    <row r="11066" spans="2:2">
      <c r="B11066"/>
    </row>
    <row r="11067" spans="2:2">
      <c r="B11067"/>
    </row>
    <row r="11068" spans="2:2">
      <c r="B11068"/>
    </row>
    <row r="11069" spans="2:2">
      <c r="B11069"/>
    </row>
    <row r="11070" spans="2:2">
      <c r="B11070"/>
    </row>
    <row r="11071" spans="2:2">
      <c r="B11071"/>
    </row>
    <row r="11072" spans="2:2">
      <c r="B11072"/>
    </row>
    <row r="11073" spans="2:2">
      <c r="B11073"/>
    </row>
    <row r="11074" spans="2:2">
      <c r="B11074"/>
    </row>
    <row r="11075" spans="2:2">
      <c r="B11075"/>
    </row>
    <row r="11076" spans="2:2">
      <c r="B11076"/>
    </row>
    <row r="11077" spans="2:2">
      <c r="B11077"/>
    </row>
    <row r="11078" spans="2:2">
      <c r="B11078"/>
    </row>
    <row r="11079" spans="2:2">
      <c r="B11079"/>
    </row>
    <row r="11080" spans="2:2">
      <c r="B11080"/>
    </row>
    <row r="11081" spans="2:2">
      <c r="B11081"/>
    </row>
    <row r="11082" spans="2:2">
      <c r="B11082"/>
    </row>
    <row r="11083" spans="2:2">
      <c r="B11083"/>
    </row>
    <row r="11084" spans="2:2">
      <c r="B11084"/>
    </row>
    <row r="11085" spans="2:2">
      <c r="B11085"/>
    </row>
    <row r="11086" spans="2:2">
      <c r="B11086"/>
    </row>
    <row r="11087" spans="2:2">
      <c r="B11087"/>
    </row>
    <row r="11088" spans="2:2">
      <c r="B11088"/>
    </row>
    <row r="11089" spans="2:2">
      <c r="B11089"/>
    </row>
    <row r="11090" spans="2:2">
      <c r="B11090"/>
    </row>
    <row r="11091" spans="2:2">
      <c r="B11091"/>
    </row>
    <row r="11092" spans="2:2">
      <c r="B11092"/>
    </row>
    <row r="11093" spans="2:2">
      <c r="B11093"/>
    </row>
    <row r="11094" spans="2:2">
      <c r="B11094"/>
    </row>
    <row r="11095" spans="2:2">
      <c r="B11095"/>
    </row>
    <row r="11096" spans="2:2">
      <c r="B11096"/>
    </row>
    <row r="11097" spans="2:2">
      <c r="B11097"/>
    </row>
    <row r="11098" spans="2:2">
      <c r="B11098"/>
    </row>
    <row r="11099" spans="2:2">
      <c r="B11099"/>
    </row>
    <row r="11100" spans="2:2">
      <c r="B11100"/>
    </row>
    <row r="11101" spans="2:2">
      <c r="B11101"/>
    </row>
    <row r="11102" spans="2:2">
      <c r="B11102"/>
    </row>
    <row r="11103" spans="2:2">
      <c r="B11103"/>
    </row>
    <row r="11104" spans="2:2">
      <c r="B11104"/>
    </row>
    <row r="11105" spans="2:2">
      <c r="B11105"/>
    </row>
    <row r="11106" spans="2:2">
      <c r="B11106"/>
    </row>
    <row r="11107" spans="2:2">
      <c r="B11107"/>
    </row>
    <row r="11108" spans="2:2">
      <c r="B11108"/>
    </row>
    <row r="11109" spans="2:2">
      <c r="B11109"/>
    </row>
    <row r="11110" spans="2:2">
      <c r="B11110"/>
    </row>
    <row r="11111" spans="2:2">
      <c r="B11111"/>
    </row>
    <row r="11112" spans="2:2">
      <c r="B11112"/>
    </row>
    <row r="11113" spans="2:2">
      <c r="B11113"/>
    </row>
    <row r="11114" spans="2:2">
      <c r="B11114"/>
    </row>
    <row r="11115" spans="2:2">
      <c r="B11115"/>
    </row>
    <row r="11116" spans="2:2">
      <c r="B11116"/>
    </row>
    <row r="11117" spans="2:2">
      <c r="B11117"/>
    </row>
    <row r="11118" spans="2:2">
      <c r="B11118"/>
    </row>
    <row r="11119" spans="2:2">
      <c r="B11119"/>
    </row>
    <row r="11120" spans="2:2">
      <c r="B11120"/>
    </row>
    <row r="11121" spans="2:2">
      <c r="B11121"/>
    </row>
    <row r="11122" spans="2:2">
      <c r="B11122"/>
    </row>
    <row r="11123" spans="2:2">
      <c r="B11123"/>
    </row>
    <row r="11124" spans="2:2">
      <c r="B11124"/>
    </row>
    <row r="11125" spans="2:2">
      <c r="B11125"/>
    </row>
    <row r="11126" spans="2:2">
      <c r="B11126"/>
    </row>
    <row r="11127" spans="2:2">
      <c r="B11127"/>
    </row>
    <row r="11128" spans="2:2">
      <c r="B11128"/>
    </row>
    <row r="11129" spans="2:2">
      <c r="B11129"/>
    </row>
    <row r="11130" spans="2:2">
      <c r="B11130"/>
    </row>
    <row r="11131" spans="2:2">
      <c r="B11131"/>
    </row>
    <row r="11132" spans="2:2">
      <c r="B11132"/>
    </row>
    <row r="11133" spans="2:2">
      <c r="B11133"/>
    </row>
    <row r="11134" spans="2:2">
      <c r="B11134"/>
    </row>
    <row r="11135" spans="2:2">
      <c r="B11135"/>
    </row>
    <row r="11136" spans="2:2">
      <c r="B11136"/>
    </row>
    <row r="11137" spans="2:2">
      <c r="B11137"/>
    </row>
    <row r="11138" spans="2:2">
      <c r="B11138"/>
    </row>
    <row r="11139" spans="2:2">
      <c r="B11139"/>
    </row>
    <row r="11140" spans="2:2">
      <c r="B11140"/>
    </row>
    <row r="11141" spans="2:2">
      <c r="B11141"/>
    </row>
    <row r="11142" spans="2:2">
      <c r="B11142"/>
    </row>
    <row r="11143" spans="2:2">
      <c r="B11143"/>
    </row>
    <row r="11144" spans="2:2">
      <c r="B11144"/>
    </row>
    <row r="11145" spans="2:2">
      <c r="B11145"/>
    </row>
    <row r="11146" spans="2:2">
      <c r="B11146"/>
    </row>
    <row r="11147" spans="2:2">
      <c r="B11147"/>
    </row>
    <row r="11148" spans="2:2">
      <c r="B11148"/>
    </row>
    <row r="11149" spans="2:2">
      <c r="B11149"/>
    </row>
    <row r="11150" spans="2:2">
      <c r="B11150"/>
    </row>
    <row r="11151" spans="2:2">
      <c r="B11151"/>
    </row>
    <row r="11152" spans="2:2">
      <c r="B11152"/>
    </row>
    <row r="11153" spans="2:2">
      <c r="B11153"/>
    </row>
    <row r="11154" spans="2:2">
      <c r="B11154"/>
    </row>
    <row r="11155" spans="2:2">
      <c r="B11155"/>
    </row>
    <row r="11156" spans="2:2">
      <c r="B11156"/>
    </row>
    <row r="11157" spans="2:2">
      <c r="B11157"/>
    </row>
    <row r="11158" spans="2:2">
      <c r="B11158"/>
    </row>
    <row r="11159" spans="2:2">
      <c r="B11159"/>
    </row>
    <row r="11160" spans="2:2">
      <c r="B11160"/>
    </row>
    <row r="11161" spans="2:2">
      <c r="B11161"/>
    </row>
    <row r="11162" spans="2:2">
      <c r="B11162"/>
    </row>
    <row r="11163" spans="2:2">
      <c r="B11163"/>
    </row>
    <row r="11164" spans="2:2">
      <c r="B11164"/>
    </row>
    <row r="11165" spans="2:2">
      <c r="B11165"/>
    </row>
    <row r="11166" spans="2:2">
      <c r="B11166"/>
    </row>
    <row r="11167" spans="2:2">
      <c r="B11167"/>
    </row>
    <row r="11168" spans="2:2">
      <c r="B11168"/>
    </row>
    <row r="11169" spans="2:2">
      <c r="B11169"/>
    </row>
    <row r="11170" spans="2:2">
      <c r="B11170"/>
    </row>
    <row r="11171" spans="2:2">
      <c r="B11171"/>
    </row>
    <row r="11172" spans="2:2">
      <c r="B11172"/>
    </row>
    <row r="11173" spans="2:2">
      <c r="B11173"/>
    </row>
    <row r="11174" spans="2:2">
      <c r="B11174"/>
    </row>
    <row r="11175" spans="2:2">
      <c r="B11175"/>
    </row>
    <row r="11176" spans="2:2">
      <c r="B11176"/>
    </row>
    <row r="11177" spans="2:2">
      <c r="B11177"/>
    </row>
    <row r="11178" spans="2:2">
      <c r="B11178"/>
    </row>
    <row r="11179" spans="2:2">
      <c r="B11179"/>
    </row>
    <row r="11180" spans="2:2">
      <c r="B11180"/>
    </row>
    <row r="11181" spans="2:2">
      <c r="B11181"/>
    </row>
    <row r="11182" spans="2:2">
      <c r="B11182"/>
    </row>
    <row r="11183" spans="2:2">
      <c r="B11183"/>
    </row>
    <row r="11184" spans="2:2">
      <c r="B11184"/>
    </row>
    <row r="11185" spans="2:2">
      <c r="B11185"/>
    </row>
    <row r="11186" spans="2:2">
      <c r="B11186"/>
    </row>
    <row r="11187" spans="2:2">
      <c r="B11187"/>
    </row>
    <row r="11188" spans="2:2">
      <c r="B11188"/>
    </row>
    <row r="11189" spans="2:2">
      <c r="B11189"/>
    </row>
    <row r="11190" spans="2:2">
      <c r="B11190"/>
    </row>
    <row r="11191" spans="2:2">
      <c r="B11191"/>
    </row>
    <row r="11192" spans="2:2">
      <c r="B11192"/>
    </row>
    <row r="11193" spans="2:2">
      <c r="B11193"/>
    </row>
    <row r="11194" spans="2:2">
      <c r="B11194"/>
    </row>
    <row r="11195" spans="2:2">
      <c r="B11195"/>
    </row>
    <row r="11196" spans="2:2">
      <c r="B11196"/>
    </row>
    <row r="11197" spans="2:2">
      <c r="B11197"/>
    </row>
    <row r="11198" spans="2:2">
      <c r="B11198"/>
    </row>
    <row r="11199" spans="2:2">
      <c r="B11199"/>
    </row>
    <row r="11200" spans="2:2">
      <c r="B11200"/>
    </row>
    <row r="11201" spans="2:2">
      <c r="B11201"/>
    </row>
    <row r="11202" spans="2:2">
      <c r="B11202"/>
    </row>
    <row r="11203" spans="2:2">
      <c r="B11203"/>
    </row>
    <row r="11204" spans="2:2">
      <c r="B11204"/>
    </row>
    <row r="11205" spans="2:2">
      <c r="B11205"/>
    </row>
    <row r="11206" spans="2:2">
      <c r="B11206"/>
    </row>
    <row r="11207" spans="2:2">
      <c r="B11207"/>
    </row>
    <row r="11208" spans="2:2">
      <c r="B11208"/>
    </row>
    <row r="11209" spans="2:2">
      <c r="B11209"/>
    </row>
    <row r="11210" spans="2:2">
      <c r="B11210"/>
    </row>
    <row r="11211" spans="2:2">
      <c r="B11211"/>
    </row>
    <row r="11212" spans="2:2">
      <c r="B11212"/>
    </row>
    <row r="11213" spans="2:2">
      <c r="B11213"/>
    </row>
    <row r="11214" spans="2:2">
      <c r="B11214"/>
    </row>
    <row r="11215" spans="2:2">
      <c r="B11215"/>
    </row>
    <row r="11216" spans="2:2">
      <c r="B11216"/>
    </row>
    <row r="11217" spans="2:2">
      <c r="B11217"/>
    </row>
    <row r="11218" spans="2:2">
      <c r="B11218"/>
    </row>
    <row r="11219" spans="2:2">
      <c r="B11219"/>
    </row>
    <row r="11220" spans="2:2">
      <c r="B11220"/>
    </row>
    <row r="11221" spans="2:2">
      <c r="B11221"/>
    </row>
    <row r="11222" spans="2:2">
      <c r="B11222"/>
    </row>
    <row r="11223" spans="2:2">
      <c r="B11223"/>
    </row>
    <row r="11224" spans="2:2">
      <c r="B11224"/>
    </row>
    <row r="11225" spans="2:2">
      <c r="B11225"/>
    </row>
    <row r="11226" spans="2:2">
      <c r="B11226"/>
    </row>
    <row r="11227" spans="2:2">
      <c r="B11227"/>
    </row>
    <row r="11228" spans="2:2">
      <c r="B11228"/>
    </row>
    <row r="11229" spans="2:2">
      <c r="B11229"/>
    </row>
    <row r="11230" spans="2:2">
      <c r="B11230"/>
    </row>
    <row r="11231" spans="2:2">
      <c r="B11231"/>
    </row>
    <row r="11232" spans="2:2">
      <c r="B11232"/>
    </row>
    <row r="11233" spans="2:2">
      <c r="B11233"/>
    </row>
    <row r="11234" spans="2:2">
      <c r="B11234"/>
    </row>
    <row r="11235" spans="2:2">
      <c r="B11235"/>
    </row>
    <row r="11236" spans="2:2">
      <c r="B11236"/>
    </row>
    <row r="11237" spans="2:2">
      <c r="B11237"/>
    </row>
    <row r="11238" spans="2:2">
      <c r="B11238"/>
    </row>
    <row r="11239" spans="2:2">
      <c r="B11239"/>
    </row>
    <row r="11240" spans="2:2">
      <c r="B11240"/>
    </row>
    <row r="11241" spans="2:2">
      <c r="B11241"/>
    </row>
    <row r="11242" spans="2:2">
      <c r="B11242"/>
    </row>
    <row r="11243" spans="2:2">
      <c r="B11243"/>
    </row>
    <row r="11244" spans="2:2">
      <c r="B11244"/>
    </row>
    <row r="11245" spans="2:2">
      <c r="B11245"/>
    </row>
    <row r="11246" spans="2:2">
      <c r="B11246"/>
    </row>
    <row r="11247" spans="2:2">
      <c r="B11247"/>
    </row>
    <row r="11248" spans="2:2">
      <c r="B11248"/>
    </row>
    <row r="11249" spans="2:2">
      <c r="B11249"/>
    </row>
    <row r="11250" spans="2:2">
      <c r="B11250"/>
    </row>
    <row r="11251" spans="2:2">
      <c r="B11251"/>
    </row>
    <row r="11252" spans="2:2">
      <c r="B11252"/>
    </row>
    <row r="11253" spans="2:2">
      <c r="B11253"/>
    </row>
    <row r="11254" spans="2:2">
      <c r="B11254"/>
    </row>
    <row r="11255" spans="2:2">
      <c r="B11255"/>
    </row>
    <row r="11256" spans="2:2">
      <c r="B11256"/>
    </row>
    <row r="11257" spans="2:2">
      <c r="B11257"/>
    </row>
    <row r="11258" spans="2:2">
      <c r="B11258"/>
    </row>
    <row r="11259" spans="2:2">
      <c r="B11259"/>
    </row>
    <row r="11260" spans="2:2">
      <c r="B11260"/>
    </row>
    <row r="11261" spans="2:2">
      <c r="B11261"/>
    </row>
    <row r="11262" spans="2:2">
      <c r="B11262"/>
    </row>
    <row r="11263" spans="2:2">
      <c r="B11263"/>
    </row>
    <row r="11264" spans="2:2">
      <c r="B11264"/>
    </row>
    <row r="11265" spans="2:2">
      <c r="B11265"/>
    </row>
    <row r="11266" spans="2:2">
      <c r="B11266"/>
    </row>
    <row r="11267" spans="2:2">
      <c r="B11267"/>
    </row>
    <row r="11268" spans="2:2">
      <c r="B11268"/>
    </row>
    <row r="11269" spans="2:2">
      <c r="B11269"/>
    </row>
    <row r="11270" spans="2:2">
      <c r="B11270"/>
    </row>
    <row r="11271" spans="2:2">
      <c r="B11271"/>
    </row>
    <row r="11272" spans="2:2">
      <c r="B11272"/>
    </row>
    <row r="11273" spans="2:2">
      <c r="B11273"/>
    </row>
    <row r="11274" spans="2:2">
      <c r="B11274"/>
    </row>
    <row r="11275" spans="2:2">
      <c r="B11275"/>
    </row>
    <row r="11276" spans="2:2">
      <c r="B11276"/>
    </row>
    <row r="11277" spans="2:2">
      <c r="B11277"/>
    </row>
    <row r="11278" spans="2:2">
      <c r="B11278"/>
    </row>
    <row r="11279" spans="2:2">
      <c r="B11279"/>
    </row>
    <row r="11280" spans="2:2">
      <c r="B11280"/>
    </row>
    <row r="11281" spans="2:2">
      <c r="B11281"/>
    </row>
    <row r="11282" spans="2:2">
      <c r="B11282"/>
    </row>
    <row r="11283" spans="2:2">
      <c r="B11283"/>
    </row>
    <row r="11284" spans="2:2">
      <c r="B11284"/>
    </row>
    <row r="11285" spans="2:2">
      <c r="B11285"/>
    </row>
    <row r="11286" spans="2:2">
      <c r="B11286"/>
    </row>
    <row r="11287" spans="2:2">
      <c r="B11287"/>
    </row>
    <row r="11288" spans="2:2">
      <c r="B11288"/>
    </row>
    <row r="11289" spans="2:2">
      <c r="B11289"/>
    </row>
    <row r="11290" spans="2:2">
      <c r="B11290"/>
    </row>
    <row r="11291" spans="2:2">
      <c r="B11291"/>
    </row>
    <row r="11292" spans="2:2">
      <c r="B11292"/>
    </row>
    <row r="11293" spans="2:2">
      <c r="B11293"/>
    </row>
    <row r="11294" spans="2:2">
      <c r="B11294"/>
    </row>
    <row r="11295" spans="2:2">
      <c r="B11295"/>
    </row>
    <row r="11296" spans="2:2">
      <c r="B11296"/>
    </row>
    <row r="11297" spans="2:2">
      <c r="B11297"/>
    </row>
    <row r="11298" spans="2:2">
      <c r="B11298"/>
    </row>
    <row r="11299" spans="2:2">
      <c r="B11299"/>
    </row>
    <row r="11300" spans="2:2">
      <c r="B11300"/>
    </row>
    <row r="11301" spans="2:2">
      <c r="B11301"/>
    </row>
    <row r="11302" spans="2:2">
      <c r="B11302"/>
    </row>
    <row r="11303" spans="2:2">
      <c r="B11303"/>
    </row>
    <row r="11304" spans="2:2">
      <c r="B11304"/>
    </row>
    <row r="11305" spans="2:2">
      <c r="B11305"/>
    </row>
    <row r="11306" spans="2:2">
      <c r="B11306"/>
    </row>
    <row r="11307" spans="2:2">
      <c r="B11307"/>
    </row>
    <row r="11308" spans="2:2">
      <c r="B11308"/>
    </row>
    <row r="11309" spans="2:2">
      <c r="B11309"/>
    </row>
    <row r="11310" spans="2:2">
      <c r="B11310"/>
    </row>
    <row r="11311" spans="2:2">
      <c r="B11311"/>
    </row>
    <row r="11312" spans="2:2">
      <c r="B11312"/>
    </row>
    <row r="11313" spans="2:2">
      <c r="B11313"/>
    </row>
    <row r="11314" spans="2:2">
      <c r="B11314"/>
    </row>
    <row r="11315" spans="2:2">
      <c r="B11315"/>
    </row>
    <row r="11316" spans="2:2">
      <c r="B11316"/>
    </row>
    <row r="11317" spans="2:2">
      <c r="B11317"/>
    </row>
    <row r="11318" spans="2:2">
      <c r="B11318"/>
    </row>
    <row r="11319" spans="2:2">
      <c r="B11319"/>
    </row>
    <row r="11320" spans="2:2">
      <c r="B11320"/>
    </row>
    <row r="11321" spans="2:2">
      <c r="B11321"/>
    </row>
    <row r="11322" spans="2:2">
      <c r="B11322"/>
    </row>
    <row r="11323" spans="2:2">
      <c r="B11323"/>
    </row>
    <row r="11324" spans="2:2">
      <c r="B11324"/>
    </row>
    <row r="11325" spans="2:2">
      <c r="B11325"/>
    </row>
    <row r="11326" spans="2:2">
      <c r="B11326"/>
    </row>
    <row r="11327" spans="2:2">
      <c r="B11327"/>
    </row>
    <row r="11328" spans="2:2">
      <c r="B11328"/>
    </row>
    <row r="11329" spans="2:2">
      <c r="B11329"/>
    </row>
    <row r="11330" spans="2:2">
      <c r="B11330"/>
    </row>
    <row r="11331" spans="2:2">
      <c r="B11331"/>
    </row>
    <row r="11332" spans="2:2">
      <c r="B11332"/>
    </row>
    <row r="11333" spans="2:2">
      <c r="B11333"/>
    </row>
    <row r="11334" spans="2:2">
      <c r="B11334"/>
    </row>
    <row r="11335" spans="2:2">
      <c r="B11335"/>
    </row>
    <row r="11336" spans="2:2">
      <c r="B11336"/>
    </row>
    <row r="11337" spans="2:2">
      <c r="B11337"/>
    </row>
    <row r="11338" spans="2:2">
      <c r="B11338"/>
    </row>
    <row r="11339" spans="2:2">
      <c r="B11339"/>
    </row>
    <row r="11340" spans="2:2">
      <c r="B11340"/>
    </row>
    <row r="11341" spans="2:2">
      <c r="B11341"/>
    </row>
    <row r="11342" spans="2:2">
      <c r="B11342"/>
    </row>
    <row r="11343" spans="2:2">
      <c r="B11343"/>
    </row>
    <row r="11344" spans="2:2">
      <c r="B11344"/>
    </row>
    <row r="11345" spans="2:2">
      <c r="B11345"/>
    </row>
    <row r="11346" spans="2:2">
      <c r="B11346"/>
    </row>
    <row r="11347" spans="2:2">
      <c r="B11347"/>
    </row>
    <row r="11348" spans="2:2">
      <c r="B11348"/>
    </row>
    <row r="11349" spans="2:2">
      <c r="B11349"/>
    </row>
    <row r="11350" spans="2:2">
      <c r="B11350"/>
    </row>
    <row r="11351" spans="2:2">
      <c r="B11351"/>
    </row>
    <row r="11352" spans="2:2">
      <c r="B11352"/>
    </row>
    <row r="11353" spans="2:2">
      <c r="B11353"/>
    </row>
    <row r="11354" spans="2:2">
      <c r="B11354"/>
    </row>
    <row r="11355" spans="2:2">
      <c r="B11355"/>
    </row>
    <row r="11356" spans="2:2">
      <c r="B11356"/>
    </row>
    <row r="11357" spans="2:2">
      <c r="B11357"/>
    </row>
    <row r="11358" spans="2:2">
      <c r="B11358"/>
    </row>
    <row r="11359" spans="2:2">
      <c r="B11359"/>
    </row>
    <row r="11360" spans="2:2">
      <c r="B11360"/>
    </row>
    <row r="11361" spans="2:2">
      <c r="B11361"/>
    </row>
    <row r="11362" spans="2:2">
      <c r="B11362"/>
    </row>
    <row r="11363" spans="2:2">
      <c r="B11363"/>
    </row>
    <row r="11364" spans="2:2">
      <c r="B11364"/>
    </row>
    <row r="11365" spans="2:2">
      <c r="B11365"/>
    </row>
    <row r="11366" spans="2:2">
      <c r="B11366"/>
    </row>
    <row r="11367" spans="2:2">
      <c r="B11367"/>
    </row>
    <row r="11368" spans="2:2">
      <c r="B11368"/>
    </row>
    <row r="11369" spans="2:2">
      <c r="B11369"/>
    </row>
    <row r="11370" spans="2:2">
      <c r="B11370"/>
    </row>
    <row r="11371" spans="2:2">
      <c r="B11371"/>
    </row>
    <row r="11372" spans="2:2">
      <c r="B11372"/>
    </row>
    <row r="11373" spans="2:2">
      <c r="B11373"/>
    </row>
    <row r="11374" spans="2:2">
      <c r="B11374"/>
    </row>
    <row r="11375" spans="2:2">
      <c r="B11375"/>
    </row>
    <row r="11376" spans="2:2">
      <c r="B11376"/>
    </row>
    <row r="11377" spans="2:2">
      <c r="B11377"/>
    </row>
    <row r="11378" spans="2:2">
      <c r="B11378"/>
    </row>
    <row r="11379" spans="2:2">
      <c r="B11379"/>
    </row>
    <row r="11380" spans="2:2">
      <c r="B11380"/>
    </row>
    <row r="11381" spans="2:2">
      <c r="B11381"/>
    </row>
    <row r="11382" spans="2:2">
      <c r="B11382"/>
    </row>
    <row r="11383" spans="2:2">
      <c r="B11383"/>
    </row>
    <row r="11384" spans="2:2">
      <c r="B11384"/>
    </row>
    <row r="11385" spans="2:2">
      <c r="B11385"/>
    </row>
    <row r="11386" spans="2:2">
      <c r="B11386"/>
    </row>
    <row r="11387" spans="2:2">
      <c r="B11387"/>
    </row>
    <row r="11388" spans="2:2">
      <c r="B11388"/>
    </row>
    <row r="11389" spans="2:2">
      <c r="B11389"/>
    </row>
    <row r="11390" spans="2:2">
      <c r="B11390"/>
    </row>
    <row r="11391" spans="2:2">
      <c r="B11391"/>
    </row>
    <row r="11392" spans="2:2">
      <c r="B11392"/>
    </row>
    <row r="11393" spans="2:2">
      <c r="B11393"/>
    </row>
    <row r="11394" spans="2:2">
      <c r="B11394"/>
    </row>
    <row r="11395" spans="2:2">
      <c r="B11395"/>
    </row>
    <row r="11396" spans="2:2">
      <c r="B11396"/>
    </row>
    <row r="11397" spans="2:2">
      <c r="B11397"/>
    </row>
    <row r="11398" spans="2:2">
      <c r="B11398"/>
    </row>
    <row r="11399" spans="2:2">
      <c r="B11399"/>
    </row>
    <row r="11400" spans="2:2">
      <c r="B11400"/>
    </row>
    <row r="11401" spans="2:2">
      <c r="B11401"/>
    </row>
    <row r="11402" spans="2:2">
      <c r="B11402"/>
    </row>
    <row r="11403" spans="2:2">
      <c r="B11403"/>
    </row>
    <row r="11404" spans="2:2">
      <c r="B11404"/>
    </row>
    <row r="11405" spans="2:2">
      <c r="B11405"/>
    </row>
    <row r="11406" spans="2:2">
      <c r="B11406"/>
    </row>
    <row r="11407" spans="2:2">
      <c r="B11407"/>
    </row>
    <row r="11408" spans="2:2">
      <c r="B11408"/>
    </row>
    <row r="11409" spans="2:2">
      <c r="B11409"/>
    </row>
    <row r="11410" spans="2:2">
      <c r="B11410"/>
    </row>
    <row r="11411" spans="2:2">
      <c r="B11411"/>
    </row>
    <row r="11412" spans="2:2">
      <c r="B11412"/>
    </row>
    <row r="11413" spans="2:2">
      <c r="B11413"/>
    </row>
    <row r="11414" spans="2:2">
      <c r="B11414"/>
    </row>
    <row r="11415" spans="2:2">
      <c r="B11415"/>
    </row>
    <row r="11416" spans="2:2">
      <c r="B11416"/>
    </row>
    <row r="11417" spans="2:2">
      <c r="B11417"/>
    </row>
    <row r="11418" spans="2:2">
      <c r="B11418"/>
    </row>
    <row r="11419" spans="2:2">
      <c r="B11419"/>
    </row>
    <row r="11420" spans="2:2">
      <c r="B11420"/>
    </row>
    <row r="11421" spans="2:2">
      <c r="B11421"/>
    </row>
    <row r="11422" spans="2:2">
      <c r="B11422"/>
    </row>
    <row r="11423" spans="2:2">
      <c r="B11423"/>
    </row>
    <row r="11424" spans="2:2">
      <c r="B11424"/>
    </row>
    <row r="11425" spans="2:2">
      <c r="B11425"/>
    </row>
    <row r="11426" spans="2:2">
      <c r="B11426"/>
    </row>
    <row r="11427" spans="2:2">
      <c r="B11427"/>
    </row>
    <row r="11428" spans="2:2">
      <c r="B11428"/>
    </row>
    <row r="11429" spans="2:2">
      <c r="B11429"/>
    </row>
    <row r="11430" spans="2:2">
      <c r="B11430"/>
    </row>
    <row r="11431" spans="2:2">
      <c r="B11431"/>
    </row>
    <row r="11432" spans="2:2">
      <c r="B11432"/>
    </row>
    <row r="11433" spans="2:2">
      <c r="B11433"/>
    </row>
    <row r="11434" spans="2:2">
      <c r="B11434"/>
    </row>
    <row r="11435" spans="2:2">
      <c r="B11435"/>
    </row>
    <row r="11436" spans="2:2">
      <c r="B11436"/>
    </row>
    <row r="11437" spans="2:2">
      <c r="B11437"/>
    </row>
    <row r="11438" spans="2:2">
      <c r="B11438"/>
    </row>
    <row r="11439" spans="2:2">
      <c r="B11439"/>
    </row>
    <row r="11440" spans="2:2">
      <c r="B11440"/>
    </row>
    <row r="11441" spans="2:2">
      <c r="B11441"/>
    </row>
    <row r="11442" spans="2:2">
      <c r="B11442"/>
    </row>
    <row r="11443" spans="2:2">
      <c r="B11443"/>
    </row>
    <row r="11444" spans="2:2">
      <c r="B11444"/>
    </row>
    <row r="11445" spans="2:2">
      <c r="B11445"/>
    </row>
    <row r="11446" spans="2:2">
      <c r="B11446"/>
    </row>
    <row r="11447" spans="2:2">
      <c r="B11447"/>
    </row>
    <row r="11448" spans="2:2">
      <c r="B11448"/>
    </row>
    <row r="11449" spans="2:2">
      <c r="B11449"/>
    </row>
    <row r="11450" spans="2:2">
      <c r="B11450"/>
    </row>
    <row r="11451" spans="2:2">
      <c r="B11451"/>
    </row>
    <row r="11452" spans="2:2">
      <c r="B11452"/>
    </row>
    <row r="11453" spans="2:2">
      <c r="B11453"/>
    </row>
    <row r="11454" spans="2:2">
      <c r="B11454"/>
    </row>
    <row r="11455" spans="2:2">
      <c r="B11455"/>
    </row>
    <row r="11456" spans="2:2">
      <c r="B11456"/>
    </row>
    <row r="11457" spans="2:2">
      <c r="B11457"/>
    </row>
    <row r="11458" spans="2:2">
      <c r="B11458"/>
    </row>
    <row r="11459" spans="2:2">
      <c r="B11459"/>
    </row>
    <row r="11460" spans="2:2">
      <c r="B11460"/>
    </row>
    <row r="11461" spans="2:2">
      <c r="B11461"/>
    </row>
    <row r="11462" spans="2:2">
      <c r="B11462"/>
    </row>
    <row r="11463" spans="2:2">
      <c r="B11463"/>
    </row>
    <row r="11464" spans="2:2">
      <c r="B11464"/>
    </row>
    <row r="11465" spans="2:2">
      <c r="B11465"/>
    </row>
    <row r="11466" spans="2:2">
      <c r="B11466"/>
    </row>
    <row r="11467" spans="2:2">
      <c r="B11467"/>
    </row>
    <row r="11468" spans="2:2">
      <c r="B11468"/>
    </row>
    <row r="11469" spans="2:2">
      <c r="B11469"/>
    </row>
    <row r="11470" spans="2:2">
      <c r="B11470"/>
    </row>
    <row r="11471" spans="2:2">
      <c r="B11471"/>
    </row>
    <row r="11472" spans="2:2">
      <c r="B11472"/>
    </row>
    <row r="11473" spans="2:2">
      <c r="B11473"/>
    </row>
    <row r="11474" spans="2:2">
      <c r="B11474"/>
    </row>
    <row r="11475" spans="2:2">
      <c r="B11475"/>
    </row>
    <row r="11476" spans="2:2">
      <c r="B11476"/>
    </row>
    <row r="11477" spans="2:2">
      <c r="B11477"/>
    </row>
    <row r="11478" spans="2:2">
      <c r="B11478"/>
    </row>
    <row r="11479" spans="2:2">
      <c r="B11479"/>
    </row>
    <row r="11480" spans="2:2">
      <c r="B11480"/>
    </row>
    <row r="11481" spans="2:2">
      <c r="B11481"/>
    </row>
    <row r="11482" spans="2:2">
      <c r="B11482"/>
    </row>
    <row r="11483" spans="2:2">
      <c r="B11483"/>
    </row>
    <row r="11484" spans="2:2">
      <c r="B11484"/>
    </row>
    <row r="11485" spans="2:2">
      <c r="B11485"/>
    </row>
    <row r="11486" spans="2:2">
      <c r="B11486"/>
    </row>
    <row r="11487" spans="2:2">
      <c r="B11487"/>
    </row>
    <row r="11488" spans="2:2">
      <c r="B11488"/>
    </row>
    <row r="11489" spans="2:2">
      <c r="B11489"/>
    </row>
    <row r="11490" spans="2:2">
      <c r="B11490"/>
    </row>
    <row r="11491" spans="2:2">
      <c r="B11491"/>
    </row>
    <row r="11492" spans="2:2">
      <c r="B11492"/>
    </row>
    <row r="11493" spans="2:2">
      <c r="B11493"/>
    </row>
    <row r="11494" spans="2:2">
      <c r="B11494"/>
    </row>
    <row r="11495" spans="2:2">
      <c r="B11495"/>
    </row>
    <row r="11496" spans="2:2">
      <c r="B11496"/>
    </row>
    <row r="11497" spans="2:2">
      <c r="B11497"/>
    </row>
    <row r="11498" spans="2:2">
      <c r="B11498"/>
    </row>
    <row r="11499" spans="2:2">
      <c r="B11499"/>
    </row>
    <row r="11500" spans="2:2">
      <c r="B11500"/>
    </row>
    <row r="11501" spans="2:2">
      <c r="B11501"/>
    </row>
    <row r="11502" spans="2:2">
      <c r="B11502"/>
    </row>
    <row r="11503" spans="2:2">
      <c r="B11503"/>
    </row>
    <row r="11504" spans="2:2">
      <c r="B11504"/>
    </row>
    <row r="11505" spans="2:2">
      <c r="B11505"/>
    </row>
    <row r="11506" spans="2:2">
      <c r="B11506"/>
    </row>
    <row r="11507" spans="2:2">
      <c r="B11507"/>
    </row>
    <row r="11508" spans="2:2">
      <c r="B11508"/>
    </row>
    <row r="11509" spans="2:2">
      <c r="B11509"/>
    </row>
    <row r="11510" spans="2:2">
      <c r="B11510"/>
    </row>
    <row r="11511" spans="2:2">
      <c r="B11511"/>
    </row>
    <row r="11512" spans="2:2">
      <c r="B11512"/>
    </row>
    <row r="11513" spans="2:2">
      <c r="B11513"/>
    </row>
    <row r="11514" spans="2:2">
      <c r="B11514"/>
    </row>
    <row r="11515" spans="2:2">
      <c r="B11515"/>
    </row>
    <row r="11516" spans="2:2">
      <c r="B11516"/>
    </row>
    <row r="11517" spans="2:2">
      <c r="B11517"/>
    </row>
    <row r="11518" spans="2:2">
      <c r="B11518"/>
    </row>
    <row r="11519" spans="2:2">
      <c r="B11519"/>
    </row>
    <row r="11520" spans="2:2">
      <c r="B11520"/>
    </row>
    <row r="11521" spans="2:2">
      <c r="B11521"/>
    </row>
    <row r="11522" spans="2:2">
      <c r="B11522"/>
    </row>
    <row r="11523" spans="2:2">
      <c r="B11523"/>
    </row>
    <row r="11524" spans="2:2">
      <c r="B11524"/>
    </row>
    <row r="11525" spans="2:2">
      <c r="B11525"/>
    </row>
    <row r="11526" spans="2:2">
      <c r="B11526"/>
    </row>
    <row r="11527" spans="2:2">
      <c r="B11527"/>
    </row>
    <row r="11528" spans="2:2">
      <c r="B11528"/>
    </row>
    <row r="11529" spans="2:2">
      <c r="B11529"/>
    </row>
    <row r="11530" spans="2:2">
      <c r="B11530"/>
    </row>
    <row r="11531" spans="2:2">
      <c r="B11531"/>
    </row>
    <row r="11532" spans="2:2">
      <c r="B11532"/>
    </row>
    <row r="11533" spans="2:2">
      <c r="B11533"/>
    </row>
    <row r="11534" spans="2:2">
      <c r="B11534"/>
    </row>
    <row r="11535" spans="2:2">
      <c r="B11535"/>
    </row>
    <row r="11536" spans="2:2">
      <c r="B11536"/>
    </row>
    <row r="11537" spans="2:2">
      <c r="B11537"/>
    </row>
    <row r="11538" spans="2:2">
      <c r="B11538"/>
    </row>
    <row r="11539" spans="2:2">
      <c r="B11539"/>
    </row>
    <row r="11540" spans="2:2">
      <c r="B11540"/>
    </row>
    <row r="11541" spans="2:2">
      <c r="B11541"/>
    </row>
    <row r="11542" spans="2:2">
      <c r="B11542"/>
    </row>
    <row r="11543" spans="2:2">
      <c r="B11543"/>
    </row>
    <row r="11544" spans="2:2">
      <c r="B11544"/>
    </row>
    <row r="11545" spans="2:2">
      <c r="B11545"/>
    </row>
    <row r="11546" spans="2:2">
      <c r="B11546"/>
    </row>
    <row r="11547" spans="2:2">
      <c r="B11547"/>
    </row>
    <row r="11548" spans="2:2">
      <c r="B11548"/>
    </row>
    <row r="11549" spans="2:2">
      <c r="B11549"/>
    </row>
    <row r="11550" spans="2:2">
      <c r="B11550"/>
    </row>
    <row r="11551" spans="2:2">
      <c r="B11551"/>
    </row>
    <row r="11552" spans="2:2">
      <c r="B11552"/>
    </row>
    <row r="11553" spans="2:2">
      <c r="B11553"/>
    </row>
    <row r="11554" spans="2:2">
      <c r="B11554"/>
    </row>
    <row r="11555" spans="2:2">
      <c r="B11555"/>
    </row>
    <row r="11556" spans="2:2">
      <c r="B11556"/>
    </row>
    <row r="11557" spans="2:2">
      <c r="B11557"/>
    </row>
    <row r="11558" spans="2:2">
      <c r="B11558"/>
    </row>
    <row r="11559" spans="2:2">
      <c r="B11559"/>
    </row>
    <row r="11560" spans="2:2">
      <c r="B11560"/>
    </row>
    <row r="11561" spans="2:2">
      <c r="B11561"/>
    </row>
    <row r="11562" spans="2:2">
      <c r="B11562"/>
    </row>
    <row r="11563" spans="2:2">
      <c r="B11563"/>
    </row>
    <row r="11564" spans="2:2">
      <c r="B11564"/>
    </row>
    <row r="11565" spans="2:2">
      <c r="B11565"/>
    </row>
    <row r="11566" spans="2:2">
      <c r="B11566"/>
    </row>
    <row r="11567" spans="2:2">
      <c r="B11567"/>
    </row>
    <row r="11568" spans="2:2">
      <c r="B11568"/>
    </row>
    <row r="11569" spans="2:2">
      <c r="B11569"/>
    </row>
    <row r="11570" spans="2:2">
      <c r="B11570"/>
    </row>
    <row r="11571" spans="2:2">
      <c r="B11571"/>
    </row>
    <row r="11572" spans="2:2">
      <c r="B11572"/>
    </row>
    <row r="11573" spans="2:2">
      <c r="B11573"/>
    </row>
    <row r="11574" spans="2:2">
      <c r="B11574"/>
    </row>
    <row r="11575" spans="2:2">
      <c r="B11575"/>
    </row>
    <row r="11576" spans="2:2">
      <c r="B11576"/>
    </row>
    <row r="11577" spans="2:2">
      <c r="B11577"/>
    </row>
    <row r="11578" spans="2:2">
      <c r="B11578"/>
    </row>
    <row r="11579" spans="2:2">
      <c r="B11579"/>
    </row>
    <row r="11580" spans="2:2">
      <c r="B11580"/>
    </row>
    <row r="11581" spans="2:2">
      <c r="B11581"/>
    </row>
    <row r="11582" spans="2:2">
      <c r="B11582"/>
    </row>
    <row r="11583" spans="2:2">
      <c r="B11583"/>
    </row>
    <row r="11584" spans="2:2">
      <c r="B11584"/>
    </row>
    <row r="11585" spans="2:2">
      <c r="B11585"/>
    </row>
    <row r="11586" spans="2:2">
      <c r="B11586"/>
    </row>
    <row r="11587" spans="2:2">
      <c r="B11587"/>
    </row>
    <row r="11588" spans="2:2">
      <c r="B11588"/>
    </row>
    <row r="11589" spans="2:2">
      <c r="B11589"/>
    </row>
    <row r="11590" spans="2:2">
      <c r="B11590"/>
    </row>
    <row r="11591" spans="2:2">
      <c r="B11591"/>
    </row>
    <row r="11592" spans="2:2">
      <c r="B11592"/>
    </row>
    <row r="11593" spans="2:2">
      <c r="B11593"/>
    </row>
    <row r="11594" spans="2:2">
      <c r="B11594"/>
    </row>
    <row r="11595" spans="2:2">
      <c r="B11595"/>
    </row>
    <row r="11596" spans="2:2">
      <c r="B11596"/>
    </row>
    <row r="11597" spans="2:2">
      <c r="B11597"/>
    </row>
    <row r="11598" spans="2:2">
      <c r="B11598"/>
    </row>
    <row r="11599" spans="2:2">
      <c r="B11599"/>
    </row>
    <row r="11600" spans="2:2">
      <c r="B11600"/>
    </row>
    <row r="11601" spans="2:2">
      <c r="B11601"/>
    </row>
    <row r="11602" spans="2:2">
      <c r="B11602"/>
    </row>
    <row r="11603" spans="2:2">
      <c r="B11603"/>
    </row>
    <row r="11604" spans="2:2">
      <c r="B11604"/>
    </row>
    <row r="11605" spans="2:2">
      <c r="B11605"/>
    </row>
    <row r="11606" spans="2:2">
      <c r="B11606"/>
    </row>
    <row r="11607" spans="2:2">
      <c r="B11607"/>
    </row>
    <row r="11608" spans="2:2">
      <c r="B11608"/>
    </row>
    <row r="11609" spans="2:2">
      <c r="B11609"/>
    </row>
    <row r="11610" spans="2:2">
      <c r="B11610"/>
    </row>
    <row r="11611" spans="2:2">
      <c r="B11611"/>
    </row>
    <row r="11612" spans="2:2">
      <c r="B11612"/>
    </row>
    <row r="11613" spans="2:2">
      <c r="B11613"/>
    </row>
    <row r="11614" spans="2:2">
      <c r="B11614"/>
    </row>
    <row r="11615" spans="2:2">
      <c r="B11615"/>
    </row>
    <row r="11616" spans="2:2">
      <c r="B11616"/>
    </row>
    <row r="11617" spans="2:2">
      <c r="B11617"/>
    </row>
    <row r="11618" spans="2:2">
      <c r="B11618"/>
    </row>
    <row r="11619" spans="2:2">
      <c r="B11619"/>
    </row>
    <row r="11620" spans="2:2">
      <c r="B11620"/>
    </row>
    <row r="11621" spans="2:2">
      <c r="B11621"/>
    </row>
    <row r="11622" spans="2:2">
      <c r="B11622"/>
    </row>
    <row r="11623" spans="2:2">
      <c r="B11623"/>
    </row>
    <row r="11624" spans="2:2">
      <c r="B11624"/>
    </row>
    <row r="11625" spans="2:2">
      <c r="B11625"/>
    </row>
    <row r="11626" spans="2:2">
      <c r="B11626"/>
    </row>
    <row r="11627" spans="2:2">
      <c r="B11627"/>
    </row>
    <row r="11628" spans="2:2">
      <c r="B11628"/>
    </row>
    <row r="11629" spans="2:2">
      <c r="B11629"/>
    </row>
    <row r="11630" spans="2:2">
      <c r="B11630"/>
    </row>
    <row r="11631" spans="2:2">
      <c r="B11631"/>
    </row>
    <row r="11632" spans="2:2">
      <c r="B11632"/>
    </row>
    <row r="11633" spans="2:2">
      <c r="B11633"/>
    </row>
    <row r="11634" spans="2:2">
      <c r="B11634"/>
    </row>
    <row r="11635" spans="2:2">
      <c r="B11635"/>
    </row>
    <row r="11636" spans="2:2">
      <c r="B11636"/>
    </row>
    <row r="11637" spans="2:2">
      <c r="B11637"/>
    </row>
    <row r="11638" spans="2:2">
      <c r="B11638"/>
    </row>
    <row r="11639" spans="2:2">
      <c r="B11639"/>
    </row>
    <row r="11640" spans="2:2">
      <c r="B11640"/>
    </row>
    <row r="11641" spans="2:2">
      <c r="B11641"/>
    </row>
    <row r="11642" spans="2:2">
      <c r="B11642"/>
    </row>
    <row r="11643" spans="2:2">
      <c r="B11643"/>
    </row>
    <row r="11644" spans="2:2">
      <c r="B11644"/>
    </row>
    <row r="11645" spans="2:2">
      <c r="B11645"/>
    </row>
    <row r="11646" spans="2:2">
      <c r="B11646"/>
    </row>
    <row r="11647" spans="2:2">
      <c r="B11647"/>
    </row>
    <row r="11648" spans="2:2">
      <c r="B11648"/>
    </row>
    <row r="11649" spans="2:2">
      <c r="B11649"/>
    </row>
    <row r="11650" spans="2:2">
      <c r="B11650"/>
    </row>
    <row r="11651" spans="2:2">
      <c r="B11651"/>
    </row>
    <row r="11652" spans="2:2">
      <c r="B11652"/>
    </row>
    <row r="11653" spans="2:2">
      <c r="B11653"/>
    </row>
    <row r="11654" spans="2:2">
      <c r="B11654"/>
    </row>
    <row r="11655" spans="2:2">
      <c r="B11655"/>
    </row>
    <row r="11656" spans="2:2">
      <c r="B11656"/>
    </row>
    <row r="11657" spans="2:2">
      <c r="B11657"/>
    </row>
    <row r="11658" spans="2:2">
      <c r="B11658"/>
    </row>
    <row r="11659" spans="2:2">
      <c r="B11659"/>
    </row>
    <row r="11660" spans="2:2">
      <c r="B11660"/>
    </row>
    <row r="11661" spans="2:2">
      <c r="B11661"/>
    </row>
    <row r="11662" spans="2:2">
      <c r="B11662"/>
    </row>
    <row r="11663" spans="2:2">
      <c r="B11663"/>
    </row>
    <row r="11664" spans="2:2">
      <c r="B11664"/>
    </row>
    <row r="11665" spans="2:2">
      <c r="B11665"/>
    </row>
    <row r="11666" spans="2:2">
      <c r="B11666"/>
    </row>
    <row r="11667" spans="2:2">
      <c r="B11667"/>
    </row>
    <row r="11668" spans="2:2">
      <c r="B11668"/>
    </row>
    <row r="11669" spans="2:2">
      <c r="B11669"/>
    </row>
    <row r="11670" spans="2:2">
      <c r="B11670"/>
    </row>
    <row r="11671" spans="2:2">
      <c r="B11671"/>
    </row>
    <row r="11672" spans="2:2">
      <c r="B11672"/>
    </row>
    <row r="11673" spans="2:2">
      <c r="B11673"/>
    </row>
    <row r="11674" spans="2:2">
      <c r="B11674"/>
    </row>
    <row r="11675" spans="2:2">
      <c r="B11675"/>
    </row>
    <row r="11676" spans="2:2">
      <c r="B11676"/>
    </row>
    <row r="11677" spans="2:2">
      <c r="B11677"/>
    </row>
    <row r="11678" spans="2:2">
      <c r="B11678"/>
    </row>
    <row r="11679" spans="2:2">
      <c r="B11679"/>
    </row>
    <row r="11680" spans="2:2">
      <c r="B11680"/>
    </row>
    <row r="11681" spans="2:2">
      <c r="B11681"/>
    </row>
    <row r="11682" spans="2:2">
      <c r="B11682"/>
    </row>
    <row r="11683" spans="2:2">
      <c r="B11683"/>
    </row>
    <row r="11684" spans="2:2">
      <c r="B11684"/>
    </row>
    <row r="11685" spans="2:2">
      <c r="B11685"/>
    </row>
    <row r="11686" spans="2:2">
      <c r="B11686"/>
    </row>
    <row r="11687" spans="2:2">
      <c r="B11687"/>
    </row>
    <row r="11688" spans="2:2">
      <c r="B11688"/>
    </row>
    <row r="11689" spans="2:2">
      <c r="B11689"/>
    </row>
    <row r="11690" spans="2:2">
      <c r="B11690"/>
    </row>
    <row r="11691" spans="2:2">
      <c r="B11691"/>
    </row>
    <row r="11692" spans="2:2">
      <c r="B11692"/>
    </row>
    <row r="11693" spans="2:2">
      <c r="B11693"/>
    </row>
    <row r="11694" spans="2:2">
      <c r="B11694"/>
    </row>
    <row r="11695" spans="2:2">
      <c r="B11695"/>
    </row>
    <row r="11696" spans="2:2">
      <c r="B11696"/>
    </row>
    <row r="11697" spans="2:2">
      <c r="B11697"/>
    </row>
    <row r="11698" spans="2:2">
      <c r="B11698"/>
    </row>
    <row r="11699" spans="2:2">
      <c r="B11699"/>
    </row>
    <row r="11700" spans="2:2">
      <c r="B11700"/>
    </row>
    <row r="11701" spans="2:2">
      <c r="B11701"/>
    </row>
    <row r="11702" spans="2:2">
      <c r="B11702"/>
    </row>
    <row r="11703" spans="2:2">
      <c r="B11703"/>
    </row>
    <row r="11704" spans="2:2">
      <c r="B11704"/>
    </row>
    <row r="11705" spans="2:2">
      <c r="B11705"/>
    </row>
    <row r="11706" spans="2:2">
      <c r="B11706"/>
    </row>
    <row r="11707" spans="2:2">
      <c r="B11707"/>
    </row>
    <row r="11708" spans="2:2">
      <c r="B11708"/>
    </row>
    <row r="11709" spans="2:2">
      <c r="B11709"/>
    </row>
    <row r="11710" spans="2:2">
      <c r="B11710"/>
    </row>
    <row r="11711" spans="2:2">
      <c r="B11711"/>
    </row>
    <row r="11712" spans="2:2">
      <c r="B11712"/>
    </row>
    <row r="11713" spans="2:2">
      <c r="B11713"/>
    </row>
    <row r="11714" spans="2:2">
      <c r="B11714"/>
    </row>
    <row r="11715" spans="2:2">
      <c r="B11715"/>
    </row>
    <row r="11716" spans="2:2">
      <c r="B11716"/>
    </row>
    <row r="11717" spans="2:2">
      <c r="B11717"/>
    </row>
    <row r="11718" spans="2:2">
      <c r="B11718"/>
    </row>
    <row r="11719" spans="2:2">
      <c r="B11719"/>
    </row>
    <row r="11720" spans="2:2">
      <c r="B11720"/>
    </row>
    <row r="11721" spans="2:2">
      <c r="B11721"/>
    </row>
    <row r="11722" spans="2:2">
      <c r="B11722"/>
    </row>
    <row r="11723" spans="2:2">
      <c r="B11723"/>
    </row>
    <row r="11724" spans="2:2">
      <c r="B11724"/>
    </row>
    <row r="11725" spans="2:2">
      <c r="B11725"/>
    </row>
    <row r="11726" spans="2:2">
      <c r="B11726"/>
    </row>
    <row r="11727" spans="2:2">
      <c r="B11727"/>
    </row>
    <row r="11728" spans="2:2">
      <c r="B11728"/>
    </row>
    <row r="11729" spans="2:2">
      <c r="B11729"/>
    </row>
    <row r="11730" spans="2:2">
      <c r="B11730"/>
    </row>
    <row r="11731" spans="2:2">
      <c r="B11731"/>
    </row>
    <row r="11732" spans="2:2">
      <c r="B11732"/>
    </row>
    <row r="11733" spans="2:2">
      <c r="B11733"/>
    </row>
    <row r="11734" spans="2:2">
      <c r="B11734"/>
    </row>
    <row r="11735" spans="2:2">
      <c r="B11735"/>
    </row>
    <row r="11736" spans="2:2">
      <c r="B11736"/>
    </row>
    <row r="11737" spans="2:2">
      <c r="B11737"/>
    </row>
    <row r="11738" spans="2:2">
      <c r="B11738"/>
    </row>
    <row r="11739" spans="2:2">
      <c r="B11739"/>
    </row>
    <row r="11740" spans="2:2">
      <c r="B11740"/>
    </row>
    <row r="11741" spans="2:2">
      <c r="B11741"/>
    </row>
    <row r="11742" spans="2:2">
      <c r="B11742"/>
    </row>
    <row r="11743" spans="2:2">
      <c r="B11743"/>
    </row>
    <row r="11744" spans="2:2">
      <c r="B11744"/>
    </row>
    <row r="11745" spans="2:2">
      <c r="B11745"/>
    </row>
    <row r="11746" spans="2:2">
      <c r="B11746"/>
    </row>
    <row r="11747" spans="2:2">
      <c r="B11747"/>
    </row>
    <row r="11748" spans="2:2">
      <c r="B11748"/>
    </row>
    <row r="11749" spans="2:2">
      <c r="B11749"/>
    </row>
    <row r="11750" spans="2:2">
      <c r="B11750"/>
    </row>
    <row r="11751" spans="2:2">
      <c r="B11751"/>
    </row>
    <row r="11752" spans="2:2">
      <c r="B11752"/>
    </row>
    <row r="11753" spans="2:2">
      <c r="B11753"/>
    </row>
    <row r="11754" spans="2:2">
      <c r="B11754"/>
    </row>
    <row r="11755" spans="2:2">
      <c r="B11755"/>
    </row>
    <row r="11756" spans="2:2">
      <c r="B11756"/>
    </row>
    <row r="11757" spans="2:2">
      <c r="B11757"/>
    </row>
    <row r="11758" spans="2:2">
      <c r="B11758"/>
    </row>
    <row r="11759" spans="2:2">
      <c r="B11759"/>
    </row>
    <row r="11760" spans="2:2">
      <c r="B11760"/>
    </row>
    <row r="11761" spans="2:2">
      <c r="B11761"/>
    </row>
    <row r="11762" spans="2:2">
      <c r="B11762"/>
    </row>
    <row r="11763" spans="2:2">
      <c r="B11763"/>
    </row>
    <row r="11764" spans="2:2">
      <c r="B11764"/>
    </row>
    <row r="11765" spans="2:2">
      <c r="B11765"/>
    </row>
    <row r="11766" spans="2:2">
      <c r="B11766"/>
    </row>
    <row r="11767" spans="2:2">
      <c r="B11767"/>
    </row>
    <row r="11768" spans="2:2">
      <c r="B11768"/>
    </row>
    <row r="11769" spans="2:2">
      <c r="B11769"/>
    </row>
    <row r="11770" spans="2:2">
      <c r="B11770"/>
    </row>
    <row r="11771" spans="2:2">
      <c r="B11771"/>
    </row>
    <row r="11772" spans="2:2">
      <c r="B11772"/>
    </row>
    <row r="11773" spans="2:2">
      <c r="B11773"/>
    </row>
    <row r="11774" spans="2:2">
      <c r="B11774"/>
    </row>
    <row r="11775" spans="2:2">
      <c r="B11775"/>
    </row>
    <row r="11776" spans="2:2">
      <c r="B11776"/>
    </row>
    <row r="11777" spans="2:2">
      <c r="B11777"/>
    </row>
    <row r="11778" spans="2:2">
      <c r="B11778"/>
    </row>
    <row r="11779" spans="2:2">
      <c r="B11779"/>
    </row>
    <row r="11780" spans="2:2">
      <c r="B11780"/>
    </row>
    <row r="11781" spans="2:2">
      <c r="B11781"/>
    </row>
    <row r="11782" spans="2:2">
      <c r="B11782"/>
    </row>
    <row r="11783" spans="2:2">
      <c r="B11783"/>
    </row>
    <row r="11784" spans="2:2">
      <c r="B11784"/>
    </row>
    <row r="11785" spans="2:2">
      <c r="B11785"/>
    </row>
    <row r="11786" spans="2:2">
      <c r="B11786"/>
    </row>
    <row r="11787" spans="2:2">
      <c r="B11787"/>
    </row>
    <row r="11788" spans="2:2">
      <c r="B11788"/>
    </row>
    <row r="11789" spans="2:2">
      <c r="B11789"/>
    </row>
    <row r="11790" spans="2:2">
      <c r="B11790"/>
    </row>
    <row r="11791" spans="2:2">
      <c r="B11791"/>
    </row>
    <row r="11792" spans="2:2">
      <c r="B11792"/>
    </row>
    <row r="11793" spans="2:2">
      <c r="B11793"/>
    </row>
    <row r="11794" spans="2:2">
      <c r="B11794"/>
    </row>
    <row r="11795" spans="2:2">
      <c r="B11795"/>
    </row>
    <row r="11796" spans="2:2">
      <c r="B11796"/>
    </row>
    <row r="11797" spans="2:2">
      <c r="B11797"/>
    </row>
    <row r="11798" spans="2:2">
      <c r="B11798"/>
    </row>
    <row r="11799" spans="2:2">
      <c r="B11799"/>
    </row>
    <row r="11800" spans="2:2">
      <c r="B11800"/>
    </row>
    <row r="11801" spans="2:2">
      <c r="B11801"/>
    </row>
    <row r="11802" spans="2:2">
      <c r="B11802"/>
    </row>
    <row r="11803" spans="2:2">
      <c r="B11803"/>
    </row>
    <row r="11804" spans="2:2">
      <c r="B11804"/>
    </row>
    <row r="11805" spans="2:2">
      <c r="B11805"/>
    </row>
    <row r="11806" spans="2:2">
      <c r="B11806"/>
    </row>
    <row r="11807" spans="2:2">
      <c r="B11807"/>
    </row>
    <row r="11808" spans="2:2">
      <c r="B11808"/>
    </row>
    <row r="11809" spans="2:2">
      <c r="B11809"/>
    </row>
    <row r="11810" spans="2:2">
      <c r="B11810"/>
    </row>
    <row r="11811" spans="2:2">
      <c r="B11811"/>
    </row>
    <row r="11812" spans="2:2">
      <c r="B11812"/>
    </row>
    <row r="11813" spans="2:2">
      <c r="B11813"/>
    </row>
    <row r="11814" spans="2:2">
      <c r="B11814"/>
    </row>
    <row r="11815" spans="2:2">
      <c r="B11815"/>
    </row>
    <row r="11816" spans="2:2">
      <c r="B11816"/>
    </row>
    <row r="11817" spans="2:2">
      <c r="B11817"/>
    </row>
    <row r="11818" spans="2:2">
      <c r="B11818"/>
    </row>
    <row r="11819" spans="2:2">
      <c r="B11819"/>
    </row>
    <row r="11820" spans="2:2">
      <c r="B11820"/>
    </row>
    <row r="11821" spans="2:2">
      <c r="B11821"/>
    </row>
    <row r="11822" spans="2:2">
      <c r="B11822"/>
    </row>
    <row r="11823" spans="2:2">
      <c r="B11823"/>
    </row>
    <row r="11824" spans="2:2">
      <c r="B11824"/>
    </row>
    <row r="11825" spans="2:2">
      <c r="B11825"/>
    </row>
    <row r="11826" spans="2:2">
      <c r="B11826"/>
    </row>
    <row r="11827" spans="2:2">
      <c r="B11827"/>
    </row>
    <row r="11828" spans="2:2">
      <c r="B11828"/>
    </row>
    <row r="11829" spans="2:2">
      <c r="B11829"/>
    </row>
    <row r="11830" spans="2:2">
      <c r="B11830"/>
    </row>
    <row r="11831" spans="2:2">
      <c r="B11831"/>
    </row>
    <row r="11832" spans="2:2">
      <c r="B11832"/>
    </row>
    <row r="11833" spans="2:2">
      <c r="B11833"/>
    </row>
    <row r="11834" spans="2:2">
      <c r="B11834"/>
    </row>
    <row r="11835" spans="2:2">
      <c r="B11835"/>
    </row>
    <row r="11836" spans="2:2">
      <c r="B11836"/>
    </row>
    <row r="11837" spans="2:2">
      <c r="B11837"/>
    </row>
    <row r="11838" spans="2:2">
      <c r="B11838"/>
    </row>
    <row r="11839" spans="2:2">
      <c r="B11839"/>
    </row>
    <row r="11840" spans="2:2">
      <c r="B11840"/>
    </row>
    <row r="11841" spans="2:2">
      <c r="B11841"/>
    </row>
    <row r="11842" spans="2:2">
      <c r="B11842"/>
    </row>
    <row r="11843" spans="2:2">
      <c r="B11843"/>
    </row>
    <row r="11844" spans="2:2">
      <c r="B11844"/>
    </row>
    <row r="11845" spans="2:2">
      <c r="B11845"/>
    </row>
    <row r="11846" spans="2:2">
      <c r="B11846"/>
    </row>
    <row r="11847" spans="2:2">
      <c r="B11847"/>
    </row>
    <row r="11848" spans="2:2">
      <c r="B11848"/>
    </row>
    <row r="11849" spans="2:2">
      <c r="B11849"/>
    </row>
    <row r="11850" spans="2:2">
      <c r="B11850"/>
    </row>
    <row r="11851" spans="2:2">
      <c r="B11851"/>
    </row>
    <row r="11852" spans="2:2">
      <c r="B11852"/>
    </row>
    <row r="11853" spans="2:2">
      <c r="B11853"/>
    </row>
    <row r="11854" spans="2:2">
      <c r="B11854"/>
    </row>
    <row r="11855" spans="2:2">
      <c r="B11855"/>
    </row>
    <row r="11856" spans="2:2">
      <c r="B11856"/>
    </row>
    <row r="11857" spans="2:2">
      <c r="B11857"/>
    </row>
    <row r="11858" spans="2:2">
      <c r="B11858"/>
    </row>
    <row r="11859" spans="2:2">
      <c r="B11859"/>
    </row>
    <row r="11860" spans="2:2">
      <c r="B11860"/>
    </row>
    <row r="11861" spans="2:2">
      <c r="B11861"/>
    </row>
    <row r="11862" spans="2:2">
      <c r="B11862"/>
    </row>
    <row r="11863" spans="2:2">
      <c r="B11863"/>
    </row>
    <row r="11864" spans="2:2">
      <c r="B11864"/>
    </row>
    <row r="11865" spans="2:2">
      <c r="B11865"/>
    </row>
    <row r="11866" spans="2:2">
      <c r="B11866"/>
    </row>
    <row r="11867" spans="2:2">
      <c r="B11867"/>
    </row>
    <row r="11868" spans="2:2">
      <c r="B11868"/>
    </row>
    <row r="11869" spans="2:2">
      <c r="B11869"/>
    </row>
    <row r="11870" spans="2:2">
      <c r="B11870"/>
    </row>
    <row r="11871" spans="2:2">
      <c r="B11871"/>
    </row>
    <row r="11872" spans="2:2">
      <c r="B11872"/>
    </row>
    <row r="11873" spans="2:2">
      <c r="B11873"/>
    </row>
    <row r="11874" spans="2:2">
      <c r="B11874"/>
    </row>
    <row r="11875" spans="2:2">
      <c r="B11875"/>
    </row>
    <row r="11876" spans="2:2">
      <c r="B11876"/>
    </row>
    <row r="11877" spans="2:2">
      <c r="B11877"/>
    </row>
    <row r="11878" spans="2:2">
      <c r="B11878"/>
    </row>
    <row r="11879" spans="2:2">
      <c r="B11879"/>
    </row>
    <row r="11880" spans="2:2">
      <c r="B11880"/>
    </row>
    <row r="11881" spans="2:2">
      <c r="B11881"/>
    </row>
    <row r="11882" spans="2:2">
      <c r="B11882"/>
    </row>
    <row r="11883" spans="2:2">
      <c r="B11883"/>
    </row>
    <row r="11884" spans="2:2">
      <c r="B11884"/>
    </row>
    <row r="11885" spans="2:2">
      <c r="B11885"/>
    </row>
    <row r="11886" spans="2:2">
      <c r="B11886"/>
    </row>
    <row r="11887" spans="2:2">
      <c r="B11887"/>
    </row>
    <row r="11888" spans="2:2">
      <c r="B11888"/>
    </row>
    <row r="11889" spans="2:2">
      <c r="B11889"/>
    </row>
    <row r="11890" spans="2:2">
      <c r="B11890"/>
    </row>
    <row r="11891" spans="2:2">
      <c r="B11891"/>
    </row>
    <row r="11892" spans="2:2">
      <c r="B11892"/>
    </row>
    <row r="11893" spans="2:2">
      <c r="B11893"/>
    </row>
    <row r="11894" spans="2:2">
      <c r="B11894"/>
    </row>
    <row r="11895" spans="2:2">
      <c r="B11895"/>
    </row>
    <row r="11896" spans="2:2">
      <c r="B11896"/>
    </row>
    <row r="11897" spans="2:2">
      <c r="B11897"/>
    </row>
    <row r="11898" spans="2:2">
      <c r="B11898"/>
    </row>
    <row r="11899" spans="2:2">
      <c r="B11899"/>
    </row>
    <row r="11900" spans="2:2">
      <c r="B11900"/>
    </row>
    <row r="11901" spans="2:2">
      <c r="B11901"/>
    </row>
    <row r="11902" spans="2:2">
      <c r="B11902"/>
    </row>
    <row r="11903" spans="2:2">
      <c r="B11903"/>
    </row>
    <row r="11904" spans="2:2">
      <c r="B11904"/>
    </row>
    <row r="11905" spans="2:2">
      <c r="B11905"/>
    </row>
    <row r="11906" spans="2:2">
      <c r="B11906"/>
    </row>
    <row r="11907" spans="2:2">
      <c r="B11907"/>
    </row>
    <row r="11908" spans="2:2">
      <c r="B11908"/>
    </row>
    <row r="11909" spans="2:2">
      <c r="B11909"/>
    </row>
    <row r="11910" spans="2:2">
      <c r="B11910"/>
    </row>
    <row r="11911" spans="2:2">
      <c r="B11911"/>
    </row>
    <row r="11912" spans="2:2">
      <c r="B11912"/>
    </row>
    <row r="11913" spans="2:2">
      <c r="B11913"/>
    </row>
    <row r="11914" spans="2:2">
      <c r="B11914"/>
    </row>
    <row r="11915" spans="2:2">
      <c r="B11915"/>
    </row>
    <row r="11916" spans="2:2">
      <c r="B11916"/>
    </row>
    <row r="11917" spans="2:2">
      <c r="B11917"/>
    </row>
    <row r="11918" spans="2:2">
      <c r="B11918"/>
    </row>
    <row r="11919" spans="2:2">
      <c r="B11919"/>
    </row>
    <row r="11920" spans="2:2">
      <c r="B11920"/>
    </row>
    <row r="11921" spans="2:2">
      <c r="B11921"/>
    </row>
    <row r="11922" spans="2:2">
      <c r="B11922"/>
    </row>
    <row r="11923" spans="2:2">
      <c r="B11923"/>
    </row>
    <row r="11924" spans="2:2">
      <c r="B11924"/>
    </row>
    <row r="11925" spans="2:2">
      <c r="B11925"/>
    </row>
    <row r="11926" spans="2:2">
      <c r="B11926"/>
    </row>
    <row r="11927" spans="2:2">
      <c r="B11927"/>
    </row>
    <row r="11928" spans="2:2">
      <c r="B11928"/>
    </row>
    <row r="11929" spans="2:2">
      <c r="B11929"/>
    </row>
    <row r="11930" spans="2:2">
      <c r="B11930"/>
    </row>
    <row r="11931" spans="2:2">
      <c r="B11931"/>
    </row>
    <row r="11932" spans="2:2">
      <c r="B11932"/>
    </row>
    <row r="11933" spans="2:2">
      <c r="B11933"/>
    </row>
    <row r="11934" spans="2:2">
      <c r="B11934"/>
    </row>
    <row r="11935" spans="2:2">
      <c r="B11935"/>
    </row>
    <row r="11936" spans="2:2">
      <c r="B11936"/>
    </row>
    <row r="11937" spans="2:2">
      <c r="B11937"/>
    </row>
    <row r="11938" spans="2:2">
      <c r="B11938"/>
    </row>
    <row r="11939" spans="2:2">
      <c r="B11939"/>
    </row>
    <row r="11940" spans="2:2">
      <c r="B11940"/>
    </row>
    <row r="11941" spans="2:2">
      <c r="B11941"/>
    </row>
    <row r="11942" spans="2:2">
      <c r="B11942"/>
    </row>
    <row r="11943" spans="2:2">
      <c r="B11943"/>
    </row>
    <row r="11944" spans="2:2">
      <c r="B11944"/>
    </row>
    <row r="11945" spans="2:2">
      <c r="B11945"/>
    </row>
    <row r="11946" spans="2:2">
      <c r="B11946"/>
    </row>
    <row r="11947" spans="2:2">
      <c r="B11947"/>
    </row>
    <row r="11948" spans="2:2">
      <c r="B11948"/>
    </row>
    <row r="11949" spans="2:2">
      <c r="B11949"/>
    </row>
    <row r="11950" spans="2:2">
      <c r="B11950"/>
    </row>
    <row r="11951" spans="2:2">
      <c r="B11951"/>
    </row>
    <row r="11952" spans="2:2">
      <c r="B11952"/>
    </row>
    <row r="11953" spans="2:2">
      <c r="B11953"/>
    </row>
    <row r="11954" spans="2:2">
      <c r="B11954"/>
    </row>
    <row r="11955" spans="2:2">
      <c r="B11955"/>
    </row>
    <row r="11956" spans="2:2">
      <c r="B11956"/>
    </row>
    <row r="11957" spans="2:2">
      <c r="B11957"/>
    </row>
    <row r="11958" spans="2:2">
      <c r="B11958"/>
    </row>
    <row r="11959" spans="2:2">
      <c r="B11959"/>
    </row>
    <row r="11960" spans="2:2">
      <c r="B11960"/>
    </row>
    <row r="11961" spans="2:2">
      <c r="B11961"/>
    </row>
    <row r="11962" spans="2:2">
      <c r="B11962"/>
    </row>
    <row r="11963" spans="2:2">
      <c r="B11963"/>
    </row>
    <row r="11964" spans="2:2">
      <c r="B11964"/>
    </row>
    <row r="11965" spans="2:2">
      <c r="B11965"/>
    </row>
    <row r="11966" spans="2:2">
      <c r="B11966"/>
    </row>
    <row r="11967" spans="2:2">
      <c r="B11967"/>
    </row>
    <row r="11968" spans="2:2">
      <c r="B11968"/>
    </row>
    <row r="11969" spans="2:2">
      <c r="B11969"/>
    </row>
    <row r="11970" spans="2:2">
      <c r="B11970"/>
    </row>
    <row r="11971" spans="2:2">
      <c r="B11971"/>
    </row>
    <row r="11972" spans="2:2">
      <c r="B11972"/>
    </row>
    <row r="11973" spans="2:2">
      <c r="B11973"/>
    </row>
    <row r="11974" spans="2:2">
      <c r="B11974"/>
    </row>
    <row r="11975" spans="2:2">
      <c r="B11975"/>
    </row>
    <row r="11976" spans="2:2">
      <c r="B11976"/>
    </row>
    <row r="11977" spans="2:2">
      <c r="B11977"/>
    </row>
    <row r="11978" spans="2:2">
      <c r="B11978"/>
    </row>
    <row r="11979" spans="2:2">
      <c r="B11979"/>
    </row>
    <row r="11980" spans="2:2">
      <c r="B11980"/>
    </row>
    <row r="11981" spans="2:2">
      <c r="B11981"/>
    </row>
    <row r="11982" spans="2:2">
      <c r="B11982"/>
    </row>
    <row r="11983" spans="2:2">
      <c r="B11983"/>
    </row>
    <row r="11984" spans="2:2">
      <c r="B11984"/>
    </row>
    <row r="11985" spans="2:2">
      <c r="B11985"/>
    </row>
    <row r="11986" spans="2:2">
      <c r="B11986"/>
    </row>
    <row r="11987" spans="2:2">
      <c r="B11987"/>
    </row>
    <row r="11988" spans="2:2">
      <c r="B11988"/>
    </row>
    <row r="11989" spans="2:2">
      <c r="B11989"/>
    </row>
    <row r="11990" spans="2:2">
      <c r="B11990"/>
    </row>
    <row r="11991" spans="2:2">
      <c r="B11991"/>
    </row>
    <row r="11992" spans="2:2">
      <c r="B11992"/>
    </row>
    <row r="11993" spans="2:2">
      <c r="B11993"/>
    </row>
    <row r="11994" spans="2:2">
      <c r="B11994"/>
    </row>
    <row r="11995" spans="2:2">
      <c r="B11995"/>
    </row>
    <row r="11996" spans="2:2">
      <c r="B11996"/>
    </row>
    <row r="11997" spans="2:2">
      <c r="B11997"/>
    </row>
    <row r="11998" spans="2:2">
      <c r="B11998"/>
    </row>
    <row r="11999" spans="2:2">
      <c r="B11999"/>
    </row>
    <row r="12000" spans="2:2">
      <c r="B12000"/>
    </row>
    <row r="12001" spans="2:2">
      <c r="B12001"/>
    </row>
    <row r="12002" spans="2:2">
      <c r="B12002"/>
    </row>
    <row r="12003" spans="2:2">
      <c r="B12003"/>
    </row>
    <row r="12004" spans="2:2">
      <c r="B12004"/>
    </row>
    <row r="12005" spans="2:2">
      <c r="B12005"/>
    </row>
    <row r="12006" spans="2:2">
      <c r="B12006"/>
    </row>
    <row r="12007" spans="2:2">
      <c r="B12007"/>
    </row>
    <row r="12008" spans="2:2">
      <c r="B12008"/>
    </row>
    <row r="12009" spans="2:2">
      <c r="B12009"/>
    </row>
    <row r="12010" spans="2:2">
      <c r="B12010"/>
    </row>
    <row r="12011" spans="2:2">
      <c r="B12011"/>
    </row>
    <row r="12012" spans="2:2">
      <c r="B12012"/>
    </row>
    <row r="12013" spans="2:2">
      <c r="B12013"/>
    </row>
    <row r="12014" spans="2:2">
      <c r="B12014"/>
    </row>
    <row r="12015" spans="2:2">
      <c r="B12015"/>
    </row>
    <row r="12016" spans="2:2">
      <c r="B12016"/>
    </row>
    <row r="12017" spans="2:2">
      <c r="B12017"/>
    </row>
    <row r="12018" spans="2:2">
      <c r="B12018"/>
    </row>
    <row r="12019" spans="2:2">
      <c r="B12019"/>
    </row>
    <row r="12020" spans="2:2">
      <c r="B12020"/>
    </row>
    <row r="12021" spans="2:2">
      <c r="B12021"/>
    </row>
    <row r="12022" spans="2:2">
      <c r="B12022"/>
    </row>
    <row r="12023" spans="2:2">
      <c r="B12023"/>
    </row>
    <row r="12024" spans="2:2">
      <c r="B12024"/>
    </row>
    <row r="12025" spans="2:2">
      <c r="B12025"/>
    </row>
    <row r="12026" spans="2:2">
      <c r="B12026"/>
    </row>
    <row r="12027" spans="2:2">
      <c r="B12027"/>
    </row>
    <row r="12028" spans="2:2">
      <c r="B12028"/>
    </row>
    <row r="12029" spans="2:2">
      <c r="B12029"/>
    </row>
    <row r="12030" spans="2:2">
      <c r="B12030"/>
    </row>
    <row r="12031" spans="2:2">
      <c r="B12031"/>
    </row>
    <row r="12032" spans="2:2">
      <c r="B12032"/>
    </row>
    <row r="12033" spans="2:2">
      <c r="B12033"/>
    </row>
    <row r="12034" spans="2:2">
      <c r="B12034"/>
    </row>
    <row r="12035" spans="2:2">
      <c r="B12035"/>
    </row>
    <row r="12036" spans="2:2">
      <c r="B12036"/>
    </row>
    <row r="12037" spans="2:2">
      <c r="B12037"/>
    </row>
    <row r="12038" spans="2:2">
      <c r="B12038"/>
    </row>
    <row r="12039" spans="2:2">
      <c r="B12039"/>
    </row>
    <row r="12040" spans="2:2">
      <c r="B12040"/>
    </row>
    <row r="12041" spans="2:2">
      <c r="B12041"/>
    </row>
    <row r="12042" spans="2:2">
      <c r="B12042"/>
    </row>
    <row r="12043" spans="2:2">
      <c r="B12043"/>
    </row>
    <row r="12044" spans="2:2">
      <c r="B12044"/>
    </row>
    <row r="12045" spans="2:2">
      <c r="B12045"/>
    </row>
    <row r="12046" spans="2:2">
      <c r="B12046"/>
    </row>
    <row r="12047" spans="2:2">
      <c r="B12047"/>
    </row>
    <row r="12048" spans="2:2">
      <c r="B12048"/>
    </row>
    <row r="12049" spans="2:2">
      <c r="B12049"/>
    </row>
    <row r="12050" spans="2:2">
      <c r="B12050"/>
    </row>
    <row r="12051" spans="2:2">
      <c r="B12051"/>
    </row>
    <row r="12052" spans="2:2">
      <c r="B12052"/>
    </row>
    <row r="12053" spans="2:2">
      <c r="B12053"/>
    </row>
    <row r="12054" spans="2:2">
      <c r="B12054"/>
    </row>
    <row r="12055" spans="2:2">
      <c r="B12055"/>
    </row>
    <row r="12056" spans="2:2">
      <c r="B12056"/>
    </row>
    <row r="12057" spans="2:2">
      <c r="B12057"/>
    </row>
    <row r="12058" spans="2:2">
      <c r="B12058"/>
    </row>
    <row r="12059" spans="2:2">
      <c r="B12059"/>
    </row>
    <row r="12060" spans="2:2">
      <c r="B12060"/>
    </row>
    <row r="12061" spans="2:2">
      <c r="B12061"/>
    </row>
    <row r="12062" spans="2:2">
      <c r="B12062"/>
    </row>
    <row r="12063" spans="2:2">
      <c r="B12063"/>
    </row>
    <row r="12064" spans="2:2">
      <c r="B12064"/>
    </row>
    <row r="12065" spans="2:2">
      <c r="B12065"/>
    </row>
    <row r="12066" spans="2:2">
      <c r="B12066"/>
    </row>
    <row r="12067" spans="2:2">
      <c r="B12067"/>
    </row>
    <row r="12068" spans="2:2">
      <c r="B12068"/>
    </row>
    <row r="12069" spans="2:2">
      <c r="B12069"/>
    </row>
    <row r="12070" spans="2:2">
      <c r="B12070"/>
    </row>
    <row r="12071" spans="2:2">
      <c r="B12071"/>
    </row>
    <row r="12072" spans="2:2">
      <c r="B12072"/>
    </row>
    <row r="12073" spans="2:2">
      <c r="B12073"/>
    </row>
    <row r="12074" spans="2:2">
      <c r="B12074"/>
    </row>
    <row r="12075" spans="2:2">
      <c r="B12075"/>
    </row>
    <row r="12076" spans="2:2">
      <c r="B12076"/>
    </row>
    <row r="12077" spans="2:2">
      <c r="B12077"/>
    </row>
    <row r="12078" spans="2:2">
      <c r="B12078"/>
    </row>
    <row r="12079" spans="2:2">
      <c r="B12079"/>
    </row>
    <row r="12080" spans="2:2">
      <c r="B12080"/>
    </row>
    <row r="12081" spans="2:2">
      <c r="B12081"/>
    </row>
    <row r="12082" spans="2:2">
      <c r="B12082"/>
    </row>
    <row r="12083" spans="2:2">
      <c r="B12083"/>
    </row>
    <row r="12084" spans="2:2">
      <c r="B12084"/>
    </row>
    <row r="12085" spans="2:2">
      <c r="B12085"/>
    </row>
    <row r="12086" spans="2:2">
      <c r="B12086"/>
    </row>
    <row r="12087" spans="2:2">
      <c r="B12087"/>
    </row>
    <row r="12088" spans="2:2">
      <c r="B12088"/>
    </row>
    <row r="12089" spans="2:2">
      <c r="B12089"/>
    </row>
    <row r="12090" spans="2:2">
      <c r="B12090"/>
    </row>
    <row r="12091" spans="2:2">
      <c r="B12091"/>
    </row>
    <row r="12092" spans="2:2">
      <c r="B12092"/>
    </row>
    <row r="12093" spans="2:2">
      <c r="B12093"/>
    </row>
    <row r="12094" spans="2:2">
      <c r="B12094"/>
    </row>
    <row r="12095" spans="2:2">
      <c r="B12095"/>
    </row>
    <row r="12096" spans="2:2">
      <c r="B12096"/>
    </row>
    <row r="12097" spans="2:2">
      <c r="B12097"/>
    </row>
    <row r="12098" spans="2:2">
      <c r="B12098"/>
    </row>
    <row r="12099" spans="2:2">
      <c r="B12099"/>
    </row>
    <row r="12100" spans="2:2">
      <c r="B12100"/>
    </row>
    <row r="12101" spans="2:2">
      <c r="B12101"/>
    </row>
    <row r="12102" spans="2:2">
      <c r="B12102"/>
    </row>
    <row r="12103" spans="2:2">
      <c r="B12103"/>
    </row>
    <row r="12104" spans="2:2">
      <c r="B12104"/>
    </row>
    <row r="12105" spans="2:2">
      <c r="B12105"/>
    </row>
    <row r="12106" spans="2:2">
      <c r="B12106"/>
    </row>
    <row r="12107" spans="2:2">
      <c r="B12107"/>
    </row>
    <row r="12108" spans="2:2">
      <c r="B12108"/>
    </row>
    <row r="12109" spans="2:2">
      <c r="B12109"/>
    </row>
    <row r="12110" spans="2:2">
      <c r="B12110"/>
    </row>
    <row r="12111" spans="2:2">
      <c r="B12111"/>
    </row>
    <row r="12112" spans="2:2">
      <c r="B12112"/>
    </row>
    <row r="12113" spans="2:2">
      <c r="B12113"/>
    </row>
    <row r="12114" spans="2:2">
      <c r="B12114"/>
    </row>
    <row r="12115" spans="2:2">
      <c r="B12115"/>
    </row>
    <row r="12116" spans="2:2">
      <c r="B12116"/>
    </row>
    <row r="12117" spans="2:2">
      <c r="B12117"/>
    </row>
    <row r="12118" spans="2:2">
      <c r="B12118"/>
    </row>
    <row r="12119" spans="2:2">
      <c r="B12119"/>
    </row>
    <row r="12120" spans="2:2">
      <c r="B12120"/>
    </row>
    <row r="12121" spans="2:2">
      <c r="B12121"/>
    </row>
    <row r="12122" spans="2:2">
      <c r="B12122"/>
    </row>
    <row r="12123" spans="2:2">
      <c r="B12123"/>
    </row>
    <row r="12124" spans="2:2">
      <c r="B12124"/>
    </row>
    <row r="12125" spans="2:2">
      <c r="B12125"/>
    </row>
    <row r="12126" spans="2:2">
      <c r="B12126"/>
    </row>
    <row r="12127" spans="2:2">
      <c r="B12127"/>
    </row>
    <row r="12128" spans="2:2">
      <c r="B12128"/>
    </row>
    <row r="12129" spans="2:2">
      <c r="B12129"/>
    </row>
    <row r="12130" spans="2:2">
      <c r="B12130"/>
    </row>
    <row r="12131" spans="2:2">
      <c r="B12131"/>
    </row>
    <row r="12132" spans="2:2">
      <c r="B12132"/>
    </row>
    <row r="12133" spans="2:2">
      <c r="B12133"/>
    </row>
    <row r="12134" spans="2:2">
      <c r="B12134"/>
    </row>
    <row r="12135" spans="2:2">
      <c r="B12135"/>
    </row>
    <row r="12136" spans="2:2">
      <c r="B12136"/>
    </row>
    <row r="12137" spans="2:2">
      <c r="B12137"/>
    </row>
    <row r="12138" spans="2:2">
      <c r="B12138"/>
    </row>
    <row r="12139" spans="2:2">
      <c r="B12139"/>
    </row>
    <row r="12140" spans="2:2">
      <c r="B12140"/>
    </row>
    <row r="12141" spans="2:2">
      <c r="B12141"/>
    </row>
    <row r="12142" spans="2:2">
      <c r="B12142"/>
    </row>
    <row r="12143" spans="2:2">
      <c r="B12143"/>
    </row>
    <row r="12144" spans="2:2">
      <c r="B12144"/>
    </row>
    <row r="12145" spans="2:2">
      <c r="B12145"/>
    </row>
    <row r="12146" spans="2:2">
      <c r="B12146"/>
    </row>
    <row r="12147" spans="2:2">
      <c r="B12147"/>
    </row>
    <row r="12148" spans="2:2">
      <c r="B12148"/>
    </row>
    <row r="12149" spans="2:2">
      <c r="B12149"/>
    </row>
    <row r="12150" spans="2:2">
      <c r="B12150"/>
    </row>
    <row r="12151" spans="2:2">
      <c r="B12151"/>
    </row>
    <row r="12152" spans="2:2">
      <c r="B12152"/>
    </row>
    <row r="12153" spans="2:2">
      <c r="B12153"/>
    </row>
    <row r="12154" spans="2:2">
      <c r="B12154"/>
    </row>
    <row r="12155" spans="2:2">
      <c r="B12155"/>
    </row>
    <row r="12156" spans="2:2">
      <c r="B12156"/>
    </row>
    <row r="12157" spans="2:2">
      <c r="B12157"/>
    </row>
    <row r="12158" spans="2:2">
      <c r="B12158"/>
    </row>
    <row r="12159" spans="2:2">
      <c r="B12159"/>
    </row>
    <row r="12160" spans="2:2">
      <c r="B12160"/>
    </row>
    <row r="12161" spans="2:2">
      <c r="B12161"/>
    </row>
    <row r="12162" spans="2:2">
      <c r="B12162"/>
    </row>
    <row r="12163" spans="2:2">
      <c r="B12163"/>
    </row>
    <row r="12164" spans="2:2">
      <c r="B12164"/>
    </row>
    <row r="12165" spans="2:2">
      <c r="B12165"/>
    </row>
    <row r="12166" spans="2:2">
      <c r="B12166"/>
    </row>
    <row r="12167" spans="2:2">
      <c r="B12167"/>
    </row>
    <row r="12168" spans="2:2">
      <c r="B12168"/>
    </row>
    <row r="12169" spans="2:2">
      <c r="B12169"/>
    </row>
    <row r="12170" spans="2:2">
      <c r="B12170"/>
    </row>
    <row r="12171" spans="2:2">
      <c r="B12171"/>
    </row>
    <row r="12172" spans="2:2">
      <c r="B12172"/>
    </row>
    <row r="12173" spans="2:2">
      <c r="B12173"/>
    </row>
    <row r="12174" spans="2:2">
      <c r="B12174"/>
    </row>
    <row r="12175" spans="2:2">
      <c r="B12175"/>
    </row>
    <row r="12176" spans="2:2">
      <c r="B12176"/>
    </row>
    <row r="12177" spans="2:2">
      <c r="B12177"/>
    </row>
    <row r="12178" spans="2:2">
      <c r="B12178"/>
    </row>
    <row r="12179" spans="2:2">
      <c r="B12179"/>
    </row>
    <row r="12180" spans="2:2">
      <c r="B12180"/>
    </row>
    <row r="12181" spans="2:2">
      <c r="B12181"/>
    </row>
    <row r="12182" spans="2:2">
      <c r="B12182"/>
    </row>
    <row r="12183" spans="2:2">
      <c r="B12183"/>
    </row>
    <row r="12184" spans="2:2">
      <c r="B12184"/>
    </row>
    <row r="12185" spans="2:2">
      <c r="B12185"/>
    </row>
    <row r="12186" spans="2:2">
      <c r="B12186"/>
    </row>
    <row r="12187" spans="2:2">
      <c r="B12187"/>
    </row>
    <row r="12188" spans="2:2">
      <c r="B12188"/>
    </row>
    <row r="12189" spans="2:2">
      <c r="B12189"/>
    </row>
    <row r="12190" spans="2:2">
      <c r="B12190"/>
    </row>
    <row r="12191" spans="2:2">
      <c r="B12191"/>
    </row>
    <row r="12192" spans="2:2">
      <c r="B12192"/>
    </row>
    <row r="12193" spans="2:2">
      <c r="B12193"/>
    </row>
    <row r="12194" spans="2:2">
      <c r="B12194"/>
    </row>
    <row r="12195" spans="2:2">
      <c r="B12195"/>
    </row>
    <row r="12196" spans="2:2">
      <c r="B12196"/>
    </row>
    <row r="12197" spans="2:2">
      <c r="B12197"/>
    </row>
    <row r="12198" spans="2:2">
      <c r="B12198"/>
    </row>
    <row r="12199" spans="2:2">
      <c r="B12199"/>
    </row>
    <row r="12200" spans="2:2">
      <c r="B12200"/>
    </row>
    <row r="12201" spans="2:2">
      <c r="B12201"/>
    </row>
    <row r="12202" spans="2:2">
      <c r="B12202"/>
    </row>
    <row r="12203" spans="2:2">
      <c r="B12203"/>
    </row>
    <row r="12204" spans="2:2">
      <c r="B12204"/>
    </row>
    <row r="12205" spans="2:2">
      <c r="B12205"/>
    </row>
    <row r="12206" spans="2:2">
      <c r="B12206"/>
    </row>
    <row r="12207" spans="2:2">
      <c r="B12207"/>
    </row>
    <row r="12208" spans="2:2">
      <c r="B12208"/>
    </row>
    <row r="12209" spans="2:2">
      <c r="B12209"/>
    </row>
    <row r="12210" spans="2:2">
      <c r="B12210"/>
    </row>
    <row r="12211" spans="2:2">
      <c r="B12211"/>
    </row>
    <row r="12212" spans="2:2">
      <c r="B12212"/>
    </row>
    <row r="12213" spans="2:2">
      <c r="B12213"/>
    </row>
    <row r="12214" spans="2:2">
      <c r="B12214"/>
    </row>
    <row r="12215" spans="2:2">
      <c r="B12215"/>
    </row>
    <row r="12216" spans="2:2">
      <c r="B12216"/>
    </row>
    <row r="12217" spans="2:2">
      <c r="B12217"/>
    </row>
    <row r="12218" spans="2:2">
      <c r="B12218"/>
    </row>
    <row r="12219" spans="2:2">
      <c r="B12219"/>
    </row>
    <row r="12220" spans="2:2">
      <c r="B12220"/>
    </row>
    <row r="12221" spans="2:2">
      <c r="B12221"/>
    </row>
    <row r="12222" spans="2:2">
      <c r="B12222"/>
    </row>
    <row r="12223" spans="2:2">
      <c r="B12223"/>
    </row>
    <row r="12224" spans="2:2">
      <c r="B12224"/>
    </row>
    <row r="12225" spans="2:2">
      <c r="B12225"/>
    </row>
    <row r="12226" spans="2:2">
      <c r="B12226"/>
    </row>
    <row r="12227" spans="2:2">
      <c r="B12227"/>
    </row>
    <row r="12228" spans="2:2">
      <c r="B12228"/>
    </row>
    <row r="12229" spans="2:2">
      <c r="B12229"/>
    </row>
    <row r="12230" spans="2:2">
      <c r="B12230"/>
    </row>
    <row r="12231" spans="2:2">
      <c r="B12231"/>
    </row>
    <row r="12232" spans="2:2">
      <c r="B12232"/>
    </row>
    <row r="12233" spans="2:2">
      <c r="B12233"/>
    </row>
    <row r="12234" spans="2:2">
      <c r="B12234"/>
    </row>
    <row r="12235" spans="2:2">
      <c r="B12235"/>
    </row>
    <row r="12236" spans="2:2">
      <c r="B12236"/>
    </row>
    <row r="12237" spans="2:2">
      <c r="B12237"/>
    </row>
    <row r="12238" spans="2:2">
      <c r="B12238"/>
    </row>
    <row r="12239" spans="2:2">
      <c r="B12239"/>
    </row>
    <row r="12240" spans="2:2">
      <c r="B12240"/>
    </row>
    <row r="12241" spans="2:2">
      <c r="B12241"/>
    </row>
    <row r="12242" spans="2:2">
      <c r="B12242"/>
    </row>
    <row r="12243" spans="2:2">
      <c r="B12243"/>
    </row>
    <row r="12244" spans="2:2">
      <c r="B12244"/>
    </row>
    <row r="12245" spans="2:2">
      <c r="B12245"/>
    </row>
    <row r="12246" spans="2:2">
      <c r="B12246"/>
    </row>
    <row r="12247" spans="2:2">
      <c r="B12247"/>
    </row>
    <row r="12248" spans="2:2">
      <c r="B12248"/>
    </row>
    <row r="12249" spans="2:2">
      <c r="B12249"/>
    </row>
    <row r="12250" spans="2:2">
      <c r="B12250"/>
    </row>
    <row r="12251" spans="2:2">
      <c r="B12251"/>
    </row>
    <row r="12252" spans="2:2">
      <c r="B12252"/>
    </row>
    <row r="12253" spans="2:2">
      <c r="B12253"/>
    </row>
    <row r="12254" spans="2:2">
      <c r="B12254"/>
    </row>
    <row r="12255" spans="2:2">
      <c r="B12255"/>
    </row>
    <row r="12256" spans="2:2">
      <c r="B12256"/>
    </row>
    <row r="12257" spans="2:2">
      <c r="B12257"/>
    </row>
    <row r="12258" spans="2:2">
      <c r="B12258"/>
    </row>
    <row r="12259" spans="2:2">
      <c r="B12259"/>
    </row>
    <row r="12260" spans="2:2">
      <c r="B12260"/>
    </row>
    <row r="12261" spans="2:2">
      <c r="B12261"/>
    </row>
    <row r="12262" spans="2:2">
      <c r="B12262"/>
    </row>
    <row r="12263" spans="2:2">
      <c r="B12263"/>
    </row>
    <row r="12264" spans="2:2">
      <c r="B12264"/>
    </row>
    <row r="12265" spans="2:2">
      <c r="B12265"/>
    </row>
    <row r="12266" spans="2:2">
      <c r="B12266"/>
    </row>
    <row r="12267" spans="2:2">
      <c r="B12267"/>
    </row>
    <row r="12268" spans="2:2">
      <c r="B12268"/>
    </row>
    <row r="12269" spans="2:2">
      <c r="B12269"/>
    </row>
    <row r="12270" spans="2:2">
      <c r="B12270"/>
    </row>
    <row r="12271" spans="2:2">
      <c r="B12271"/>
    </row>
    <row r="12272" spans="2:2">
      <c r="B12272"/>
    </row>
    <row r="12273" spans="2:2">
      <c r="B12273"/>
    </row>
    <row r="12274" spans="2:2">
      <c r="B12274"/>
    </row>
    <row r="12275" spans="2:2">
      <c r="B12275"/>
    </row>
    <row r="12276" spans="2:2">
      <c r="B12276"/>
    </row>
    <row r="12277" spans="2:2">
      <c r="B12277"/>
    </row>
    <row r="12278" spans="2:2">
      <c r="B12278"/>
    </row>
    <row r="12279" spans="2:2">
      <c r="B12279"/>
    </row>
    <row r="12280" spans="2:2">
      <c r="B12280"/>
    </row>
    <row r="12281" spans="2:2">
      <c r="B12281"/>
    </row>
    <row r="12282" spans="2:2">
      <c r="B12282"/>
    </row>
    <row r="12283" spans="2:2">
      <c r="B12283"/>
    </row>
    <row r="12284" spans="2:2">
      <c r="B12284"/>
    </row>
    <row r="12285" spans="2:2">
      <c r="B12285"/>
    </row>
    <row r="12286" spans="2:2">
      <c r="B12286"/>
    </row>
    <row r="12287" spans="2:2">
      <c r="B12287"/>
    </row>
    <row r="12288" spans="2:2">
      <c r="B12288"/>
    </row>
    <row r="12289" spans="2:2">
      <c r="B12289"/>
    </row>
    <row r="12290" spans="2:2">
      <c r="B12290"/>
    </row>
    <row r="12291" spans="2:2">
      <c r="B12291"/>
    </row>
    <row r="12292" spans="2:2">
      <c r="B12292"/>
    </row>
    <row r="12293" spans="2:2">
      <c r="B12293"/>
    </row>
    <row r="12294" spans="2:2">
      <c r="B12294"/>
    </row>
    <row r="12295" spans="2:2">
      <c r="B12295"/>
    </row>
    <row r="12296" spans="2:2">
      <c r="B12296"/>
    </row>
    <row r="12297" spans="2:2">
      <c r="B12297"/>
    </row>
    <row r="12298" spans="2:2">
      <c r="B12298"/>
    </row>
    <row r="12299" spans="2:2">
      <c r="B12299"/>
    </row>
    <row r="12300" spans="2:2">
      <c r="B12300"/>
    </row>
    <row r="12301" spans="2:2">
      <c r="B12301"/>
    </row>
    <row r="12302" spans="2:2">
      <c r="B12302"/>
    </row>
    <row r="12303" spans="2:2">
      <c r="B12303"/>
    </row>
    <row r="12304" spans="2:2">
      <c r="B12304"/>
    </row>
    <row r="12305" spans="2:2">
      <c r="B12305"/>
    </row>
    <row r="12306" spans="2:2">
      <c r="B12306"/>
    </row>
    <row r="12307" spans="2:2">
      <c r="B12307"/>
    </row>
    <row r="12308" spans="2:2">
      <c r="B12308"/>
    </row>
    <row r="12309" spans="2:2">
      <c r="B12309"/>
    </row>
    <row r="12310" spans="2:2">
      <c r="B12310"/>
    </row>
    <row r="12311" spans="2:2">
      <c r="B12311"/>
    </row>
    <row r="12312" spans="2:2">
      <c r="B12312"/>
    </row>
    <row r="12313" spans="2:2">
      <c r="B12313"/>
    </row>
    <row r="12314" spans="2:2">
      <c r="B12314"/>
    </row>
    <row r="12315" spans="2:2">
      <c r="B12315"/>
    </row>
    <row r="12316" spans="2:2">
      <c r="B12316"/>
    </row>
    <row r="12317" spans="2:2">
      <c r="B12317"/>
    </row>
    <row r="12318" spans="2:2">
      <c r="B12318"/>
    </row>
    <row r="12319" spans="2:2">
      <c r="B12319"/>
    </row>
    <row r="12320" spans="2:2">
      <c r="B12320"/>
    </row>
    <row r="12321" spans="2:2">
      <c r="B12321"/>
    </row>
    <row r="12322" spans="2:2">
      <c r="B12322"/>
    </row>
    <row r="12323" spans="2:2">
      <c r="B12323"/>
    </row>
    <row r="12324" spans="2:2">
      <c r="B12324"/>
    </row>
    <row r="12325" spans="2:2">
      <c r="B12325"/>
    </row>
    <row r="12326" spans="2:2">
      <c r="B12326"/>
    </row>
    <row r="12327" spans="2:2">
      <c r="B12327"/>
    </row>
    <row r="12328" spans="2:2">
      <c r="B12328"/>
    </row>
    <row r="12329" spans="2:2">
      <c r="B12329"/>
    </row>
    <row r="12330" spans="2:2">
      <c r="B12330"/>
    </row>
    <row r="12331" spans="2:2">
      <c r="B12331"/>
    </row>
    <row r="12332" spans="2:2">
      <c r="B12332"/>
    </row>
    <row r="12333" spans="2:2">
      <c r="B12333"/>
    </row>
    <row r="12334" spans="2:2">
      <c r="B12334"/>
    </row>
    <row r="12335" spans="2:2">
      <c r="B12335"/>
    </row>
    <row r="12336" spans="2:2">
      <c r="B12336"/>
    </row>
    <row r="12337" spans="2:2">
      <c r="B12337"/>
    </row>
    <row r="12338" spans="2:2">
      <c r="B12338"/>
    </row>
    <row r="12339" spans="2:2">
      <c r="B12339"/>
    </row>
    <row r="12340" spans="2:2">
      <c r="B12340"/>
    </row>
    <row r="12341" spans="2:2">
      <c r="B12341"/>
    </row>
    <row r="12342" spans="2:2">
      <c r="B12342"/>
    </row>
    <row r="12343" spans="2:2">
      <c r="B12343"/>
    </row>
    <row r="12344" spans="2:2">
      <c r="B12344"/>
    </row>
    <row r="12345" spans="2:2">
      <c r="B12345"/>
    </row>
    <row r="12346" spans="2:2">
      <c r="B12346"/>
    </row>
    <row r="12347" spans="2:2">
      <c r="B12347"/>
    </row>
    <row r="12348" spans="2:2">
      <c r="B12348"/>
    </row>
    <row r="12349" spans="2:2">
      <c r="B12349"/>
    </row>
    <row r="12350" spans="2:2">
      <c r="B12350"/>
    </row>
    <row r="12351" spans="2:2">
      <c r="B12351"/>
    </row>
    <row r="12352" spans="2:2">
      <c r="B12352"/>
    </row>
    <row r="12353" spans="2:2">
      <c r="B12353"/>
    </row>
    <row r="12354" spans="2:2">
      <c r="B12354"/>
    </row>
    <row r="12355" spans="2:2">
      <c r="B12355"/>
    </row>
    <row r="12356" spans="2:2">
      <c r="B12356"/>
    </row>
    <row r="12357" spans="2:2">
      <c r="B12357"/>
    </row>
    <row r="12358" spans="2:2">
      <c r="B12358"/>
    </row>
    <row r="12359" spans="2:2">
      <c r="B12359"/>
    </row>
    <row r="12360" spans="2:2">
      <c r="B12360"/>
    </row>
    <row r="12361" spans="2:2">
      <c r="B12361"/>
    </row>
    <row r="12362" spans="2:2">
      <c r="B12362"/>
    </row>
    <row r="12363" spans="2:2">
      <c r="B12363"/>
    </row>
    <row r="12364" spans="2:2">
      <c r="B12364"/>
    </row>
    <row r="12365" spans="2:2">
      <c r="B12365"/>
    </row>
    <row r="12366" spans="2:2">
      <c r="B12366"/>
    </row>
    <row r="12367" spans="2:2">
      <c r="B12367"/>
    </row>
    <row r="12368" spans="2:2">
      <c r="B12368"/>
    </row>
    <row r="12369" spans="2:2">
      <c r="B12369"/>
    </row>
    <row r="12370" spans="2:2">
      <c r="B12370"/>
    </row>
    <row r="12371" spans="2:2">
      <c r="B12371"/>
    </row>
    <row r="12372" spans="2:2">
      <c r="B12372"/>
    </row>
    <row r="12373" spans="2:2">
      <c r="B12373"/>
    </row>
    <row r="12374" spans="2:2">
      <c r="B12374"/>
    </row>
    <row r="12375" spans="2:2">
      <c r="B12375"/>
    </row>
    <row r="12376" spans="2:2">
      <c r="B12376"/>
    </row>
    <row r="12377" spans="2:2">
      <c r="B12377"/>
    </row>
    <row r="12378" spans="2:2">
      <c r="B12378"/>
    </row>
    <row r="12379" spans="2:2">
      <c r="B12379"/>
    </row>
    <row r="12380" spans="2:2">
      <c r="B12380"/>
    </row>
    <row r="12381" spans="2:2">
      <c r="B12381"/>
    </row>
    <row r="12382" spans="2:2">
      <c r="B12382"/>
    </row>
    <row r="12383" spans="2:2">
      <c r="B12383"/>
    </row>
    <row r="12384" spans="2:2">
      <c r="B12384"/>
    </row>
    <row r="12385" spans="2:2">
      <c r="B12385"/>
    </row>
    <row r="12386" spans="2:2">
      <c r="B12386"/>
    </row>
    <row r="12387" spans="2:2">
      <c r="B12387"/>
    </row>
    <row r="12388" spans="2:2">
      <c r="B12388"/>
    </row>
    <row r="12389" spans="2:2">
      <c r="B12389"/>
    </row>
    <row r="12390" spans="2:2">
      <c r="B12390"/>
    </row>
    <row r="12391" spans="2:2">
      <c r="B12391"/>
    </row>
    <row r="12392" spans="2:2">
      <c r="B12392"/>
    </row>
    <row r="12393" spans="2:2">
      <c r="B12393"/>
    </row>
    <row r="12394" spans="2:2">
      <c r="B12394"/>
    </row>
    <row r="12395" spans="2:2">
      <c r="B12395"/>
    </row>
    <row r="12396" spans="2:2">
      <c r="B12396"/>
    </row>
    <row r="12397" spans="2:2">
      <c r="B12397"/>
    </row>
    <row r="12398" spans="2:2">
      <c r="B12398"/>
    </row>
    <row r="12399" spans="2:2">
      <c r="B12399"/>
    </row>
    <row r="12400" spans="2:2">
      <c r="B12400"/>
    </row>
    <row r="12401" spans="2:2">
      <c r="B12401"/>
    </row>
    <row r="12402" spans="2:2">
      <c r="B12402"/>
    </row>
    <row r="12403" spans="2:2">
      <c r="B12403"/>
    </row>
    <row r="12404" spans="2:2">
      <c r="B12404"/>
    </row>
    <row r="12405" spans="2:2">
      <c r="B12405"/>
    </row>
    <row r="12406" spans="2:2">
      <c r="B12406"/>
    </row>
    <row r="12407" spans="2:2">
      <c r="B12407"/>
    </row>
    <row r="12408" spans="2:2">
      <c r="B12408"/>
    </row>
    <row r="12409" spans="2:2">
      <c r="B12409"/>
    </row>
    <row r="12410" spans="2:2">
      <c r="B12410"/>
    </row>
    <row r="12411" spans="2:2">
      <c r="B12411"/>
    </row>
    <row r="12412" spans="2:2">
      <c r="B12412"/>
    </row>
    <row r="12413" spans="2:2">
      <c r="B12413"/>
    </row>
    <row r="12414" spans="2:2">
      <c r="B12414"/>
    </row>
    <row r="12415" spans="2:2">
      <c r="B12415"/>
    </row>
    <row r="12416" spans="2:2">
      <c r="B12416"/>
    </row>
    <row r="12417" spans="2:2">
      <c r="B12417"/>
    </row>
    <row r="12418" spans="2:2">
      <c r="B12418"/>
    </row>
    <row r="12419" spans="2:2">
      <c r="B12419"/>
    </row>
    <row r="12420" spans="2:2">
      <c r="B12420"/>
    </row>
    <row r="12421" spans="2:2">
      <c r="B12421"/>
    </row>
    <row r="12422" spans="2:2">
      <c r="B12422"/>
    </row>
    <row r="12423" spans="2:2">
      <c r="B12423"/>
    </row>
    <row r="12424" spans="2:2">
      <c r="B12424"/>
    </row>
    <row r="12425" spans="2:2">
      <c r="B12425"/>
    </row>
    <row r="12426" spans="2:2">
      <c r="B12426"/>
    </row>
    <row r="12427" spans="2:2">
      <c r="B12427"/>
    </row>
    <row r="12428" spans="2:2">
      <c r="B12428"/>
    </row>
    <row r="12429" spans="2:2">
      <c r="B12429"/>
    </row>
    <row r="12430" spans="2:2">
      <c r="B12430"/>
    </row>
    <row r="12431" spans="2:2">
      <c r="B12431"/>
    </row>
    <row r="12432" spans="2:2">
      <c r="B12432"/>
    </row>
    <row r="12433" spans="2:2">
      <c r="B12433"/>
    </row>
    <row r="12434" spans="2:2">
      <c r="B12434"/>
    </row>
    <row r="12435" spans="2:2">
      <c r="B12435"/>
    </row>
    <row r="12436" spans="2:2">
      <c r="B12436"/>
    </row>
    <row r="12437" spans="2:2">
      <c r="B12437"/>
    </row>
    <row r="12438" spans="2:2">
      <c r="B12438"/>
    </row>
    <row r="12439" spans="2:2">
      <c r="B12439"/>
    </row>
    <row r="12440" spans="2:2">
      <c r="B12440"/>
    </row>
    <row r="12441" spans="2:2">
      <c r="B12441"/>
    </row>
    <row r="12442" spans="2:2">
      <c r="B12442"/>
    </row>
    <row r="12443" spans="2:2">
      <c r="B12443"/>
    </row>
    <row r="12444" spans="2:2">
      <c r="B12444"/>
    </row>
    <row r="12445" spans="2:2">
      <c r="B12445"/>
    </row>
    <row r="12446" spans="2:2">
      <c r="B12446"/>
    </row>
    <row r="12447" spans="2:2">
      <c r="B12447"/>
    </row>
    <row r="12448" spans="2:2">
      <c r="B12448"/>
    </row>
    <row r="12449" spans="2:2">
      <c r="B12449"/>
    </row>
    <row r="12450" spans="2:2">
      <c r="B12450"/>
    </row>
    <row r="12451" spans="2:2">
      <c r="B12451"/>
    </row>
    <row r="12452" spans="2:2">
      <c r="B12452"/>
    </row>
    <row r="12453" spans="2:2">
      <c r="B12453"/>
    </row>
    <row r="12454" spans="2:2">
      <c r="B12454"/>
    </row>
    <row r="12455" spans="2:2">
      <c r="B12455"/>
    </row>
    <row r="12456" spans="2:2">
      <c r="B12456"/>
    </row>
    <row r="12457" spans="2:2">
      <c r="B12457"/>
    </row>
    <row r="12458" spans="2:2">
      <c r="B12458"/>
    </row>
    <row r="12459" spans="2:2">
      <c r="B12459"/>
    </row>
    <row r="12460" spans="2:2">
      <c r="B12460"/>
    </row>
    <row r="12461" spans="2:2">
      <c r="B12461"/>
    </row>
    <row r="12462" spans="2:2">
      <c r="B12462"/>
    </row>
    <row r="12463" spans="2:2">
      <c r="B12463"/>
    </row>
    <row r="12464" spans="2:2">
      <c r="B12464"/>
    </row>
    <row r="12465" spans="2:2">
      <c r="B12465"/>
    </row>
    <row r="12466" spans="2:2">
      <c r="B12466"/>
    </row>
    <row r="12467" spans="2:2">
      <c r="B12467"/>
    </row>
    <row r="12468" spans="2:2">
      <c r="B12468"/>
    </row>
    <row r="12469" spans="2:2">
      <c r="B12469"/>
    </row>
    <row r="12470" spans="2:2">
      <c r="B12470"/>
    </row>
    <row r="12471" spans="2:2">
      <c r="B12471"/>
    </row>
    <row r="12472" spans="2:2">
      <c r="B12472"/>
    </row>
    <row r="12473" spans="2:2">
      <c r="B12473"/>
    </row>
    <row r="12474" spans="2:2">
      <c r="B12474"/>
    </row>
    <row r="12475" spans="2:2">
      <c r="B12475"/>
    </row>
    <row r="12476" spans="2:2">
      <c r="B12476"/>
    </row>
    <row r="12477" spans="2:2">
      <c r="B12477"/>
    </row>
    <row r="12478" spans="2:2">
      <c r="B12478"/>
    </row>
    <row r="12479" spans="2:2">
      <c r="B12479"/>
    </row>
    <row r="12480" spans="2:2">
      <c r="B12480"/>
    </row>
    <row r="12481" spans="2:2">
      <c r="B12481"/>
    </row>
    <row r="12482" spans="2:2">
      <c r="B12482"/>
    </row>
    <row r="12483" spans="2:2">
      <c r="B12483"/>
    </row>
    <row r="12484" spans="2:2">
      <c r="B12484"/>
    </row>
    <row r="12485" spans="2:2">
      <c r="B12485"/>
    </row>
    <row r="12486" spans="2:2">
      <c r="B12486"/>
    </row>
    <row r="12487" spans="2:2">
      <c r="B12487"/>
    </row>
    <row r="12488" spans="2:2">
      <c r="B12488"/>
    </row>
    <row r="12489" spans="2:2">
      <c r="B12489"/>
    </row>
    <row r="12490" spans="2:2">
      <c r="B12490"/>
    </row>
    <row r="12491" spans="2:2">
      <c r="B12491"/>
    </row>
    <row r="12492" spans="2:2">
      <c r="B12492"/>
    </row>
    <row r="12493" spans="2:2">
      <c r="B12493"/>
    </row>
    <row r="12494" spans="2:2">
      <c r="B12494"/>
    </row>
    <row r="12495" spans="2:2">
      <c r="B12495"/>
    </row>
    <row r="12496" spans="2:2">
      <c r="B12496"/>
    </row>
    <row r="12497" spans="2:2">
      <c r="B12497"/>
    </row>
    <row r="12498" spans="2:2">
      <c r="B12498"/>
    </row>
    <row r="12499" spans="2:2">
      <c r="B12499"/>
    </row>
    <row r="12500" spans="2:2">
      <c r="B12500"/>
    </row>
    <row r="12501" spans="2:2">
      <c r="B12501"/>
    </row>
    <row r="12502" spans="2:2">
      <c r="B12502"/>
    </row>
    <row r="12503" spans="2:2">
      <c r="B12503"/>
    </row>
    <row r="12504" spans="2:2">
      <c r="B12504"/>
    </row>
    <row r="12505" spans="2:2">
      <c r="B12505"/>
    </row>
    <row r="12506" spans="2:2">
      <c r="B12506"/>
    </row>
    <row r="12507" spans="2:2">
      <c r="B12507"/>
    </row>
    <row r="12508" spans="2:2">
      <c r="B12508"/>
    </row>
    <row r="12509" spans="2:2">
      <c r="B12509"/>
    </row>
    <row r="12510" spans="2:2">
      <c r="B12510"/>
    </row>
    <row r="12511" spans="2:2">
      <c r="B12511"/>
    </row>
    <row r="12512" spans="2:2">
      <c r="B12512"/>
    </row>
    <row r="12513" spans="2:2">
      <c r="B12513"/>
    </row>
    <row r="12514" spans="2:2">
      <c r="B12514"/>
    </row>
    <row r="12515" spans="2:2">
      <c r="B12515"/>
    </row>
    <row r="12516" spans="2:2">
      <c r="B12516"/>
    </row>
    <row r="12517" spans="2:2">
      <c r="B12517"/>
    </row>
    <row r="12518" spans="2:2">
      <c r="B12518"/>
    </row>
    <row r="12519" spans="2:2">
      <c r="B12519"/>
    </row>
    <row r="12520" spans="2:2">
      <c r="B12520"/>
    </row>
    <row r="12521" spans="2:2">
      <c r="B12521"/>
    </row>
    <row r="12522" spans="2:2">
      <c r="B12522"/>
    </row>
    <row r="12523" spans="2:2">
      <c r="B12523"/>
    </row>
    <row r="12524" spans="2:2">
      <c r="B12524"/>
    </row>
    <row r="12525" spans="2:2">
      <c r="B12525"/>
    </row>
    <row r="12526" spans="2:2">
      <c r="B12526"/>
    </row>
    <row r="12527" spans="2:2">
      <c r="B12527"/>
    </row>
    <row r="12528" spans="2:2">
      <c r="B12528"/>
    </row>
    <row r="12529" spans="2:2">
      <c r="B12529"/>
    </row>
    <row r="12530" spans="2:2">
      <c r="B12530"/>
    </row>
    <row r="12531" spans="2:2">
      <c r="B12531"/>
    </row>
    <row r="12532" spans="2:2">
      <c r="B12532"/>
    </row>
    <row r="12533" spans="2:2">
      <c r="B12533"/>
    </row>
    <row r="12534" spans="2:2">
      <c r="B12534"/>
    </row>
    <row r="12535" spans="2:2">
      <c r="B12535"/>
    </row>
    <row r="12536" spans="2:2">
      <c r="B12536"/>
    </row>
    <row r="12537" spans="2:2">
      <c r="B12537"/>
    </row>
    <row r="12538" spans="2:2">
      <c r="B12538"/>
    </row>
    <row r="12539" spans="2:2">
      <c r="B12539"/>
    </row>
    <row r="12540" spans="2:2">
      <c r="B12540"/>
    </row>
    <row r="12541" spans="2:2">
      <c r="B12541"/>
    </row>
    <row r="12542" spans="2:2">
      <c r="B12542"/>
    </row>
    <row r="12543" spans="2:2">
      <c r="B12543"/>
    </row>
    <row r="12544" spans="2:2">
      <c r="B12544"/>
    </row>
    <row r="12545" spans="2:2">
      <c r="B12545"/>
    </row>
    <row r="12546" spans="2:2">
      <c r="B12546"/>
    </row>
    <row r="12547" spans="2:2">
      <c r="B12547"/>
    </row>
    <row r="12548" spans="2:2">
      <c r="B12548"/>
    </row>
    <row r="12549" spans="2:2">
      <c r="B12549"/>
    </row>
    <row r="12550" spans="2:2">
      <c r="B12550"/>
    </row>
    <row r="12551" spans="2:2">
      <c r="B12551"/>
    </row>
    <row r="12552" spans="2:2">
      <c r="B12552"/>
    </row>
    <row r="12553" spans="2:2">
      <c r="B12553"/>
    </row>
    <row r="12554" spans="2:2">
      <c r="B12554"/>
    </row>
    <row r="12555" spans="2:2">
      <c r="B12555"/>
    </row>
    <row r="12556" spans="2:2">
      <c r="B12556"/>
    </row>
    <row r="12557" spans="2:2">
      <c r="B12557"/>
    </row>
    <row r="12558" spans="2:2">
      <c r="B12558"/>
    </row>
    <row r="12559" spans="2:2">
      <c r="B12559"/>
    </row>
    <row r="12560" spans="2:2">
      <c r="B12560"/>
    </row>
    <row r="12561" spans="2:2">
      <c r="B12561"/>
    </row>
    <row r="12562" spans="2:2">
      <c r="B12562"/>
    </row>
    <row r="12563" spans="2:2">
      <c r="B12563"/>
    </row>
    <row r="12564" spans="2:2">
      <c r="B12564"/>
    </row>
    <row r="12565" spans="2:2">
      <c r="B12565"/>
    </row>
    <row r="12566" spans="2:2">
      <c r="B12566"/>
    </row>
    <row r="12567" spans="2:2">
      <c r="B12567"/>
    </row>
    <row r="12568" spans="2:2">
      <c r="B12568"/>
    </row>
    <row r="12569" spans="2:2">
      <c r="B12569"/>
    </row>
    <row r="12570" spans="2:2">
      <c r="B12570"/>
    </row>
    <row r="12571" spans="2:2">
      <c r="B12571"/>
    </row>
    <row r="12572" spans="2:2">
      <c r="B12572"/>
    </row>
    <row r="12573" spans="2:2">
      <c r="B12573"/>
    </row>
    <row r="12574" spans="2:2">
      <c r="B12574"/>
    </row>
    <row r="12575" spans="2:2">
      <c r="B12575"/>
    </row>
    <row r="12576" spans="2:2">
      <c r="B12576"/>
    </row>
    <row r="12577" spans="2:2">
      <c r="B12577"/>
    </row>
    <row r="12578" spans="2:2">
      <c r="B12578"/>
    </row>
    <row r="12579" spans="2:2">
      <c r="B12579"/>
    </row>
    <row r="12580" spans="2:2">
      <c r="B12580"/>
    </row>
    <row r="12581" spans="2:2">
      <c r="B12581"/>
    </row>
    <row r="12582" spans="2:2">
      <c r="B12582"/>
    </row>
    <row r="12583" spans="2:2">
      <c r="B12583"/>
    </row>
    <row r="12584" spans="2:2">
      <c r="B12584"/>
    </row>
    <row r="12585" spans="2:2">
      <c r="B12585"/>
    </row>
    <row r="12586" spans="2:2">
      <c r="B12586"/>
    </row>
    <row r="12587" spans="2:2">
      <c r="B12587"/>
    </row>
    <row r="12588" spans="2:2">
      <c r="B12588"/>
    </row>
    <row r="12589" spans="2:2">
      <c r="B12589"/>
    </row>
    <row r="12590" spans="2:2">
      <c r="B12590"/>
    </row>
    <row r="12591" spans="2:2">
      <c r="B12591"/>
    </row>
    <row r="12592" spans="2:2">
      <c r="B12592"/>
    </row>
    <row r="12593" spans="2:2">
      <c r="B12593"/>
    </row>
    <row r="12594" spans="2:2">
      <c r="B12594"/>
    </row>
    <row r="12595" spans="2:2">
      <c r="B12595"/>
    </row>
    <row r="12596" spans="2:2">
      <c r="B12596"/>
    </row>
    <row r="12597" spans="2:2">
      <c r="B12597"/>
    </row>
    <row r="12598" spans="2:2">
      <c r="B12598"/>
    </row>
    <row r="12599" spans="2:2">
      <c r="B12599"/>
    </row>
    <row r="12600" spans="2:2">
      <c r="B12600"/>
    </row>
    <row r="12601" spans="2:2">
      <c r="B12601"/>
    </row>
    <row r="12602" spans="2:2">
      <c r="B12602"/>
    </row>
    <row r="12603" spans="2:2">
      <c r="B12603"/>
    </row>
    <row r="12604" spans="2:2">
      <c r="B12604"/>
    </row>
    <row r="12605" spans="2:2">
      <c r="B12605"/>
    </row>
    <row r="12606" spans="2:2">
      <c r="B12606"/>
    </row>
    <row r="12607" spans="2:2">
      <c r="B12607"/>
    </row>
    <row r="12608" spans="2:2">
      <c r="B12608"/>
    </row>
    <row r="12609" spans="2:2">
      <c r="B12609"/>
    </row>
    <row r="12610" spans="2:2">
      <c r="B12610"/>
    </row>
    <row r="12611" spans="2:2">
      <c r="B12611"/>
    </row>
    <row r="12612" spans="2:2">
      <c r="B12612"/>
    </row>
    <row r="12613" spans="2:2">
      <c r="B12613"/>
    </row>
    <row r="12614" spans="2:2">
      <c r="B12614"/>
    </row>
    <row r="12615" spans="2:2">
      <c r="B12615"/>
    </row>
    <row r="12616" spans="2:2">
      <c r="B12616"/>
    </row>
    <row r="12617" spans="2:2">
      <c r="B12617"/>
    </row>
    <row r="12618" spans="2:2">
      <c r="B12618"/>
    </row>
    <row r="12619" spans="2:2">
      <c r="B12619"/>
    </row>
    <row r="12620" spans="2:2">
      <c r="B12620"/>
    </row>
    <row r="12621" spans="2:2">
      <c r="B12621"/>
    </row>
    <row r="12622" spans="2:2">
      <c r="B12622"/>
    </row>
    <row r="12623" spans="2:2">
      <c r="B12623"/>
    </row>
    <row r="12624" spans="2:2">
      <c r="B12624"/>
    </row>
    <row r="12625" spans="2:2">
      <c r="B12625"/>
    </row>
    <row r="12626" spans="2:2">
      <c r="B12626"/>
    </row>
    <row r="12627" spans="2:2">
      <c r="B12627"/>
    </row>
    <row r="12628" spans="2:2">
      <c r="B12628"/>
    </row>
    <row r="12629" spans="2:2">
      <c r="B12629"/>
    </row>
    <row r="12630" spans="2:2">
      <c r="B12630"/>
    </row>
    <row r="12631" spans="2:2">
      <c r="B12631"/>
    </row>
    <row r="12632" spans="2:2">
      <c r="B12632"/>
    </row>
    <row r="12633" spans="2:2">
      <c r="B12633"/>
    </row>
    <row r="12634" spans="2:2">
      <c r="B12634"/>
    </row>
    <row r="12635" spans="2:2">
      <c r="B12635"/>
    </row>
    <row r="12636" spans="2:2">
      <c r="B12636"/>
    </row>
    <row r="12637" spans="2:2">
      <c r="B12637"/>
    </row>
    <row r="12638" spans="2:2">
      <c r="B12638"/>
    </row>
    <row r="12639" spans="2:2">
      <c r="B12639"/>
    </row>
    <row r="12640" spans="2:2">
      <c r="B12640"/>
    </row>
    <row r="12641" spans="2:2">
      <c r="B12641"/>
    </row>
    <row r="12642" spans="2:2">
      <c r="B12642"/>
    </row>
    <row r="12643" spans="2:2">
      <c r="B12643"/>
    </row>
    <row r="12644" spans="2:2">
      <c r="B12644"/>
    </row>
    <row r="12645" spans="2:2">
      <c r="B12645"/>
    </row>
    <row r="12646" spans="2:2">
      <c r="B12646"/>
    </row>
    <row r="12647" spans="2:2">
      <c r="B12647"/>
    </row>
    <row r="12648" spans="2:2">
      <c r="B12648"/>
    </row>
    <row r="12649" spans="2:2">
      <c r="B12649"/>
    </row>
    <row r="12650" spans="2:2">
      <c r="B12650"/>
    </row>
    <row r="12651" spans="2:2">
      <c r="B12651"/>
    </row>
    <row r="12652" spans="2:2">
      <c r="B12652"/>
    </row>
    <row r="12653" spans="2:2">
      <c r="B12653"/>
    </row>
    <row r="12654" spans="2:2">
      <c r="B12654"/>
    </row>
    <row r="12655" spans="2:2">
      <c r="B12655"/>
    </row>
    <row r="12656" spans="2:2">
      <c r="B12656"/>
    </row>
    <row r="12657" spans="2:2">
      <c r="B12657"/>
    </row>
    <row r="12658" spans="2:2">
      <c r="B12658"/>
    </row>
    <row r="12659" spans="2:2">
      <c r="B12659"/>
    </row>
    <row r="12660" spans="2:2">
      <c r="B12660"/>
    </row>
    <row r="12661" spans="2:2">
      <c r="B12661"/>
    </row>
    <row r="12662" spans="2:2">
      <c r="B12662"/>
    </row>
    <row r="12663" spans="2:2">
      <c r="B12663"/>
    </row>
    <row r="12664" spans="2:2">
      <c r="B12664"/>
    </row>
    <row r="12665" spans="2:2">
      <c r="B12665"/>
    </row>
    <row r="12666" spans="2:2">
      <c r="B12666"/>
    </row>
    <row r="12667" spans="2:2">
      <c r="B12667"/>
    </row>
    <row r="12668" spans="2:2">
      <c r="B12668"/>
    </row>
    <row r="12669" spans="2:2">
      <c r="B12669"/>
    </row>
    <row r="12670" spans="2:2">
      <c r="B12670"/>
    </row>
    <row r="12671" spans="2:2">
      <c r="B12671"/>
    </row>
    <row r="12672" spans="2:2">
      <c r="B12672"/>
    </row>
    <row r="12673" spans="2:2">
      <c r="B12673"/>
    </row>
    <row r="12674" spans="2:2">
      <c r="B12674"/>
    </row>
    <row r="12675" spans="2:2">
      <c r="B12675"/>
    </row>
    <row r="12676" spans="2:2">
      <c r="B12676"/>
    </row>
    <row r="12677" spans="2:2">
      <c r="B12677"/>
    </row>
    <row r="12678" spans="2:2">
      <c r="B12678"/>
    </row>
    <row r="12679" spans="2:2">
      <c r="B12679"/>
    </row>
    <row r="12680" spans="2:2">
      <c r="B12680"/>
    </row>
    <row r="12681" spans="2:2">
      <c r="B12681"/>
    </row>
    <row r="12682" spans="2:2">
      <c r="B12682"/>
    </row>
    <row r="12683" spans="2:2">
      <c r="B12683"/>
    </row>
    <row r="12684" spans="2:2">
      <c r="B12684"/>
    </row>
    <row r="12685" spans="2:2">
      <c r="B12685"/>
    </row>
    <row r="12686" spans="2:2">
      <c r="B12686"/>
    </row>
    <row r="12687" spans="2:2">
      <c r="B12687"/>
    </row>
    <row r="12688" spans="2:2">
      <c r="B12688"/>
    </row>
    <row r="12689" spans="2:2">
      <c r="B12689"/>
    </row>
    <row r="12690" spans="2:2">
      <c r="B12690"/>
    </row>
    <row r="12691" spans="2:2">
      <c r="B12691"/>
    </row>
    <row r="12692" spans="2:2">
      <c r="B12692"/>
    </row>
    <row r="12693" spans="2:2">
      <c r="B12693"/>
    </row>
    <row r="12694" spans="2:2">
      <c r="B12694"/>
    </row>
    <row r="12695" spans="2:2">
      <c r="B12695"/>
    </row>
    <row r="12696" spans="2:2">
      <c r="B12696"/>
    </row>
    <row r="12697" spans="2:2">
      <c r="B12697"/>
    </row>
    <row r="12698" spans="2:2">
      <c r="B12698"/>
    </row>
    <row r="12699" spans="2:2">
      <c r="B12699"/>
    </row>
    <row r="12700" spans="2:2">
      <c r="B12700"/>
    </row>
    <row r="12701" spans="2:2">
      <c r="B12701"/>
    </row>
    <row r="12702" spans="2:2">
      <c r="B12702"/>
    </row>
    <row r="12703" spans="2:2">
      <c r="B12703"/>
    </row>
    <row r="12704" spans="2:2">
      <c r="B12704"/>
    </row>
    <row r="12705" spans="2:2">
      <c r="B12705"/>
    </row>
    <row r="12706" spans="2:2">
      <c r="B12706"/>
    </row>
    <row r="12707" spans="2:2">
      <c r="B12707"/>
    </row>
    <row r="12708" spans="2:2">
      <c r="B12708"/>
    </row>
    <row r="12709" spans="2:2">
      <c r="B12709"/>
    </row>
    <row r="12710" spans="2:2">
      <c r="B12710"/>
    </row>
    <row r="12711" spans="2:2">
      <c r="B12711"/>
    </row>
    <row r="12712" spans="2:2">
      <c r="B12712"/>
    </row>
    <row r="12713" spans="2:2">
      <c r="B12713"/>
    </row>
    <row r="12714" spans="2:2">
      <c r="B12714"/>
    </row>
    <row r="12715" spans="2:2">
      <c r="B12715"/>
    </row>
    <row r="12716" spans="2:2">
      <c r="B12716"/>
    </row>
    <row r="12717" spans="2:2">
      <c r="B12717"/>
    </row>
    <row r="12718" spans="2:2">
      <c r="B12718"/>
    </row>
    <row r="12719" spans="2:2">
      <c r="B12719"/>
    </row>
    <row r="12720" spans="2:2">
      <c r="B12720"/>
    </row>
    <row r="12721" spans="2:2">
      <c r="B12721"/>
    </row>
    <row r="12722" spans="2:2">
      <c r="B12722"/>
    </row>
    <row r="12723" spans="2:2">
      <c r="B12723"/>
    </row>
    <row r="12724" spans="2:2">
      <c r="B12724"/>
    </row>
    <row r="12725" spans="2:2">
      <c r="B12725"/>
    </row>
    <row r="12726" spans="2:2">
      <c r="B12726"/>
    </row>
    <row r="12727" spans="2:2">
      <c r="B12727"/>
    </row>
    <row r="12728" spans="2:2">
      <c r="B12728"/>
    </row>
    <row r="12729" spans="2:2">
      <c r="B12729"/>
    </row>
    <row r="12730" spans="2:2">
      <c r="B12730"/>
    </row>
    <row r="12731" spans="2:2">
      <c r="B12731"/>
    </row>
    <row r="12732" spans="2:2">
      <c r="B12732"/>
    </row>
    <row r="12733" spans="2:2">
      <c r="B12733"/>
    </row>
    <row r="12734" spans="2:2">
      <c r="B12734"/>
    </row>
    <row r="12735" spans="2:2">
      <c r="B12735"/>
    </row>
    <row r="12736" spans="2:2">
      <c r="B12736"/>
    </row>
    <row r="12737" spans="2:2">
      <c r="B12737"/>
    </row>
    <row r="12738" spans="2:2">
      <c r="B12738"/>
    </row>
    <row r="12739" spans="2:2">
      <c r="B12739"/>
    </row>
    <row r="12740" spans="2:2">
      <c r="B12740"/>
    </row>
    <row r="12741" spans="2:2">
      <c r="B12741"/>
    </row>
    <row r="12742" spans="2:2">
      <c r="B12742"/>
    </row>
    <row r="12743" spans="2:2">
      <c r="B12743"/>
    </row>
    <row r="12744" spans="2:2">
      <c r="B12744"/>
    </row>
    <row r="12745" spans="2:2">
      <c r="B12745"/>
    </row>
    <row r="12746" spans="2:2">
      <c r="B12746"/>
    </row>
    <row r="12747" spans="2:2">
      <c r="B12747"/>
    </row>
    <row r="12748" spans="2:2">
      <c r="B12748"/>
    </row>
    <row r="12749" spans="2:2">
      <c r="B12749"/>
    </row>
    <row r="12750" spans="2:2">
      <c r="B12750"/>
    </row>
    <row r="12751" spans="2:2">
      <c r="B12751"/>
    </row>
    <row r="12752" spans="2:2">
      <c r="B12752"/>
    </row>
    <row r="12753" spans="2:2">
      <c r="B12753"/>
    </row>
    <row r="12754" spans="2:2">
      <c r="B12754"/>
    </row>
    <row r="12755" spans="2:2">
      <c r="B12755"/>
    </row>
    <row r="12756" spans="2:2">
      <c r="B12756"/>
    </row>
    <row r="12757" spans="2:2">
      <c r="B12757"/>
    </row>
    <row r="12758" spans="2:2">
      <c r="B12758"/>
    </row>
    <row r="12759" spans="2:2">
      <c r="B12759"/>
    </row>
    <row r="12760" spans="2:2">
      <c r="B12760"/>
    </row>
    <row r="12761" spans="2:2">
      <c r="B12761"/>
    </row>
    <row r="12762" spans="2:2">
      <c r="B12762"/>
    </row>
    <row r="12763" spans="2:2">
      <c r="B12763"/>
    </row>
    <row r="12764" spans="2:2">
      <c r="B12764"/>
    </row>
    <row r="12765" spans="2:2">
      <c r="B12765"/>
    </row>
    <row r="12766" spans="2:2">
      <c r="B12766"/>
    </row>
    <row r="12767" spans="2:2">
      <c r="B12767"/>
    </row>
    <row r="12768" spans="2:2">
      <c r="B12768"/>
    </row>
    <row r="12769" spans="2:2">
      <c r="B12769"/>
    </row>
    <row r="12770" spans="2:2">
      <c r="B12770"/>
    </row>
    <row r="12771" spans="2:2">
      <c r="B12771"/>
    </row>
    <row r="12772" spans="2:2">
      <c r="B12772"/>
    </row>
    <row r="12773" spans="2:2">
      <c r="B12773"/>
    </row>
    <row r="12774" spans="2:2">
      <c r="B12774"/>
    </row>
    <row r="12775" spans="2:2">
      <c r="B12775"/>
    </row>
    <row r="12776" spans="2:2">
      <c r="B12776"/>
    </row>
    <row r="12777" spans="2:2">
      <c r="B12777"/>
    </row>
    <row r="12778" spans="2:2">
      <c r="B12778"/>
    </row>
    <row r="12779" spans="2:2">
      <c r="B12779"/>
    </row>
    <row r="12780" spans="2:2">
      <c r="B12780"/>
    </row>
    <row r="12781" spans="2:2">
      <c r="B12781"/>
    </row>
    <row r="12782" spans="2:2">
      <c r="B12782"/>
    </row>
    <row r="12783" spans="2:2">
      <c r="B12783"/>
    </row>
    <row r="12784" spans="2:2">
      <c r="B12784"/>
    </row>
    <row r="12785" spans="2:2">
      <c r="B12785"/>
    </row>
    <row r="12786" spans="2:2">
      <c r="B12786"/>
    </row>
    <row r="12787" spans="2:2">
      <c r="B12787"/>
    </row>
    <row r="12788" spans="2:2">
      <c r="B12788"/>
    </row>
    <row r="12789" spans="2:2">
      <c r="B12789"/>
    </row>
    <row r="12790" spans="2:2">
      <c r="B12790"/>
    </row>
    <row r="12791" spans="2:2">
      <c r="B12791"/>
    </row>
    <row r="12792" spans="2:2">
      <c r="B12792"/>
    </row>
    <row r="12793" spans="2:2">
      <c r="B12793"/>
    </row>
    <row r="12794" spans="2:2">
      <c r="B12794"/>
    </row>
    <row r="12795" spans="2:2">
      <c r="B12795"/>
    </row>
    <row r="12796" spans="2:2">
      <c r="B12796"/>
    </row>
    <row r="12797" spans="2:2">
      <c r="B12797"/>
    </row>
    <row r="12798" spans="2:2">
      <c r="B12798"/>
    </row>
    <row r="12799" spans="2:2">
      <c r="B12799"/>
    </row>
    <row r="12800" spans="2:2">
      <c r="B12800"/>
    </row>
    <row r="12801" spans="2:2">
      <c r="B12801"/>
    </row>
    <row r="12802" spans="2:2">
      <c r="B12802"/>
    </row>
    <row r="12803" spans="2:2">
      <c r="B12803"/>
    </row>
    <row r="12804" spans="2:2">
      <c r="B12804"/>
    </row>
    <row r="12805" spans="2:2">
      <c r="B12805"/>
    </row>
    <row r="12806" spans="2:2">
      <c r="B12806"/>
    </row>
    <row r="12807" spans="2:2">
      <c r="B12807"/>
    </row>
    <row r="12808" spans="2:2">
      <c r="B12808"/>
    </row>
    <row r="12809" spans="2:2">
      <c r="B12809"/>
    </row>
    <row r="12810" spans="2:2">
      <c r="B12810"/>
    </row>
    <row r="12811" spans="2:2">
      <c r="B12811"/>
    </row>
    <row r="12812" spans="2:2">
      <c r="B12812"/>
    </row>
    <row r="12813" spans="2:2">
      <c r="B12813"/>
    </row>
    <row r="12814" spans="2:2">
      <c r="B12814"/>
    </row>
    <row r="12815" spans="2:2">
      <c r="B12815"/>
    </row>
    <row r="12816" spans="2:2">
      <c r="B12816"/>
    </row>
    <row r="12817" spans="2:2">
      <c r="B12817"/>
    </row>
    <row r="12818" spans="2:2">
      <c r="B12818"/>
    </row>
    <row r="12819" spans="2:2">
      <c r="B12819"/>
    </row>
    <row r="12820" spans="2:2">
      <c r="B12820"/>
    </row>
    <row r="12821" spans="2:2">
      <c r="B12821"/>
    </row>
    <row r="12822" spans="2:2">
      <c r="B12822"/>
    </row>
    <row r="12823" spans="2:2">
      <c r="B12823"/>
    </row>
    <row r="12824" spans="2:2">
      <c r="B12824"/>
    </row>
    <row r="12825" spans="2:2">
      <c r="B12825"/>
    </row>
    <row r="12826" spans="2:2">
      <c r="B12826"/>
    </row>
    <row r="12827" spans="2:2">
      <c r="B12827"/>
    </row>
    <row r="12828" spans="2:2">
      <c r="B12828"/>
    </row>
    <row r="12829" spans="2:2">
      <c r="B12829"/>
    </row>
    <row r="12830" spans="2:2">
      <c r="B12830"/>
    </row>
    <row r="12831" spans="2:2">
      <c r="B12831"/>
    </row>
    <row r="12832" spans="2:2">
      <c r="B12832"/>
    </row>
    <row r="12833" spans="2:2">
      <c r="B12833"/>
    </row>
    <row r="12834" spans="2:2">
      <c r="B12834"/>
    </row>
    <row r="12835" spans="2:2">
      <c r="B12835"/>
    </row>
    <row r="12836" spans="2:2">
      <c r="B12836"/>
    </row>
    <row r="12837" spans="2:2">
      <c r="B12837"/>
    </row>
    <row r="12838" spans="2:2">
      <c r="B12838"/>
    </row>
    <row r="12839" spans="2:2">
      <c r="B12839"/>
    </row>
    <row r="12840" spans="2:2">
      <c r="B12840"/>
    </row>
    <row r="12841" spans="2:2">
      <c r="B12841"/>
    </row>
    <row r="12842" spans="2:2">
      <c r="B12842"/>
    </row>
    <row r="12843" spans="2:2">
      <c r="B12843"/>
    </row>
    <row r="12844" spans="2:2">
      <c r="B12844"/>
    </row>
    <row r="12845" spans="2:2">
      <c r="B12845"/>
    </row>
    <row r="12846" spans="2:2">
      <c r="B12846"/>
    </row>
    <row r="12847" spans="2:2">
      <c r="B12847"/>
    </row>
    <row r="12848" spans="2:2">
      <c r="B12848"/>
    </row>
    <row r="12849" spans="2:2">
      <c r="B12849"/>
    </row>
    <row r="12850" spans="2:2">
      <c r="B12850"/>
    </row>
    <row r="12851" spans="2:2">
      <c r="B12851"/>
    </row>
    <row r="12852" spans="2:2">
      <c r="B12852"/>
    </row>
    <row r="12853" spans="2:2">
      <c r="B12853"/>
    </row>
    <row r="12854" spans="2:2">
      <c r="B12854"/>
    </row>
    <row r="12855" spans="2:2">
      <c r="B12855"/>
    </row>
    <row r="12856" spans="2:2">
      <c r="B12856"/>
    </row>
    <row r="12857" spans="2:2">
      <c r="B12857"/>
    </row>
    <row r="12858" spans="2:2">
      <c r="B12858"/>
    </row>
    <row r="12859" spans="2:2">
      <c r="B12859"/>
    </row>
    <row r="12860" spans="2:2">
      <c r="B12860"/>
    </row>
    <row r="12861" spans="2:2">
      <c r="B12861"/>
    </row>
    <row r="12862" spans="2:2">
      <c r="B12862"/>
    </row>
    <row r="12863" spans="2:2">
      <c r="B12863"/>
    </row>
    <row r="12864" spans="2:2">
      <c r="B12864"/>
    </row>
    <row r="12865" spans="2:2">
      <c r="B12865"/>
    </row>
    <row r="12866" spans="2:2">
      <c r="B12866"/>
    </row>
    <row r="12867" spans="2:2">
      <c r="B12867"/>
    </row>
    <row r="12868" spans="2:2">
      <c r="B12868"/>
    </row>
    <row r="12869" spans="2:2">
      <c r="B12869"/>
    </row>
    <row r="12870" spans="2:2">
      <c r="B12870"/>
    </row>
    <row r="12871" spans="2:2">
      <c r="B12871"/>
    </row>
    <row r="12872" spans="2:2">
      <c r="B12872"/>
    </row>
    <row r="12873" spans="2:2">
      <c r="B12873"/>
    </row>
    <row r="12874" spans="2:2">
      <c r="B12874"/>
    </row>
    <row r="12875" spans="2:2">
      <c r="B12875"/>
    </row>
    <row r="12876" spans="2:2">
      <c r="B12876"/>
    </row>
    <row r="12877" spans="2:2">
      <c r="B12877"/>
    </row>
    <row r="12878" spans="2:2">
      <c r="B12878"/>
    </row>
    <row r="12879" spans="2:2">
      <c r="B12879"/>
    </row>
    <row r="12880" spans="2:2">
      <c r="B12880"/>
    </row>
    <row r="12881" spans="2:2">
      <c r="B12881"/>
    </row>
    <row r="12882" spans="2:2">
      <c r="B12882"/>
    </row>
    <row r="12883" spans="2:2">
      <c r="B12883"/>
    </row>
    <row r="12884" spans="2:2">
      <c r="B12884"/>
    </row>
    <row r="12885" spans="2:2">
      <c r="B12885"/>
    </row>
    <row r="12886" spans="2:2">
      <c r="B12886"/>
    </row>
    <row r="12887" spans="2:2">
      <c r="B12887"/>
    </row>
    <row r="12888" spans="2:2">
      <c r="B12888"/>
    </row>
    <row r="12889" spans="2:2">
      <c r="B12889"/>
    </row>
    <row r="12890" spans="2:2">
      <c r="B12890"/>
    </row>
    <row r="12891" spans="2:2">
      <c r="B12891"/>
    </row>
    <row r="12892" spans="2:2">
      <c r="B12892"/>
    </row>
    <row r="12893" spans="2:2">
      <c r="B12893"/>
    </row>
    <row r="12894" spans="2:2">
      <c r="B12894"/>
    </row>
    <row r="12895" spans="2:2">
      <c r="B12895"/>
    </row>
    <row r="12896" spans="2:2">
      <c r="B12896"/>
    </row>
    <row r="12897" spans="2:2">
      <c r="B12897"/>
    </row>
    <row r="12898" spans="2:2">
      <c r="B12898"/>
    </row>
    <row r="12899" spans="2:2">
      <c r="B12899"/>
    </row>
    <row r="12900" spans="2:2">
      <c r="B12900"/>
    </row>
    <row r="12901" spans="2:2">
      <c r="B12901"/>
    </row>
    <row r="12902" spans="2:2">
      <c r="B12902"/>
    </row>
    <row r="12903" spans="2:2">
      <c r="B12903"/>
    </row>
    <row r="12904" spans="2:2">
      <c r="B12904"/>
    </row>
    <row r="12905" spans="2:2">
      <c r="B12905"/>
    </row>
    <row r="12906" spans="2:2">
      <c r="B12906"/>
    </row>
    <row r="12907" spans="2:2">
      <c r="B12907"/>
    </row>
    <row r="12908" spans="2:2">
      <c r="B12908"/>
    </row>
    <row r="12909" spans="2:2">
      <c r="B12909"/>
    </row>
    <row r="12910" spans="2:2">
      <c r="B12910"/>
    </row>
    <row r="12911" spans="2:2">
      <c r="B12911"/>
    </row>
    <row r="12912" spans="2:2">
      <c r="B12912"/>
    </row>
    <row r="12913" spans="2:2">
      <c r="B12913"/>
    </row>
    <row r="12914" spans="2:2">
      <c r="B12914"/>
    </row>
    <row r="12915" spans="2:2">
      <c r="B12915"/>
    </row>
    <row r="12916" spans="2:2">
      <c r="B12916"/>
    </row>
    <row r="12917" spans="2:2">
      <c r="B12917"/>
    </row>
    <row r="12918" spans="2:2">
      <c r="B12918"/>
    </row>
    <row r="12919" spans="2:2">
      <c r="B12919"/>
    </row>
    <row r="12920" spans="2:2">
      <c r="B12920"/>
    </row>
    <row r="12921" spans="2:2">
      <c r="B12921"/>
    </row>
    <row r="12922" spans="2:2">
      <c r="B12922"/>
    </row>
    <row r="12923" spans="2:2">
      <c r="B12923"/>
    </row>
    <row r="12924" spans="2:2">
      <c r="B12924"/>
    </row>
    <row r="12925" spans="2:2">
      <c r="B12925"/>
    </row>
    <row r="12926" spans="2:2">
      <c r="B12926"/>
    </row>
    <row r="12927" spans="2:2">
      <c r="B12927"/>
    </row>
    <row r="12928" spans="2:2">
      <c r="B12928"/>
    </row>
    <row r="12929" spans="2:2">
      <c r="B12929"/>
    </row>
    <row r="12930" spans="2:2">
      <c r="B12930"/>
    </row>
    <row r="12931" spans="2:2">
      <c r="B12931"/>
    </row>
    <row r="12932" spans="2:2">
      <c r="B12932"/>
    </row>
    <row r="12933" spans="2:2">
      <c r="B12933"/>
    </row>
    <row r="12934" spans="2:2">
      <c r="B12934"/>
    </row>
    <row r="12935" spans="2:2">
      <c r="B12935"/>
    </row>
    <row r="12936" spans="2:2">
      <c r="B12936"/>
    </row>
    <row r="12937" spans="2:2">
      <c r="B12937"/>
    </row>
    <row r="12938" spans="2:2">
      <c r="B12938"/>
    </row>
    <row r="12939" spans="2:2">
      <c r="B12939"/>
    </row>
    <row r="12940" spans="2:2">
      <c r="B12940"/>
    </row>
    <row r="12941" spans="2:2">
      <c r="B12941"/>
    </row>
    <row r="12942" spans="2:2">
      <c r="B12942"/>
    </row>
    <row r="12943" spans="2:2">
      <c r="B12943"/>
    </row>
    <row r="12944" spans="2:2">
      <c r="B12944"/>
    </row>
    <row r="12945" spans="2:2">
      <c r="B12945"/>
    </row>
    <row r="12946" spans="2:2">
      <c r="B12946"/>
    </row>
    <row r="12947" spans="2:2">
      <c r="B12947"/>
    </row>
    <row r="12948" spans="2:2">
      <c r="B12948"/>
    </row>
    <row r="12949" spans="2:2">
      <c r="B12949"/>
    </row>
    <row r="12950" spans="2:2">
      <c r="B12950"/>
    </row>
    <row r="12951" spans="2:2">
      <c r="B12951"/>
    </row>
    <row r="12952" spans="2:2">
      <c r="B12952"/>
    </row>
    <row r="12953" spans="2:2">
      <c r="B12953"/>
    </row>
    <row r="12954" spans="2:2">
      <c r="B12954"/>
    </row>
    <row r="12955" spans="2:2">
      <c r="B12955"/>
    </row>
    <row r="12956" spans="2:2">
      <c r="B12956"/>
    </row>
    <row r="12957" spans="2:2">
      <c r="B12957"/>
    </row>
    <row r="12958" spans="2:2">
      <c r="B12958"/>
    </row>
    <row r="12959" spans="2:2">
      <c r="B12959"/>
    </row>
    <row r="12960" spans="2:2">
      <c r="B12960"/>
    </row>
    <row r="12961" spans="2:2">
      <c r="B12961"/>
    </row>
    <row r="12962" spans="2:2">
      <c r="B12962"/>
    </row>
    <row r="12963" spans="2:2">
      <c r="B12963"/>
    </row>
    <row r="12964" spans="2:2">
      <c r="B12964"/>
    </row>
    <row r="12965" spans="2:2">
      <c r="B12965"/>
    </row>
    <row r="12966" spans="2:2">
      <c r="B12966"/>
    </row>
    <row r="12967" spans="2:2">
      <c r="B12967"/>
    </row>
    <row r="12968" spans="2:2">
      <c r="B12968"/>
    </row>
    <row r="12969" spans="2:2">
      <c r="B12969"/>
    </row>
    <row r="12970" spans="2:2">
      <c r="B12970"/>
    </row>
    <row r="12971" spans="2:2">
      <c r="B12971"/>
    </row>
    <row r="12972" spans="2:2">
      <c r="B12972"/>
    </row>
    <row r="12973" spans="2:2">
      <c r="B12973"/>
    </row>
    <row r="12974" spans="2:2">
      <c r="B12974"/>
    </row>
    <row r="12975" spans="2:2">
      <c r="B12975"/>
    </row>
    <row r="12976" spans="2:2">
      <c r="B12976"/>
    </row>
    <row r="12977" spans="2:2">
      <c r="B12977"/>
    </row>
    <row r="12978" spans="2:2">
      <c r="B12978"/>
    </row>
    <row r="12979" spans="2:2">
      <c r="B12979"/>
    </row>
    <row r="12980" spans="2:2">
      <c r="B12980"/>
    </row>
    <row r="12981" spans="2:2">
      <c r="B12981"/>
    </row>
    <row r="12982" spans="2:2">
      <c r="B12982"/>
    </row>
    <row r="12983" spans="2:2">
      <c r="B12983"/>
    </row>
    <row r="12984" spans="2:2">
      <c r="B12984"/>
    </row>
    <row r="12985" spans="2:2">
      <c r="B12985"/>
    </row>
    <row r="12986" spans="2:2">
      <c r="B12986"/>
    </row>
    <row r="12987" spans="2:2">
      <c r="B12987"/>
    </row>
    <row r="12988" spans="2:2">
      <c r="B12988"/>
    </row>
    <row r="12989" spans="2:2">
      <c r="B12989"/>
    </row>
    <row r="12990" spans="2:2">
      <c r="B12990"/>
    </row>
    <row r="12991" spans="2:2">
      <c r="B12991"/>
    </row>
    <row r="12992" spans="2:2">
      <c r="B12992"/>
    </row>
    <row r="12993" spans="2:2">
      <c r="B12993"/>
    </row>
    <row r="12994" spans="2:2">
      <c r="B12994"/>
    </row>
    <row r="12995" spans="2:2">
      <c r="B12995"/>
    </row>
    <row r="12996" spans="2:2">
      <c r="B12996"/>
    </row>
    <row r="12997" spans="2:2">
      <c r="B12997"/>
    </row>
    <row r="12998" spans="2:2">
      <c r="B12998"/>
    </row>
    <row r="12999" spans="2:2">
      <c r="B12999"/>
    </row>
    <row r="13000" spans="2:2">
      <c r="B13000"/>
    </row>
    <row r="13001" spans="2:2">
      <c r="B13001"/>
    </row>
    <row r="13002" spans="2:2">
      <c r="B13002"/>
    </row>
    <row r="13003" spans="2:2">
      <c r="B13003"/>
    </row>
    <row r="13004" spans="2:2">
      <c r="B13004"/>
    </row>
    <row r="13005" spans="2:2">
      <c r="B13005"/>
    </row>
    <row r="13006" spans="2:2">
      <c r="B13006"/>
    </row>
    <row r="13007" spans="2:2">
      <c r="B13007"/>
    </row>
    <row r="13008" spans="2:2">
      <c r="B13008"/>
    </row>
    <row r="13009" spans="2:2">
      <c r="B13009"/>
    </row>
    <row r="13010" spans="2:2">
      <c r="B13010"/>
    </row>
    <row r="13011" spans="2:2">
      <c r="B13011"/>
    </row>
    <row r="13012" spans="2:2">
      <c r="B13012"/>
    </row>
    <row r="13013" spans="2:2">
      <c r="B13013"/>
    </row>
    <row r="13014" spans="2:2">
      <c r="B13014"/>
    </row>
    <row r="13015" spans="2:2">
      <c r="B13015"/>
    </row>
    <row r="13016" spans="2:2">
      <c r="B13016"/>
    </row>
    <row r="13017" spans="2:2">
      <c r="B13017"/>
    </row>
    <row r="13018" spans="2:2">
      <c r="B13018"/>
    </row>
    <row r="13019" spans="2:2">
      <c r="B13019"/>
    </row>
    <row r="13020" spans="2:2">
      <c r="B13020"/>
    </row>
    <row r="13021" spans="2:2">
      <c r="B13021"/>
    </row>
    <row r="13022" spans="2:2">
      <c r="B13022"/>
    </row>
    <row r="13023" spans="2:2">
      <c r="B13023"/>
    </row>
    <row r="13024" spans="2:2">
      <c r="B13024"/>
    </row>
    <row r="13025" spans="2:2">
      <c r="B13025"/>
    </row>
    <row r="13026" spans="2:2">
      <c r="B13026"/>
    </row>
    <row r="13027" spans="2:2">
      <c r="B13027"/>
    </row>
    <row r="13028" spans="2:2">
      <c r="B13028"/>
    </row>
    <row r="13029" spans="2:2">
      <c r="B13029"/>
    </row>
    <row r="13030" spans="2:2">
      <c r="B13030"/>
    </row>
    <row r="13031" spans="2:2">
      <c r="B13031"/>
    </row>
    <row r="13032" spans="2:2">
      <c r="B13032"/>
    </row>
    <row r="13033" spans="2:2">
      <c r="B13033"/>
    </row>
    <row r="13034" spans="2:2">
      <c r="B13034"/>
    </row>
    <row r="13035" spans="2:2">
      <c r="B13035"/>
    </row>
    <row r="13036" spans="2:2">
      <c r="B13036"/>
    </row>
    <row r="13037" spans="2:2">
      <c r="B13037"/>
    </row>
    <row r="13038" spans="2:2">
      <c r="B13038"/>
    </row>
    <row r="13039" spans="2:2">
      <c r="B13039"/>
    </row>
    <row r="13040" spans="2:2">
      <c r="B13040"/>
    </row>
    <row r="13041" spans="2:2">
      <c r="B13041"/>
    </row>
    <row r="13042" spans="2:2">
      <c r="B13042"/>
    </row>
    <row r="13043" spans="2:2">
      <c r="B13043"/>
    </row>
    <row r="13044" spans="2:2">
      <c r="B13044"/>
    </row>
    <row r="13045" spans="2:2">
      <c r="B13045"/>
    </row>
    <row r="13046" spans="2:2">
      <c r="B13046"/>
    </row>
    <row r="13047" spans="2:2">
      <c r="B13047"/>
    </row>
    <row r="13048" spans="2:2">
      <c r="B13048"/>
    </row>
    <row r="13049" spans="2:2">
      <c r="B13049"/>
    </row>
    <row r="13050" spans="2:2">
      <c r="B13050"/>
    </row>
    <row r="13051" spans="2:2">
      <c r="B13051"/>
    </row>
    <row r="13052" spans="2:2">
      <c r="B13052"/>
    </row>
    <row r="13053" spans="2:2">
      <c r="B13053"/>
    </row>
    <row r="13054" spans="2:2">
      <c r="B13054"/>
    </row>
    <row r="13055" spans="2:2">
      <c r="B13055"/>
    </row>
    <row r="13056" spans="2:2">
      <c r="B13056"/>
    </row>
    <row r="13057" spans="2:2">
      <c r="B13057"/>
    </row>
    <row r="13058" spans="2:2">
      <c r="B13058"/>
    </row>
    <row r="13059" spans="2:2">
      <c r="B13059"/>
    </row>
    <row r="13060" spans="2:2">
      <c r="B13060"/>
    </row>
    <row r="13061" spans="2:2">
      <c r="B13061"/>
    </row>
    <row r="13062" spans="2:2">
      <c r="B13062"/>
    </row>
    <row r="13063" spans="2:2">
      <c r="B13063"/>
    </row>
    <row r="13064" spans="2:2">
      <c r="B13064"/>
    </row>
    <row r="13065" spans="2:2">
      <c r="B13065"/>
    </row>
    <row r="13066" spans="2:2">
      <c r="B13066"/>
    </row>
    <row r="13067" spans="2:2">
      <c r="B13067"/>
    </row>
    <row r="13068" spans="2:2">
      <c r="B13068"/>
    </row>
    <row r="13069" spans="2:2">
      <c r="B13069"/>
    </row>
    <row r="13070" spans="2:2">
      <c r="B13070"/>
    </row>
    <row r="13071" spans="2:2">
      <c r="B13071"/>
    </row>
    <row r="13072" spans="2:2">
      <c r="B13072"/>
    </row>
    <row r="13073" spans="2:2">
      <c r="B13073"/>
    </row>
    <row r="13074" spans="2:2">
      <c r="B13074"/>
    </row>
    <row r="13075" spans="2:2">
      <c r="B13075"/>
    </row>
    <row r="13076" spans="2:2">
      <c r="B13076"/>
    </row>
    <row r="13077" spans="2:2">
      <c r="B13077"/>
    </row>
    <row r="13078" spans="2:2">
      <c r="B13078"/>
    </row>
    <row r="13079" spans="2:2">
      <c r="B13079"/>
    </row>
    <row r="13080" spans="2:2">
      <c r="B13080"/>
    </row>
    <row r="13081" spans="2:2">
      <c r="B13081"/>
    </row>
    <row r="13082" spans="2:2">
      <c r="B13082"/>
    </row>
    <row r="13083" spans="2:2">
      <c r="B13083"/>
    </row>
    <row r="13084" spans="2:2">
      <c r="B13084"/>
    </row>
    <row r="13085" spans="2:2">
      <c r="B13085"/>
    </row>
    <row r="13086" spans="2:2">
      <c r="B13086"/>
    </row>
    <row r="13087" spans="2:2">
      <c r="B13087"/>
    </row>
    <row r="13088" spans="2:2">
      <c r="B13088"/>
    </row>
    <row r="13089" spans="2:2">
      <c r="B13089"/>
    </row>
    <row r="13090" spans="2:2">
      <c r="B13090"/>
    </row>
    <row r="13091" spans="2:2">
      <c r="B13091"/>
    </row>
    <row r="13092" spans="2:2">
      <c r="B13092"/>
    </row>
    <row r="13093" spans="2:2">
      <c r="B13093"/>
    </row>
    <row r="13094" spans="2:2">
      <c r="B13094"/>
    </row>
    <row r="13095" spans="2:2">
      <c r="B13095"/>
    </row>
    <row r="13096" spans="2:2">
      <c r="B13096"/>
    </row>
    <row r="13097" spans="2:2">
      <c r="B13097"/>
    </row>
    <row r="13098" spans="2:2">
      <c r="B13098"/>
    </row>
    <row r="13099" spans="2:2">
      <c r="B13099"/>
    </row>
    <row r="13100" spans="2:2">
      <c r="B13100"/>
    </row>
    <row r="13101" spans="2:2">
      <c r="B13101"/>
    </row>
    <row r="13102" spans="2:2">
      <c r="B13102"/>
    </row>
    <row r="13103" spans="2:2">
      <c r="B13103"/>
    </row>
    <row r="13104" spans="2:2">
      <c r="B13104"/>
    </row>
    <row r="13105" spans="2:2">
      <c r="B13105"/>
    </row>
    <row r="13106" spans="2:2">
      <c r="B13106"/>
    </row>
    <row r="13107" spans="2:2">
      <c r="B13107"/>
    </row>
    <row r="13108" spans="2:2">
      <c r="B13108"/>
    </row>
    <row r="13109" spans="2:2">
      <c r="B13109"/>
    </row>
    <row r="13110" spans="2:2">
      <c r="B13110"/>
    </row>
    <row r="13111" spans="2:2">
      <c r="B13111"/>
    </row>
    <row r="13112" spans="2:2">
      <c r="B13112"/>
    </row>
    <row r="13113" spans="2:2">
      <c r="B13113"/>
    </row>
    <row r="13114" spans="2:2">
      <c r="B13114"/>
    </row>
    <row r="13115" spans="2:2">
      <c r="B13115"/>
    </row>
    <row r="13116" spans="2:2">
      <c r="B13116"/>
    </row>
    <row r="13117" spans="2:2">
      <c r="B13117"/>
    </row>
    <row r="13118" spans="2:2">
      <c r="B13118"/>
    </row>
    <row r="13119" spans="2:2">
      <c r="B13119"/>
    </row>
    <row r="13120" spans="2:2">
      <c r="B13120"/>
    </row>
    <row r="13121" spans="2:2">
      <c r="B13121"/>
    </row>
    <row r="13122" spans="2:2">
      <c r="B13122"/>
    </row>
    <row r="13123" spans="2:2">
      <c r="B13123"/>
    </row>
    <row r="13124" spans="2:2">
      <c r="B13124"/>
    </row>
    <row r="13125" spans="2:2">
      <c r="B13125"/>
    </row>
    <row r="13126" spans="2:2">
      <c r="B13126"/>
    </row>
    <row r="13127" spans="2:2">
      <c r="B13127"/>
    </row>
    <row r="13128" spans="2:2">
      <c r="B13128"/>
    </row>
    <row r="13129" spans="2:2">
      <c r="B13129"/>
    </row>
    <row r="13130" spans="2:2">
      <c r="B13130"/>
    </row>
    <row r="13131" spans="2:2">
      <c r="B13131"/>
    </row>
    <row r="13132" spans="2:2">
      <c r="B13132"/>
    </row>
    <row r="13133" spans="2:2">
      <c r="B13133"/>
    </row>
    <row r="13134" spans="2:2">
      <c r="B13134"/>
    </row>
    <row r="13135" spans="2:2">
      <c r="B13135"/>
    </row>
    <row r="13136" spans="2:2">
      <c r="B13136"/>
    </row>
    <row r="13137" spans="2:2">
      <c r="B13137"/>
    </row>
    <row r="13138" spans="2:2">
      <c r="B13138"/>
    </row>
    <row r="13139" spans="2:2">
      <c r="B13139"/>
    </row>
    <row r="13140" spans="2:2">
      <c r="B13140"/>
    </row>
    <row r="13141" spans="2:2">
      <c r="B13141"/>
    </row>
    <row r="13142" spans="2:2">
      <c r="B13142"/>
    </row>
    <row r="13143" spans="2:2">
      <c r="B13143"/>
    </row>
    <row r="13144" spans="2:2">
      <c r="B13144"/>
    </row>
    <row r="13145" spans="2:2">
      <c r="B13145"/>
    </row>
    <row r="13146" spans="2:2">
      <c r="B13146"/>
    </row>
    <row r="13147" spans="2:2">
      <c r="B13147"/>
    </row>
    <row r="13148" spans="2:2">
      <c r="B13148"/>
    </row>
    <row r="13149" spans="2:2">
      <c r="B13149"/>
    </row>
    <row r="13150" spans="2:2">
      <c r="B13150"/>
    </row>
    <row r="13151" spans="2:2">
      <c r="B13151"/>
    </row>
    <row r="13152" spans="2:2">
      <c r="B13152"/>
    </row>
    <row r="13153" spans="2:2">
      <c r="B13153"/>
    </row>
    <row r="13154" spans="2:2">
      <c r="B13154"/>
    </row>
    <row r="13155" spans="2:2">
      <c r="B13155"/>
    </row>
    <row r="13156" spans="2:2">
      <c r="B13156"/>
    </row>
    <row r="13157" spans="2:2">
      <c r="B13157"/>
    </row>
    <row r="13158" spans="2:2">
      <c r="B13158"/>
    </row>
    <row r="13159" spans="2:2">
      <c r="B13159"/>
    </row>
    <row r="13160" spans="2:2">
      <c r="B13160"/>
    </row>
    <row r="13161" spans="2:2">
      <c r="B13161"/>
    </row>
    <row r="13162" spans="2:2">
      <c r="B13162"/>
    </row>
    <row r="13163" spans="2:2">
      <c r="B13163"/>
    </row>
    <row r="13164" spans="2:2">
      <c r="B13164"/>
    </row>
    <row r="13165" spans="2:2">
      <c r="B13165"/>
    </row>
    <row r="13166" spans="2:2">
      <c r="B13166"/>
    </row>
    <row r="13167" spans="2:2">
      <c r="B13167"/>
    </row>
    <row r="13168" spans="2:2">
      <c r="B13168"/>
    </row>
    <row r="13169" spans="2:2">
      <c r="B13169"/>
    </row>
    <row r="13170" spans="2:2">
      <c r="B13170"/>
    </row>
    <row r="13171" spans="2:2">
      <c r="B13171"/>
    </row>
    <row r="13172" spans="2:2">
      <c r="B13172"/>
    </row>
    <row r="13173" spans="2:2">
      <c r="B13173"/>
    </row>
    <row r="13174" spans="2:2">
      <c r="B13174"/>
    </row>
    <row r="13175" spans="2:2">
      <c r="B13175"/>
    </row>
    <row r="13176" spans="2:2">
      <c r="B13176"/>
    </row>
    <row r="13177" spans="2:2">
      <c r="B13177"/>
    </row>
    <row r="13178" spans="2:2">
      <c r="B13178"/>
    </row>
    <row r="13179" spans="2:2">
      <c r="B13179"/>
    </row>
    <row r="13180" spans="2:2">
      <c r="B13180"/>
    </row>
    <row r="13181" spans="2:2">
      <c r="B13181"/>
    </row>
    <row r="13182" spans="2:2">
      <c r="B13182"/>
    </row>
    <row r="13183" spans="2:2">
      <c r="B13183"/>
    </row>
    <row r="13184" spans="2:2">
      <c r="B13184"/>
    </row>
    <row r="13185" spans="2:2">
      <c r="B13185"/>
    </row>
    <row r="13186" spans="2:2">
      <c r="B13186"/>
    </row>
    <row r="13187" spans="2:2">
      <c r="B13187"/>
    </row>
    <row r="13188" spans="2:2">
      <c r="B13188"/>
    </row>
    <row r="13189" spans="2:2">
      <c r="B13189"/>
    </row>
    <row r="13190" spans="2:2">
      <c r="B13190"/>
    </row>
    <row r="13191" spans="2:2">
      <c r="B13191"/>
    </row>
    <row r="13192" spans="2:2">
      <c r="B13192"/>
    </row>
    <row r="13193" spans="2:2">
      <c r="B13193"/>
    </row>
    <row r="13194" spans="2:2">
      <c r="B13194"/>
    </row>
    <row r="13195" spans="2:2">
      <c r="B13195"/>
    </row>
    <row r="13196" spans="2:2">
      <c r="B13196"/>
    </row>
    <row r="13197" spans="2:2">
      <c r="B13197"/>
    </row>
    <row r="13198" spans="2:2">
      <c r="B13198"/>
    </row>
    <row r="13199" spans="2:2">
      <c r="B13199"/>
    </row>
    <row r="13200" spans="2:2">
      <c r="B13200"/>
    </row>
    <row r="13201" spans="2:2">
      <c r="B13201"/>
    </row>
    <row r="13202" spans="2:2">
      <c r="B13202"/>
    </row>
    <row r="13203" spans="2:2">
      <c r="B13203"/>
    </row>
    <row r="13204" spans="2:2">
      <c r="B13204"/>
    </row>
    <row r="13205" spans="2:2">
      <c r="B13205"/>
    </row>
    <row r="13206" spans="2:2">
      <c r="B13206"/>
    </row>
    <row r="13207" spans="2:2">
      <c r="B13207"/>
    </row>
    <row r="13208" spans="2:2">
      <c r="B13208"/>
    </row>
    <row r="13209" spans="2:2">
      <c r="B13209"/>
    </row>
    <row r="13210" spans="2:2">
      <c r="B13210"/>
    </row>
    <row r="13211" spans="2:2">
      <c r="B13211"/>
    </row>
    <row r="13212" spans="2:2">
      <c r="B13212"/>
    </row>
    <row r="13213" spans="2:2">
      <c r="B13213"/>
    </row>
    <row r="13214" spans="2:2">
      <c r="B13214"/>
    </row>
    <row r="13215" spans="2:2">
      <c r="B13215"/>
    </row>
    <row r="13216" spans="2:2">
      <c r="B13216"/>
    </row>
    <row r="13217" spans="2:2">
      <c r="B13217"/>
    </row>
    <row r="13218" spans="2:2">
      <c r="B13218"/>
    </row>
    <row r="13219" spans="2:2">
      <c r="B13219"/>
    </row>
    <row r="13220" spans="2:2">
      <c r="B13220"/>
    </row>
    <row r="13221" spans="2:2">
      <c r="B13221"/>
    </row>
    <row r="13222" spans="2:2">
      <c r="B13222"/>
    </row>
    <row r="13223" spans="2:2">
      <c r="B13223"/>
    </row>
    <row r="13224" spans="2:2">
      <c r="B13224"/>
    </row>
    <row r="13225" spans="2:2">
      <c r="B13225"/>
    </row>
    <row r="13226" spans="2:2">
      <c r="B13226"/>
    </row>
    <row r="13227" spans="2:2">
      <c r="B13227"/>
    </row>
    <row r="13228" spans="2:2">
      <c r="B13228"/>
    </row>
    <row r="13229" spans="2:2">
      <c r="B13229"/>
    </row>
    <row r="13230" spans="2:2">
      <c r="B13230"/>
    </row>
    <row r="13231" spans="2:2">
      <c r="B13231"/>
    </row>
    <row r="13232" spans="2:2">
      <c r="B13232"/>
    </row>
    <row r="13233" spans="2:2">
      <c r="B13233"/>
    </row>
    <row r="13234" spans="2:2">
      <c r="B13234"/>
    </row>
    <row r="13235" spans="2:2">
      <c r="B13235"/>
    </row>
    <row r="13236" spans="2:2">
      <c r="B13236"/>
    </row>
    <row r="13237" spans="2:2">
      <c r="B13237"/>
    </row>
    <row r="13238" spans="2:2">
      <c r="B13238"/>
    </row>
    <row r="13239" spans="2:2">
      <c r="B13239"/>
    </row>
    <row r="13240" spans="2:2">
      <c r="B13240"/>
    </row>
    <row r="13241" spans="2:2">
      <c r="B13241"/>
    </row>
    <row r="13242" spans="2:2">
      <c r="B13242"/>
    </row>
    <row r="13243" spans="2:2">
      <c r="B13243"/>
    </row>
    <row r="13244" spans="2:2">
      <c r="B13244"/>
    </row>
    <row r="13245" spans="2:2">
      <c r="B13245"/>
    </row>
    <row r="13246" spans="2:2">
      <c r="B13246"/>
    </row>
    <row r="13247" spans="2:2">
      <c r="B13247"/>
    </row>
    <row r="13248" spans="2:2">
      <c r="B13248"/>
    </row>
    <row r="13249" spans="2:2">
      <c r="B13249"/>
    </row>
    <row r="13250" spans="2:2">
      <c r="B13250"/>
    </row>
    <row r="13251" spans="2:2">
      <c r="B13251"/>
    </row>
    <row r="13252" spans="2:2">
      <c r="B13252"/>
    </row>
    <row r="13253" spans="2:2">
      <c r="B13253"/>
    </row>
    <row r="13254" spans="2:2">
      <c r="B13254"/>
    </row>
    <row r="13255" spans="2:2">
      <c r="B13255"/>
    </row>
    <row r="13256" spans="2:2">
      <c r="B13256"/>
    </row>
    <row r="13257" spans="2:2">
      <c r="B13257"/>
    </row>
    <row r="13258" spans="2:2">
      <c r="B13258"/>
    </row>
    <row r="13259" spans="2:2">
      <c r="B13259"/>
    </row>
    <row r="13260" spans="2:2">
      <c r="B13260"/>
    </row>
    <row r="13261" spans="2:2">
      <c r="B13261"/>
    </row>
    <row r="13262" spans="2:2">
      <c r="B13262"/>
    </row>
    <row r="13263" spans="2:2">
      <c r="B13263"/>
    </row>
    <row r="13264" spans="2:2">
      <c r="B13264"/>
    </row>
    <row r="13265" spans="2:2">
      <c r="B13265"/>
    </row>
    <row r="13266" spans="2:2">
      <c r="B13266"/>
    </row>
    <row r="13267" spans="2:2">
      <c r="B13267"/>
    </row>
    <row r="13268" spans="2:2">
      <c r="B13268"/>
    </row>
    <row r="13269" spans="2:2">
      <c r="B13269"/>
    </row>
    <row r="13270" spans="2:2">
      <c r="B13270"/>
    </row>
    <row r="13271" spans="2:2">
      <c r="B13271"/>
    </row>
    <row r="13272" spans="2:2">
      <c r="B13272"/>
    </row>
    <row r="13273" spans="2:2">
      <c r="B13273"/>
    </row>
    <row r="13274" spans="2:2">
      <c r="B13274"/>
    </row>
    <row r="13275" spans="2:2">
      <c r="B13275"/>
    </row>
    <row r="13276" spans="2:2">
      <c r="B13276"/>
    </row>
    <row r="13277" spans="2:2">
      <c r="B13277"/>
    </row>
    <row r="13278" spans="2:2">
      <c r="B13278"/>
    </row>
    <row r="13279" spans="2:2">
      <c r="B13279"/>
    </row>
    <row r="13280" spans="2:2">
      <c r="B13280"/>
    </row>
    <row r="13281" spans="2:2">
      <c r="B13281"/>
    </row>
    <row r="13282" spans="2:2">
      <c r="B13282"/>
    </row>
    <row r="13283" spans="2:2">
      <c r="B13283"/>
    </row>
    <row r="13284" spans="2:2">
      <c r="B13284"/>
    </row>
    <row r="13285" spans="2:2">
      <c r="B13285"/>
    </row>
    <row r="13286" spans="2:2">
      <c r="B13286"/>
    </row>
    <row r="13287" spans="2:2">
      <c r="B13287"/>
    </row>
    <row r="13288" spans="2:2">
      <c r="B13288"/>
    </row>
    <row r="13289" spans="2:2">
      <c r="B13289"/>
    </row>
    <row r="13290" spans="2:2">
      <c r="B13290"/>
    </row>
    <row r="13291" spans="2:2">
      <c r="B13291"/>
    </row>
    <row r="13292" spans="2:2">
      <c r="B13292"/>
    </row>
    <row r="13293" spans="2:2">
      <c r="B13293"/>
    </row>
    <row r="13294" spans="2:2">
      <c r="B13294"/>
    </row>
    <row r="13295" spans="2:2">
      <c r="B13295"/>
    </row>
    <row r="13296" spans="2:2">
      <c r="B13296"/>
    </row>
    <row r="13297" spans="2:2">
      <c r="B13297"/>
    </row>
    <row r="13298" spans="2:2">
      <c r="B13298"/>
    </row>
    <row r="13299" spans="2:2">
      <c r="B13299"/>
    </row>
    <row r="13300" spans="2:2">
      <c r="B13300"/>
    </row>
    <row r="13301" spans="2:2">
      <c r="B13301"/>
    </row>
    <row r="13302" spans="2:2">
      <c r="B13302"/>
    </row>
    <row r="13303" spans="2:2">
      <c r="B13303"/>
    </row>
    <row r="13304" spans="2:2">
      <c r="B13304"/>
    </row>
    <row r="13305" spans="2:2">
      <c r="B13305"/>
    </row>
    <row r="13306" spans="2:2">
      <c r="B13306"/>
    </row>
    <row r="13307" spans="2:2">
      <c r="B13307"/>
    </row>
    <row r="13308" spans="2:2">
      <c r="B13308"/>
    </row>
    <row r="13309" spans="2:2">
      <c r="B13309"/>
    </row>
    <row r="13310" spans="2:2">
      <c r="B13310"/>
    </row>
    <row r="13311" spans="2:2">
      <c r="B13311"/>
    </row>
    <row r="13312" spans="2:2">
      <c r="B13312"/>
    </row>
    <row r="13313" spans="2:2">
      <c r="B13313"/>
    </row>
    <row r="13314" spans="2:2">
      <c r="B13314"/>
    </row>
    <row r="13315" spans="2:2">
      <c r="B13315"/>
    </row>
    <row r="13316" spans="2:2">
      <c r="B13316"/>
    </row>
    <row r="13317" spans="2:2">
      <c r="B13317"/>
    </row>
    <row r="13318" spans="2:2">
      <c r="B13318"/>
    </row>
    <row r="13319" spans="2:2">
      <c r="B13319"/>
    </row>
    <row r="13320" spans="2:2">
      <c r="B13320"/>
    </row>
    <row r="13321" spans="2:2">
      <c r="B13321"/>
    </row>
    <row r="13322" spans="2:2">
      <c r="B13322"/>
    </row>
    <row r="13323" spans="2:2">
      <c r="B13323"/>
    </row>
    <row r="13324" spans="2:2">
      <c r="B13324"/>
    </row>
    <row r="13325" spans="2:2">
      <c r="B13325"/>
    </row>
    <row r="13326" spans="2:2">
      <c r="B13326"/>
    </row>
    <row r="13327" spans="2:2">
      <c r="B13327"/>
    </row>
    <row r="13328" spans="2:2">
      <c r="B13328"/>
    </row>
    <row r="13329" spans="2:2">
      <c r="B13329"/>
    </row>
    <row r="13330" spans="2:2">
      <c r="B13330"/>
    </row>
    <row r="13331" spans="2:2">
      <c r="B13331"/>
    </row>
    <row r="13332" spans="2:2">
      <c r="B13332"/>
    </row>
    <row r="13333" spans="2:2">
      <c r="B13333"/>
    </row>
    <row r="13334" spans="2:2">
      <c r="B13334"/>
    </row>
    <row r="13335" spans="2:2">
      <c r="B13335"/>
    </row>
    <row r="13336" spans="2:2">
      <c r="B13336"/>
    </row>
    <row r="13337" spans="2:2">
      <c r="B13337"/>
    </row>
    <row r="13338" spans="2:2">
      <c r="B13338"/>
    </row>
    <row r="13339" spans="2:2">
      <c r="B13339"/>
    </row>
    <row r="13340" spans="2:2">
      <c r="B13340"/>
    </row>
    <row r="13341" spans="2:2">
      <c r="B13341"/>
    </row>
    <row r="13342" spans="2:2">
      <c r="B13342"/>
    </row>
    <row r="13343" spans="2:2">
      <c r="B13343"/>
    </row>
    <row r="13344" spans="2:2">
      <c r="B13344"/>
    </row>
    <row r="13345" spans="2:2">
      <c r="B13345"/>
    </row>
    <row r="13346" spans="2:2">
      <c r="B13346"/>
    </row>
    <row r="13347" spans="2:2">
      <c r="B13347"/>
    </row>
    <row r="13348" spans="2:2">
      <c r="B13348"/>
    </row>
    <row r="13349" spans="2:2">
      <c r="B13349"/>
    </row>
    <row r="13350" spans="2:2">
      <c r="B13350"/>
    </row>
    <row r="13351" spans="2:2">
      <c r="B13351"/>
    </row>
    <row r="13352" spans="2:2">
      <c r="B13352"/>
    </row>
    <row r="13353" spans="2:2">
      <c r="B13353"/>
    </row>
    <row r="13354" spans="2:2">
      <c r="B13354"/>
    </row>
    <row r="13355" spans="2:2">
      <c r="B13355"/>
    </row>
    <row r="13356" spans="2:2">
      <c r="B13356"/>
    </row>
    <row r="13357" spans="2:2">
      <c r="B13357"/>
    </row>
    <row r="13358" spans="2:2">
      <c r="B13358"/>
    </row>
    <row r="13359" spans="2:2">
      <c r="B13359"/>
    </row>
    <row r="13360" spans="2:2">
      <c r="B13360"/>
    </row>
    <row r="13361" spans="2:2">
      <c r="B13361"/>
    </row>
    <row r="13362" spans="2:2">
      <c r="B13362"/>
    </row>
    <row r="13363" spans="2:2">
      <c r="B13363"/>
    </row>
    <row r="13364" spans="2:2">
      <c r="B13364"/>
    </row>
    <row r="13365" spans="2:2">
      <c r="B13365"/>
    </row>
    <row r="13366" spans="2:2">
      <c r="B13366"/>
    </row>
    <row r="13367" spans="2:2">
      <c r="B13367"/>
    </row>
    <row r="13368" spans="2:2">
      <c r="B13368"/>
    </row>
    <row r="13369" spans="2:2">
      <c r="B13369"/>
    </row>
    <row r="13370" spans="2:2">
      <c r="B13370"/>
    </row>
    <row r="13371" spans="2:2">
      <c r="B13371"/>
    </row>
    <row r="13372" spans="2:2">
      <c r="B13372"/>
    </row>
    <row r="13373" spans="2:2">
      <c r="B13373"/>
    </row>
    <row r="13374" spans="2:2">
      <c r="B13374"/>
    </row>
    <row r="13375" spans="2:2">
      <c r="B13375"/>
    </row>
    <row r="13376" spans="2:2">
      <c r="B13376"/>
    </row>
    <row r="13377" spans="2:2">
      <c r="B13377"/>
    </row>
    <row r="13378" spans="2:2">
      <c r="B13378"/>
    </row>
    <row r="13379" spans="2:2">
      <c r="B13379"/>
    </row>
    <row r="13380" spans="2:2">
      <c r="B13380"/>
    </row>
    <row r="13381" spans="2:2">
      <c r="B13381"/>
    </row>
    <row r="13382" spans="2:2">
      <c r="B13382"/>
    </row>
    <row r="13383" spans="2:2">
      <c r="B13383"/>
    </row>
    <row r="13384" spans="2:2">
      <c r="B13384"/>
    </row>
    <row r="13385" spans="2:2">
      <c r="B13385"/>
    </row>
    <row r="13386" spans="2:2">
      <c r="B13386"/>
    </row>
    <row r="13387" spans="2:2">
      <c r="B13387"/>
    </row>
    <row r="13388" spans="2:2">
      <c r="B13388"/>
    </row>
    <row r="13389" spans="2:2">
      <c r="B13389"/>
    </row>
    <row r="13390" spans="2:2">
      <c r="B13390"/>
    </row>
    <row r="13391" spans="2:2">
      <c r="B13391"/>
    </row>
    <row r="13392" spans="2:2">
      <c r="B13392"/>
    </row>
    <row r="13393" spans="2:2">
      <c r="B13393"/>
    </row>
    <row r="13394" spans="2:2">
      <c r="B13394"/>
    </row>
    <row r="13395" spans="2:2">
      <c r="B13395"/>
    </row>
    <row r="13396" spans="2:2">
      <c r="B13396"/>
    </row>
    <row r="13397" spans="2:2">
      <c r="B13397"/>
    </row>
    <row r="13398" spans="2:2">
      <c r="B13398"/>
    </row>
    <row r="13399" spans="2:2">
      <c r="B13399"/>
    </row>
    <row r="13400" spans="2:2">
      <c r="B13400"/>
    </row>
    <row r="13401" spans="2:2">
      <c r="B13401"/>
    </row>
    <row r="13402" spans="2:2">
      <c r="B13402"/>
    </row>
    <row r="13403" spans="2:2">
      <c r="B13403"/>
    </row>
    <row r="13404" spans="2:2">
      <c r="B13404"/>
    </row>
    <row r="13405" spans="2:2">
      <c r="B13405"/>
    </row>
    <row r="13406" spans="2:2">
      <c r="B13406"/>
    </row>
    <row r="13407" spans="2:2">
      <c r="B13407"/>
    </row>
    <row r="13408" spans="2:2">
      <c r="B13408"/>
    </row>
    <row r="13409" spans="2:2">
      <c r="B13409"/>
    </row>
    <row r="13410" spans="2:2">
      <c r="B13410"/>
    </row>
    <row r="13411" spans="2:2">
      <c r="B13411"/>
    </row>
    <row r="13412" spans="2:2">
      <c r="B13412"/>
    </row>
    <row r="13413" spans="2:2">
      <c r="B13413"/>
    </row>
    <row r="13414" spans="2:2">
      <c r="B13414"/>
    </row>
    <row r="13415" spans="2:2">
      <c r="B13415"/>
    </row>
    <row r="13416" spans="2:2">
      <c r="B13416"/>
    </row>
    <row r="13417" spans="2:2">
      <c r="B13417"/>
    </row>
    <row r="13418" spans="2:2">
      <c r="B13418"/>
    </row>
    <row r="13419" spans="2:2">
      <c r="B13419"/>
    </row>
    <row r="13420" spans="2:2">
      <c r="B13420"/>
    </row>
    <row r="13421" spans="2:2">
      <c r="B13421"/>
    </row>
    <row r="13422" spans="2:2">
      <c r="B13422"/>
    </row>
    <row r="13423" spans="2:2">
      <c r="B13423"/>
    </row>
    <row r="13424" spans="2:2">
      <c r="B13424"/>
    </row>
    <row r="13425" spans="2:2">
      <c r="B13425"/>
    </row>
    <row r="13426" spans="2:2">
      <c r="B13426"/>
    </row>
    <row r="13427" spans="2:2">
      <c r="B13427"/>
    </row>
    <row r="13428" spans="2:2">
      <c r="B13428"/>
    </row>
    <row r="13429" spans="2:2">
      <c r="B13429"/>
    </row>
    <row r="13430" spans="2:2">
      <c r="B13430"/>
    </row>
    <row r="13431" spans="2:2">
      <c r="B13431"/>
    </row>
    <row r="13432" spans="2:2">
      <c r="B13432"/>
    </row>
    <row r="13433" spans="2:2">
      <c r="B13433"/>
    </row>
    <row r="13434" spans="2:2">
      <c r="B13434"/>
    </row>
    <row r="13435" spans="2:2">
      <c r="B13435"/>
    </row>
    <row r="13436" spans="2:2">
      <c r="B13436"/>
    </row>
    <row r="13437" spans="2:2">
      <c r="B13437"/>
    </row>
    <row r="13438" spans="2:2">
      <c r="B13438"/>
    </row>
    <row r="13439" spans="2:2">
      <c r="B13439"/>
    </row>
    <row r="13440" spans="2:2">
      <c r="B13440"/>
    </row>
    <row r="13441" spans="2:2">
      <c r="B13441"/>
    </row>
    <row r="13442" spans="2:2">
      <c r="B13442"/>
    </row>
    <row r="13443" spans="2:2">
      <c r="B13443"/>
    </row>
    <row r="13444" spans="2:2">
      <c r="B13444"/>
    </row>
    <row r="13445" spans="2:2">
      <c r="B13445"/>
    </row>
    <row r="13446" spans="2:2">
      <c r="B13446"/>
    </row>
    <row r="13447" spans="2:2">
      <c r="B13447"/>
    </row>
    <row r="13448" spans="2:2">
      <c r="B13448"/>
    </row>
    <row r="13449" spans="2:2">
      <c r="B13449"/>
    </row>
    <row r="13450" spans="2:2">
      <c r="B13450"/>
    </row>
    <row r="13451" spans="2:2">
      <c r="B13451"/>
    </row>
    <row r="13452" spans="2:2">
      <c r="B13452"/>
    </row>
    <row r="13453" spans="2:2">
      <c r="B13453"/>
    </row>
    <row r="13454" spans="2:2">
      <c r="B13454"/>
    </row>
    <row r="13455" spans="2:2">
      <c r="B13455"/>
    </row>
    <row r="13456" spans="2:2">
      <c r="B13456"/>
    </row>
    <row r="13457" spans="2:2">
      <c r="B13457"/>
    </row>
    <row r="13458" spans="2:2">
      <c r="B13458"/>
    </row>
    <row r="13459" spans="2:2">
      <c r="B13459"/>
    </row>
    <row r="13460" spans="2:2">
      <c r="B13460"/>
    </row>
    <row r="13461" spans="2:2">
      <c r="B13461"/>
    </row>
    <row r="13462" spans="2:2">
      <c r="B13462"/>
    </row>
    <row r="13463" spans="2:2">
      <c r="B13463"/>
    </row>
    <row r="13464" spans="2:2">
      <c r="B13464"/>
    </row>
    <row r="13465" spans="2:2">
      <c r="B13465"/>
    </row>
    <row r="13466" spans="2:2">
      <c r="B13466"/>
    </row>
    <row r="13467" spans="2:2">
      <c r="B13467"/>
    </row>
    <row r="13468" spans="2:2">
      <c r="B13468"/>
    </row>
    <row r="13469" spans="2:2">
      <c r="B13469"/>
    </row>
    <row r="13470" spans="2:2">
      <c r="B13470"/>
    </row>
    <row r="13471" spans="2:2">
      <c r="B13471"/>
    </row>
    <row r="13472" spans="2:2">
      <c r="B13472"/>
    </row>
    <row r="13473" spans="2:2">
      <c r="B13473"/>
    </row>
    <row r="13474" spans="2:2">
      <c r="B13474"/>
    </row>
    <row r="13475" spans="2:2">
      <c r="B13475"/>
    </row>
    <row r="13476" spans="2:2">
      <c r="B13476"/>
    </row>
    <row r="13477" spans="2:2">
      <c r="B13477"/>
    </row>
    <row r="13478" spans="2:2">
      <c r="B13478"/>
    </row>
    <row r="13479" spans="2:2">
      <c r="B13479"/>
    </row>
    <row r="13480" spans="2:2">
      <c r="B13480"/>
    </row>
    <row r="13481" spans="2:2">
      <c r="B13481"/>
    </row>
    <row r="13482" spans="2:2">
      <c r="B13482"/>
    </row>
    <row r="13483" spans="2:2">
      <c r="B13483"/>
    </row>
    <row r="13484" spans="2:2">
      <c r="B13484"/>
    </row>
    <row r="13485" spans="2:2">
      <c r="B13485"/>
    </row>
    <row r="13486" spans="2:2">
      <c r="B13486"/>
    </row>
    <row r="13487" spans="2:2">
      <c r="B13487"/>
    </row>
    <row r="13488" spans="2:2">
      <c r="B13488"/>
    </row>
    <row r="13489" spans="2:2">
      <c r="B13489"/>
    </row>
    <row r="13490" spans="2:2">
      <c r="B13490"/>
    </row>
    <row r="13491" spans="2:2">
      <c r="B13491"/>
    </row>
    <row r="13492" spans="2:2">
      <c r="B13492"/>
    </row>
    <row r="13493" spans="2:2">
      <c r="B13493"/>
    </row>
    <row r="13494" spans="2:2">
      <c r="B13494"/>
    </row>
    <row r="13495" spans="2:2">
      <c r="B13495"/>
    </row>
    <row r="13496" spans="2:2">
      <c r="B13496"/>
    </row>
    <row r="13497" spans="2:2">
      <c r="B13497"/>
    </row>
    <row r="13498" spans="2:2">
      <c r="B13498"/>
    </row>
    <row r="13499" spans="2:2">
      <c r="B13499"/>
    </row>
    <row r="13500" spans="2:2">
      <c r="B13500"/>
    </row>
    <row r="13501" spans="2:2">
      <c r="B13501"/>
    </row>
    <row r="13502" spans="2:2">
      <c r="B13502"/>
    </row>
    <row r="13503" spans="2:2">
      <c r="B13503"/>
    </row>
    <row r="13504" spans="2:2">
      <c r="B13504"/>
    </row>
    <row r="13505" spans="2:2">
      <c r="B13505"/>
    </row>
    <row r="13506" spans="2:2">
      <c r="B13506"/>
    </row>
    <row r="13507" spans="2:2">
      <c r="B13507"/>
    </row>
    <row r="13508" spans="2:2">
      <c r="B13508"/>
    </row>
    <row r="13509" spans="2:2">
      <c r="B13509"/>
    </row>
    <row r="13510" spans="2:2">
      <c r="B13510"/>
    </row>
    <row r="13511" spans="2:2">
      <c r="B13511"/>
    </row>
    <row r="13512" spans="2:2">
      <c r="B13512"/>
    </row>
    <row r="13513" spans="2:2">
      <c r="B13513"/>
    </row>
    <row r="13514" spans="2:2">
      <c r="B13514"/>
    </row>
    <row r="13515" spans="2:2">
      <c r="B13515"/>
    </row>
    <row r="13516" spans="2:2">
      <c r="B13516"/>
    </row>
    <row r="13517" spans="2:2">
      <c r="B13517"/>
    </row>
    <row r="13518" spans="2:2">
      <c r="B13518"/>
    </row>
    <row r="13519" spans="2:2">
      <c r="B13519"/>
    </row>
    <row r="13520" spans="2:2">
      <c r="B13520"/>
    </row>
    <row r="13521" spans="2:2">
      <c r="B13521"/>
    </row>
    <row r="13522" spans="2:2">
      <c r="B13522"/>
    </row>
    <row r="13523" spans="2:2">
      <c r="B13523"/>
    </row>
    <row r="13524" spans="2:2">
      <c r="B13524"/>
    </row>
    <row r="13525" spans="2:2">
      <c r="B13525"/>
    </row>
    <row r="13526" spans="2:2">
      <c r="B13526"/>
    </row>
    <row r="13527" spans="2:2">
      <c r="B13527"/>
    </row>
    <row r="13528" spans="2:2">
      <c r="B13528"/>
    </row>
    <row r="13529" spans="2:2">
      <c r="B13529"/>
    </row>
    <row r="13530" spans="2:2">
      <c r="B13530"/>
    </row>
    <row r="13531" spans="2:2">
      <c r="B13531"/>
    </row>
    <row r="13532" spans="2:2">
      <c r="B13532"/>
    </row>
    <row r="13533" spans="2:2">
      <c r="B13533"/>
    </row>
    <row r="13534" spans="2:2">
      <c r="B13534"/>
    </row>
    <row r="13535" spans="2:2">
      <c r="B13535"/>
    </row>
    <row r="13536" spans="2:2">
      <c r="B13536"/>
    </row>
    <row r="13537" spans="2:2">
      <c r="B13537"/>
    </row>
    <row r="13538" spans="2:2">
      <c r="B13538"/>
    </row>
    <row r="13539" spans="2:2">
      <c r="B13539"/>
    </row>
    <row r="13540" spans="2:2">
      <c r="B13540"/>
    </row>
    <row r="13541" spans="2:2">
      <c r="B13541"/>
    </row>
    <row r="13542" spans="2:2">
      <c r="B13542"/>
    </row>
    <row r="13543" spans="2:2">
      <c r="B13543"/>
    </row>
    <row r="13544" spans="2:2">
      <c r="B13544"/>
    </row>
    <row r="13545" spans="2:2">
      <c r="B13545"/>
    </row>
    <row r="13546" spans="2:2">
      <c r="B13546"/>
    </row>
    <row r="13547" spans="2:2">
      <c r="B13547"/>
    </row>
    <row r="13548" spans="2:2">
      <c r="B13548"/>
    </row>
    <row r="13549" spans="2:2">
      <c r="B13549"/>
    </row>
    <row r="13550" spans="2:2">
      <c r="B13550"/>
    </row>
    <row r="13551" spans="2:2">
      <c r="B13551"/>
    </row>
    <row r="13552" spans="2:2">
      <c r="B13552"/>
    </row>
    <row r="13553" spans="2:2">
      <c r="B13553"/>
    </row>
    <row r="13554" spans="2:2">
      <c r="B13554"/>
    </row>
    <row r="13555" spans="2:2">
      <c r="B13555"/>
    </row>
    <row r="13556" spans="2:2">
      <c r="B13556"/>
    </row>
    <row r="13557" spans="2:2">
      <c r="B13557"/>
    </row>
    <row r="13558" spans="2:2">
      <c r="B13558"/>
    </row>
    <row r="13559" spans="2:2">
      <c r="B13559"/>
    </row>
    <row r="13560" spans="2:2">
      <c r="B13560"/>
    </row>
    <row r="13561" spans="2:2">
      <c r="B13561"/>
    </row>
    <row r="13562" spans="2:2">
      <c r="B13562"/>
    </row>
    <row r="13563" spans="2:2">
      <c r="B13563"/>
    </row>
    <row r="13564" spans="2:2">
      <c r="B13564"/>
    </row>
    <row r="13565" spans="2:2">
      <c r="B13565"/>
    </row>
    <row r="13566" spans="2:2">
      <c r="B13566"/>
    </row>
    <row r="13567" spans="2:2">
      <c r="B13567"/>
    </row>
    <row r="13568" spans="2:2">
      <c r="B13568"/>
    </row>
    <row r="13569" spans="2:2">
      <c r="B13569"/>
    </row>
    <row r="13570" spans="2:2">
      <c r="B13570"/>
    </row>
    <row r="13571" spans="2:2">
      <c r="B13571"/>
    </row>
    <row r="13572" spans="2:2">
      <c r="B13572"/>
    </row>
    <row r="13573" spans="2:2">
      <c r="B13573"/>
    </row>
    <row r="13574" spans="2:2">
      <c r="B13574"/>
    </row>
    <row r="13575" spans="2:2">
      <c r="B13575"/>
    </row>
    <row r="13576" spans="2:2">
      <c r="B13576"/>
    </row>
    <row r="13577" spans="2:2">
      <c r="B13577"/>
    </row>
    <row r="13578" spans="2:2">
      <c r="B13578"/>
    </row>
    <row r="13579" spans="2:2">
      <c r="B13579"/>
    </row>
    <row r="13580" spans="2:2">
      <c r="B13580"/>
    </row>
    <row r="13581" spans="2:2">
      <c r="B13581"/>
    </row>
    <row r="13582" spans="2:2">
      <c r="B13582"/>
    </row>
    <row r="13583" spans="2:2">
      <c r="B13583"/>
    </row>
    <row r="13584" spans="2:2">
      <c r="B13584"/>
    </row>
    <row r="13585" spans="2:2">
      <c r="B13585"/>
    </row>
    <row r="13586" spans="2:2">
      <c r="B13586"/>
    </row>
    <row r="13587" spans="2:2">
      <c r="B13587"/>
    </row>
    <row r="13588" spans="2:2">
      <c r="B13588"/>
    </row>
    <row r="13589" spans="2:2">
      <c r="B13589"/>
    </row>
    <row r="13590" spans="2:2">
      <c r="B13590"/>
    </row>
    <row r="13591" spans="2:2">
      <c r="B13591"/>
    </row>
    <row r="13592" spans="2:2">
      <c r="B13592"/>
    </row>
    <row r="13593" spans="2:2">
      <c r="B13593"/>
    </row>
    <row r="13594" spans="2:2">
      <c r="B13594"/>
    </row>
    <row r="13595" spans="2:2">
      <c r="B13595"/>
    </row>
    <row r="13596" spans="2:2">
      <c r="B13596"/>
    </row>
    <row r="13597" spans="2:2">
      <c r="B13597"/>
    </row>
    <row r="13598" spans="2:2">
      <c r="B13598"/>
    </row>
    <row r="13599" spans="2:2">
      <c r="B13599"/>
    </row>
    <row r="13600" spans="2:2">
      <c r="B13600"/>
    </row>
    <row r="13601" spans="2:2">
      <c r="B13601"/>
    </row>
    <row r="13602" spans="2:2">
      <c r="B13602"/>
    </row>
    <row r="13603" spans="2:2">
      <c r="B13603"/>
    </row>
    <row r="13604" spans="2:2">
      <c r="B13604"/>
    </row>
    <row r="13605" spans="2:2">
      <c r="B13605"/>
    </row>
    <row r="13606" spans="2:2">
      <c r="B13606"/>
    </row>
    <row r="13607" spans="2:2">
      <c r="B13607"/>
    </row>
    <row r="13608" spans="2:2">
      <c r="B13608"/>
    </row>
    <row r="13609" spans="2:2">
      <c r="B13609"/>
    </row>
    <row r="13610" spans="2:2">
      <c r="B13610"/>
    </row>
    <row r="13611" spans="2:2">
      <c r="B13611"/>
    </row>
    <row r="13612" spans="2:2">
      <c r="B13612"/>
    </row>
    <row r="13613" spans="2:2">
      <c r="B13613"/>
    </row>
    <row r="13614" spans="2:2">
      <c r="B13614"/>
    </row>
    <row r="13615" spans="2:2">
      <c r="B13615"/>
    </row>
    <row r="13616" spans="2:2">
      <c r="B13616"/>
    </row>
    <row r="13617" spans="2:2">
      <c r="B13617"/>
    </row>
    <row r="13618" spans="2:2">
      <c r="B13618"/>
    </row>
    <row r="13619" spans="2:2">
      <c r="B13619"/>
    </row>
    <row r="13620" spans="2:2">
      <c r="B13620"/>
    </row>
    <row r="13621" spans="2:2">
      <c r="B13621"/>
    </row>
    <row r="13622" spans="2:2">
      <c r="B13622"/>
    </row>
    <row r="13623" spans="2:2">
      <c r="B13623"/>
    </row>
    <row r="13624" spans="2:2">
      <c r="B13624"/>
    </row>
    <row r="13625" spans="2:2">
      <c r="B13625"/>
    </row>
    <row r="13626" spans="2:2">
      <c r="B13626"/>
    </row>
    <row r="13627" spans="2:2">
      <c r="B13627"/>
    </row>
    <row r="13628" spans="2:2">
      <c r="B13628"/>
    </row>
    <row r="13629" spans="2:2">
      <c r="B13629"/>
    </row>
    <row r="13630" spans="2:2">
      <c r="B13630"/>
    </row>
    <row r="13631" spans="2:2">
      <c r="B13631"/>
    </row>
    <row r="13632" spans="2:2">
      <c r="B13632"/>
    </row>
    <row r="13633" spans="2:2">
      <c r="B13633"/>
    </row>
    <row r="13634" spans="2:2">
      <c r="B13634"/>
    </row>
    <row r="13635" spans="2:2">
      <c r="B13635"/>
    </row>
    <row r="13636" spans="2:2">
      <c r="B13636"/>
    </row>
    <row r="13637" spans="2:2">
      <c r="B13637"/>
    </row>
    <row r="13638" spans="2:2">
      <c r="B13638"/>
    </row>
    <row r="13639" spans="2:2">
      <c r="B13639"/>
    </row>
    <row r="13640" spans="2:2">
      <c r="B13640"/>
    </row>
    <row r="13641" spans="2:2">
      <c r="B13641"/>
    </row>
    <row r="13642" spans="2:2">
      <c r="B13642"/>
    </row>
    <row r="13643" spans="2:2">
      <c r="B13643"/>
    </row>
    <row r="13644" spans="2:2">
      <c r="B13644"/>
    </row>
    <row r="13645" spans="2:2">
      <c r="B13645"/>
    </row>
    <row r="13646" spans="2:2">
      <c r="B13646"/>
    </row>
    <row r="13647" spans="2:2">
      <c r="B13647"/>
    </row>
    <row r="13648" spans="2:2">
      <c r="B13648"/>
    </row>
    <row r="13649" spans="2:2">
      <c r="B13649"/>
    </row>
    <row r="13650" spans="2:2">
      <c r="B13650"/>
    </row>
    <row r="13651" spans="2:2">
      <c r="B13651"/>
    </row>
    <row r="13652" spans="2:2">
      <c r="B13652"/>
    </row>
    <row r="13653" spans="2:2">
      <c r="B13653"/>
    </row>
    <row r="13654" spans="2:2">
      <c r="B13654"/>
    </row>
    <row r="13655" spans="2:2">
      <c r="B13655"/>
    </row>
    <row r="13656" spans="2:2">
      <c r="B13656"/>
    </row>
    <row r="13657" spans="2:2">
      <c r="B13657"/>
    </row>
    <row r="13658" spans="2:2">
      <c r="B13658"/>
    </row>
    <row r="13659" spans="2:2">
      <c r="B13659"/>
    </row>
    <row r="13660" spans="2:2">
      <c r="B13660"/>
    </row>
    <row r="13661" spans="2:2">
      <c r="B13661"/>
    </row>
    <row r="13662" spans="2:2">
      <c r="B13662"/>
    </row>
    <row r="13663" spans="2:2">
      <c r="B13663"/>
    </row>
    <row r="13664" spans="2:2">
      <c r="B13664"/>
    </row>
    <row r="13665" spans="2:2">
      <c r="B13665"/>
    </row>
    <row r="13666" spans="2:2">
      <c r="B13666"/>
    </row>
    <row r="13667" spans="2:2">
      <c r="B13667"/>
    </row>
    <row r="13668" spans="2:2">
      <c r="B13668"/>
    </row>
    <row r="13669" spans="2:2">
      <c r="B13669"/>
    </row>
    <row r="13670" spans="2:2">
      <c r="B13670"/>
    </row>
    <row r="13671" spans="2:2">
      <c r="B13671"/>
    </row>
    <row r="13672" spans="2:2">
      <c r="B13672"/>
    </row>
    <row r="13673" spans="2:2">
      <c r="B13673"/>
    </row>
    <row r="13674" spans="2:2">
      <c r="B13674"/>
    </row>
    <row r="13675" spans="2:2">
      <c r="B13675"/>
    </row>
    <row r="13676" spans="2:2">
      <c r="B13676"/>
    </row>
    <row r="13677" spans="2:2">
      <c r="B13677"/>
    </row>
    <row r="13678" spans="2:2">
      <c r="B13678"/>
    </row>
    <row r="13679" spans="2:2">
      <c r="B13679"/>
    </row>
    <row r="13680" spans="2:2">
      <c r="B13680"/>
    </row>
    <row r="13681" spans="2:2">
      <c r="B13681"/>
    </row>
    <row r="13682" spans="2:2">
      <c r="B13682"/>
    </row>
    <row r="13683" spans="2:2">
      <c r="B13683"/>
    </row>
    <row r="13684" spans="2:2">
      <c r="B13684"/>
    </row>
    <row r="13685" spans="2:2">
      <c r="B13685"/>
    </row>
    <row r="13686" spans="2:2">
      <c r="B13686"/>
    </row>
    <row r="13687" spans="2:2">
      <c r="B13687"/>
    </row>
    <row r="13688" spans="2:2">
      <c r="B13688"/>
    </row>
    <row r="13689" spans="2:2">
      <c r="B13689"/>
    </row>
    <row r="13690" spans="2:2">
      <c r="B13690"/>
    </row>
    <row r="13691" spans="2:2">
      <c r="B13691"/>
    </row>
    <row r="13692" spans="2:2">
      <c r="B13692"/>
    </row>
    <row r="13693" spans="2:2">
      <c r="B13693"/>
    </row>
    <row r="13694" spans="2:2">
      <c r="B13694"/>
    </row>
    <row r="13695" spans="2:2">
      <c r="B13695"/>
    </row>
    <row r="13696" spans="2:2">
      <c r="B13696"/>
    </row>
    <row r="13697" spans="2:2">
      <c r="B13697"/>
    </row>
    <row r="13698" spans="2:2">
      <c r="B13698"/>
    </row>
    <row r="13699" spans="2:2">
      <c r="B13699"/>
    </row>
    <row r="13700" spans="2:2">
      <c r="B13700"/>
    </row>
    <row r="13701" spans="2:2">
      <c r="B13701"/>
    </row>
    <row r="13702" spans="2:2">
      <c r="B13702"/>
    </row>
    <row r="13703" spans="2:2">
      <c r="B13703"/>
    </row>
    <row r="13704" spans="2:2">
      <c r="B13704"/>
    </row>
    <row r="13705" spans="2:2">
      <c r="B13705"/>
    </row>
    <row r="13706" spans="2:2">
      <c r="B13706"/>
    </row>
    <row r="13707" spans="2:2">
      <c r="B13707"/>
    </row>
    <row r="13708" spans="2:2">
      <c r="B13708"/>
    </row>
    <row r="13709" spans="2:2">
      <c r="B13709"/>
    </row>
    <row r="13710" spans="2:2">
      <c r="B13710"/>
    </row>
    <row r="13711" spans="2:2">
      <c r="B13711"/>
    </row>
    <row r="13712" spans="2:2">
      <c r="B13712"/>
    </row>
    <row r="13713" spans="2:2">
      <c r="B13713"/>
    </row>
    <row r="13714" spans="2:2">
      <c r="B13714"/>
    </row>
    <row r="13715" spans="2:2">
      <c r="B13715"/>
    </row>
    <row r="13716" spans="2:2">
      <c r="B13716"/>
    </row>
    <row r="13717" spans="2:2">
      <c r="B13717"/>
    </row>
    <row r="13718" spans="2:2">
      <c r="B13718"/>
    </row>
    <row r="13719" spans="2:2">
      <c r="B13719"/>
    </row>
    <row r="13720" spans="2:2">
      <c r="B13720"/>
    </row>
    <row r="13721" spans="2:2">
      <c r="B13721"/>
    </row>
    <row r="13722" spans="2:2">
      <c r="B13722"/>
    </row>
    <row r="13723" spans="2:2">
      <c r="B13723"/>
    </row>
    <row r="13724" spans="2:2">
      <c r="B13724"/>
    </row>
    <row r="13725" spans="2:2">
      <c r="B13725"/>
    </row>
    <row r="13726" spans="2:2">
      <c r="B13726"/>
    </row>
    <row r="13727" spans="2:2">
      <c r="B13727"/>
    </row>
    <row r="13728" spans="2:2">
      <c r="B13728"/>
    </row>
    <row r="13729" spans="2:2">
      <c r="B13729"/>
    </row>
    <row r="13730" spans="2:2">
      <c r="B13730"/>
    </row>
    <row r="13731" spans="2:2">
      <c r="B13731"/>
    </row>
    <row r="13732" spans="2:2">
      <c r="B13732"/>
    </row>
    <row r="13733" spans="2:2">
      <c r="B13733"/>
    </row>
    <row r="13734" spans="2:2">
      <c r="B13734"/>
    </row>
    <row r="13735" spans="2:2">
      <c r="B13735"/>
    </row>
    <row r="13736" spans="2:2">
      <c r="B13736"/>
    </row>
    <row r="13737" spans="2:2">
      <c r="B13737"/>
    </row>
    <row r="13738" spans="2:2">
      <c r="B13738"/>
    </row>
    <row r="13739" spans="2:2">
      <c r="B13739"/>
    </row>
    <row r="13740" spans="2:2">
      <c r="B13740"/>
    </row>
    <row r="13741" spans="2:2">
      <c r="B13741"/>
    </row>
    <row r="13742" spans="2:2">
      <c r="B13742"/>
    </row>
    <row r="13743" spans="2:2">
      <c r="B13743"/>
    </row>
    <row r="13744" spans="2:2">
      <c r="B13744"/>
    </row>
    <row r="13745" spans="2:2">
      <c r="B13745"/>
    </row>
    <row r="13746" spans="2:2">
      <c r="B13746"/>
    </row>
    <row r="13747" spans="2:2">
      <c r="B13747"/>
    </row>
    <row r="13748" spans="2:2">
      <c r="B13748"/>
    </row>
    <row r="13749" spans="2:2">
      <c r="B13749"/>
    </row>
    <row r="13750" spans="2:2">
      <c r="B13750"/>
    </row>
    <row r="13751" spans="2:2">
      <c r="B13751"/>
    </row>
    <row r="13752" spans="2:2">
      <c r="B13752"/>
    </row>
    <row r="13753" spans="2:2">
      <c r="B13753"/>
    </row>
    <row r="13754" spans="2:2">
      <c r="B13754"/>
    </row>
    <row r="13755" spans="2:2">
      <c r="B13755"/>
    </row>
    <row r="13756" spans="2:2">
      <c r="B13756"/>
    </row>
    <row r="13757" spans="2:2">
      <c r="B13757"/>
    </row>
    <row r="13758" spans="2:2">
      <c r="B13758"/>
    </row>
    <row r="13759" spans="2:2">
      <c r="B13759"/>
    </row>
    <row r="13760" spans="2:2">
      <c r="B13760"/>
    </row>
    <row r="13761" spans="2:2">
      <c r="B13761"/>
    </row>
    <row r="13762" spans="2:2">
      <c r="B13762"/>
    </row>
    <row r="13763" spans="2:2">
      <c r="B13763"/>
    </row>
    <row r="13764" spans="2:2">
      <c r="B13764"/>
    </row>
    <row r="13765" spans="2:2">
      <c r="B13765"/>
    </row>
    <row r="13766" spans="2:2">
      <c r="B13766"/>
    </row>
    <row r="13767" spans="2:2">
      <c r="B13767"/>
    </row>
    <row r="13768" spans="2:2">
      <c r="B13768"/>
    </row>
    <row r="13769" spans="2:2">
      <c r="B13769"/>
    </row>
    <row r="13770" spans="2:2">
      <c r="B13770"/>
    </row>
    <row r="13771" spans="2:2">
      <c r="B13771"/>
    </row>
    <row r="13772" spans="2:2">
      <c r="B13772"/>
    </row>
    <row r="13773" spans="2:2">
      <c r="B13773"/>
    </row>
    <row r="13774" spans="2:2">
      <c r="B13774"/>
    </row>
    <row r="13775" spans="2:2">
      <c r="B13775"/>
    </row>
    <row r="13776" spans="2:2">
      <c r="B13776"/>
    </row>
    <row r="13777" spans="2:2">
      <c r="B13777"/>
    </row>
    <row r="13778" spans="2:2">
      <c r="B13778"/>
    </row>
    <row r="13779" spans="2:2">
      <c r="B13779"/>
    </row>
    <row r="13780" spans="2:2">
      <c r="B13780"/>
    </row>
    <row r="13781" spans="2:2">
      <c r="B13781"/>
    </row>
    <row r="13782" spans="2:2">
      <c r="B13782"/>
    </row>
    <row r="13783" spans="2:2">
      <c r="B13783"/>
    </row>
    <row r="13784" spans="2:2">
      <c r="B13784"/>
    </row>
    <row r="13785" spans="2:2">
      <c r="B13785"/>
    </row>
    <row r="13786" spans="2:2">
      <c r="B13786"/>
    </row>
    <row r="13787" spans="2:2">
      <c r="B13787"/>
    </row>
    <row r="13788" spans="2:2">
      <c r="B13788"/>
    </row>
    <row r="13789" spans="2:2">
      <c r="B13789"/>
    </row>
    <row r="13790" spans="2:2">
      <c r="B13790"/>
    </row>
    <row r="13791" spans="2:2">
      <c r="B13791"/>
    </row>
    <row r="13792" spans="2:2">
      <c r="B13792"/>
    </row>
    <row r="13793" spans="2:2">
      <c r="B13793"/>
    </row>
    <row r="13794" spans="2:2">
      <c r="B13794"/>
    </row>
    <row r="13795" spans="2:2">
      <c r="B13795"/>
    </row>
    <row r="13796" spans="2:2">
      <c r="B13796"/>
    </row>
    <row r="13797" spans="2:2">
      <c r="B13797"/>
    </row>
    <row r="13798" spans="2:2">
      <c r="B13798"/>
    </row>
    <row r="13799" spans="2:2">
      <c r="B13799"/>
    </row>
    <row r="13800" spans="2:2">
      <c r="B13800"/>
    </row>
    <row r="13801" spans="2:2">
      <c r="B13801"/>
    </row>
    <row r="13802" spans="2:2">
      <c r="B13802"/>
    </row>
    <row r="13803" spans="2:2">
      <c r="B13803"/>
    </row>
    <row r="13804" spans="2:2">
      <c r="B13804"/>
    </row>
    <row r="13805" spans="2:2">
      <c r="B13805"/>
    </row>
    <row r="13806" spans="2:2">
      <c r="B13806"/>
    </row>
    <row r="13807" spans="2:2">
      <c r="B13807"/>
    </row>
    <row r="13808" spans="2:2">
      <c r="B13808"/>
    </row>
    <row r="13809" spans="2:2">
      <c r="B13809"/>
    </row>
    <row r="13810" spans="2:2">
      <c r="B13810"/>
    </row>
    <row r="13811" spans="2:2">
      <c r="B13811"/>
    </row>
    <row r="13812" spans="2:2">
      <c r="B13812"/>
    </row>
    <row r="13813" spans="2:2">
      <c r="B13813"/>
    </row>
    <row r="13814" spans="2:2">
      <c r="B13814"/>
    </row>
    <row r="13815" spans="2:2">
      <c r="B13815"/>
    </row>
    <row r="13816" spans="2:2">
      <c r="B13816"/>
    </row>
    <row r="13817" spans="2:2">
      <c r="B13817"/>
    </row>
    <row r="13818" spans="2:2">
      <c r="B13818"/>
    </row>
    <row r="13819" spans="2:2">
      <c r="B13819"/>
    </row>
    <row r="13820" spans="2:2">
      <c r="B13820"/>
    </row>
    <row r="13821" spans="2:2">
      <c r="B13821"/>
    </row>
    <row r="13822" spans="2:2">
      <c r="B13822"/>
    </row>
    <row r="13823" spans="2:2">
      <c r="B13823"/>
    </row>
    <row r="13824" spans="2:2">
      <c r="B13824"/>
    </row>
    <row r="13825" spans="2:2">
      <c r="B13825"/>
    </row>
    <row r="13826" spans="2:2">
      <c r="B13826"/>
    </row>
    <row r="13827" spans="2:2">
      <c r="B13827"/>
    </row>
    <row r="13828" spans="2:2">
      <c r="B13828"/>
    </row>
    <row r="13829" spans="2:2">
      <c r="B13829"/>
    </row>
    <row r="13830" spans="2:2">
      <c r="B13830"/>
    </row>
    <row r="13831" spans="2:2">
      <c r="B13831"/>
    </row>
    <row r="13832" spans="2:2">
      <c r="B13832"/>
    </row>
    <row r="13833" spans="2:2">
      <c r="B13833"/>
    </row>
    <row r="13834" spans="2:2">
      <c r="B13834"/>
    </row>
    <row r="13835" spans="2:2">
      <c r="B13835"/>
    </row>
    <row r="13836" spans="2:2">
      <c r="B13836"/>
    </row>
    <row r="13837" spans="2:2">
      <c r="B13837"/>
    </row>
    <row r="13838" spans="2:2">
      <c r="B13838"/>
    </row>
    <row r="13839" spans="2:2">
      <c r="B13839"/>
    </row>
    <row r="13840" spans="2:2">
      <c r="B13840"/>
    </row>
    <row r="13841" spans="2:2">
      <c r="B13841"/>
    </row>
    <row r="13842" spans="2:2">
      <c r="B13842"/>
    </row>
    <row r="13843" spans="2:2">
      <c r="B13843"/>
    </row>
    <row r="13844" spans="2:2">
      <c r="B13844"/>
    </row>
    <row r="13845" spans="2:2">
      <c r="B13845"/>
    </row>
    <row r="13846" spans="2:2">
      <c r="B13846"/>
    </row>
    <row r="13847" spans="2:2">
      <c r="B13847"/>
    </row>
    <row r="13848" spans="2:2">
      <c r="B13848"/>
    </row>
    <row r="13849" spans="2:2">
      <c r="B13849"/>
    </row>
    <row r="13850" spans="2:2">
      <c r="B13850"/>
    </row>
    <row r="13851" spans="2:2">
      <c r="B13851"/>
    </row>
    <row r="13852" spans="2:2">
      <c r="B13852"/>
    </row>
    <row r="13853" spans="2:2">
      <c r="B13853"/>
    </row>
    <row r="13854" spans="2:2">
      <c r="B13854"/>
    </row>
    <row r="13855" spans="2:2">
      <c r="B13855"/>
    </row>
    <row r="13856" spans="2:2">
      <c r="B13856"/>
    </row>
    <row r="13857" spans="2:2">
      <c r="B13857"/>
    </row>
    <row r="13858" spans="2:2">
      <c r="B13858"/>
    </row>
    <row r="13859" spans="2:2">
      <c r="B13859"/>
    </row>
    <row r="13860" spans="2:2">
      <c r="B13860"/>
    </row>
    <row r="13861" spans="2:2">
      <c r="B13861"/>
    </row>
    <row r="13862" spans="2:2">
      <c r="B13862"/>
    </row>
    <row r="13863" spans="2:2">
      <c r="B13863"/>
    </row>
    <row r="13864" spans="2:2">
      <c r="B13864"/>
    </row>
    <row r="13865" spans="2:2">
      <c r="B13865"/>
    </row>
    <row r="13866" spans="2:2">
      <c r="B13866"/>
    </row>
    <row r="13867" spans="2:2">
      <c r="B13867"/>
    </row>
    <row r="13868" spans="2:2">
      <c r="B13868"/>
    </row>
    <row r="13869" spans="2:2">
      <c r="B13869"/>
    </row>
    <row r="13870" spans="2:2">
      <c r="B13870"/>
    </row>
    <row r="13871" spans="2:2">
      <c r="B13871"/>
    </row>
    <row r="13872" spans="2:2">
      <c r="B13872"/>
    </row>
    <row r="13873" spans="2:2">
      <c r="B13873"/>
    </row>
    <row r="13874" spans="2:2">
      <c r="B13874"/>
    </row>
    <row r="13875" spans="2:2">
      <c r="B13875"/>
    </row>
    <row r="13876" spans="2:2">
      <c r="B13876"/>
    </row>
    <row r="13877" spans="2:2">
      <c r="B13877"/>
    </row>
    <row r="13878" spans="2:2">
      <c r="B13878"/>
    </row>
    <row r="13879" spans="2:2">
      <c r="B13879"/>
    </row>
    <row r="13880" spans="2:2">
      <c r="B13880"/>
    </row>
    <row r="13881" spans="2:2">
      <c r="B13881"/>
    </row>
    <row r="13882" spans="2:2">
      <c r="B13882"/>
    </row>
    <row r="13883" spans="2:2">
      <c r="B13883"/>
    </row>
    <row r="13884" spans="2:2">
      <c r="B13884"/>
    </row>
    <row r="13885" spans="2:2">
      <c r="B13885"/>
    </row>
    <row r="13886" spans="2:2">
      <c r="B13886"/>
    </row>
    <row r="13887" spans="2:2">
      <c r="B13887"/>
    </row>
    <row r="13888" spans="2:2">
      <c r="B13888"/>
    </row>
    <row r="13889" spans="2:2">
      <c r="B13889"/>
    </row>
    <row r="13890" spans="2:2">
      <c r="B13890"/>
    </row>
    <row r="13891" spans="2:2">
      <c r="B13891"/>
    </row>
    <row r="13892" spans="2:2">
      <c r="B13892"/>
    </row>
    <row r="13893" spans="2:2">
      <c r="B13893"/>
    </row>
    <row r="13894" spans="2:2">
      <c r="B13894"/>
    </row>
    <row r="13895" spans="2:2">
      <c r="B13895"/>
    </row>
    <row r="13896" spans="2:2">
      <c r="B13896"/>
    </row>
    <row r="13897" spans="2:2">
      <c r="B13897"/>
    </row>
    <row r="13898" spans="2:2">
      <c r="B13898"/>
    </row>
    <row r="13899" spans="2:2">
      <c r="B13899"/>
    </row>
    <row r="13900" spans="2:2">
      <c r="B13900"/>
    </row>
    <row r="13901" spans="2:2">
      <c r="B13901"/>
    </row>
    <row r="13902" spans="2:2">
      <c r="B13902"/>
    </row>
    <row r="13903" spans="2:2">
      <c r="B13903"/>
    </row>
    <row r="13904" spans="2:2">
      <c r="B13904"/>
    </row>
    <row r="13905" spans="2:2">
      <c r="B13905"/>
    </row>
    <row r="13906" spans="2:2">
      <c r="B13906"/>
    </row>
    <row r="13907" spans="2:2">
      <c r="B13907"/>
    </row>
    <row r="13908" spans="2:2">
      <c r="B13908"/>
    </row>
    <row r="13909" spans="2:2">
      <c r="B13909"/>
    </row>
    <row r="13910" spans="2:2">
      <c r="B13910"/>
    </row>
    <row r="13911" spans="2:2">
      <c r="B13911"/>
    </row>
    <row r="13912" spans="2:2">
      <c r="B13912"/>
    </row>
    <row r="13913" spans="2:2">
      <c r="B13913"/>
    </row>
    <row r="13914" spans="2:2">
      <c r="B13914"/>
    </row>
    <row r="13915" spans="2:2">
      <c r="B13915"/>
    </row>
    <row r="13916" spans="2:2">
      <c r="B13916"/>
    </row>
    <row r="13917" spans="2:2">
      <c r="B13917"/>
    </row>
    <row r="13918" spans="2:2">
      <c r="B13918"/>
    </row>
    <row r="13919" spans="2:2">
      <c r="B13919"/>
    </row>
    <row r="13920" spans="2:2">
      <c r="B13920"/>
    </row>
    <row r="13921" spans="2:2">
      <c r="B13921"/>
    </row>
    <row r="13922" spans="2:2">
      <c r="B13922"/>
    </row>
    <row r="13923" spans="2:2">
      <c r="B13923"/>
    </row>
    <row r="13924" spans="2:2">
      <c r="B13924"/>
    </row>
    <row r="13925" spans="2:2">
      <c r="B13925"/>
    </row>
    <row r="13926" spans="2:2">
      <c r="B13926"/>
    </row>
    <row r="13927" spans="2:2">
      <c r="B13927"/>
    </row>
    <row r="13928" spans="2:2">
      <c r="B13928"/>
    </row>
    <row r="13929" spans="2:2">
      <c r="B13929"/>
    </row>
    <row r="13930" spans="2:2">
      <c r="B13930"/>
    </row>
    <row r="13931" spans="2:2">
      <c r="B13931"/>
    </row>
    <row r="13932" spans="2:2">
      <c r="B13932"/>
    </row>
    <row r="13933" spans="2:2">
      <c r="B13933"/>
    </row>
    <row r="13934" spans="2:2">
      <c r="B13934"/>
    </row>
    <row r="13935" spans="2:2">
      <c r="B13935"/>
    </row>
    <row r="13936" spans="2:2">
      <c r="B13936"/>
    </row>
    <row r="13937" spans="2:2">
      <c r="B13937"/>
    </row>
    <row r="13938" spans="2:2">
      <c r="B13938"/>
    </row>
    <row r="13939" spans="2:2">
      <c r="B13939"/>
    </row>
    <row r="13940" spans="2:2">
      <c r="B13940"/>
    </row>
    <row r="13941" spans="2:2">
      <c r="B13941"/>
    </row>
    <row r="13942" spans="2:2">
      <c r="B13942"/>
    </row>
    <row r="13943" spans="2:2">
      <c r="B13943"/>
    </row>
    <row r="13944" spans="2:2">
      <c r="B13944"/>
    </row>
    <row r="13945" spans="2:2">
      <c r="B13945"/>
    </row>
    <row r="13946" spans="2:2">
      <c r="B13946"/>
    </row>
    <row r="13947" spans="2:2">
      <c r="B13947"/>
    </row>
    <row r="13948" spans="2:2">
      <c r="B13948"/>
    </row>
    <row r="13949" spans="2:2">
      <c r="B13949"/>
    </row>
    <row r="13950" spans="2:2">
      <c r="B13950"/>
    </row>
    <row r="13951" spans="2:2">
      <c r="B13951"/>
    </row>
    <row r="13952" spans="2:2">
      <c r="B13952"/>
    </row>
    <row r="13953" spans="2:2">
      <c r="B13953"/>
    </row>
    <row r="13954" spans="2:2">
      <c r="B13954"/>
    </row>
    <row r="13955" spans="2:2">
      <c r="B13955"/>
    </row>
    <row r="13956" spans="2:2">
      <c r="B13956"/>
    </row>
    <row r="13957" spans="2:2">
      <c r="B13957"/>
    </row>
    <row r="13958" spans="2:2">
      <c r="B13958"/>
    </row>
    <row r="13959" spans="2:2">
      <c r="B13959"/>
    </row>
    <row r="13960" spans="2:2">
      <c r="B13960"/>
    </row>
    <row r="13961" spans="2:2">
      <c r="B13961"/>
    </row>
    <row r="13962" spans="2:2">
      <c r="B13962"/>
    </row>
    <row r="13963" spans="2:2">
      <c r="B13963"/>
    </row>
    <row r="13964" spans="2:2">
      <c r="B13964"/>
    </row>
    <row r="13965" spans="2:2">
      <c r="B13965"/>
    </row>
    <row r="13966" spans="2:2">
      <c r="B13966"/>
    </row>
    <row r="13967" spans="2:2">
      <c r="B13967"/>
    </row>
    <row r="13968" spans="2:2">
      <c r="B13968"/>
    </row>
    <row r="13969" spans="2:2">
      <c r="B13969"/>
    </row>
    <row r="13970" spans="2:2">
      <c r="B13970"/>
    </row>
    <row r="13971" spans="2:2">
      <c r="B13971"/>
    </row>
    <row r="13972" spans="2:2">
      <c r="B13972"/>
    </row>
    <row r="13973" spans="2:2">
      <c r="B13973"/>
    </row>
    <row r="13974" spans="2:2">
      <c r="B13974"/>
    </row>
    <row r="13975" spans="2:2">
      <c r="B13975"/>
    </row>
    <row r="13976" spans="2:2">
      <c r="B13976"/>
    </row>
    <row r="13977" spans="2:2">
      <c r="B13977"/>
    </row>
    <row r="13978" spans="2:2">
      <c r="B13978"/>
    </row>
    <row r="13979" spans="2:2">
      <c r="B13979"/>
    </row>
    <row r="13980" spans="2:2">
      <c r="B13980"/>
    </row>
    <row r="13981" spans="2:2">
      <c r="B13981"/>
    </row>
    <row r="13982" spans="2:2">
      <c r="B13982"/>
    </row>
    <row r="13983" spans="2:2">
      <c r="B13983"/>
    </row>
    <row r="13984" spans="2:2">
      <c r="B13984"/>
    </row>
    <row r="13985" spans="2:2">
      <c r="B13985"/>
    </row>
    <row r="13986" spans="2:2">
      <c r="B13986"/>
    </row>
    <row r="13987" spans="2:2">
      <c r="B13987"/>
    </row>
    <row r="13988" spans="2:2">
      <c r="B13988"/>
    </row>
    <row r="13989" spans="2:2">
      <c r="B13989"/>
    </row>
    <row r="13990" spans="2:2">
      <c r="B13990"/>
    </row>
    <row r="13991" spans="2:2">
      <c r="B13991"/>
    </row>
    <row r="13992" spans="2:2">
      <c r="B13992"/>
    </row>
    <row r="13993" spans="2:2">
      <c r="B13993"/>
    </row>
    <row r="13994" spans="2:2">
      <c r="B13994"/>
    </row>
    <row r="13995" spans="2:2">
      <c r="B13995"/>
    </row>
    <row r="13996" spans="2:2">
      <c r="B13996"/>
    </row>
    <row r="13997" spans="2:2">
      <c r="B13997"/>
    </row>
    <row r="13998" spans="2:2">
      <c r="B13998"/>
    </row>
    <row r="13999" spans="2:2">
      <c r="B13999"/>
    </row>
    <row r="14000" spans="2:2">
      <c r="B14000"/>
    </row>
    <row r="14001" spans="2:2">
      <c r="B14001"/>
    </row>
    <row r="14002" spans="2:2">
      <c r="B14002"/>
    </row>
    <row r="14003" spans="2:2">
      <c r="B14003"/>
    </row>
    <row r="14004" spans="2:2">
      <c r="B14004"/>
    </row>
    <row r="14005" spans="2:2">
      <c r="B14005"/>
    </row>
    <row r="14006" spans="2:2">
      <c r="B14006"/>
    </row>
    <row r="14007" spans="2:2">
      <c r="B14007"/>
    </row>
    <row r="14008" spans="2:2">
      <c r="B14008"/>
    </row>
    <row r="14009" spans="2:2">
      <c r="B14009"/>
    </row>
    <row r="14010" spans="2:2">
      <c r="B14010"/>
    </row>
    <row r="14011" spans="2:2">
      <c r="B14011"/>
    </row>
    <row r="14012" spans="2:2">
      <c r="B14012"/>
    </row>
    <row r="14013" spans="2:2">
      <c r="B14013"/>
    </row>
    <row r="14014" spans="2:2">
      <c r="B14014"/>
    </row>
    <row r="14015" spans="2:2">
      <c r="B14015"/>
    </row>
    <row r="14016" spans="2:2">
      <c r="B14016"/>
    </row>
    <row r="14017" spans="2:2">
      <c r="B14017"/>
    </row>
    <row r="14018" spans="2:2">
      <c r="B14018"/>
    </row>
    <row r="14019" spans="2:2">
      <c r="B14019"/>
    </row>
    <row r="14020" spans="2:2">
      <c r="B14020"/>
    </row>
    <row r="14021" spans="2:2">
      <c r="B14021"/>
    </row>
    <row r="14022" spans="2:2">
      <c r="B14022"/>
    </row>
    <row r="14023" spans="2:2">
      <c r="B14023"/>
    </row>
    <row r="14024" spans="2:2">
      <c r="B14024"/>
    </row>
    <row r="14025" spans="2:2">
      <c r="B14025"/>
    </row>
    <row r="14026" spans="2:2">
      <c r="B14026"/>
    </row>
    <row r="14027" spans="2:2">
      <c r="B14027"/>
    </row>
    <row r="14028" spans="2:2">
      <c r="B14028"/>
    </row>
    <row r="14029" spans="2:2">
      <c r="B14029"/>
    </row>
    <row r="14030" spans="2:2">
      <c r="B14030"/>
    </row>
    <row r="14031" spans="2:2">
      <c r="B14031"/>
    </row>
    <row r="14032" spans="2:2">
      <c r="B14032"/>
    </row>
    <row r="14033" spans="2:2">
      <c r="B14033"/>
    </row>
    <row r="14034" spans="2:2">
      <c r="B14034"/>
    </row>
    <row r="14035" spans="2:2">
      <c r="B14035"/>
    </row>
    <row r="14036" spans="2:2">
      <c r="B14036"/>
    </row>
    <row r="14037" spans="2:2">
      <c r="B14037"/>
    </row>
    <row r="14038" spans="2:2">
      <c r="B14038"/>
    </row>
    <row r="14039" spans="2:2">
      <c r="B14039"/>
    </row>
    <row r="14040" spans="2:2">
      <c r="B14040"/>
    </row>
    <row r="14041" spans="2:2">
      <c r="B14041"/>
    </row>
    <row r="14042" spans="2:2">
      <c r="B14042"/>
    </row>
    <row r="14043" spans="2:2">
      <c r="B14043"/>
    </row>
    <row r="14044" spans="2:2">
      <c r="B14044"/>
    </row>
    <row r="14045" spans="2:2">
      <c r="B14045"/>
    </row>
    <row r="14046" spans="2:2">
      <c r="B14046"/>
    </row>
    <row r="14047" spans="2:2">
      <c r="B14047"/>
    </row>
    <row r="14048" spans="2:2">
      <c r="B14048"/>
    </row>
    <row r="14049" spans="2:2">
      <c r="B14049"/>
    </row>
    <row r="14050" spans="2:2">
      <c r="B14050"/>
    </row>
    <row r="14051" spans="2:2">
      <c r="B14051"/>
    </row>
    <row r="14052" spans="2:2">
      <c r="B14052"/>
    </row>
    <row r="14053" spans="2:2">
      <c r="B14053"/>
    </row>
    <row r="14054" spans="2:2">
      <c r="B14054"/>
    </row>
    <row r="14055" spans="2:2">
      <c r="B14055"/>
    </row>
    <row r="14056" spans="2:2">
      <c r="B14056"/>
    </row>
    <row r="14057" spans="2:2">
      <c r="B14057"/>
    </row>
    <row r="14058" spans="2:2">
      <c r="B14058"/>
    </row>
    <row r="14059" spans="2:2">
      <c r="B14059"/>
    </row>
    <row r="14060" spans="2:2">
      <c r="B14060"/>
    </row>
    <row r="14061" spans="2:2">
      <c r="B14061"/>
    </row>
    <row r="14062" spans="2:2">
      <c r="B14062"/>
    </row>
    <row r="14063" spans="2:2">
      <c r="B14063"/>
    </row>
    <row r="14064" spans="2:2">
      <c r="B14064"/>
    </row>
    <row r="14065" spans="2:2">
      <c r="B14065"/>
    </row>
    <row r="14066" spans="2:2">
      <c r="B14066"/>
    </row>
    <row r="14067" spans="2:2">
      <c r="B14067"/>
    </row>
    <row r="14068" spans="2:2">
      <c r="B14068"/>
    </row>
    <row r="14069" spans="2:2">
      <c r="B14069"/>
    </row>
    <row r="14070" spans="2:2">
      <c r="B14070"/>
    </row>
    <row r="14071" spans="2:2">
      <c r="B14071"/>
    </row>
    <row r="14072" spans="2:2">
      <c r="B14072"/>
    </row>
    <row r="14073" spans="2:2">
      <c r="B14073"/>
    </row>
    <row r="14074" spans="2:2">
      <c r="B14074"/>
    </row>
    <row r="14075" spans="2:2">
      <c r="B14075"/>
    </row>
    <row r="14076" spans="2:2">
      <c r="B14076"/>
    </row>
    <row r="14077" spans="2:2">
      <c r="B14077"/>
    </row>
    <row r="14078" spans="2:2">
      <c r="B14078"/>
    </row>
    <row r="14079" spans="2:2">
      <c r="B14079"/>
    </row>
    <row r="14080" spans="2:2">
      <c r="B14080"/>
    </row>
    <row r="14081" spans="2:2">
      <c r="B14081"/>
    </row>
    <row r="14082" spans="2:2">
      <c r="B14082"/>
    </row>
    <row r="14083" spans="2:2">
      <c r="B14083"/>
    </row>
    <row r="14084" spans="2:2">
      <c r="B14084"/>
    </row>
    <row r="14085" spans="2:2">
      <c r="B14085"/>
    </row>
    <row r="14086" spans="2:2">
      <c r="B14086"/>
    </row>
    <row r="14087" spans="2:2">
      <c r="B14087"/>
    </row>
    <row r="14088" spans="2:2">
      <c r="B14088"/>
    </row>
    <row r="14089" spans="2:2">
      <c r="B14089"/>
    </row>
    <row r="14090" spans="2:2">
      <c r="B14090"/>
    </row>
    <row r="14091" spans="2:2">
      <c r="B14091"/>
    </row>
    <row r="14092" spans="2:2">
      <c r="B14092"/>
    </row>
    <row r="14093" spans="2:2">
      <c r="B14093"/>
    </row>
    <row r="14094" spans="2:2">
      <c r="B14094"/>
    </row>
    <row r="14095" spans="2:2">
      <c r="B14095"/>
    </row>
    <row r="14096" spans="2:2">
      <c r="B14096"/>
    </row>
    <row r="14097" spans="2:2">
      <c r="B14097"/>
    </row>
    <row r="14098" spans="2:2">
      <c r="B14098"/>
    </row>
    <row r="14099" spans="2:2">
      <c r="B14099"/>
    </row>
    <row r="14100" spans="2:2">
      <c r="B14100"/>
    </row>
    <row r="14101" spans="2:2">
      <c r="B14101"/>
    </row>
    <row r="14102" spans="2:2">
      <c r="B14102"/>
    </row>
    <row r="14103" spans="2:2">
      <c r="B14103"/>
    </row>
    <row r="14104" spans="2:2">
      <c r="B14104"/>
    </row>
    <row r="14105" spans="2:2">
      <c r="B14105"/>
    </row>
    <row r="14106" spans="2:2">
      <c r="B14106"/>
    </row>
    <row r="14107" spans="2:2">
      <c r="B14107"/>
    </row>
    <row r="14108" spans="2:2">
      <c r="B14108"/>
    </row>
    <row r="14109" spans="2:2">
      <c r="B14109"/>
    </row>
    <row r="14110" spans="2:2">
      <c r="B14110"/>
    </row>
    <row r="14111" spans="2:2">
      <c r="B14111"/>
    </row>
    <row r="14112" spans="2:2">
      <c r="B14112"/>
    </row>
    <row r="14113" spans="2:2">
      <c r="B14113"/>
    </row>
    <row r="14114" spans="2:2">
      <c r="B14114"/>
    </row>
    <row r="14115" spans="2:2">
      <c r="B14115"/>
    </row>
    <row r="14116" spans="2:2">
      <c r="B14116"/>
    </row>
    <row r="14117" spans="2:2">
      <c r="B14117"/>
    </row>
    <row r="14118" spans="2:2">
      <c r="B14118"/>
    </row>
    <row r="14119" spans="2:2">
      <c r="B14119"/>
    </row>
    <row r="14120" spans="2:2">
      <c r="B14120"/>
    </row>
    <row r="14121" spans="2:2">
      <c r="B14121"/>
    </row>
    <row r="14122" spans="2:2">
      <c r="B14122"/>
    </row>
    <row r="14123" spans="2:2">
      <c r="B14123"/>
    </row>
    <row r="14124" spans="2:2">
      <c r="B14124"/>
    </row>
    <row r="14125" spans="2:2">
      <c r="B14125"/>
    </row>
    <row r="14126" spans="2:2">
      <c r="B14126"/>
    </row>
    <row r="14127" spans="2:2">
      <c r="B14127"/>
    </row>
    <row r="14128" spans="2:2">
      <c r="B14128"/>
    </row>
    <row r="14129" spans="2:2">
      <c r="B14129"/>
    </row>
    <row r="14130" spans="2:2">
      <c r="B14130"/>
    </row>
    <row r="14131" spans="2:2">
      <c r="B14131"/>
    </row>
    <row r="14132" spans="2:2">
      <c r="B14132"/>
    </row>
    <row r="14133" spans="2:2">
      <c r="B14133"/>
    </row>
    <row r="14134" spans="2:2">
      <c r="B14134"/>
    </row>
    <row r="14135" spans="2:2">
      <c r="B14135"/>
    </row>
    <row r="14136" spans="2:2">
      <c r="B14136"/>
    </row>
    <row r="14137" spans="2:2">
      <c r="B14137"/>
    </row>
    <row r="14138" spans="2:2">
      <c r="B14138"/>
    </row>
    <row r="14139" spans="2:2">
      <c r="B14139"/>
    </row>
    <row r="14140" spans="2:2">
      <c r="B14140"/>
    </row>
    <row r="14141" spans="2:2">
      <c r="B14141"/>
    </row>
    <row r="14142" spans="2:2">
      <c r="B14142"/>
    </row>
    <row r="14143" spans="2:2">
      <c r="B14143"/>
    </row>
    <row r="14144" spans="2:2">
      <c r="B14144"/>
    </row>
    <row r="14145" spans="2:2">
      <c r="B14145"/>
    </row>
    <row r="14146" spans="2:2">
      <c r="B14146"/>
    </row>
    <row r="14147" spans="2:2">
      <c r="B14147"/>
    </row>
    <row r="14148" spans="2:2">
      <c r="B14148"/>
    </row>
    <row r="14149" spans="2:2">
      <c r="B14149"/>
    </row>
    <row r="14150" spans="2:2">
      <c r="B14150"/>
    </row>
    <row r="14151" spans="2:2">
      <c r="B14151"/>
    </row>
    <row r="14152" spans="2:2">
      <c r="B14152"/>
    </row>
    <row r="14153" spans="2:2">
      <c r="B14153"/>
    </row>
    <row r="14154" spans="2:2">
      <c r="B14154"/>
    </row>
    <row r="14155" spans="2:2">
      <c r="B14155"/>
    </row>
    <row r="14156" spans="2:2">
      <c r="B14156"/>
    </row>
    <row r="14157" spans="2:2">
      <c r="B14157"/>
    </row>
    <row r="14158" spans="2:2">
      <c r="B14158"/>
    </row>
    <row r="14159" spans="2:2">
      <c r="B14159"/>
    </row>
    <row r="14160" spans="2:2">
      <c r="B14160"/>
    </row>
    <row r="14161" spans="2:2">
      <c r="B14161"/>
    </row>
    <row r="14162" spans="2:2">
      <c r="B14162"/>
    </row>
    <row r="14163" spans="2:2">
      <c r="B14163"/>
    </row>
    <row r="14164" spans="2:2">
      <c r="B14164"/>
    </row>
    <row r="14165" spans="2:2">
      <c r="B14165"/>
    </row>
    <row r="14166" spans="2:2">
      <c r="B14166"/>
    </row>
    <row r="14167" spans="2:2">
      <c r="B14167"/>
    </row>
    <row r="14168" spans="2:2">
      <c r="B14168"/>
    </row>
    <row r="14169" spans="2:2">
      <c r="B14169"/>
    </row>
    <row r="14170" spans="2:2">
      <c r="B14170"/>
    </row>
    <row r="14171" spans="2:2">
      <c r="B14171"/>
    </row>
    <row r="14172" spans="2:2">
      <c r="B14172"/>
    </row>
    <row r="14173" spans="2:2">
      <c r="B14173"/>
    </row>
    <row r="14174" spans="2:2">
      <c r="B14174"/>
    </row>
    <row r="14175" spans="2:2">
      <c r="B14175"/>
    </row>
    <row r="14176" spans="2:2">
      <c r="B14176"/>
    </row>
    <row r="14177" spans="2:2">
      <c r="B14177"/>
    </row>
    <row r="14178" spans="2:2">
      <c r="B14178"/>
    </row>
    <row r="14179" spans="2:2">
      <c r="B14179"/>
    </row>
    <row r="14180" spans="2:2">
      <c r="B14180"/>
    </row>
    <row r="14181" spans="2:2">
      <c r="B14181"/>
    </row>
    <row r="14182" spans="2:2">
      <c r="B14182"/>
    </row>
    <row r="14183" spans="2:2">
      <c r="B14183"/>
    </row>
    <row r="14184" spans="2:2">
      <c r="B14184"/>
    </row>
    <row r="14185" spans="2:2">
      <c r="B14185"/>
    </row>
    <row r="14186" spans="2:2">
      <c r="B14186"/>
    </row>
    <row r="14187" spans="2:2">
      <c r="B14187"/>
    </row>
    <row r="14188" spans="2:2">
      <c r="B14188"/>
    </row>
    <row r="14189" spans="2:2">
      <c r="B14189"/>
    </row>
    <row r="14190" spans="2:2">
      <c r="B14190"/>
    </row>
    <row r="14191" spans="2:2">
      <c r="B14191"/>
    </row>
    <row r="14192" spans="2:2">
      <c r="B14192"/>
    </row>
    <row r="14193" spans="2:2">
      <c r="B14193"/>
    </row>
    <row r="14194" spans="2:2">
      <c r="B14194"/>
    </row>
    <row r="14195" spans="2:2">
      <c r="B14195"/>
    </row>
    <row r="14196" spans="2:2">
      <c r="B14196"/>
    </row>
    <row r="14197" spans="2:2">
      <c r="B14197"/>
    </row>
    <row r="14198" spans="2:2">
      <c r="B14198"/>
    </row>
    <row r="14199" spans="2:2">
      <c r="B14199"/>
    </row>
    <row r="14200" spans="2:2">
      <c r="B14200"/>
    </row>
    <row r="14201" spans="2:2">
      <c r="B14201"/>
    </row>
    <row r="14202" spans="2:2">
      <c r="B14202"/>
    </row>
    <row r="14203" spans="2:2">
      <c r="B14203"/>
    </row>
    <row r="14204" spans="2:2">
      <c r="B14204"/>
    </row>
    <row r="14205" spans="2:2">
      <c r="B14205"/>
    </row>
    <row r="14206" spans="2:2">
      <c r="B14206"/>
    </row>
    <row r="14207" spans="2:2">
      <c r="B14207"/>
    </row>
    <row r="14208" spans="2:2">
      <c r="B14208"/>
    </row>
    <row r="14209" spans="2:2">
      <c r="B14209"/>
    </row>
    <row r="14210" spans="2:2">
      <c r="B14210"/>
    </row>
    <row r="14211" spans="2:2">
      <c r="B14211"/>
    </row>
    <row r="14212" spans="2:2">
      <c r="B14212"/>
    </row>
    <row r="14213" spans="2:2">
      <c r="B14213"/>
    </row>
    <row r="14214" spans="2:2">
      <c r="B14214"/>
    </row>
    <row r="14215" spans="2:2">
      <c r="B14215"/>
    </row>
    <row r="14216" spans="2:2">
      <c r="B14216"/>
    </row>
    <row r="14217" spans="2:2">
      <c r="B14217"/>
    </row>
    <row r="14218" spans="2:2">
      <c r="B14218"/>
    </row>
    <row r="14219" spans="2:2">
      <c r="B14219"/>
    </row>
    <row r="14220" spans="2:2">
      <c r="B14220"/>
    </row>
    <row r="14221" spans="2:2">
      <c r="B14221"/>
    </row>
    <row r="14222" spans="2:2">
      <c r="B14222"/>
    </row>
    <row r="14223" spans="2:2">
      <c r="B14223"/>
    </row>
    <row r="14224" spans="2:2">
      <c r="B14224"/>
    </row>
    <row r="14225" spans="2:2">
      <c r="B14225"/>
    </row>
    <row r="14226" spans="2:2">
      <c r="B14226"/>
    </row>
    <row r="14227" spans="2:2">
      <c r="B14227"/>
    </row>
    <row r="14228" spans="2:2">
      <c r="B14228"/>
    </row>
    <row r="14229" spans="2:2">
      <c r="B14229"/>
    </row>
    <row r="14230" spans="2:2">
      <c r="B14230"/>
    </row>
    <row r="14231" spans="2:2">
      <c r="B14231"/>
    </row>
    <row r="14232" spans="2:2">
      <c r="B14232"/>
    </row>
    <row r="14233" spans="2:2">
      <c r="B14233"/>
    </row>
    <row r="14234" spans="2:2">
      <c r="B14234"/>
    </row>
    <row r="14235" spans="2:2">
      <c r="B14235"/>
    </row>
    <row r="14236" spans="2:2">
      <c r="B14236"/>
    </row>
    <row r="14237" spans="2:2">
      <c r="B14237"/>
    </row>
    <row r="14238" spans="2:2">
      <c r="B14238"/>
    </row>
    <row r="14239" spans="2:2">
      <c r="B14239"/>
    </row>
    <row r="14240" spans="2:2">
      <c r="B14240"/>
    </row>
    <row r="14241" spans="2:2">
      <c r="B14241"/>
    </row>
    <row r="14242" spans="2:2">
      <c r="B14242"/>
    </row>
    <row r="14243" spans="2:2">
      <c r="B14243"/>
    </row>
    <row r="14244" spans="2:2">
      <c r="B14244"/>
    </row>
    <row r="14245" spans="2:2">
      <c r="B14245"/>
    </row>
    <row r="14246" spans="2:2">
      <c r="B14246"/>
    </row>
    <row r="14247" spans="2:2">
      <c r="B14247"/>
    </row>
    <row r="14248" spans="2:2">
      <c r="B14248"/>
    </row>
    <row r="14249" spans="2:2">
      <c r="B14249"/>
    </row>
    <row r="14250" spans="2:2">
      <c r="B14250"/>
    </row>
    <row r="14251" spans="2:2">
      <c r="B14251"/>
    </row>
    <row r="14252" spans="2:2">
      <c r="B14252"/>
    </row>
    <row r="14253" spans="2:2">
      <c r="B14253"/>
    </row>
    <row r="14254" spans="2:2">
      <c r="B14254"/>
    </row>
    <row r="14255" spans="2:2">
      <c r="B14255"/>
    </row>
    <row r="14256" spans="2:2">
      <c r="B14256"/>
    </row>
    <row r="14257" spans="2:2">
      <c r="B14257"/>
    </row>
    <row r="14258" spans="2:2">
      <c r="B14258"/>
    </row>
    <row r="14259" spans="2:2">
      <c r="B14259"/>
    </row>
    <row r="14260" spans="2:2">
      <c r="B14260"/>
    </row>
    <row r="14261" spans="2:2">
      <c r="B14261"/>
    </row>
    <row r="14262" spans="2:2">
      <c r="B14262"/>
    </row>
    <row r="14263" spans="2:2">
      <c r="B14263"/>
    </row>
    <row r="14264" spans="2:2">
      <c r="B14264"/>
    </row>
    <row r="14265" spans="2:2">
      <c r="B14265"/>
    </row>
    <row r="14266" spans="2:2">
      <c r="B14266"/>
    </row>
    <row r="14267" spans="2:2">
      <c r="B14267"/>
    </row>
    <row r="14268" spans="2:2">
      <c r="B14268"/>
    </row>
    <row r="14269" spans="2:2">
      <c r="B14269"/>
    </row>
    <row r="14270" spans="2:2">
      <c r="B14270"/>
    </row>
    <row r="14271" spans="2:2">
      <c r="B14271"/>
    </row>
    <row r="14272" spans="2:2">
      <c r="B14272"/>
    </row>
    <row r="14273" spans="2:2">
      <c r="B14273"/>
    </row>
    <row r="14274" spans="2:2">
      <c r="B14274"/>
    </row>
    <row r="14275" spans="2:2">
      <c r="B14275"/>
    </row>
    <row r="14276" spans="2:2">
      <c r="B14276"/>
    </row>
    <row r="14277" spans="2:2">
      <c r="B14277"/>
    </row>
    <row r="14278" spans="2:2">
      <c r="B14278"/>
    </row>
    <row r="14279" spans="2:2">
      <c r="B14279"/>
    </row>
    <row r="14280" spans="2:2">
      <c r="B14280"/>
    </row>
    <row r="14281" spans="2:2">
      <c r="B14281"/>
    </row>
    <row r="14282" spans="2:2">
      <c r="B14282"/>
    </row>
    <row r="14283" spans="2:2">
      <c r="B14283"/>
    </row>
    <row r="14284" spans="2:2">
      <c r="B14284"/>
    </row>
    <row r="14285" spans="2:2">
      <c r="B14285"/>
    </row>
    <row r="14286" spans="2:2">
      <c r="B14286"/>
    </row>
    <row r="14287" spans="2:2">
      <c r="B14287"/>
    </row>
    <row r="14288" spans="2:2">
      <c r="B14288"/>
    </row>
    <row r="14289" spans="2:2">
      <c r="B14289"/>
    </row>
    <row r="14290" spans="2:2">
      <c r="B14290"/>
    </row>
    <row r="14291" spans="2:2">
      <c r="B14291"/>
    </row>
    <row r="14292" spans="2:2">
      <c r="B14292"/>
    </row>
    <row r="14293" spans="2:2">
      <c r="B14293"/>
    </row>
    <row r="14294" spans="2:2">
      <c r="B14294"/>
    </row>
    <row r="14295" spans="2:2">
      <c r="B14295"/>
    </row>
    <row r="14296" spans="2:2">
      <c r="B14296"/>
    </row>
    <row r="14297" spans="2:2">
      <c r="B14297"/>
    </row>
    <row r="14298" spans="2:2">
      <c r="B14298"/>
    </row>
    <row r="14299" spans="2:2">
      <c r="B14299"/>
    </row>
    <row r="14300" spans="2:2">
      <c r="B14300"/>
    </row>
    <row r="14301" spans="2:2">
      <c r="B14301"/>
    </row>
    <row r="14302" spans="2:2">
      <c r="B14302"/>
    </row>
    <row r="14303" spans="2:2">
      <c r="B14303"/>
    </row>
    <row r="14304" spans="2:2">
      <c r="B14304"/>
    </row>
    <row r="14305" spans="2:2">
      <c r="B14305"/>
    </row>
    <row r="14306" spans="2:2">
      <c r="B14306"/>
    </row>
    <row r="14307" spans="2:2">
      <c r="B14307"/>
    </row>
    <row r="14308" spans="2:2">
      <c r="B14308"/>
    </row>
    <row r="14309" spans="2:2">
      <c r="B14309"/>
    </row>
    <row r="14310" spans="2:2">
      <c r="B14310"/>
    </row>
    <row r="14311" spans="2:2">
      <c r="B14311"/>
    </row>
    <row r="14312" spans="2:2">
      <c r="B14312"/>
    </row>
    <row r="14313" spans="2:2">
      <c r="B14313"/>
    </row>
    <row r="14314" spans="2:2">
      <c r="B14314"/>
    </row>
    <row r="14315" spans="2:2">
      <c r="B14315"/>
    </row>
    <row r="14316" spans="2:2">
      <c r="B14316"/>
    </row>
    <row r="14317" spans="2:2">
      <c r="B14317"/>
    </row>
    <row r="14318" spans="2:2">
      <c r="B14318"/>
    </row>
    <row r="14319" spans="2:2">
      <c r="B14319"/>
    </row>
    <row r="14320" spans="2:2">
      <c r="B14320"/>
    </row>
    <row r="14321" spans="2:2">
      <c r="B14321"/>
    </row>
    <row r="14322" spans="2:2">
      <c r="B14322"/>
    </row>
    <row r="14323" spans="2:2">
      <c r="B14323"/>
    </row>
    <row r="14324" spans="2:2">
      <c r="B14324"/>
    </row>
    <row r="14325" spans="2:2">
      <c r="B14325"/>
    </row>
    <row r="14326" spans="2:2">
      <c r="B14326"/>
    </row>
    <row r="14327" spans="2:2">
      <c r="B14327"/>
    </row>
    <row r="14328" spans="2:2">
      <c r="B14328"/>
    </row>
    <row r="14329" spans="2:2">
      <c r="B14329"/>
    </row>
    <row r="14330" spans="2:2">
      <c r="B14330"/>
    </row>
    <row r="14331" spans="2:2">
      <c r="B14331"/>
    </row>
    <row r="14332" spans="2:2">
      <c r="B14332"/>
    </row>
    <row r="14333" spans="2:2">
      <c r="B14333"/>
    </row>
    <row r="14334" spans="2:2">
      <c r="B14334"/>
    </row>
    <row r="14335" spans="2:2">
      <c r="B14335"/>
    </row>
    <row r="14336" spans="2:2">
      <c r="B14336"/>
    </row>
    <row r="14337" spans="2:2">
      <c r="B14337"/>
    </row>
    <row r="14338" spans="2:2">
      <c r="B14338"/>
    </row>
    <row r="14339" spans="2:2">
      <c r="B14339"/>
    </row>
    <row r="14340" spans="2:2">
      <c r="B14340"/>
    </row>
    <row r="14341" spans="2:2">
      <c r="B14341"/>
    </row>
    <row r="14342" spans="2:2">
      <c r="B14342"/>
    </row>
    <row r="14343" spans="2:2">
      <c r="B14343"/>
    </row>
    <row r="14344" spans="2:2">
      <c r="B14344"/>
    </row>
    <row r="14345" spans="2:2">
      <c r="B14345"/>
    </row>
    <row r="14346" spans="2:2">
      <c r="B14346"/>
    </row>
    <row r="14347" spans="2:2">
      <c r="B14347"/>
    </row>
    <row r="14348" spans="2:2">
      <c r="B14348"/>
    </row>
    <row r="14349" spans="2:2">
      <c r="B14349"/>
    </row>
    <row r="14350" spans="2:2">
      <c r="B14350"/>
    </row>
    <row r="14351" spans="2:2">
      <c r="B14351"/>
    </row>
    <row r="14352" spans="2:2">
      <c r="B14352"/>
    </row>
    <row r="14353" spans="2:2">
      <c r="B14353"/>
    </row>
    <row r="14354" spans="2:2">
      <c r="B14354"/>
    </row>
    <row r="14355" spans="2:2">
      <c r="B14355"/>
    </row>
    <row r="14356" spans="2:2">
      <c r="B14356"/>
    </row>
    <row r="14357" spans="2:2">
      <c r="B14357"/>
    </row>
    <row r="14358" spans="2:2">
      <c r="B14358"/>
    </row>
    <row r="14359" spans="2:2">
      <c r="B14359"/>
    </row>
    <row r="14360" spans="2:2">
      <c r="B14360"/>
    </row>
    <row r="14361" spans="2:2">
      <c r="B14361"/>
    </row>
    <row r="14362" spans="2:2">
      <c r="B14362"/>
    </row>
    <row r="14363" spans="2:2">
      <c r="B14363"/>
    </row>
    <row r="14364" spans="2:2">
      <c r="B14364"/>
    </row>
    <row r="14365" spans="2:2">
      <c r="B14365"/>
    </row>
    <row r="14366" spans="2:2">
      <c r="B14366"/>
    </row>
    <row r="14367" spans="2:2">
      <c r="B14367"/>
    </row>
    <row r="14368" spans="2:2">
      <c r="B14368"/>
    </row>
    <row r="14369" spans="2:2">
      <c r="B14369"/>
    </row>
    <row r="14370" spans="2:2">
      <c r="B14370"/>
    </row>
    <row r="14371" spans="2:2">
      <c r="B14371"/>
    </row>
    <row r="14372" spans="2:2">
      <c r="B14372"/>
    </row>
    <row r="14373" spans="2:2">
      <c r="B14373"/>
    </row>
    <row r="14374" spans="2:2">
      <c r="B14374"/>
    </row>
    <row r="14375" spans="2:2">
      <c r="B14375"/>
    </row>
    <row r="14376" spans="2:2">
      <c r="B14376"/>
    </row>
    <row r="14377" spans="2:2">
      <c r="B14377"/>
    </row>
    <row r="14378" spans="2:2">
      <c r="B14378"/>
    </row>
    <row r="14379" spans="2:2">
      <c r="B14379"/>
    </row>
    <row r="14380" spans="2:2">
      <c r="B14380"/>
    </row>
    <row r="14381" spans="2:2">
      <c r="B14381"/>
    </row>
    <row r="14382" spans="2:2">
      <c r="B14382"/>
    </row>
    <row r="14383" spans="2:2">
      <c r="B14383"/>
    </row>
    <row r="14384" spans="2:2">
      <c r="B14384"/>
    </row>
    <row r="14385" spans="2:2">
      <c r="B14385"/>
    </row>
    <row r="14386" spans="2:2">
      <c r="B14386"/>
    </row>
    <row r="14387" spans="2:2">
      <c r="B14387"/>
    </row>
    <row r="14388" spans="2:2">
      <c r="B14388"/>
    </row>
    <row r="14389" spans="2:2">
      <c r="B14389"/>
    </row>
    <row r="14390" spans="2:2">
      <c r="B14390"/>
    </row>
    <row r="14391" spans="2:2">
      <c r="B14391"/>
    </row>
    <row r="14392" spans="2:2">
      <c r="B14392"/>
    </row>
    <row r="14393" spans="2:2">
      <c r="B14393"/>
    </row>
    <row r="14394" spans="2:2">
      <c r="B14394"/>
    </row>
    <row r="14395" spans="2:2">
      <c r="B14395"/>
    </row>
    <row r="14396" spans="2:2">
      <c r="B14396"/>
    </row>
    <row r="14397" spans="2:2">
      <c r="B14397"/>
    </row>
    <row r="14398" spans="2:2">
      <c r="B14398"/>
    </row>
    <row r="14399" spans="2:2">
      <c r="B14399"/>
    </row>
    <row r="14400" spans="2:2">
      <c r="B14400"/>
    </row>
    <row r="14401" spans="2:2">
      <c r="B14401"/>
    </row>
    <row r="14402" spans="2:2">
      <c r="B14402"/>
    </row>
    <row r="14403" spans="2:2">
      <c r="B14403"/>
    </row>
    <row r="14404" spans="2:2">
      <c r="B14404"/>
    </row>
    <row r="14405" spans="2:2">
      <c r="B14405"/>
    </row>
    <row r="14406" spans="2:2">
      <c r="B14406"/>
    </row>
    <row r="14407" spans="2:2">
      <c r="B14407"/>
    </row>
    <row r="14408" spans="2:2">
      <c r="B14408"/>
    </row>
    <row r="14409" spans="2:2">
      <c r="B14409"/>
    </row>
    <row r="14410" spans="2:2">
      <c r="B14410"/>
    </row>
    <row r="14411" spans="2:2">
      <c r="B14411"/>
    </row>
    <row r="14412" spans="2:2">
      <c r="B14412"/>
    </row>
    <row r="14413" spans="2:2">
      <c r="B14413"/>
    </row>
    <row r="14414" spans="2:2">
      <c r="B14414"/>
    </row>
    <row r="14415" spans="2:2">
      <c r="B14415"/>
    </row>
    <row r="14416" spans="2:2">
      <c r="B14416"/>
    </row>
    <row r="14417" spans="2:2">
      <c r="B14417"/>
    </row>
    <row r="14418" spans="2:2">
      <c r="B14418"/>
    </row>
    <row r="14419" spans="2:2">
      <c r="B14419"/>
    </row>
    <row r="14420" spans="2:2">
      <c r="B14420"/>
    </row>
    <row r="14421" spans="2:2">
      <c r="B14421"/>
    </row>
    <row r="14422" spans="2:2">
      <c r="B14422"/>
    </row>
    <row r="14423" spans="2:2">
      <c r="B14423"/>
    </row>
    <row r="14424" spans="2:2">
      <c r="B14424"/>
    </row>
    <row r="14425" spans="2:2">
      <c r="B14425"/>
    </row>
    <row r="14426" spans="2:2">
      <c r="B14426"/>
    </row>
    <row r="14427" spans="2:2">
      <c r="B14427"/>
    </row>
    <row r="14428" spans="2:2">
      <c r="B14428"/>
    </row>
    <row r="14429" spans="2:2">
      <c r="B14429"/>
    </row>
    <row r="14430" spans="2:2">
      <c r="B14430"/>
    </row>
    <row r="14431" spans="2:2">
      <c r="B14431"/>
    </row>
    <row r="14432" spans="2:2">
      <c r="B14432"/>
    </row>
    <row r="14433" spans="2:2">
      <c r="B14433"/>
    </row>
    <row r="14434" spans="2:2">
      <c r="B14434"/>
    </row>
    <row r="14435" spans="2:2">
      <c r="B14435"/>
    </row>
    <row r="14436" spans="2:2">
      <c r="B14436"/>
    </row>
    <row r="14437" spans="2:2">
      <c r="B14437"/>
    </row>
    <row r="14438" spans="2:2">
      <c r="B14438"/>
    </row>
    <row r="14439" spans="2:2">
      <c r="B14439"/>
    </row>
    <row r="14440" spans="2:2">
      <c r="B14440"/>
    </row>
    <row r="14441" spans="2:2">
      <c r="B14441"/>
    </row>
    <row r="14442" spans="2:2">
      <c r="B14442"/>
    </row>
    <row r="14443" spans="2:2">
      <c r="B14443"/>
    </row>
    <row r="14444" spans="2:2">
      <c r="B14444"/>
    </row>
    <row r="14445" spans="2:2">
      <c r="B14445"/>
    </row>
    <row r="14446" spans="2:2">
      <c r="B14446"/>
    </row>
    <row r="14447" spans="2:2">
      <c r="B14447"/>
    </row>
    <row r="14448" spans="2:2">
      <c r="B14448"/>
    </row>
    <row r="14449" spans="2:2">
      <c r="B14449"/>
    </row>
    <row r="14450" spans="2:2">
      <c r="B14450"/>
    </row>
    <row r="14451" spans="2:2">
      <c r="B14451"/>
    </row>
    <row r="14452" spans="2:2">
      <c r="B14452"/>
    </row>
    <row r="14453" spans="2:2">
      <c r="B14453"/>
    </row>
    <row r="14454" spans="2:2">
      <c r="B14454"/>
    </row>
    <row r="14455" spans="2:2">
      <c r="B14455"/>
    </row>
    <row r="14456" spans="2:2">
      <c r="B14456"/>
    </row>
    <row r="14457" spans="2:2">
      <c r="B14457"/>
    </row>
    <row r="14458" spans="2:2">
      <c r="B14458"/>
    </row>
    <row r="14459" spans="2:2">
      <c r="B14459"/>
    </row>
    <row r="14460" spans="2:2">
      <c r="B14460"/>
    </row>
    <row r="14461" spans="2:2">
      <c r="B14461"/>
    </row>
    <row r="14462" spans="2:2">
      <c r="B14462"/>
    </row>
    <row r="14463" spans="2:2">
      <c r="B14463"/>
    </row>
    <row r="14464" spans="2:2">
      <c r="B14464"/>
    </row>
    <row r="14465" spans="2:2">
      <c r="B14465"/>
    </row>
    <row r="14466" spans="2:2">
      <c r="B14466"/>
    </row>
    <row r="14467" spans="2:2">
      <c r="B14467"/>
    </row>
    <row r="14468" spans="2:2">
      <c r="B14468"/>
    </row>
    <row r="14469" spans="2:2">
      <c r="B14469"/>
    </row>
    <row r="14470" spans="2:2">
      <c r="B14470"/>
    </row>
    <row r="14471" spans="2:2">
      <c r="B14471"/>
    </row>
    <row r="14472" spans="2:2">
      <c r="B14472"/>
    </row>
    <row r="14473" spans="2:2">
      <c r="B14473"/>
    </row>
    <row r="14474" spans="2:2">
      <c r="B14474"/>
    </row>
    <row r="14475" spans="2:2">
      <c r="B14475"/>
    </row>
    <row r="14476" spans="2:2">
      <c r="B14476"/>
    </row>
    <row r="14477" spans="2:2">
      <c r="B14477"/>
    </row>
    <row r="14478" spans="2:2">
      <c r="B14478"/>
    </row>
    <row r="14479" spans="2:2">
      <c r="B14479"/>
    </row>
    <row r="14480" spans="2:2">
      <c r="B14480"/>
    </row>
    <row r="14481" spans="2:2">
      <c r="B14481"/>
    </row>
    <row r="14482" spans="2:2">
      <c r="B14482"/>
    </row>
    <row r="14483" spans="2:2">
      <c r="B14483"/>
    </row>
    <row r="14484" spans="2:2">
      <c r="B14484"/>
    </row>
    <row r="14485" spans="2:2">
      <c r="B14485"/>
    </row>
    <row r="14486" spans="2:2">
      <c r="B14486"/>
    </row>
    <row r="14487" spans="2:2">
      <c r="B14487"/>
    </row>
    <row r="14488" spans="2:2">
      <c r="B14488"/>
    </row>
    <row r="14489" spans="2:2">
      <c r="B14489"/>
    </row>
    <row r="14490" spans="2:2">
      <c r="B14490"/>
    </row>
    <row r="14491" spans="2:2">
      <c r="B14491"/>
    </row>
    <row r="14492" spans="2:2">
      <c r="B14492"/>
    </row>
    <row r="14493" spans="2:2">
      <c r="B14493"/>
    </row>
    <row r="14494" spans="2:2">
      <c r="B14494"/>
    </row>
    <row r="14495" spans="2:2">
      <c r="B14495"/>
    </row>
    <row r="14496" spans="2:2">
      <c r="B14496"/>
    </row>
    <row r="14497" spans="2:2">
      <c r="B14497"/>
    </row>
    <row r="14498" spans="2:2">
      <c r="B14498"/>
    </row>
    <row r="14499" spans="2:2">
      <c r="B14499"/>
    </row>
    <row r="14500" spans="2:2">
      <c r="B14500"/>
    </row>
    <row r="14501" spans="2:2">
      <c r="B14501"/>
    </row>
    <row r="14502" spans="2:2">
      <c r="B14502"/>
    </row>
    <row r="14503" spans="2:2">
      <c r="B14503"/>
    </row>
    <row r="14504" spans="2:2">
      <c r="B14504"/>
    </row>
    <row r="14505" spans="2:2">
      <c r="B14505"/>
    </row>
    <row r="14506" spans="2:2">
      <c r="B14506"/>
    </row>
    <row r="14507" spans="2:2">
      <c r="B14507"/>
    </row>
    <row r="14508" spans="2:2">
      <c r="B14508"/>
    </row>
    <row r="14509" spans="2:2">
      <c r="B14509"/>
    </row>
    <row r="14510" spans="2:2">
      <c r="B14510"/>
    </row>
    <row r="14511" spans="2:2">
      <c r="B14511"/>
    </row>
    <row r="14512" spans="2:2">
      <c r="B14512"/>
    </row>
    <row r="14513" spans="2:2">
      <c r="B14513"/>
    </row>
    <row r="14514" spans="2:2">
      <c r="B14514"/>
    </row>
    <row r="14515" spans="2:2">
      <c r="B14515"/>
    </row>
    <row r="14516" spans="2:2">
      <c r="B14516"/>
    </row>
    <row r="14517" spans="2:2">
      <c r="B14517"/>
    </row>
    <row r="14518" spans="2:2">
      <c r="B14518"/>
    </row>
    <row r="14519" spans="2:2">
      <c r="B14519"/>
    </row>
    <row r="14520" spans="2:2">
      <c r="B14520"/>
    </row>
    <row r="14521" spans="2:2">
      <c r="B14521"/>
    </row>
    <row r="14522" spans="2:2">
      <c r="B14522"/>
    </row>
    <row r="14523" spans="2:2">
      <c r="B14523"/>
    </row>
    <row r="14524" spans="2:2">
      <c r="B14524"/>
    </row>
    <row r="14525" spans="2:2">
      <c r="B14525"/>
    </row>
    <row r="14526" spans="2:2">
      <c r="B14526"/>
    </row>
    <row r="14527" spans="2:2">
      <c r="B14527"/>
    </row>
    <row r="14528" spans="2:2">
      <c r="B14528"/>
    </row>
    <row r="14529" spans="2:2">
      <c r="B14529"/>
    </row>
    <row r="14530" spans="2:2">
      <c r="B14530"/>
    </row>
    <row r="14531" spans="2:2">
      <c r="B14531"/>
    </row>
    <row r="14532" spans="2:2">
      <c r="B14532"/>
    </row>
    <row r="14533" spans="2:2">
      <c r="B14533"/>
    </row>
    <row r="14534" spans="2:2">
      <c r="B14534"/>
    </row>
    <row r="14535" spans="2:2">
      <c r="B14535"/>
    </row>
    <row r="14536" spans="2:2">
      <c r="B14536"/>
    </row>
    <row r="14537" spans="2:2">
      <c r="B14537"/>
    </row>
    <row r="14538" spans="2:2">
      <c r="B14538"/>
    </row>
    <row r="14539" spans="2:2">
      <c r="B14539"/>
    </row>
    <row r="14540" spans="2:2">
      <c r="B14540"/>
    </row>
    <row r="14541" spans="2:2">
      <c r="B14541"/>
    </row>
    <row r="14542" spans="2:2">
      <c r="B14542"/>
    </row>
    <row r="14543" spans="2:2">
      <c r="B14543"/>
    </row>
    <row r="14544" spans="2:2">
      <c r="B14544"/>
    </row>
    <row r="14545" spans="2:2">
      <c r="B14545"/>
    </row>
    <row r="14546" spans="2:2">
      <c r="B14546"/>
    </row>
    <row r="14547" spans="2:2">
      <c r="B14547"/>
    </row>
    <row r="14548" spans="2:2">
      <c r="B14548"/>
    </row>
    <row r="14549" spans="2:2">
      <c r="B14549"/>
    </row>
    <row r="14550" spans="2:2">
      <c r="B14550"/>
    </row>
    <row r="14551" spans="2:2">
      <c r="B14551"/>
    </row>
    <row r="14552" spans="2:2">
      <c r="B14552"/>
    </row>
    <row r="14553" spans="2:2">
      <c r="B14553"/>
    </row>
    <row r="14554" spans="2:2">
      <c r="B14554"/>
    </row>
    <row r="14555" spans="2:2">
      <c r="B14555"/>
    </row>
    <row r="14556" spans="2:2">
      <c r="B14556"/>
    </row>
    <row r="14557" spans="2:2">
      <c r="B14557"/>
    </row>
    <row r="14558" spans="2:2">
      <c r="B14558"/>
    </row>
    <row r="14559" spans="2:2">
      <c r="B14559"/>
    </row>
    <row r="14560" spans="2:2">
      <c r="B14560"/>
    </row>
    <row r="14561" spans="2:2">
      <c r="B14561"/>
    </row>
    <row r="14562" spans="2:2">
      <c r="B14562"/>
    </row>
    <row r="14563" spans="2:2">
      <c r="B14563"/>
    </row>
    <row r="14564" spans="2:2">
      <c r="B14564"/>
    </row>
    <row r="14565" spans="2:2">
      <c r="B14565"/>
    </row>
    <row r="14566" spans="2:2">
      <c r="B14566"/>
    </row>
    <row r="14567" spans="2:2">
      <c r="B14567"/>
    </row>
    <row r="14568" spans="2:2">
      <c r="B14568"/>
    </row>
    <row r="14569" spans="2:2">
      <c r="B14569"/>
    </row>
    <row r="14570" spans="2:2">
      <c r="B14570"/>
    </row>
    <row r="14571" spans="2:2">
      <c r="B14571"/>
    </row>
    <row r="14572" spans="2:2">
      <c r="B14572"/>
    </row>
    <row r="14573" spans="2:2">
      <c r="B14573"/>
    </row>
    <row r="14574" spans="2:2">
      <c r="B14574"/>
    </row>
    <row r="14575" spans="2:2">
      <c r="B14575"/>
    </row>
    <row r="14576" spans="2:2">
      <c r="B14576"/>
    </row>
    <row r="14577" spans="2:2">
      <c r="B14577"/>
    </row>
    <row r="14578" spans="2:2">
      <c r="B14578"/>
    </row>
    <row r="14579" spans="2:2">
      <c r="B14579"/>
    </row>
    <row r="14580" spans="2:2">
      <c r="B14580"/>
    </row>
    <row r="14581" spans="2:2">
      <c r="B14581"/>
    </row>
    <row r="14582" spans="2:2">
      <c r="B14582"/>
    </row>
    <row r="14583" spans="2:2">
      <c r="B14583"/>
    </row>
    <row r="14584" spans="2:2">
      <c r="B14584"/>
    </row>
    <row r="14585" spans="2:2">
      <c r="B14585"/>
    </row>
    <row r="14586" spans="2:2">
      <c r="B14586"/>
    </row>
    <row r="14587" spans="2:2">
      <c r="B14587"/>
    </row>
    <row r="14588" spans="2:2">
      <c r="B14588"/>
    </row>
    <row r="14589" spans="2:2">
      <c r="B14589"/>
    </row>
    <row r="14590" spans="2:2">
      <c r="B14590"/>
    </row>
    <row r="14591" spans="2:2">
      <c r="B14591"/>
    </row>
    <row r="14592" spans="2:2">
      <c r="B14592"/>
    </row>
    <row r="14593" spans="2:2">
      <c r="B14593"/>
    </row>
    <row r="14594" spans="2:2">
      <c r="B14594"/>
    </row>
    <row r="14595" spans="2:2">
      <c r="B14595"/>
    </row>
    <row r="14596" spans="2:2">
      <c r="B14596"/>
    </row>
    <row r="14597" spans="2:2">
      <c r="B14597"/>
    </row>
    <row r="14598" spans="2:2">
      <c r="B14598"/>
    </row>
    <row r="14599" spans="2:2">
      <c r="B14599"/>
    </row>
    <row r="14600" spans="2:2">
      <c r="B14600"/>
    </row>
    <row r="14601" spans="2:2">
      <c r="B14601"/>
    </row>
    <row r="14602" spans="2:2">
      <c r="B14602"/>
    </row>
    <row r="14603" spans="2:2">
      <c r="B14603"/>
    </row>
    <row r="14604" spans="2:2">
      <c r="B14604"/>
    </row>
    <row r="14605" spans="2:2">
      <c r="B14605"/>
    </row>
    <row r="14606" spans="2:2">
      <c r="B14606"/>
    </row>
    <row r="14607" spans="2:2">
      <c r="B14607"/>
    </row>
    <row r="14608" spans="2:2">
      <c r="B14608"/>
    </row>
    <row r="14609" spans="2:2">
      <c r="B14609"/>
    </row>
    <row r="14610" spans="2:2">
      <c r="B14610"/>
    </row>
    <row r="14611" spans="2:2">
      <c r="B14611"/>
    </row>
    <row r="14612" spans="2:2">
      <c r="B14612"/>
    </row>
    <row r="14613" spans="2:2">
      <c r="B14613"/>
    </row>
    <row r="14614" spans="2:2">
      <c r="B14614"/>
    </row>
    <row r="14615" spans="2:2">
      <c r="B14615"/>
    </row>
    <row r="14616" spans="2:2">
      <c r="B14616"/>
    </row>
    <row r="14617" spans="2:2">
      <c r="B14617"/>
    </row>
    <row r="14618" spans="2:2">
      <c r="B14618"/>
    </row>
    <row r="14619" spans="2:2">
      <c r="B14619"/>
    </row>
    <row r="14620" spans="2:2">
      <c r="B14620"/>
    </row>
    <row r="14621" spans="2:2">
      <c r="B14621"/>
    </row>
    <row r="14622" spans="2:2">
      <c r="B14622"/>
    </row>
    <row r="14623" spans="2:2">
      <c r="B14623"/>
    </row>
    <row r="14624" spans="2:2">
      <c r="B14624"/>
    </row>
    <row r="14625" spans="2:2">
      <c r="B14625"/>
    </row>
    <row r="14626" spans="2:2">
      <c r="B14626"/>
    </row>
    <row r="14627" spans="2:2">
      <c r="B14627"/>
    </row>
    <row r="14628" spans="2:2">
      <c r="B14628"/>
    </row>
    <row r="14629" spans="2:2">
      <c r="B14629"/>
    </row>
    <row r="14630" spans="2:2">
      <c r="B14630"/>
    </row>
    <row r="14631" spans="2:2">
      <c r="B14631"/>
    </row>
    <row r="14632" spans="2:2">
      <c r="B14632"/>
    </row>
    <row r="14633" spans="2:2">
      <c r="B14633"/>
    </row>
    <row r="14634" spans="2:2">
      <c r="B14634"/>
    </row>
    <row r="14635" spans="2:2">
      <c r="B14635"/>
    </row>
    <row r="14636" spans="2:2">
      <c r="B14636"/>
    </row>
    <row r="14637" spans="2:2">
      <c r="B14637"/>
    </row>
    <row r="14638" spans="2:2">
      <c r="B14638"/>
    </row>
    <row r="14639" spans="2:2">
      <c r="B14639"/>
    </row>
    <row r="14640" spans="2:2">
      <c r="B14640"/>
    </row>
    <row r="14641" spans="2:2">
      <c r="B14641"/>
    </row>
    <row r="14642" spans="2:2">
      <c r="B14642"/>
    </row>
    <row r="14643" spans="2:2">
      <c r="B14643"/>
    </row>
    <row r="14644" spans="2:2">
      <c r="B14644"/>
    </row>
    <row r="14645" spans="2:2">
      <c r="B14645"/>
    </row>
    <row r="14646" spans="2:2">
      <c r="B14646"/>
    </row>
    <row r="14647" spans="2:2">
      <c r="B14647"/>
    </row>
    <row r="14648" spans="2:2">
      <c r="B14648"/>
    </row>
    <row r="14649" spans="2:2">
      <c r="B14649"/>
    </row>
    <row r="14650" spans="2:2">
      <c r="B14650"/>
    </row>
    <row r="14651" spans="2:2">
      <c r="B14651"/>
    </row>
    <row r="14652" spans="2:2">
      <c r="B14652"/>
    </row>
    <row r="14653" spans="2:2">
      <c r="B14653"/>
    </row>
    <row r="14654" spans="2:2">
      <c r="B14654"/>
    </row>
    <row r="14655" spans="2:2">
      <c r="B14655"/>
    </row>
    <row r="14656" spans="2:2">
      <c r="B14656"/>
    </row>
    <row r="14657" spans="2:2">
      <c r="B14657"/>
    </row>
    <row r="14658" spans="2:2">
      <c r="B14658"/>
    </row>
    <row r="14659" spans="2:2">
      <c r="B14659"/>
    </row>
    <row r="14660" spans="2:2">
      <c r="B14660"/>
    </row>
    <row r="14661" spans="2:2">
      <c r="B14661"/>
    </row>
    <row r="14662" spans="2:2">
      <c r="B14662"/>
    </row>
    <row r="14663" spans="2:2">
      <c r="B14663"/>
    </row>
    <row r="14664" spans="2:2">
      <c r="B14664"/>
    </row>
    <row r="14665" spans="2:2">
      <c r="B14665"/>
    </row>
    <row r="14666" spans="2:2">
      <c r="B14666"/>
    </row>
    <row r="14667" spans="2:2">
      <c r="B14667"/>
    </row>
    <row r="14668" spans="2:2">
      <c r="B14668"/>
    </row>
    <row r="14669" spans="2:2">
      <c r="B14669"/>
    </row>
    <row r="14670" spans="2:2">
      <c r="B14670"/>
    </row>
    <row r="14671" spans="2:2">
      <c r="B14671"/>
    </row>
    <row r="14672" spans="2:2">
      <c r="B14672"/>
    </row>
    <row r="14673" spans="2:2">
      <c r="B14673"/>
    </row>
    <row r="14674" spans="2:2">
      <c r="B14674"/>
    </row>
    <row r="14675" spans="2:2">
      <c r="B14675"/>
    </row>
    <row r="14676" spans="2:2">
      <c r="B14676"/>
    </row>
    <row r="14677" spans="2:2">
      <c r="B14677"/>
    </row>
    <row r="14678" spans="2:2">
      <c r="B14678"/>
    </row>
    <row r="14679" spans="2:2">
      <c r="B14679"/>
    </row>
    <row r="14680" spans="2:2">
      <c r="B14680"/>
    </row>
    <row r="14681" spans="2:2">
      <c r="B14681"/>
    </row>
    <row r="14682" spans="2:2">
      <c r="B14682"/>
    </row>
    <row r="14683" spans="2:2">
      <c r="B14683"/>
    </row>
    <row r="14684" spans="2:2">
      <c r="B14684"/>
    </row>
    <row r="14685" spans="2:2">
      <c r="B14685"/>
    </row>
    <row r="14686" spans="2:2">
      <c r="B14686"/>
    </row>
    <row r="14687" spans="2:2">
      <c r="B14687"/>
    </row>
    <row r="14688" spans="2:2">
      <c r="B14688"/>
    </row>
    <row r="14689" spans="2:2">
      <c r="B14689"/>
    </row>
    <row r="14690" spans="2:2">
      <c r="B14690"/>
    </row>
    <row r="14691" spans="2:2">
      <c r="B14691"/>
    </row>
    <row r="14692" spans="2:2">
      <c r="B14692"/>
    </row>
    <row r="14693" spans="2:2">
      <c r="B14693"/>
    </row>
    <row r="14694" spans="2:2">
      <c r="B14694"/>
    </row>
    <row r="14695" spans="2:2">
      <c r="B14695"/>
    </row>
    <row r="14696" spans="2:2">
      <c r="B14696"/>
    </row>
    <row r="14697" spans="2:2">
      <c r="B14697"/>
    </row>
    <row r="14698" spans="2:2">
      <c r="B14698"/>
    </row>
    <row r="14699" spans="2:2">
      <c r="B14699"/>
    </row>
    <row r="14700" spans="2:2">
      <c r="B14700"/>
    </row>
    <row r="14701" spans="2:2">
      <c r="B14701"/>
    </row>
    <row r="14702" spans="2:2">
      <c r="B14702"/>
    </row>
    <row r="14703" spans="2:2">
      <c r="B14703"/>
    </row>
    <row r="14704" spans="2:2">
      <c r="B14704"/>
    </row>
    <row r="14705" spans="2:2">
      <c r="B14705"/>
    </row>
    <row r="14706" spans="2:2">
      <c r="B14706"/>
    </row>
    <row r="14707" spans="2:2">
      <c r="B14707"/>
    </row>
    <row r="14708" spans="2:2">
      <c r="B14708"/>
    </row>
    <row r="14709" spans="2:2">
      <c r="B14709"/>
    </row>
    <row r="14710" spans="2:2">
      <c r="B14710"/>
    </row>
    <row r="14711" spans="2:2">
      <c r="B14711"/>
    </row>
    <row r="14712" spans="2:2">
      <c r="B14712"/>
    </row>
    <row r="14713" spans="2:2">
      <c r="B14713"/>
    </row>
    <row r="14714" spans="2:2">
      <c r="B14714"/>
    </row>
    <row r="14715" spans="2:2">
      <c r="B14715"/>
    </row>
    <row r="14716" spans="2:2">
      <c r="B14716"/>
    </row>
    <row r="14717" spans="2:2">
      <c r="B14717"/>
    </row>
    <row r="14718" spans="2:2">
      <c r="B14718"/>
    </row>
    <row r="14719" spans="2:2">
      <c r="B14719"/>
    </row>
    <row r="14720" spans="2:2">
      <c r="B14720"/>
    </row>
    <row r="14721" spans="2:2">
      <c r="B14721"/>
    </row>
    <row r="14722" spans="2:2">
      <c r="B14722"/>
    </row>
    <row r="14723" spans="2:2">
      <c r="B14723"/>
    </row>
    <row r="14724" spans="2:2">
      <c r="B14724"/>
    </row>
    <row r="14725" spans="2:2">
      <c r="B14725"/>
    </row>
    <row r="14726" spans="2:2">
      <c r="B14726"/>
    </row>
    <row r="14727" spans="2:2">
      <c r="B14727"/>
    </row>
    <row r="14728" spans="2:2">
      <c r="B14728"/>
    </row>
    <row r="14729" spans="2:2">
      <c r="B14729"/>
    </row>
    <row r="14730" spans="2:2">
      <c r="B14730"/>
    </row>
    <row r="14731" spans="2:2">
      <c r="B14731"/>
    </row>
    <row r="14732" spans="2:2">
      <c r="B14732"/>
    </row>
    <row r="14733" spans="2:2">
      <c r="B14733"/>
    </row>
    <row r="14734" spans="2:2">
      <c r="B14734"/>
    </row>
    <row r="14735" spans="2:2">
      <c r="B14735"/>
    </row>
    <row r="14736" spans="2:2">
      <c r="B14736"/>
    </row>
    <row r="14737" spans="2:2">
      <c r="B14737"/>
    </row>
    <row r="14738" spans="2:2">
      <c r="B14738"/>
    </row>
    <row r="14739" spans="2:2">
      <c r="B14739"/>
    </row>
    <row r="14740" spans="2:2">
      <c r="B14740"/>
    </row>
    <row r="14741" spans="2:2">
      <c r="B14741"/>
    </row>
    <row r="14742" spans="2:2">
      <c r="B14742"/>
    </row>
    <row r="14743" spans="2:2">
      <c r="B14743"/>
    </row>
    <row r="14744" spans="2:2">
      <c r="B14744"/>
    </row>
    <row r="14745" spans="2:2">
      <c r="B14745"/>
    </row>
    <row r="14746" spans="2:2">
      <c r="B14746"/>
    </row>
    <row r="14747" spans="2:2">
      <c r="B14747"/>
    </row>
    <row r="14748" spans="2:2">
      <c r="B14748"/>
    </row>
    <row r="14749" spans="2:2">
      <c r="B14749"/>
    </row>
    <row r="14750" spans="2:2">
      <c r="B14750"/>
    </row>
    <row r="14751" spans="2:2">
      <c r="B14751"/>
    </row>
    <row r="14752" spans="2:2">
      <c r="B14752"/>
    </row>
    <row r="14753" spans="2:2">
      <c r="B14753"/>
    </row>
    <row r="14754" spans="2:2">
      <c r="B14754"/>
    </row>
    <row r="14755" spans="2:2">
      <c r="B14755"/>
    </row>
    <row r="14756" spans="2:2">
      <c r="B14756"/>
    </row>
    <row r="14757" spans="2:2">
      <c r="B14757"/>
    </row>
    <row r="14758" spans="2:2">
      <c r="B14758"/>
    </row>
    <row r="14759" spans="2:2">
      <c r="B14759"/>
    </row>
    <row r="14760" spans="2:2">
      <c r="B14760"/>
    </row>
    <row r="14761" spans="2:2">
      <c r="B14761"/>
    </row>
    <row r="14762" spans="2:2">
      <c r="B14762"/>
    </row>
    <row r="14763" spans="2:2">
      <c r="B14763"/>
    </row>
    <row r="14764" spans="2:2">
      <c r="B14764"/>
    </row>
    <row r="14765" spans="2:2">
      <c r="B14765"/>
    </row>
    <row r="14766" spans="2:2">
      <c r="B14766"/>
    </row>
    <row r="14767" spans="2:2">
      <c r="B14767"/>
    </row>
    <row r="14768" spans="2:2">
      <c r="B14768"/>
    </row>
    <row r="14769" spans="2:2">
      <c r="B14769"/>
    </row>
    <row r="14770" spans="2:2">
      <c r="B14770"/>
    </row>
    <row r="14771" spans="2:2">
      <c r="B14771"/>
    </row>
    <row r="14772" spans="2:2">
      <c r="B14772"/>
    </row>
    <row r="14773" spans="2:2">
      <c r="B14773"/>
    </row>
    <row r="14774" spans="2:2">
      <c r="B14774"/>
    </row>
    <row r="14775" spans="2:2">
      <c r="B14775"/>
    </row>
    <row r="14776" spans="2:2">
      <c r="B14776"/>
    </row>
    <row r="14777" spans="2:2">
      <c r="B14777"/>
    </row>
    <row r="14778" spans="2:2">
      <c r="B14778"/>
    </row>
    <row r="14779" spans="2:2">
      <c r="B14779"/>
    </row>
    <row r="14780" spans="2:2">
      <c r="B14780"/>
    </row>
    <row r="14781" spans="2:2">
      <c r="B14781"/>
    </row>
    <row r="14782" spans="2:2">
      <c r="B14782"/>
    </row>
    <row r="14783" spans="2:2">
      <c r="B14783"/>
    </row>
    <row r="14784" spans="2:2">
      <c r="B14784"/>
    </row>
    <row r="14785" spans="2:2">
      <c r="B14785"/>
    </row>
    <row r="14786" spans="2:2">
      <c r="B14786"/>
    </row>
    <row r="14787" spans="2:2">
      <c r="B14787"/>
    </row>
    <row r="14788" spans="2:2">
      <c r="B14788"/>
    </row>
    <row r="14789" spans="2:2">
      <c r="B14789"/>
    </row>
    <row r="14790" spans="2:2">
      <c r="B14790"/>
    </row>
    <row r="14791" spans="2:2">
      <c r="B14791"/>
    </row>
    <row r="14792" spans="2:2">
      <c r="B14792"/>
    </row>
    <row r="14793" spans="2:2">
      <c r="B14793"/>
    </row>
    <row r="14794" spans="2:2">
      <c r="B14794"/>
    </row>
    <row r="14795" spans="2:2">
      <c r="B14795"/>
    </row>
    <row r="14796" spans="2:2">
      <c r="B14796"/>
    </row>
    <row r="14797" spans="2:2">
      <c r="B14797"/>
    </row>
    <row r="14798" spans="2:2">
      <c r="B14798"/>
    </row>
    <row r="14799" spans="2:2">
      <c r="B14799"/>
    </row>
    <row r="14800" spans="2:2">
      <c r="B14800"/>
    </row>
    <row r="14801" spans="2:2">
      <c r="B14801"/>
    </row>
    <row r="14802" spans="2:2">
      <c r="B14802"/>
    </row>
    <row r="14803" spans="2:2">
      <c r="B14803"/>
    </row>
    <row r="14804" spans="2:2">
      <c r="B14804"/>
    </row>
    <row r="14805" spans="2:2">
      <c r="B14805"/>
    </row>
    <row r="14806" spans="2:2">
      <c r="B14806"/>
    </row>
    <row r="14807" spans="2:2">
      <c r="B14807"/>
    </row>
    <row r="14808" spans="2:2">
      <c r="B14808"/>
    </row>
    <row r="14809" spans="2:2">
      <c r="B14809"/>
    </row>
    <row r="14810" spans="2:2">
      <c r="B14810"/>
    </row>
    <row r="14811" spans="2:2">
      <c r="B14811"/>
    </row>
    <row r="14812" spans="2:2">
      <c r="B14812"/>
    </row>
    <row r="14813" spans="2:2">
      <c r="B14813"/>
    </row>
    <row r="14814" spans="2:2">
      <c r="B14814"/>
    </row>
    <row r="14815" spans="2:2">
      <c r="B14815"/>
    </row>
    <row r="14816" spans="2:2">
      <c r="B14816"/>
    </row>
    <row r="14817" spans="2:2">
      <c r="B14817"/>
    </row>
    <row r="14818" spans="2:2">
      <c r="B14818"/>
    </row>
    <row r="14819" spans="2:2">
      <c r="B14819"/>
    </row>
    <row r="14820" spans="2:2">
      <c r="B14820"/>
    </row>
    <row r="14821" spans="2:2">
      <c r="B14821"/>
    </row>
    <row r="14822" spans="2:2">
      <c r="B14822"/>
    </row>
    <row r="14823" spans="2:2">
      <c r="B14823"/>
    </row>
    <row r="14824" spans="2:2">
      <c r="B14824"/>
    </row>
    <row r="14825" spans="2:2">
      <c r="B14825"/>
    </row>
    <row r="14826" spans="2:2">
      <c r="B14826"/>
    </row>
    <row r="14827" spans="2:2">
      <c r="B14827"/>
    </row>
    <row r="14828" spans="2:2">
      <c r="B14828"/>
    </row>
    <row r="14829" spans="2:2">
      <c r="B14829"/>
    </row>
    <row r="14830" spans="2:2">
      <c r="B14830"/>
    </row>
    <row r="14831" spans="2:2">
      <c r="B14831"/>
    </row>
    <row r="14832" spans="2:2">
      <c r="B14832"/>
    </row>
    <row r="14833" spans="2:2">
      <c r="B14833"/>
    </row>
    <row r="14834" spans="2:2">
      <c r="B14834"/>
    </row>
    <row r="14835" spans="2:2">
      <c r="B14835"/>
    </row>
    <row r="14836" spans="2:2">
      <c r="B14836"/>
    </row>
    <row r="14837" spans="2:2">
      <c r="B14837"/>
    </row>
    <row r="14838" spans="2:2">
      <c r="B14838"/>
    </row>
    <row r="14839" spans="2:2">
      <c r="B14839"/>
    </row>
    <row r="14840" spans="2:2">
      <c r="B14840"/>
    </row>
    <row r="14841" spans="2:2">
      <c r="B14841"/>
    </row>
    <row r="14842" spans="2:2">
      <c r="B14842"/>
    </row>
    <row r="14843" spans="2:2">
      <c r="B14843"/>
    </row>
    <row r="14844" spans="2:2">
      <c r="B14844"/>
    </row>
    <row r="14845" spans="2:2">
      <c r="B14845"/>
    </row>
    <row r="14846" spans="2:2">
      <c r="B14846"/>
    </row>
    <row r="14847" spans="2:2">
      <c r="B14847"/>
    </row>
    <row r="14848" spans="2:2">
      <c r="B14848"/>
    </row>
    <row r="14849" spans="2:2">
      <c r="B14849"/>
    </row>
    <row r="14850" spans="2:2">
      <c r="B14850"/>
    </row>
    <row r="14851" spans="2:2">
      <c r="B14851"/>
    </row>
    <row r="14852" spans="2:2">
      <c r="B14852"/>
    </row>
    <row r="14853" spans="2:2">
      <c r="B14853"/>
    </row>
    <row r="14854" spans="2:2">
      <c r="B14854"/>
    </row>
    <row r="14855" spans="2:2">
      <c r="B14855"/>
    </row>
    <row r="14856" spans="2:2">
      <c r="B14856"/>
    </row>
    <row r="14857" spans="2:2">
      <c r="B14857"/>
    </row>
    <row r="14858" spans="2:2">
      <c r="B14858"/>
    </row>
    <row r="14859" spans="2:2">
      <c r="B14859"/>
    </row>
    <row r="14860" spans="2:2">
      <c r="B14860"/>
    </row>
    <row r="14861" spans="2:2">
      <c r="B14861"/>
    </row>
    <row r="14862" spans="2:2">
      <c r="B14862"/>
    </row>
    <row r="14863" spans="2:2">
      <c r="B14863"/>
    </row>
    <row r="14864" spans="2:2">
      <c r="B14864"/>
    </row>
    <row r="14865" spans="2:2">
      <c r="B14865"/>
    </row>
    <row r="14866" spans="2:2">
      <c r="B14866"/>
    </row>
    <row r="14867" spans="2:2">
      <c r="B14867"/>
    </row>
    <row r="14868" spans="2:2">
      <c r="B14868"/>
    </row>
    <row r="14869" spans="2:2">
      <c r="B14869"/>
    </row>
    <row r="14870" spans="2:2">
      <c r="B14870"/>
    </row>
    <row r="14871" spans="2:2">
      <c r="B14871"/>
    </row>
    <row r="14872" spans="2:2">
      <c r="B14872"/>
    </row>
    <row r="14873" spans="2:2">
      <c r="B14873"/>
    </row>
    <row r="14874" spans="2:2">
      <c r="B14874"/>
    </row>
    <row r="14875" spans="2:2">
      <c r="B14875"/>
    </row>
    <row r="14876" spans="2:2">
      <c r="B14876"/>
    </row>
    <row r="14877" spans="2:2">
      <c r="B14877"/>
    </row>
    <row r="14878" spans="2:2">
      <c r="B14878"/>
    </row>
    <row r="14879" spans="2:2">
      <c r="B14879"/>
    </row>
    <row r="14880" spans="2:2">
      <c r="B14880"/>
    </row>
    <row r="14881" spans="2:2">
      <c r="B14881"/>
    </row>
    <row r="14882" spans="2:2">
      <c r="B14882"/>
    </row>
    <row r="14883" spans="2:2">
      <c r="B14883"/>
    </row>
    <row r="14884" spans="2:2">
      <c r="B14884"/>
    </row>
    <row r="14885" spans="2:2">
      <c r="B14885"/>
    </row>
    <row r="14886" spans="2:2">
      <c r="B14886"/>
    </row>
    <row r="14887" spans="2:2">
      <c r="B14887"/>
    </row>
    <row r="14888" spans="2:2">
      <c r="B14888"/>
    </row>
    <row r="14889" spans="2:2">
      <c r="B14889"/>
    </row>
    <row r="14890" spans="2:2">
      <c r="B14890"/>
    </row>
    <row r="14891" spans="2:2">
      <c r="B14891"/>
    </row>
    <row r="14892" spans="2:2">
      <c r="B14892"/>
    </row>
    <row r="14893" spans="2:2">
      <c r="B14893"/>
    </row>
    <row r="14894" spans="2:2">
      <c r="B14894"/>
    </row>
    <row r="14895" spans="2:2">
      <c r="B14895"/>
    </row>
    <row r="14896" spans="2:2">
      <c r="B14896"/>
    </row>
    <row r="14897" spans="2:2">
      <c r="B14897"/>
    </row>
    <row r="14898" spans="2:2">
      <c r="B14898"/>
    </row>
    <row r="14899" spans="2:2">
      <c r="B14899"/>
    </row>
    <row r="14900" spans="2:2">
      <c r="B14900"/>
    </row>
    <row r="14901" spans="2:2">
      <c r="B14901"/>
    </row>
    <row r="14902" spans="2:2">
      <c r="B14902"/>
    </row>
    <row r="14903" spans="2:2">
      <c r="B14903"/>
    </row>
    <row r="14904" spans="2:2">
      <c r="B14904"/>
    </row>
    <row r="14905" spans="2:2">
      <c r="B14905"/>
    </row>
    <row r="14906" spans="2:2">
      <c r="B14906"/>
    </row>
    <row r="14907" spans="2:2">
      <c r="B14907"/>
    </row>
    <row r="14908" spans="2:2">
      <c r="B14908"/>
    </row>
    <row r="14909" spans="2:2">
      <c r="B14909"/>
    </row>
    <row r="14910" spans="2:2">
      <c r="B14910"/>
    </row>
    <row r="14911" spans="2:2">
      <c r="B14911"/>
    </row>
    <row r="14912" spans="2:2">
      <c r="B14912"/>
    </row>
    <row r="14913" spans="2:2">
      <c r="B14913"/>
    </row>
    <row r="14914" spans="2:2">
      <c r="B14914"/>
    </row>
    <row r="14915" spans="2:2">
      <c r="B14915"/>
    </row>
    <row r="14916" spans="2:2">
      <c r="B14916"/>
    </row>
    <row r="14917" spans="2:2">
      <c r="B14917"/>
    </row>
    <row r="14918" spans="2:2">
      <c r="B14918"/>
    </row>
    <row r="14919" spans="2:2">
      <c r="B14919"/>
    </row>
    <row r="14920" spans="2:2">
      <c r="B14920"/>
    </row>
    <row r="14921" spans="2:2">
      <c r="B14921"/>
    </row>
    <row r="14922" spans="2:2">
      <c r="B14922"/>
    </row>
    <row r="14923" spans="2:2">
      <c r="B14923"/>
    </row>
    <row r="14924" spans="2:2">
      <c r="B14924"/>
    </row>
    <row r="14925" spans="2:2">
      <c r="B14925"/>
    </row>
    <row r="14926" spans="2:2">
      <c r="B14926"/>
    </row>
    <row r="14927" spans="2:2">
      <c r="B14927"/>
    </row>
    <row r="14928" spans="2:2">
      <c r="B14928"/>
    </row>
    <row r="14929" spans="2:2">
      <c r="B14929"/>
    </row>
    <row r="14930" spans="2:2">
      <c r="B14930"/>
    </row>
    <row r="14931" spans="2:2">
      <c r="B14931"/>
    </row>
    <row r="14932" spans="2:2">
      <c r="B14932"/>
    </row>
    <row r="14933" spans="2:2">
      <c r="B14933"/>
    </row>
    <row r="14934" spans="2:2">
      <c r="B14934"/>
    </row>
    <row r="14935" spans="2:2">
      <c r="B14935"/>
    </row>
    <row r="14936" spans="2:2">
      <c r="B14936"/>
    </row>
    <row r="14937" spans="2:2">
      <c r="B14937"/>
    </row>
    <row r="14938" spans="2:2">
      <c r="B14938"/>
    </row>
    <row r="14939" spans="2:2">
      <c r="B14939"/>
    </row>
    <row r="14940" spans="2:2">
      <c r="B14940"/>
    </row>
    <row r="14941" spans="2:2">
      <c r="B14941"/>
    </row>
    <row r="14942" spans="2:2">
      <c r="B14942"/>
    </row>
    <row r="14943" spans="2:2">
      <c r="B14943"/>
    </row>
    <row r="14944" spans="2:2">
      <c r="B14944"/>
    </row>
    <row r="14945" spans="2:2">
      <c r="B14945"/>
    </row>
    <row r="14946" spans="2:2">
      <c r="B14946"/>
    </row>
    <row r="14947" spans="2:2">
      <c r="B14947"/>
    </row>
    <row r="14948" spans="2:2">
      <c r="B14948"/>
    </row>
    <row r="14949" spans="2:2">
      <c r="B14949"/>
    </row>
    <row r="14950" spans="2:2">
      <c r="B14950"/>
    </row>
    <row r="14951" spans="2:2">
      <c r="B14951"/>
    </row>
    <row r="14952" spans="2:2">
      <c r="B14952"/>
    </row>
    <row r="14953" spans="2:2">
      <c r="B14953"/>
    </row>
    <row r="14954" spans="2:2">
      <c r="B14954"/>
    </row>
    <row r="14955" spans="2:2">
      <c r="B14955"/>
    </row>
    <row r="14956" spans="2:2">
      <c r="B14956"/>
    </row>
    <row r="14957" spans="2:2">
      <c r="B14957"/>
    </row>
    <row r="14958" spans="2:2">
      <c r="B14958"/>
    </row>
    <row r="14959" spans="2:2">
      <c r="B14959"/>
    </row>
    <row r="14960" spans="2:2">
      <c r="B14960"/>
    </row>
    <row r="14961" spans="2:2">
      <c r="B14961"/>
    </row>
    <row r="14962" spans="2:2">
      <c r="B14962"/>
    </row>
    <row r="14963" spans="2:2">
      <c r="B14963"/>
    </row>
    <row r="14964" spans="2:2">
      <c r="B14964"/>
    </row>
    <row r="14965" spans="2:2">
      <c r="B14965"/>
    </row>
    <row r="14966" spans="2:2">
      <c r="B14966"/>
    </row>
    <row r="14967" spans="2:2">
      <c r="B14967"/>
    </row>
    <row r="14968" spans="2:2">
      <c r="B14968"/>
    </row>
    <row r="14969" spans="2:2">
      <c r="B14969"/>
    </row>
    <row r="14970" spans="2:2">
      <c r="B14970"/>
    </row>
    <row r="14971" spans="2:2">
      <c r="B14971"/>
    </row>
    <row r="14972" spans="2:2">
      <c r="B14972"/>
    </row>
    <row r="14973" spans="2:2">
      <c r="B14973"/>
    </row>
    <row r="14974" spans="2:2">
      <c r="B14974"/>
    </row>
    <row r="14975" spans="2:2">
      <c r="B14975"/>
    </row>
    <row r="14976" spans="2:2">
      <c r="B14976"/>
    </row>
    <row r="14977" spans="2:2">
      <c r="B14977"/>
    </row>
    <row r="14978" spans="2:2">
      <c r="B14978"/>
    </row>
    <row r="14979" spans="2:2">
      <c r="B14979"/>
    </row>
    <row r="14980" spans="2:2">
      <c r="B14980"/>
    </row>
    <row r="14981" spans="2:2">
      <c r="B14981"/>
    </row>
    <row r="14982" spans="2:2">
      <c r="B14982"/>
    </row>
    <row r="14983" spans="2:2">
      <c r="B14983"/>
    </row>
    <row r="14984" spans="2:2">
      <c r="B14984"/>
    </row>
    <row r="14985" spans="2:2">
      <c r="B14985"/>
    </row>
    <row r="14986" spans="2:2">
      <c r="B14986"/>
    </row>
    <row r="14987" spans="2:2">
      <c r="B14987"/>
    </row>
    <row r="14988" spans="2:2">
      <c r="B14988"/>
    </row>
    <row r="14989" spans="2:2">
      <c r="B14989"/>
    </row>
    <row r="14990" spans="2:2">
      <c r="B14990"/>
    </row>
    <row r="14991" spans="2:2">
      <c r="B14991"/>
    </row>
    <row r="14992" spans="2:2">
      <c r="B14992"/>
    </row>
    <row r="14993" spans="2:2">
      <c r="B14993"/>
    </row>
    <row r="14994" spans="2:2">
      <c r="B14994"/>
    </row>
    <row r="14995" spans="2:2">
      <c r="B14995"/>
    </row>
    <row r="14996" spans="2:2">
      <c r="B14996"/>
    </row>
    <row r="14997" spans="2:2">
      <c r="B14997"/>
    </row>
    <row r="14998" spans="2:2">
      <c r="B14998"/>
    </row>
    <row r="14999" spans="2:2">
      <c r="B14999"/>
    </row>
    <row r="15000" spans="2:2">
      <c r="B15000"/>
    </row>
    <row r="15001" spans="2:2">
      <c r="B15001"/>
    </row>
    <row r="15002" spans="2:2">
      <c r="B15002"/>
    </row>
    <row r="15003" spans="2:2">
      <c r="B15003"/>
    </row>
    <row r="15004" spans="2:2">
      <c r="B15004"/>
    </row>
    <row r="15005" spans="2:2">
      <c r="B15005"/>
    </row>
    <row r="15006" spans="2:2">
      <c r="B15006"/>
    </row>
    <row r="15007" spans="2:2">
      <c r="B15007"/>
    </row>
    <row r="15008" spans="2:2">
      <c r="B15008"/>
    </row>
    <row r="15009" spans="2:2">
      <c r="B15009"/>
    </row>
    <row r="15010" spans="2:2">
      <c r="B15010"/>
    </row>
    <row r="15011" spans="2:2">
      <c r="B15011"/>
    </row>
    <row r="15012" spans="2:2">
      <c r="B15012"/>
    </row>
    <row r="15013" spans="2:2">
      <c r="B15013"/>
    </row>
    <row r="15014" spans="2:2">
      <c r="B15014"/>
    </row>
    <row r="15015" spans="2:2">
      <c r="B15015"/>
    </row>
    <row r="15016" spans="2:2">
      <c r="B15016"/>
    </row>
    <row r="15017" spans="2:2">
      <c r="B15017"/>
    </row>
    <row r="15018" spans="2:2">
      <c r="B15018"/>
    </row>
    <row r="15019" spans="2:2">
      <c r="B15019"/>
    </row>
    <row r="15020" spans="2:2">
      <c r="B15020"/>
    </row>
    <row r="15021" spans="2:2">
      <c r="B15021"/>
    </row>
    <row r="15022" spans="2:2">
      <c r="B15022"/>
    </row>
    <row r="15023" spans="2:2">
      <c r="B15023"/>
    </row>
    <row r="15024" spans="2:2">
      <c r="B15024"/>
    </row>
    <row r="15025" spans="2:2">
      <c r="B15025"/>
    </row>
    <row r="15026" spans="2:2">
      <c r="B15026"/>
    </row>
    <row r="15027" spans="2:2">
      <c r="B15027"/>
    </row>
    <row r="15028" spans="2:2">
      <c r="B15028"/>
    </row>
    <row r="15029" spans="2:2">
      <c r="B15029"/>
    </row>
    <row r="15030" spans="2:2">
      <c r="B15030"/>
    </row>
    <row r="15031" spans="2:2">
      <c r="B15031"/>
    </row>
    <row r="15032" spans="2:2">
      <c r="B15032"/>
    </row>
    <row r="15033" spans="2:2">
      <c r="B15033"/>
    </row>
    <row r="15034" spans="2:2">
      <c r="B15034"/>
    </row>
    <row r="15035" spans="2:2">
      <c r="B15035"/>
    </row>
    <row r="15036" spans="2:2">
      <c r="B15036"/>
    </row>
    <row r="15037" spans="2:2">
      <c r="B15037"/>
    </row>
    <row r="15038" spans="2:2">
      <c r="B15038"/>
    </row>
    <row r="15039" spans="2:2">
      <c r="B15039"/>
    </row>
    <row r="15040" spans="2:2">
      <c r="B15040"/>
    </row>
    <row r="15041" spans="2:2">
      <c r="B15041"/>
    </row>
    <row r="15042" spans="2:2">
      <c r="B15042"/>
    </row>
    <row r="15043" spans="2:2">
      <c r="B15043"/>
    </row>
    <row r="15044" spans="2:2">
      <c r="B15044"/>
    </row>
    <row r="15045" spans="2:2">
      <c r="B15045"/>
    </row>
    <row r="15046" spans="2:2">
      <c r="B15046"/>
    </row>
    <row r="15047" spans="2:2">
      <c r="B15047"/>
    </row>
    <row r="15048" spans="2:2">
      <c r="B15048"/>
    </row>
    <row r="15049" spans="2:2">
      <c r="B15049"/>
    </row>
    <row r="15050" spans="2:2">
      <c r="B15050"/>
    </row>
    <row r="15051" spans="2:2">
      <c r="B15051"/>
    </row>
    <row r="15052" spans="2:2">
      <c r="B15052"/>
    </row>
    <row r="15053" spans="2:2">
      <c r="B15053"/>
    </row>
    <row r="15054" spans="2:2">
      <c r="B15054"/>
    </row>
    <row r="15055" spans="2:2">
      <c r="B15055"/>
    </row>
    <row r="15056" spans="2:2">
      <c r="B15056"/>
    </row>
    <row r="15057" spans="2:2">
      <c r="B15057"/>
    </row>
    <row r="15058" spans="2:2">
      <c r="B15058"/>
    </row>
    <row r="15059" spans="2:2">
      <c r="B15059"/>
    </row>
    <row r="15060" spans="2:2">
      <c r="B15060"/>
    </row>
    <row r="15061" spans="2:2">
      <c r="B15061"/>
    </row>
    <row r="15062" spans="2:2">
      <c r="B15062"/>
    </row>
    <row r="15063" spans="2:2">
      <c r="B15063"/>
    </row>
    <row r="15064" spans="2:2">
      <c r="B15064"/>
    </row>
    <row r="15065" spans="2:2">
      <c r="B15065"/>
    </row>
    <row r="15066" spans="2:2">
      <c r="B15066"/>
    </row>
    <row r="15067" spans="2:2">
      <c r="B15067"/>
    </row>
    <row r="15068" spans="2:2">
      <c r="B15068"/>
    </row>
    <row r="15069" spans="2:2">
      <c r="B15069"/>
    </row>
    <row r="15070" spans="2:2">
      <c r="B15070"/>
    </row>
    <row r="15071" spans="2:2">
      <c r="B15071"/>
    </row>
    <row r="15072" spans="2:2">
      <c r="B15072"/>
    </row>
    <row r="15073" spans="2:2">
      <c r="B15073"/>
    </row>
    <row r="15074" spans="2:2">
      <c r="B15074"/>
    </row>
    <row r="15075" spans="2:2">
      <c r="B15075"/>
    </row>
    <row r="15076" spans="2:2">
      <c r="B15076"/>
    </row>
    <row r="15077" spans="2:2">
      <c r="B15077"/>
    </row>
    <row r="15078" spans="2:2">
      <c r="B15078"/>
    </row>
    <row r="15079" spans="2:2">
      <c r="B15079"/>
    </row>
    <row r="15080" spans="2:2">
      <c r="B15080"/>
    </row>
    <row r="15081" spans="2:2">
      <c r="B15081"/>
    </row>
    <row r="15082" spans="2:2">
      <c r="B15082"/>
    </row>
    <row r="15083" spans="2:2">
      <c r="B15083"/>
    </row>
    <row r="15084" spans="2:2">
      <c r="B15084"/>
    </row>
    <row r="15085" spans="2:2">
      <c r="B15085"/>
    </row>
    <row r="15086" spans="2:2">
      <c r="B15086"/>
    </row>
    <row r="15087" spans="2:2">
      <c r="B15087"/>
    </row>
    <row r="15088" spans="2:2">
      <c r="B15088"/>
    </row>
    <row r="15089" spans="2:2">
      <c r="B15089"/>
    </row>
    <row r="15090" spans="2:2">
      <c r="B15090"/>
    </row>
    <row r="15091" spans="2:2">
      <c r="B15091"/>
    </row>
    <row r="15092" spans="2:2">
      <c r="B15092"/>
    </row>
    <row r="15093" spans="2:2">
      <c r="B15093"/>
    </row>
    <row r="15094" spans="2:2">
      <c r="B15094"/>
    </row>
    <row r="15095" spans="2:2">
      <c r="B15095"/>
    </row>
    <row r="15096" spans="2:2">
      <c r="B15096"/>
    </row>
    <row r="15097" spans="2:2">
      <c r="B15097"/>
    </row>
    <row r="15098" spans="2:2">
      <c r="B15098"/>
    </row>
    <row r="15099" spans="2:2">
      <c r="B15099"/>
    </row>
    <row r="15100" spans="2:2">
      <c r="B15100"/>
    </row>
    <row r="15101" spans="2:2">
      <c r="B15101"/>
    </row>
    <row r="15102" spans="2:2">
      <c r="B15102"/>
    </row>
    <row r="15103" spans="2:2">
      <c r="B15103"/>
    </row>
    <row r="15104" spans="2:2">
      <c r="B15104"/>
    </row>
    <row r="15105" spans="2:2">
      <c r="B15105"/>
    </row>
    <row r="15106" spans="2:2">
      <c r="B15106"/>
    </row>
    <row r="15107" spans="2:2">
      <c r="B15107"/>
    </row>
    <row r="15108" spans="2:2">
      <c r="B15108"/>
    </row>
    <row r="15109" spans="2:2">
      <c r="B15109"/>
    </row>
    <row r="15110" spans="2:2">
      <c r="B15110"/>
    </row>
    <row r="15111" spans="2:2">
      <c r="B15111"/>
    </row>
    <row r="15112" spans="2:2">
      <c r="B15112"/>
    </row>
    <row r="15113" spans="2:2">
      <c r="B15113"/>
    </row>
    <row r="15114" spans="2:2">
      <c r="B15114"/>
    </row>
    <row r="15115" spans="2:2">
      <c r="B15115"/>
    </row>
    <row r="15116" spans="2:2">
      <c r="B15116"/>
    </row>
    <row r="15117" spans="2:2">
      <c r="B15117"/>
    </row>
    <row r="15118" spans="2:2">
      <c r="B15118"/>
    </row>
    <row r="15119" spans="2:2">
      <c r="B15119"/>
    </row>
    <row r="15120" spans="2:2">
      <c r="B15120"/>
    </row>
    <row r="15121" spans="2:2">
      <c r="B15121"/>
    </row>
    <row r="15122" spans="2:2">
      <c r="B15122"/>
    </row>
    <row r="15123" spans="2:2">
      <c r="B15123"/>
    </row>
    <row r="15124" spans="2:2">
      <c r="B15124"/>
    </row>
    <row r="15125" spans="2:2">
      <c r="B15125"/>
    </row>
    <row r="15126" spans="2:2">
      <c r="B15126"/>
    </row>
    <row r="15127" spans="2:2">
      <c r="B15127"/>
    </row>
    <row r="15128" spans="2:2">
      <c r="B15128"/>
    </row>
    <row r="15129" spans="2:2">
      <c r="B15129"/>
    </row>
    <row r="15130" spans="2:2">
      <c r="B15130"/>
    </row>
    <row r="15131" spans="2:2">
      <c r="B15131"/>
    </row>
    <row r="15132" spans="2:2">
      <c r="B15132"/>
    </row>
    <row r="15133" spans="2:2">
      <c r="B15133"/>
    </row>
    <row r="15134" spans="2:2">
      <c r="B15134"/>
    </row>
    <row r="15135" spans="2:2">
      <c r="B15135"/>
    </row>
    <row r="15136" spans="2:2">
      <c r="B15136"/>
    </row>
    <row r="15137" spans="2:2">
      <c r="B15137"/>
    </row>
    <row r="15138" spans="2:2">
      <c r="B15138"/>
    </row>
    <row r="15139" spans="2:2">
      <c r="B15139"/>
    </row>
    <row r="15140" spans="2:2">
      <c r="B15140"/>
    </row>
    <row r="15141" spans="2:2">
      <c r="B15141"/>
    </row>
    <row r="15142" spans="2:2">
      <c r="B15142"/>
    </row>
    <row r="15143" spans="2:2">
      <c r="B15143"/>
    </row>
    <row r="15144" spans="2:2">
      <c r="B15144"/>
    </row>
    <row r="15145" spans="2:2">
      <c r="B15145"/>
    </row>
    <row r="15146" spans="2:2">
      <c r="B15146"/>
    </row>
    <row r="15147" spans="2:2">
      <c r="B15147"/>
    </row>
    <row r="15148" spans="2:2">
      <c r="B15148"/>
    </row>
    <row r="15149" spans="2:2">
      <c r="B15149"/>
    </row>
    <row r="15150" spans="2:2">
      <c r="B15150"/>
    </row>
    <row r="15151" spans="2:2">
      <c r="B15151"/>
    </row>
    <row r="15152" spans="2:2">
      <c r="B15152"/>
    </row>
    <row r="15153" spans="2:2">
      <c r="B15153"/>
    </row>
    <row r="15154" spans="2:2">
      <c r="B15154"/>
    </row>
    <row r="15155" spans="2:2">
      <c r="B15155"/>
    </row>
    <row r="15156" spans="2:2">
      <c r="B15156"/>
    </row>
    <row r="15157" spans="2:2">
      <c r="B15157"/>
    </row>
    <row r="15158" spans="2:2">
      <c r="B15158"/>
    </row>
    <row r="15159" spans="2:2">
      <c r="B15159"/>
    </row>
    <row r="15160" spans="2:2">
      <c r="B15160"/>
    </row>
    <row r="15161" spans="2:2">
      <c r="B15161"/>
    </row>
    <row r="15162" spans="2:2">
      <c r="B15162"/>
    </row>
    <row r="15163" spans="2:2">
      <c r="B15163"/>
    </row>
    <row r="15164" spans="2:2">
      <c r="B15164"/>
    </row>
    <row r="15165" spans="2:2">
      <c r="B15165"/>
    </row>
    <row r="15166" spans="2:2">
      <c r="B15166"/>
    </row>
    <row r="15167" spans="2:2">
      <c r="B15167"/>
    </row>
    <row r="15168" spans="2:2">
      <c r="B15168"/>
    </row>
    <row r="15169" spans="2:2">
      <c r="B15169"/>
    </row>
    <row r="15170" spans="2:2">
      <c r="B15170"/>
    </row>
    <row r="15171" spans="2:2">
      <c r="B15171"/>
    </row>
    <row r="15172" spans="2:2">
      <c r="B15172"/>
    </row>
    <row r="15173" spans="2:2">
      <c r="B15173"/>
    </row>
    <row r="15174" spans="2:2">
      <c r="B15174"/>
    </row>
    <row r="15175" spans="2:2">
      <c r="B15175"/>
    </row>
    <row r="15176" spans="2:2">
      <c r="B15176"/>
    </row>
    <row r="15177" spans="2:2">
      <c r="B15177"/>
    </row>
    <row r="15178" spans="2:2">
      <c r="B15178"/>
    </row>
    <row r="15179" spans="2:2">
      <c r="B15179"/>
    </row>
    <row r="15180" spans="2:2">
      <c r="B15180"/>
    </row>
    <row r="15181" spans="2:2">
      <c r="B15181"/>
    </row>
    <row r="15182" spans="2:2">
      <c r="B15182"/>
    </row>
    <row r="15183" spans="2:2">
      <c r="B15183"/>
    </row>
    <row r="15184" spans="2:2">
      <c r="B15184"/>
    </row>
    <row r="15185" spans="2:2">
      <c r="B15185"/>
    </row>
    <row r="15186" spans="2:2">
      <c r="B15186"/>
    </row>
    <row r="15187" spans="2:2">
      <c r="B15187"/>
    </row>
    <row r="15188" spans="2:2">
      <c r="B15188"/>
    </row>
    <row r="15189" spans="2:2">
      <c r="B15189"/>
    </row>
    <row r="15190" spans="2:2">
      <c r="B15190"/>
    </row>
    <row r="15191" spans="2:2">
      <c r="B15191"/>
    </row>
    <row r="15192" spans="2:2">
      <c r="B15192"/>
    </row>
    <row r="15193" spans="2:2">
      <c r="B15193"/>
    </row>
    <row r="15194" spans="2:2">
      <c r="B15194"/>
    </row>
    <row r="15195" spans="2:2">
      <c r="B15195"/>
    </row>
    <row r="15196" spans="2:2">
      <c r="B15196"/>
    </row>
    <row r="15197" spans="2:2">
      <c r="B15197"/>
    </row>
    <row r="15198" spans="2:2">
      <c r="B15198"/>
    </row>
    <row r="15199" spans="2:2">
      <c r="B15199"/>
    </row>
    <row r="15200" spans="2:2">
      <c r="B15200"/>
    </row>
    <row r="15201" spans="2:2">
      <c r="B15201"/>
    </row>
    <row r="15202" spans="2:2">
      <c r="B15202"/>
    </row>
    <row r="15203" spans="2:2">
      <c r="B15203"/>
    </row>
    <row r="15204" spans="2:2">
      <c r="B15204"/>
    </row>
    <row r="15205" spans="2:2">
      <c r="B15205"/>
    </row>
    <row r="15206" spans="2:2">
      <c r="B15206"/>
    </row>
    <row r="15207" spans="2:2">
      <c r="B15207"/>
    </row>
    <row r="15208" spans="2:2">
      <c r="B15208"/>
    </row>
    <row r="15209" spans="2:2">
      <c r="B15209"/>
    </row>
    <row r="15210" spans="2:2">
      <c r="B15210"/>
    </row>
    <row r="15211" spans="2:2">
      <c r="B15211"/>
    </row>
    <row r="15212" spans="2:2">
      <c r="B15212"/>
    </row>
    <row r="15213" spans="2:2">
      <c r="B15213"/>
    </row>
    <row r="15214" spans="2:2">
      <c r="B15214"/>
    </row>
    <row r="15215" spans="2:2">
      <c r="B15215"/>
    </row>
    <row r="15216" spans="2:2">
      <c r="B15216"/>
    </row>
    <row r="15217" spans="2:2">
      <c r="B15217"/>
    </row>
    <row r="15218" spans="2:2">
      <c r="B15218"/>
    </row>
    <row r="15219" spans="2:2">
      <c r="B15219"/>
    </row>
    <row r="15220" spans="2:2">
      <c r="B15220"/>
    </row>
    <row r="15221" spans="2:2">
      <c r="B15221"/>
    </row>
    <row r="15222" spans="2:2">
      <c r="B15222"/>
    </row>
    <row r="15223" spans="2:2">
      <c r="B15223"/>
    </row>
    <row r="15224" spans="2:2">
      <c r="B15224"/>
    </row>
    <row r="15225" spans="2:2">
      <c r="B15225"/>
    </row>
    <row r="15226" spans="2:2">
      <c r="B15226"/>
    </row>
    <row r="15227" spans="2:2">
      <c r="B15227"/>
    </row>
    <row r="15228" spans="2:2">
      <c r="B15228"/>
    </row>
    <row r="15229" spans="2:2">
      <c r="B15229"/>
    </row>
    <row r="15230" spans="2:2">
      <c r="B15230"/>
    </row>
    <row r="15231" spans="2:2">
      <c r="B15231"/>
    </row>
    <row r="15232" spans="2:2">
      <c r="B15232"/>
    </row>
    <row r="15233" spans="2:2">
      <c r="B15233"/>
    </row>
    <row r="15234" spans="2:2">
      <c r="B15234"/>
    </row>
    <row r="15235" spans="2:2">
      <c r="B15235"/>
    </row>
    <row r="15236" spans="2:2">
      <c r="B15236"/>
    </row>
    <row r="15237" spans="2:2">
      <c r="B15237"/>
    </row>
    <row r="15238" spans="2:2">
      <c r="B15238"/>
    </row>
    <row r="15239" spans="2:2">
      <c r="B15239"/>
    </row>
    <row r="15240" spans="2:2">
      <c r="B15240"/>
    </row>
    <row r="15241" spans="2:2">
      <c r="B15241"/>
    </row>
    <row r="15242" spans="2:2">
      <c r="B15242"/>
    </row>
    <row r="15243" spans="2:2">
      <c r="B15243"/>
    </row>
    <row r="15244" spans="2:2">
      <c r="B15244"/>
    </row>
    <row r="15245" spans="2:2">
      <c r="B15245"/>
    </row>
    <row r="15246" spans="2:2">
      <c r="B15246"/>
    </row>
    <row r="15247" spans="2:2">
      <c r="B15247"/>
    </row>
    <row r="15248" spans="2:2">
      <c r="B15248"/>
    </row>
    <row r="15249" spans="2:2">
      <c r="B15249"/>
    </row>
    <row r="15250" spans="2:2">
      <c r="B15250"/>
    </row>
    <row r="15251" spans="2:2">
      <c r="B15251"/>
    </row>
    <row r="15252" spans="2:2">
      <c r="B15252"/>
    </row>
    <row r="15253" spans="2:2">
      <c r="B15253"/>
    </row>
    <row r="15254" spans="2:2">
      <c r="B15254"/>
    </row>
    <row r="15255" spans="2:2">
      <c r="B15255"/>
    </row>
    <row r="15256" spans="2:2">
      <c r="B15256"/>
    </row>
    <row r="15257" spans="2:2">
      <c r="B15257"/>
    </row>
    <row r="15258" spans="2:2">
      <c r="B15258"/>
    </row>
    <row r="15259" spans="2:2">
      <c r="B15259"/>
    </row>
    <row r="15260" spans="2:2">
      <c r="B15260"/>
    </row>
    <row r="15261" spans="2:2">
      <c r="B15261"/>
    </row>
    <row r="15262" spans="2:2">
      <c r="B15262"/>
    </row>
    <row r="15263" spans="2:2">
      <c r="B15263"/>
    </row>
    <row r="15264" spans="2:2">
      <c r="B15264"/>
    </row>
    <row r="15265" spans="2:2">
      <c r="B15265"/>
    </row>
    <row r="15266" spans="2:2">
      <c r="B15266"/>
    </row>
    <row r="15267" spans="2:2">
      <c r="B15267"/>
    </row>
    <row r="15268" spans="2:2">
      <c r="B15268"/>
    </row>
    <row r="15269" spans="2:2">
      <c r="B15269"/>
    </row>
    <row r="15270" spans="2:2">
      <c r="B15270"/>
    </row>
    <row r="15271" spans="2:2">
      <c r="B15271"/>
    </row>
    <row r="15272" spans="2:2">
      <c r="B15272"/>
    </row>
    <row r="15273" spans="2:2">
      <c r="B15273"/>
    </row>
    <row r="15274" spans="2:2">
      <c r="B15274"/>
    </row>
    <row r="15275" spans="2:2">
      <c r="B15275"/>
    </row>
    <row r="15276" spans="2:2">
      <c r="B15276"/>
    </row>
    <row r="15277" spans="2:2">
      <c r="B15277"/>
    </row>
    <row r="15278" spans="2:2">
      <c r="B15278"/>
    </row>
    <row r="15279" spans="2:2">
      <c r="B15279"/>
    </row>
    <row r="15280" spans="2:2">
      <c r="B15280"/>
    </row>
    <row r="15281" spans="2:2">
      <c r="B15281"/>
    </row>
    <row r="15282" spans="2:2">
      <c r="B15282"/>
    </row>
    <row r="15283" spans="2:2">
      <c r="B15283"/>
    </row>
    <row r="15284" spans="2:2">
      <c r="B15284"/>
    </row>
    <row r="15285" spans="2:2">
      <c r="B15285"/>
    </row>
    <row r="15286" spans="2:2">
      <c r="B15286"/>
    </row>
    <row r="15287" spans="2:2">
      <c r="B15287"/>
    </row>
    <row r="15288" spans="2:2">
      <c r="B15288"/>
    </row>
    <row r="15289" spans="2:2">
      <c r="B15289"/>
    </row>
    <row r="15290" spans="2:2">
      <c r="B15290"/>
    </row>
    <row r="15291" spans="2:2">
      <c r="B15291"/>
    </row>
    <row r="15292" spans="2:2">
      <c r="B15292"/>
    </row>
    <row r="15293" spans="2:2">
      <c r="B15293"/>
    </row>
    <row r="15294" spans="2:2">
      <c r="B15294"/>
    </row>
    <row r="15295" spans="2:2">
      <c r="B15295"/>
    </row>
    <row r="15296" spans="2:2">
      <c r="B15296"/>
    </row>
    <row r="15297" spans="2:2">
      <c r="B15297"/>
    </row>
    <row r="15298" spans="2:2">
      <c r="B15298"/>
    </row>
    <row r="15299" spans="2:2">
      <c r="B15299"/>
    </row>
    <row r="15300" spans="2:2">
      <c r="B15300"/>
    </row>
    <row r="15301" spans="2:2">
      <c r="B15301"/>
    </row>
    <row r="15302" spans="2:2">
      <c r="B15302"/>
    </row>
    <row r="15303" spans="2:2">
      <c r="B15303"/>
    </row>
    <row r="15304" spans="2:2">
      <c r="B15304"/>
    </row>
    <row r="15305" spans="2:2">
      <c r="B15305"/>
    </row>
    <row r="15306" spans="2:2">
      <c r="B15306"/>
    </row>
    <row r="15307" spans="2:2">
      <c r="B15307"/>
    </row>
    <row r="15308" spans="2:2">
      <c r="B15308"/>
    </row>
    <row r="15309" spans="2:2">
      <c r="B15309"/>
    </row>
    <row r="15310" spans="2:2">
      <c r="B15310"/>
    </row>
    <row r="15311" spans="2:2">
      <c r="B15311"/>
    </row>
    <row r="15312" spans="2:2">
      <c r="B15312"/>
    </row>
    <row r="15313" spans="2:2">
      <c r="B15313"/>
    </row>
    <row r="15314" spans="2:2">
      <c r="B15314"/>
    </row>
    <row r="15315" spans="2:2">
      <c r="B15315"/>
    </row>
    <row r="15316" spans="2:2">
      <c r="B15316"/>
    </row>
    <row r="15317" spans="2:2">
      <c r="B15317"/>
    </row>
    <row r="15318" spans="2:2">
      <c r="B15318"/>
    </row>
    <row r="15319" spans="2:2">
      <c r="B15319"/>
    </row>
    <row r="15320" spans="2:2">
      <c r="B15320"/>
    </row>
    <row r="15321" spans="2:2">
      <c r="B15321"/>
    </row>
    <row r="15322" spans="2:2">
      <c r="B15322"/>
    </row>
    <row r="15323" spans="2:2">
      <c r="B15323"/>
    </row>
    <row r="15324" spans="2:2">
      <c r="B15324"/>
    </row>
    <row r="15325" spans="2:2">
      <c r="B15325"/>
    </row>
    <row r="15326" spans="2:2">
      <c r="B15326"/>
    </row>
    <row r="15327" spans="2:2">
      <c r="B15327"/>
    </row>
    <row r="15328" spans="2:2">
      <c r="B15328"/>
    </row>
    <row r="15329" spans="2:2">
      <c r="B15329"/>
    </row>
    <row r="15330" spans="2:2">
      <c r="B15330"/>
    </row>
    <row r="15331" spans="2:2">
      <c r="B15331"/>
    </row>
    <row r="15332" spans="2:2">
      <c r="B15332"/>
    </row>
    <row r="15333" spans="2:2">
      <c r="B15333"/>
    </row>
    <row r="15334" spans="2:2">
      <c r="B15334"/>
    </row>
    <row r="15335" spans="2:2">
      <c r="B15335"/>
    </row>
    <row r="15336" spans="2:2">
      <c r="B15336"/>
    </row>
    <row r="15337" spans="2:2">
      <c r="B15337"/>
    </row>
    <row r="15338" spans="2:2">
      <c r="B15338"/>
    </row>
    <row r="15339" spans="2:2">
      <c r="B15339"/>
    </row>
    <row r="15340" spans="2:2">
      <c r="B15340"/>
    </row>
    <row r="15341" spans="2:2">
      <c r="B15341"/>
    </row>
    <row r="15342" spans="2:2">
      <c r="B15342"/>
    </row>
    <row r="15343" spans="2:2">
      <c r="B15343"/>
    </row>
    <row r="15344" spans="2:2">
      <c r="B15344"/>
    </row>
    <row r="15345" spans="2:2">
      <c r="B15345"/>
    </row>
    <row r="15346" spans="2:2">
      <c r="B15346"/>
    </row>
    <row r="15347" spans="2:2">
      <c r="B15347"/>
    </row>
    <row r="15348" spans="2:2">
      <c r="B15348"/>
    </row>
    <row r="15349" spans="2:2">
      <c r="B15349"/>
    </row>
    <row r="15350" spans="2:2">
      <c r="B15350"/>
    </row>
    <row r="15351" spans="2:2">
      <c r="B15351"/>
    </row>
    <row r="15352" spans="2:2">
      <c r="B15352"/>
    </row>
    <row r="15353" spans="2:2">
      <c r="B15353"/>
    </row>
    <row r="15354" spans="2:2">
      <c r="B15354"/>
    </row>
    <row r="15355" spans="2:2">
      <c r="B15355"/>
    </row>
    <row r="15356" spans="2:2">
      <c r="B15356"/>
    </row>
    <row r="15357" spans="2:2">
      <c r="B15357"/>
    </row>
    <row r="15358" spans="2:2">
      <c r="B15358"/>
    </row>
    <row r="15359" spans="2:2">
      <c r="B15359"/>
    </row>
    <row r="15360" spans="2:2">
      <c r="B15360"/>
    </row>
    <row r="15361" spans="2:2">
      <c r="B15361"/>
    </row>
    <row r="15362" spans="2:2">
      <c r="B15362"/>
    </row>
    <row r="15363" spans="2:2">
      <c r="B15363"/>
    </row>
    <row r="15364" spans="2:2">
      <c r="B15364"/>
    </row>
    <row r="15365" spans="2:2">
      <c r="B15365"/>
    </row>
    <row r="15366" spans="2:2">
      <c r="B15366"/>
    </row>
    <row r="15367" spans="2:2">
      <c r="B15367"/>
    </row>
    <row r="15368" spans="2:2">
      <c r="B15368"/>
    </row>
    <row r="15369" spans="2:2">
      <c r="B15369"/>
    </row>
    <row r="15370" spans="2:2">
      <c r="B15370"/>
    </row>
    <row r="15371" spans="2:2">
      <c r="B15371"/>
    </row>
    <row r="15372" spans="2:2">
      <c r="B15372"/>
    </row>
    <row r="15373" spans="2:2">
      <c r="B15373"/>
    </row>
    <row r="15374" spans="2:2">
      <c r="B15374"/>
    </row>
    <row r="15375" spans="2:2">
      <c r="B15375"/>
    </row>
    <row r="15376" spans="2:2">
      <c r="B15376"/>
    </row>
    <row r="15377" spans="2:2">
      <c r="B15377"/>
    </row>
    <row r="15378" spans="2:2">
      <c r="B15378"/>
    </row>
    <row r="15379" spans="2:2">
      <c r="B15379"/>
    </row>
    <row r="15380" spans="2:2">
      <c r="B15380"/>
    </row>
    <row r="15381" spans="2:2">
      <c r="B15381"/>
    </row>
    <row r="15382" spans="2:2">
      <c r="B15382"/>
    </row>
    <row r="15383" spans="2:2">
      <c r="B15383"/>
    </row>
    <row r="15384" spans="2:2">
      <c r="B15384"/>
    </row>
    <row r="15385" spans="2:2">
      <c r="B15385"/>
    </row>
    <row r="15386" spans="2:2">
      <c r="B15386"/>
    </row>
    <row r="15387" spans="2:2">
      <c r="B15387"/>
    </row>
    <row r="15388" spans="2:2">
      <c r="B15388"/>
    </row>
    <row r="15389" spans="2:2">
      <c r="B15389"/>
    </row>
    <row r="15390" spans="2:2">
      <c r="B15390"/>
    </row>
    <row r="15391" spans="2:2">
      <c r="B15391"/>
    </row>
    <row r="15392" spans="2:2">
      <c r="B15392"/>
    </row>
    <row r="15393" spans="2:2">
      <c r="B15393"/>
    </row>
    <row r="15394" spans="2:2">
      <c r="B15394"/>
    </row>
    <row r="15395" spans="2:2">
      <c r="B15395"/>
    </row>
    <row r="15396" spans="2:2">
      <c r="B15396"/>
    </row>
    <row r="15397" spans="2:2">
      <c r="B15397"/>
    </row>
    <row r="15398" spans="2:2">
      <c r="B15398"/>
    </row>
    <row r="15399" spans="2:2">
      <c r="B15399"/>
    </row>
    <row r="15400" spans="2:2">
      <c r="B15400"/>
    </row>
    <row r="15401" spans="2:2">
      <c r="B15401"/>
    </row>
    <row r="15402" spans="2:2">
      <c r="B15402"/>
    </row>
    <row r="15403" spans="2:2">
      <c r="B15403"/>
    </row>
    <row r="15404" spans="2:2">
      <c r="B15404"/>
    </row>
    <row r="15405" spans="2:2">
      <c r="B15405"/>
    </row>
    <row r="15406" spans="2:2">
      <c r="B15406"/>
    </row>
    <row r="15407" spans="2:2">
      <c r="B15407"/>
    </row>
    <row r="15408" spans="2:2">
      <c r="B15408"/>
    </row>
    <row r="15409" spans="2:2">
      <c r="B15409"/>
    </row>
    <row r="15410" spans="2:2">
      <c r="B15410"/>
    </row>
    <row r="15411" spans="2:2">
      <c r="B15411"/>
    </row>
    <row r="15412" spans="2:2">
      <c r="B15412"/>
    </row>
    <row r="15413" spans="2:2">
      <c r="B15413"/>
    </row>
    <row r="15414" spans="2:2">
      <c r="B15414"/>
    </row>
    <row r="15415" spans="2:2">
      <c r="B15415"/>
    </row>
    <row r="15416" spans="2:2">
      <c r="B15416"/>
    </row>
    <row r="15417" spans="2:2">
      <c r="B15417"/>
    </row>
    <row r="15418" spans="2:2">
      <c r="B15418"/>
    </row>
    <row r="15419" spans="2:2">
      <c r="B15419"/>
    </row>
    <row r="15420" spans="2:2">
      <c r="B15420"/>
    </row>
    <row r="15421" spans="2:2">
      <c r="B15421"/>
    </row>
    <row r="15422" spans="2:2">
      <c r="B15422"/>
    </row>
    <row r="15423" spans="2:2">
      <c r="B15423"/>
    </row>
    <row r="15424" spans="2:2">
      <c r="B15424"/>
    </row>
    <row r="15425" spans="2:2">
      <c r="B15425"/>
    </row>
    <row r="15426" spans="2:2">
      <c r="B15426"/>
    </row>
    <row r="15427" spans="2:2">
      <c r="B15427"/>
    </row>
    <row r="15428" spans="2:2">
      <c r="B15428"/>
    </row>
    <row r="15429" spans="2:2">
      <c r="B15429"/>
    </row>
    <row r="15430" spans="2:2">
      <c r="B15430"/>
    </row>
    <row r="15431" spans="2:2">
      <c r="B15431"/>
    </row>
    <row r="15432" spans="2:2">
      <c r="B15432"/>
    </row>
    <row r="15433" spans="2:2">
      <c r="B15433"/>
    </row>
    <row r="15434" spans="2:2">
      <c r="B15434"/>
    </row>
    <row r="15435" spans="2:2">
      <c r="B15435"/>
    </row>
    <row r="15436" spans="2:2">
      <c r="B15436"/>
    </row>
    <row r="15437" spans="2:2">
      <c r="B15437"/>
    </row>
    <row r="15438" spans="2:2">
      <c r="B15438"/>
    </row>
    <row r="15439" spans="2:2">
      <c r="B15439"/>
    </row>
    <row r="15440" spans="2:2">
      <c r="B15440"/>
    </row>
    <row r="15441" spans="2:2">
      <c r="B15441"/>
    </row>
    <row r="15442" spans="2:2">
      <c r="B15442"/>
    </row>
    <row r="15443" spans="2:2">
      <c r="B15443"/>
    </row>
    <row r="15444" spans="2:2">
      <c r="B15444"/>
    </row>
    <row r="15445" spans="2:2">
      <c r="B15445"/>
    </row>
    <row r="15446" spans="2:2">
      <c r="B15446"/>
    </row>
    <row r="15447" spans="2:2">
      <c r="B15447"/>
    </row>
    <row r="15448" spans="2:2">
      <c r="B15448"/>
    </row>
    <row r="15449" spans="2:2">
      <c r="B15449"/>
    </row>
    <row r="15450" spans="2:2">
      <c r="B15450"/>
    </row>
    <row r="15451" spans="2:2">
      <c r="B15451"/>
    </row>
    <row r="15452" spans="2:2">
      <c r="B15452"/>
    </row>
    <row r="15453" spans="2:2">
      <c r="B15453"/>
    </row>
    <row r="15454" spans="2:2">
      <c r="B15454"/>
    </row>
    <row r="15455" spans="2:2">
      <c r="B15455"/>
    </row>
    <row r="15456" spans="2:2">
      <c r="B15456"/>
    </row>
    <row r="15457" spans="2:2">
      <c r="B15457"/>
    </row>
    <row r="15458" spans="2:2">
      <c r="B15458"/>
    </row>
    <row r="15459" spans="2:2">
      <c r="B15459"/>
    </row>
    <row r="15460" spans="2:2">
      <c r="B15460"/>
    </row>
    <row r="15461" spans="2:2">
      <c r="B15461"/>
    </row>
    <row r="15462" spans="2:2">
      <c r="B15462"/>
    </row>
    <row r="15463" spans="2:2">
      <c r="B15463"/>
    </row>
    <row r="15464" spans="2:2">
      <c r="B15464"/>
    </row>
    <row r="15465" spans="2:2">
      <c r="B15465"/>
    </row>
    <row r="15466" spans="2:2">
      <c r="B15466"/>
    </row>
    <row r="15467" spans="2:2">
      <c r="B15467"/>
    </row>
    <row r="15468" spans="2:2">
      <c r="B15468"/>
    </row>
    <row r="15469" spans="2:2">
      <c r="B15469"/>
    </row>
    <row r="15470" spans="2:2">
      <c r="B15470"/>
    </row>
    <row r="15471" spans="2:2">
      <c r="B15471"/>
    </row>
    <row r="15472" spans="2:2">
      <c r="B15472"/>
    </row>
    <row r="15473" spans="2:2">
      <c r="B15473"/>
    </row>
    <row r="15474" spans="2:2">
      <c r="B15474"/>
    </row>
    <row r="15475" spans="2:2">
      <c r="B15475"/>
    </row>
    <row r="15476" spans="2:2">
      <c r="B15476"/>
    </row>
    <row r="15477" spans="2:2">
      <c r="B15477"/>
    </row>
    <row r="15478" spans="2:2">
      <c r="B15478"/>
    </row>
    <row r="15479" spans="2:2">
      <c r="B15479"/>
    </row>
    <row r="15480" spans="2:2">
      <c r="B15480"/>
    </row>
    <row r="15481" spans="2:2">
      <c r="B15481"/>
    </row>
    <row r="15482" spans="2:2">
      <c r="B15482"/>
    </row>
    <row r="15483" spans="2:2">
      <c r="B15483"/>
    </row>
    <row r="15484" spans="2:2">
      <c r="B15484"/>
    </row>
    <row r="15485" spans="2:2">
      <c r="B15485"/>
    </row>
    <row r="15486" spans="2:2">
      <c r="B15486"/>
    </row>
    <row r="15487" spans="2:2">
      <c r="B15487"/>
    </row>
    <row r="15488" spans="2:2">
      <c r="B15488"/>
    </row>
    <row r="15489" spans="2:2">
      <c r="B15489"/>
    </row>
    <row r="15490" spans="2:2">
      <c r="B15490"/>
    </row>
    <row r="15491" spans="2:2">
      <c r="B15491"/>
    </row>
    <row r="15492" spans="2:2">
      <c r="B15492"/>
    </row>
    <row r="15493" spans="2:2">
      <c r="B15493"/>
    </row>
    <row r="15494" spans="2:2">
      <c r="B15494"/>
    </row>
    <row r="15495" spans="2:2">
      <c r="B15495"/>
    </row>
    <row r="15496" spans="2:2">
      <c r="B15496"/>
    </row>
    <row r="15497" spans="2:2">
      <c r="B15497"/>
    </row>
    <row r="15498" spans="2:2">
      <c r="B15498"/>
    </row>
    <row r="15499" spans="2:2">
      <c r="B15499"/>
    </row>
    <row r="15500" spans="2:2">
      <c r="B15500"/>
    </row>
    <row r="15501" spans="2:2">
      <c r="B15501"/>
    </row>
    <row r="15502" spans="2:2">
      <c r="B15502"/>
    </row>
    <row r="15503" spans="2:2">
      <c r="B15503"/>
    </row>
    <row r="15504" spans="2:2">
      <c r="B15504"/>
    </row>
    <row r="15505" spans="2:2">
      <c r="B15505"/>
    </row>
    <row r="15506" spans="2:2">
      <c r="B15506"/>
    </row>
    <row r="15507" spans="2:2">
      <c r="B15507"/>
    </row>
    <row r="15508" spans="2:2">
      <c r="B15508"/>
    </row>
    <row r="15509" spans="2:2">
      <c r="B15509"/>
    </row>
    <row r="15510" spans="2:2">
      <c r="B15510"/>
    </row>
    <row r="15511" spans="2:2">
      <c r="B15511"/>
    </row>
    <row r="15512" spans="2:2">
      <c r="B15512"/>
    </row>
    <row r="15513" spans="2:2">
      <c r="B15513"/>
    </row>
    <row r="15514" spans="2:2">
      <c r="B15514"/>
    </row>
    <row r="15515" spans="2:2">
      <c r="B15515"/>
    </row>
    <row r="15516" spans="2:2">
      <c r="B15516"/>
    </row>
    <row r="15517" spans="2:2">
      <c r="B15517"/>
    </row>
    <row r="15518" spans="2:2">
      <c r="B15518"/>
    </row>
    <row r="15519" spans="2:2">
      <c r="B15519"/>
    </row>
    <row r="15520" spans="2:2">
      <c r="B15520"/>
    </row>
    <row r="15521" spans="2:2">
      <c r="B15521"/>
    </row>
    <row r="15522" spans="2:2">
      <c r="B15522"/>
    </row>
    <row r="15523" spans="2:2">
      <c r="B15523"/>
    </row>
    <row r="15524" spans="2:2">
      <c r="B15524"/>
    </row>
    <row r="15525" spans="2:2">
      <c r="B15525"/>
    </row>
    <row r="15526" spans="2:2">
      <c r="B15526"/>
    </row>
    <row r="15527" spans="2:2">
      <c r="B15527"/>
    </row>
    <row r="15528" spans="2:2">
      <c r="B15528"/>
    </row>
    <row r="15529" spans="2:2">
      <c r="B15529"/>
    </row>
    <row r="15530" spans="2:2">
      <c r="B15530"/>
    </row>
    <row r="15531" spans="2:2">
      <c r="B15531"/>
    </row>
    <row r="15532" spans="2:2">
      <c r="B15532"/>
    </row>
    <row r="15533" spans="2:2">
      <c r="B15533"/>
    </row>
    <row r="15534" spans="2:2">
      <c r="B15534"/>
    </row>
    <row r="15535" spans="2:2">
      <c r="B15535"/>
    </row>
    <row r="15536" spans="2:2">
      <c r="B15536"/>
    </row>
    <row r="15537" spans="2:2">
      <c r="B15537"/>
    </row>
    <row r="15538" spans="2:2">
      <c r="B15538"/>
    </row>
    <row r="15539" spans="2:2">
      <c r="B15539"/>
    </row>
    <row r="15540" spans="2:2">
      <c r="B15540"/>
    </row>
    <row r="15541" spans="2:2">
      <c r="B15541"/>
    </row>
    <row r="15542" spans="2:2">
      <c r="B15542"/>
    </row>
    <row r="15543" spans="2:2">
      <c r="B15543"/>
    </row>
    <row r="15544" spans="2:2">
      <c r="B15544"/>
    </row>
    <row r="15545" spans="2:2">
      <c r="B15545"/>
    </row>
    <row r="15546" spans="2:2">
      <c r="B15546"/>
    </row>
    <row r="15547" spans="2:2">
      <c r="B15547"/>
    </row>
    <row r="15548" spans="2:2">
      <c r="B15548"/>
    </row>
    <row r="15549" spans="2:2">
      <c r="B15549"/>
    </row>
    <row r="15550" spans="2:2">
      <c r="B15550"/>
    </row>
    <row r="15551" spans="2:2">
      <c r="B15551"/>
    </row>
    <row r="15552" spans="2:2">
      <c r="B15552"/>
    </row>
    <row r="15553" spans="2:2">
      <c r="B15553"/>
    </row>
    <row r="15554" spans="2:2">
      <c r="B15554"/>
    </row>
    <row r="15555" spans="2:2">
      <c r="B15555"/>
    </row>
    <row r="15556" spans="2:2">
      <c r="B15556"/>
    </row>
    <row r="15557" spans="2:2">
      <c r="B15557"/>
    </row>
    <row r="15558" spans="2:2">
      <c r="B15558"/>
    </row>
    <row r="15559" spans="2:2">
      <c r="B15559"/>
    </row>
    <row r="15560" spans="2:2">
      <c r="B15560"/>
    </row>
    <row r="15561" spans="2:2">
      <c r="B15561"/>
    </row>
    <row r="15562" spans="2:2">
      <c r="B15562"/>
    </row>
    <row r="15563" spans="2:2">
      <c r="B15563"/>
    </row>
    <row r="15564" spans="2:2">
      <c r="B15564"/>
    </row>
    <row r="15565" spans="2:2">
      <c r="B15565"/>
    </row>
    <row r="15566" spans="2:2">
      <c r="B15566"/>
    </row>
    <row r="15567" spans="2:2">
      <c r="B15567"/>
    </row>
    <row r="15568" spans="2:2">
      <c r="B15568"/>
    </row>
    <row r="15569" spans="2:2">
      <c r="B15569"/>
    </row>
    <row r="15570" spans="2:2">
      <c r="B15570"/>
    </row>
    <row r="15571" spans="2:2">
      <c r="B15571"/>
    </row>
    <row r="15572" spans="2:2">
      <c r="B15572"/>
    </row>
    <row r="15573" spans="2:2">
      <c r="B15573"/>
    </row>
    <row r="15574" spans="2:2">
      <c r="B15574"/>
    </row>
    <row r="15575" spans="2:2">
      <c r="B15575"/>
    </row>
    <row r="15576" spans="2:2">
      <c r="B15576"/>
    </row>
    <row r="15577" spans="2:2">
      <c r="B15577"/>
    </row>
    <row r="15578" spans="2:2">
      <c r="B15578"/>
    </row>
    <row r="15579" spans="2:2">
      <c r="B15579"/>
    </row>
    <row r="15580" spans="2:2">
      <c r="B15580"/>
    </row>
    <row r="15581" spans="2:2">
      <c r="B15581"/>
    </row>
    <row r="15582" spans="2:2">
      <c r="B15582"/>
    </row>
    <row r="15583" spans="2:2">
      <c r="B15583"/>
    </row>
    <row r="15584" spans="2:2">
      <c r="B15584"/>
    </row>
    <row r="15585" spans="2:2">
      <c r="B15585"/>
    </row>
    <row r="15586" spans="2:2">
      <c r="B15586"/>
    </row>
    <row r="15587" spans="2:2">
      <c r="B15587"/>
    </row>
    <row r="15588" spans="2:2">
      <c r="B15588"/>
    </row>
    <row r="15589" spans="2:2">
      <c r="B15589"/>
    </row>
    <row r="15590" spans="2:2">
      <c r="B15590"/>
    </row>
    <row r="15591" spans="2:2">
      <c r="B15591"/>
    </row>
    <row r="15592" spans="2:2">
      <c r="B15592"/>
    </row>
    <row r="15593" spans="2:2">
      <c r="B15593"/>
    </row>
    <row r="15594" spans="2:2">
      <c r="B15594"/>
    </row>
    <row r="15595" spans="2:2">
      <c r="B15595"/>
    </row>
    <row r="15596" spans="2:2">
      <c r="B15596"/>
    </row>
    <row r="15597" spans="2:2">
      <c r="B15597"/>
    </row>
    <row r="15598" spans="2:2">
      <c r="B15598"/>
    </row>
    <row r="15599" spans="2:2">
      <c r="B15599"/>
    </row>
    <row r="15600" spans="2:2">
      <c r="B15600"/>
    </row>
    <row r="15601" spans="2:2">
      <c r="B15601"/>
    </row>
    <row r="15602" spans="2:2">
      <c r="B15602"/>
    </row>
    <row r="15603" spans="2:2">
      <c r="B15603"/>
    </row>
    <row r="15604" spans="2:2">
      <c r="B15604"/>
    </row>
    <row r="15605" spans="2:2">
      <c r="B15605"/>
    </row>
    <row r="15606" spans="2:2">
      <c r="B15606"/>
    </row>
    <row r="15607" spans="2:2">
      <c r="B15607"/>
    </row>
    <row r="15608" spans="2:2">
      <c r="B15608"/>
    </row>
    <row r="15609" spans="2:2">
      <c r="B15609"/>
    </row>
    <row r="15610" spans="2:2">
      <c r="B15610"/>
    </row>
    <row r="15611" spans="2:2">
      <c r="B15611"/>
    </row>
    <row r="15612" spans="2:2">
      <c r="B15612"/>
    </row>
    <row r="15613" spans="2:2">
      <c r="B15613"/>
    </row>
    <row r="15614" spans="2:2">
      <c r="B15614"/>
    </row>
    <row r="15615" spans="2:2">
      <c r="B15615"/>
    </row>
    <row r="15616" spans="2:2">
      <c r="B15616"/>
    </row>
    <row r="15617" spans="2:2">
      <c r="B15617"/>
    </row>
    <row r="15618" spans="2:2">
      <c r="B15618"/>
    </row>
    <row r="15619" spans="2:2">
      <c r="B15619"/>
    </row>
    <row r="15620" spans="2:2">
      <c r="B15620"/>
    </row>
    <row r="15621" spans="2:2">
      <c r="B15621"/>
    </row>
    <row r="15622" spans="2:2">
      <c r="B15622"/>
    </row>
    <row r="15623" spans="2:2">
      <c r="B15623"/>
    </row>
    <row r="15624" spans="2:2">
      <c r="B15624"/>
    </row>
    <row r="15625" spans="2:2">
      <c r="B15625"/>
    </row>
    <row r="15626" spans="2:2">
      <c r="B15626"/>
    </row>
    <row r="15627" spans="2:2">
      <c r="B15627"/>
    </row>
    <row r="15628" spans="2:2">
      <c r="B15628"/>
    </row>
    <row r="15629" spans="2:2">
      <c r="B15629"/>
    </row>
    <row r="15630" spans="2:2">
      <c r="B15630"/>
    </row>
    <row r="15631" spans="2:2">
      <c r="B15631"/>
    </row>
    <row r="15632" spans="2:2">
      <c r="B15632"/>
    </row>
    <row r="15633" spans="2:2">
      <c r="B15633"/>
    </row>
    <row r="15634" spans="2:2">
      <c r="B15634"/>
    </row>
    <row r="15635" spans="2:2">
      <c r="B15635"/>
    </row>
    <row r="15636" spans="2:2">
      <c r="B15636"/>
    </row>
    <row r="15637" spans="2:2">
      <c r="B15637"/>
    </row>
    <row r="15638" spans="2:2">
      <c r="B15638"/>
    </row>
    <row r="15639" spans="2:2">
      <c r="B15639"/>
    </row>
    <row r="15640" spans="2:2">
      <c r="B15640"/>
    </row>
    <row r="15641" spans="2:2">
      <c r="B15641"/>
    </row>
    <row r="15642" spans="2:2">
      <c r="B15642"/>
    </row>
    <row r="15643" spans="2:2">
      <c r="B15643"/>
    </row>
    <row r="15644" spans="2:2">
      <c r="B15644"/>
    </row>
    <row r="15645" spans="2:2">
      <c r="B15645"/>
    </row>
    <row r="15646" spans="2:2">
      <c r="B15646"/>
    </row>
    <row r="15647" spans="2:2">
      <c r="B15647"/>
    </row>
    <row r="15648" spans="2:2">
      <c r="B15648"/>
    </row>
    <row r="15649" spans="2:2">
      <c r="B15649"/>
    </row>
    <row r="15650" spans="2:2">
      <c r="B15650"/>
    </row>
    <row r="15651" spans="2:2">
      <c r="B15651"/>
    </row>
    <row r="15652" spans="2:2">
      <c r="B15652"/>
    </row>
    <row r="15653" spans="2:2">
      <c r="B15653"/>
    </row>
    <row r="15654" spans="2:2">
      <c r="B15654"/>
    </row>
    <row r="15655" spans="2:2">
      <c r="B15655"/>
    </row>
    <row r="15656" spans="2:2">
      <c r="B15656"/>
    </row>
    <row r="15657" spans="2:2">
      <c r="B15657"/>
    </row>
    <row r="15658" spans="2:2">
      <c r="B15658"/>
    </row>
    <row r="15659" spans="2:2">
      <c r="B15659"/>
    </row>
    <row r="15660" spans="2:2">
      <c r="B15660"/>
    </row>
    <row r="15661" spans="2:2">
      <c r="B15661"/>
    </row>
    <row r="15662" spans="2:2">
      <c r="B15662"/>
    </row>
    <row r="15663" spans="2:2">
      <c r="B15663"/>
    </row>
    <row r="15664" spans="2:2">
      <c r="B15664"/>
    </row>
    <row r="15665" spans="2:2">
      <c r="B15665"/>
    </row>
    <row r="15666" spans="2:2">
      <c r="B15666"/>
    </row>
    <row r="15667" spans="2:2">
      <c r="B15667"/>
    </row>
    <row r="15668" spans="2:2">
      <c r="B15668"/>
    </row>
    <row r="15669" spans="2:2">
      <c r="B15669"/>
    </row>
    <row r="15670" spans="2:2">
      <c r="B15670"/>
    </row>
    <row r="15671" spans="2:2">
      <c r="B15671"/>
    </row>
    <row r="15672" spans="2:2">
      <c r="B15672"/>
    </row>
    <row r="15673" spans="2:2">
      <c r="B15673"/>
    </row>
    <row r="15674" spans="2:2">
      <c r="B15674"/>
    </row>
    <row r="15675" spans="2:2">
      <c r="B15675"/>
    </row>
    <row r="15676" spans="2:2">
      <c r="B15676"/>
    </row>
    <row r="15677" spans="2:2">
      <c r="B15677"/>
    </row>
    <row r="15678" spans="2:2">
      <c r="B15678"/>
    </row>
    <row r="15679" spans="2:2">
      <c r="B15679"/>
    </row>
    <row r="15680" spans="2:2">
      <c r="B15680"/>
    </row>
    <row r="15681" spans="2:2">
      <c r="B15681"/>
    </row>
    <row r="15682" spans="2:2">
      <c r="B15682"/>
    </row>
    <row r="15683" spans="2:2">
      <c r="B15683"/>
    </row>
    <row r="15684" spans="2:2">
      <c r="B15684"/>
    </row>
    <row r="15685" spans="2:2">
      <c r="B15685"/>
    </row>
    <row r="15686" spans="2:2">
      <c r="B15686"/>
    </row>
    <row r="15687" spans="2:2">
      <c r="B15687"/>
    </row>
    <row r="15688" spans="2:2">
      <c r="B15688"/>
    </row>
    <row r="15689" spans="2:2">
      <c r="B15689"/>
    </row>
    <row r="15690" spans="2:2">
      <c r="B15690"/>
    </row>
    <row r="15691" spans="2:2">
      <c r="B15691"/>
    </row>
    <row r="15692" spans="2:2">
      <c r="B15692"/>
    </row>
    <row r="15693" spans="2:2">
      <c r="B15693"/>
    </row>
    <row r="15694" spans="2:2">
      <c r="B15694"/>
    </row>
    <row r="15695" spans="2:2">
      <c r="B15695"/>
    </row>
    <row r="15696" spans="2:2">
      <c r="B15696"/>
    </row>
    <row r="15697" spans="2:2">
      <c r="B15697"/>
    </row>
    <row r="15698" spans="2:2">
      <c r="B15698"/>
    </row>
    <row r="15699" spans="2:2">
      <c r="B15699"/>
    </row>
    <row r="15700" spans="2:2">
      <c r="B15700"/>
    </row>
    <row r="15701" spans="2:2">
      <c r="B15701"/>
    </row>
    <row r="15702" spans="2:2">
      <c r="B15702"/>
    </row>
    <row r="15703" spans="2:2">
      <c r="B15703"/>
    </row>
    <row r="15704" spans="2:2">
      <c r="B15704"/>
    </row>
    <row r="15705" spans="2:2">
      <c r="B15705"/>
    </row>
    <row r="15706" spans="2:2">
      <c r="B15706"/>
    </row>
    <row r="15707" spans="2:2">
      <c r="B15707"/>
    </row>
    <row r="15708" spans="2:2">
      <c r="B15708"/>
    </row>
    <row r="15709" spans="2:2">
      <c r="B15709"/>
    </row>
    <row r="15710" spans="2:2">
      <c r="B15710"/>
    </row>
    <row r="15711" spans="2:2">
      <c r="B15711"/>
    </row>
    <row r="15712" spans="2:2">
      <c r="B15712"/>
    </row>
    <row r="15713" spans="2:2">
      <c r="B15713"/>
    </row>
    <row r="15714" spans="2:2">
      <c r="B15714"/>
    </row>
    <row r="15715" spans="2:2">
      <c r="B15715"/>
    </row>
    <row r="15716" spans="2:2">
      <c r="B15716"/>
    </row>
    <row r="15717" spans="2:2">
      <c r="B15717"/>
    </row>
    <row r="15718" spans="2:2">
      <c r="B15718"/>
    </row>
    <row r="15719" spans="2:2">
      <c r="B15719"/>
    </row>
    <row r="15720" spans="2:2">
      <c r="B15720"/>
    </row>
    <row r="15721" spans="2:2">
      <c r="B15721"/>
    </row>
    <row r="15722" spans="2:2">
      <c r="B15722"/>
    </row>
    <row r="15723" spans="2:2">
      <c r="B15723"/>
    </row>
    <row r="15724" spans="2:2">
      <c r="B15724"/>
    </row>
    <row r="15725" spans="2:2">
      <c r="B15725"/>
    </row>
    <row r="15726" spans="2:2">
      <c r="B15726"/>
    </row>
    <row r="15727" spans="2:2">
      <c r="B15727"/>
    </row>
    <row r="15728" spans="2:2">
      <c r="B15728"/>
    </row>
    <row r="15729" spans="2:2">
      <c r="B15729"/>
    </row>
    <row r="15730" spans="2:2">
      <c r="B15730"/>
    </row>
    <row r="15731" spans="2:2">
      <c r="B15731"/>
    </row>
    <row r="15732" spans="2:2">
      <c r="B15732"/>
    </row>
    <row r="15733" spans="2:2">
      <c r="B15733"/>
    </row>
    <row r="15734" spans="2:2">
      <c r="B15734"/>
    </row>
    <row r="15735" spans="2:2">
      <c r="B15735"/>
    </row>
    <row r="15736" spans="2:2">
      <c r="B15736"/>
    </row>
    <row r="15737" spans="2:2">
      <c r="B15737"/>
    </row>
    <row r="15738" spans="2:2">
      <c r="B15738"/>
    </row>
    <row r="15739" spans="2:2">
      <c r="B15739"/>
    </row>
    <row r="15740" spans="2:2">
      <c r="B15740"/>
    </row>
    <row r="15741" spans="2:2">
      <c r="B15741"/>
    </row>
    <row r="15742" spans="2:2">
      <c r="B15742"/>
    </row>
    <row r="15743" spans="2:2">
      <c r="B15743"/>
    </row>
    <row r="15744" spans="2:2">
      <c r="B15744"/>
    </row>
    <row r="15745" spans="2:2">
      <c r="B15745"/>
    </row>
    <row r="15746" spans="2:2">
      <c r="B15746"/>
    </row>
    <row r="15747" spans="2:2">
      <c r="B15747"/>
    </row>
    <row r="15748" spans="2:2">
      <c r="B15748"/>
    </row>
    <row r="15749" spans="2:2">
      <c r="B15749"/>
    </row>
    <row r="15750" spans="2:2">
      <c r="B15750"/>
    </row>
    <row r="15751" spans="2:2">
      <c r="B15751"/>
    </row>
    <row r="15752" spans="2:2">
      <c r="B15752"/>
    </row>
    <row r="15753" spans="2:2">
      <c r="B15753"/>
    </row>
    <row r="15754" spans="2:2">
      <c r="B15754"/>
    </row>
    <row r="15755" spans="2:2">
      <c r="B15755"/>
    </row>
    <row r="15756" spans="2:2">
      <c r="B15756"/>
    </row>
    <row r="15757" spans="2:2">
      <c r="B15757"/>
    </row>
    <row r="15758" spans="2:2">
      <c r="B15758"/>
    </row>
    <row r="15759" spans="2:2">
      <c r="B15759"/>
    </row>
    <row r="15760" spans="2:2">
      <c r="B15760"/>
    </row>
    <row r="15761" spans="2:2">
      <c r="B15761"/>
    </row>
    <row r="15762" spans="2:2">
      <c r="B15762"/>
    </row>
    <row r="15763" spans="2:2">
      <c r="B15763"/>
    </row>
    <row r="15764" spans="2:2">
      <c r="B15764"/>
    </row>
    <row r="15765" spans="2:2">
      <c r="B15765"/>
    </row>
    <row r="15766" spans="2:2">
      <c r="B15766"/>
    </row>
    <row r="15767" spans="2:2">
      <c r="B15767"/>
    </row>
    <row r="15768" spans="2:2">
      <c r="B15768"/>
    </row>
    <row r="15769" spans="2:2">
      <c r="B15769"/>
    </row>
    <row r="15770" spans="2:2">
      <c r="B15770"/>
    </row>
    <row r="15771" spans="2:2">
      <c r="B15771"/>
    </row>
    <row r="15772" spans="2:2">
      <c r="B15772"/>
    </row>
    <row r="15773" spans="2:2">
      <c r="B15773"/>
    </row>
    <row r="15774" spans="2:2">
      <c r="B15774"/>
    </row>
    <row r="15775" spans="2:2">
      <c r="B15775"/>
    </row>
    <row r="15776" spans="2:2">
      <c r="B15776"/>
    </row>
    <row r="15777" spans="2:2">
      <c r="B15777"/>
    </row>
    <row r="15778" spans="2:2">
      <c r="B15778"/>
    </row>
    <row r="15779" spans="2:2">
      <c r="B15779"/>
    </row>
    <row r="15780" spans="2:2">
      <c r="B15780"/>
    </row>
    <row r="15781" spans="2:2">
      <c r="B15781"/>
    </row>
    <row r="15782" spans="2:2">
      <c r="B15782"/>
    </row>
    <row r="15783" spans="2:2">
      <c r="B15783"/>
    </row>
    <row r="15784" spans="2:2">
      <c r="B15784"/>
    </row>
    <row r="15785" spans="2:2">
      <c r="B15785"/>
    </row>
    <row r="15786" spans="2:2">
      <c r="B15786"/>
    </row>
    <row r="15787" spans="2:2">
      <c r="B15787"/>
    </row>
    <row r="15788" spans="2:2">
      <c r="B15788"/>
    </row>
    <row r="15789" spans="2:2">
      <c r="B15789"/>
    </row>
    <row r="15790" spans="2:2">
      <c r="B15790"/>
    </row>
    <row r="15791" spans="2:2">
      <c r="B15791"/>
    </row>
    <row r="15792" spans="2:2">
      <c r="B15792"/>
    </row>
    <row r="15793" spans="2:2">
      <c r="B15793"/>
    </row>
    <row r="15794" spans="2:2">
      <c r="B15794"/>
    </row>
    <row r="15795" spans="2:2">
      <c r="B15795"/>
    </row>
    <row r="15796" spans="2:2">
      <c r="B15796"/>
    </row>
    <row r="15797" spans="2:2">
      <c r="B15797"/>
    </row>
    <row r="15798" spans="2:2">
      <c r="B15798"/>
    </row>
    <row r="15799" spans="2:2">
      <c r="B15799"/>
    </row>
    <row r="15800" spans="2:2">
      <c r="B15800"/>
    </row>
    <row r="15801" spans="2:2">
      <c r="B15801"/>
    </row>
    <row r="15802" spans="2:2">
      <c r="B15802"/>
    </row>
    <row r="15803" spans="2:2">
      <c r="B15803"/>
    </row>
    <row r="15804" spans="2:2">
      <c r="B15804"/>
    </row>
    <row r="15805" spans="2:2">
      <c r="B15805"/>
    </row>
    <row r="15806" spans="2:2">
      <c r="B15806"/>
    </row>
    <row r="15807" spans="2:2">
      <c r="B15807"/>
    </row>
    <row r="15808" spans="2:2">
      <c r="B15808"/>
    </row>
    <row r="15809" spans="2:2">
      <c r="B15809"/>
    </row>
    <row r="15810" spans="2:2">
      <c r="B15810"/>
    </row>
    <row r="15811" spans="2:2">
      <c r="B15811"/>
    </row>
    <row r="15812" spans="2:2">
      <c r="B15812"/>
    </row>
    <row r="15813" spans="2:2">
      <c r="B15813"/>
    </row>
    <row r="15814" spans="2:2">
      <c r="B15814"/>
    </row>
    <row r="15815" spans="2:2">
      <c r="B15815"/>
    </row>
    <row r="15816" spans="2:2">
      <c r="B15816"/>
    </row>
    <row r="15817" spans="2:2">
      <c r="B15817"/>
    </row>
    <row r="15818" spans="2:2">
      <c r="B15818"/>
    </row>
    <row r="15819" spans="2:2">
      <c r="B15819"/>
    </row>
    <row r="15820" spans="2:2">
      <c r="B15820"/>
    </row>
    <row r="15821" spans="2:2">
      <c r="B15821"/>
    </row>
    <row r="15822" spans="2:2">
      <c r="B15822"/>
    </row>
    <row r="15823" spans="2:2">
      <c r="B15823"/>
    </row>
    <row r="15824" spans="2:2">
      <c r="B15824"/>
    </row>
    <row r="15825" spans="2:2">
      <c r="B15825"/>
    </row>
    <row r="15826" spans="2:2">
      <c r="B15826"/>
    </row>
    <row r="15827" spans="2:2">
      <c r="B15827"/>
    </row>
    <row r="15828" spans="2:2">
      <c r="B15828"/>
    </row>
    <row r="15829" spans="2:2">
      <c r="B15829"/>
    </row>
    <row r="15830" spans="2:2">
      <c r="B15830"/>
    </row>
    <row r="15831" spans="2:2">
      <c r="B15831"/>
    </row>
    <row r="15832" spans="2:2">
      <c r="B15832"/>
    </row>
    <row r="15833" spans="2:2">
      <c r="B15833"/>
    </row>
    <row r="15834" spans="2:2">
      <c r="B15834"/>
    </row>
    <row r="15835" spans="2:2">
      <c r="B15835"/>
    </row>
    <row r="15836" spans="2:2">
      <c r="B15836"/>
    </row>
    <row r="15837" spans="2:2">
      <c r="B15837"/>
    </row>
    <row r="15838" spans="2:2">
      <c r="B15838"/>
    </row>
    <row r="15839" spans="2:2">
      <c r="B15839"/>
    </row>
    <row r="15840" spans="2:2">
      <c r="B15840"/>
    </row>
    <row r="15841" spans="2:2">
      <c r="B15841"/>
    </row>
    <row r="15842" spans="2:2">
      <c r="B15842"/>
    </row>
    <row r="15843" spans="2:2">
      <c r="B15843"/>
    </row>
    <row r="15844" spans="2:2">
      <c r="B15844"/>
    </row>
    <row r="15845" spans="2:2">
      <c r="B15845"/>
    </row>
    <row r="15846" spans="2:2">
      <c r="B15846"/>
    </row>
    <row r="15847" spans="2:2">
      <c r="B15847"/>
    </row>
    <row r="15848" spans="2:2">
      <c r="B15848"/>
    </row>
    <row r="15849" spans="2:2">
      <c r="B15849"/>
    </row>
    <row r="15850" spans="2:2">
      <c r="B15850"/>
    </row>
    <row r="15851" spans="2:2">
      <c r="B15851"/>
    </row>
    <row r="15852" spans="2:2">
      <c r="B15852"/>
    </row>
    <row r="15853" spans="2:2">
      <c r="B15853"/>
    </row>
    <row r="15854" spans="2:2">
      <c r="B15854"/>
    </row>
    <row r="15855" spans="2:2">
      <c r="B15855"/>
    </row>
    <row r="15856" spans="2:2">
      <c r="B15856"/>
    </row>
    <row r="15857" spans="2:2">
      <c r="B15857"/>
    </row>
    <row r="15858" spans="2:2">
      <c r="B15858"/>
    </row>
    <row r="15859" spans="2:2">
      <c r="B15859"/>
    </row>
    <row r="15860" spans="2:2">
      <c r="B15860"/>
    </row>
    <row r="15861" spans="2:2">
      <c r="B15861"/>
    </row>
    <row r="15862" spans="2:2">
      <c r="B15862"/>
    </row>
    <row r="15863" spans="2:2">
      <c r="B15863"/>
    </row>
    <row r="15864" spans="2:2">
      <c r="B15864"/>
    </row>
    <row r="15865" spans="2:2">
      <c r="B15865"/>
    </row>
    <row r="15866" spans="2:2">
      <c r="B15866"/>
    </row>
    <row r="15867" spans="2:2">
      <c r="B15867"/>
    </row>
    <row r="15868" spans="2:2">
      <c r="B15868"/>
    </row>
    <row r="15869" spans="2:2">
      <c r="B15869"/>
    </row>
    <row r="15870" spans="2:2">
      <c r="B15870"/>
    </row>
    <row r="15871" spans="2:2">
      <c r="B15871"/>
    </row>
    <row r="15872" spans="2:2">
      <c r="B15872"/>
    </row>
    <row r="15873" spans="2:2">
      <c r="B15873"/>
    </row>
    <row r="15874" spans="2:2">
      <c r="B15874"/>
    </row>
    <row r="15875" spans="2:2">
      <c r="B15875"/>
    </row>
    <row r="15876" spans="2:2">
      <c r="B15876"/>
    </row>
    <row r="15877" spans="2:2">
      <c r="B15877"/>
    </row>
    <row r="15878" spans="2:2">
      <c r="B15878"/>
    </row>
    <row r="15879" spans="2:2">
      <c r="B15879"/>
    </row>
    <row r="15880" spans="2:2">
      <c r="B15880"/>
    </row>
    <row r="15881" spans="2:2">
      <c r="B15881"/>
    </row>
    <row r="15882" spans="2:2">
      <c r="B15882"/>
    </row>
    <row r="15883" spans="2:2">
      <c r="B15883"/>
    </row>
    <row r="15884" spans="2:2">
      <c r="B15884"/>
    </row>
    <row r="15885" spans="2:2">
      <c r="B15885"/>
    </row>
    <row r="15886" spans="2:2">
      <c r="B15886"/>
    </row>
    <row r="15887" spans="2:2">
      <c r="B15887"/>
    </row>
    <row r="15888" spans="2:2">
      <c r="B15888"/>
    </row>
    <row r="15889" spans="2:2">
      <c r="B15889"/>
    </row>
    <row r="15890" spans="2:2">
      <c r="B15890"/>
    </row>
    <row r="15891" spans="2:2">
      <c r="B15891"/>
    </row>
    <row r="15892" spans="2:2">
      <c r="B15892"/>
    </row>
    <row r="15893" spans="2:2">
      <c r="B15893"/>
    </row>
    <row r="15894" spans="2:2">
      <c r="B15894"/>
    </row>
    <row r="15895" spans="2:2">
      <c r="B15895"/>
    </row>
    <row r="15896" spans="2:2">
      <c r="B15896"/>
    </row>
    <row r="15897" spans="2:2">
      <c r="B15897"/>
    </row>
    <row r="15898" spans="2:2">
      <c r="B15898"/>
    </row>
    <row r="15899" spans="2:2">
      <c r="B15899"/>
    </row>
    <row r="15900" spans="2:2">
      <c r="B15900"/>
    </row>
    <row r="15901" spans="2:2">
      <c r="B15901"/>
    </row>
    <row r="15902" spans="2:2">
      <c r="B15902"/>
    </row>
    <row r="15903" spans="2:2">
      <c r="B15903"/>
    </row>
    <row r="15904" spans="2:2">
      <c r="B15904"/>
    </row>
    <row r="15905" spans="2:2">
      <c r="B15905"/>
    </row>
    <row r="15906" spans="2:2">
      <c r="B15906"/>
    </row>
    <row r="15907" spans="2:2">
      <c r="B15907"/>
    </row>
    <row r="15908" spans="2:2">
      <c r="B15908"/>
    </row>
    <row r="15909" spans="2:2">
      <c r="B15909"/>
    </row>
    <row r="15910" spans="2:2">
      <c r="B15910"/>
    </row>
    <row r="15911" spans="2:2">
      <c r="B15911"/>
    </row>
    <row r="15912" spans="2:2">
      <c r="B15912"/>
    </row>
    <row r="15913" spans="2:2">
      <c r="B15913"/>
    </row>
    <row r="15914" spans="2:2">
      <c r="B15914"/>
    </row>
    <row r="15915" spans="2:2">
      <c r="B15915"/>
    </row>
    <row r="15916" spans="2:2">
      <c r="B15916"/>
    </row>
    <row r="15917" spans="2:2">
      <c r="B15917"/>
    </row>
    <row r="15918" spans="2:2">
      <c r="B15918"/>
    </row>
    <row r="15919" spans="2:2">
      <c r="B15919"/>
    </row>
    <row r="15920" spans="2:2">
      <c r="B15920"/>
    </row>
    <row r="15921" spans="2:2">
      <c r="B15921"/>
    </row>
    <row r="15922" spans="2:2">
      <c r="B15922"/>
    </row>
    <row r="15923" spans="2:2">
      <c r="B15923"/>
    </row>
    <row r="15924" spans="2:2">
      <c r="B15924"/>
    </row>
    <row r="15925" spans="2:2">
      <c r="B15925"/>
    </row>
    <row r="15926" spans="2:2">
      <c r="B15926"/>
    </row>
    <row r="15927" spans="2:2">
      <c r="B15927"/>
    </row>
    <row r="15928" spans="2:2">
      <c r="B15928"/>
    </row>
    <row r="15929" spans="2:2">
      <c r="B15929"/>
    </row>
    <row r="15930" spans="2:2">
      <c r="B15930"/>
    </row>
    <row r="15931" spans="2:2">
      <c r="B15931"/>
    </row>
    <row r="15932" spans="2:2">
      <c r="B15932"/>
    </row>
    <row r="15933" spans="2:2">
      <c r="B15933"/>
    </row>
    <row r="15934" spans="2:2">
      <c r="B15934"/>
    </row>
    <row r="15935" spans="2:2">
      <c r="B15935"/>
    </row>
    <row r="15936" spans="2:2">
      <c r="B15936"/>
    </row>
    <row r="15937" spans="2:2">
      <c r="B15937"/>
    </row>
    <row r="15938" spans="2:2">
      <c r="B15938"/>
    </row>
    <row r="15939" spans="2:2">
      <c r="B15939"/>
    </row>
    <row r="15940" spans="2:2">
      <c r="B15940"/>
    </row>
    <row r="15941" spans="2:2">
      <c r="B15941"/>
    </row>
    <row r="15942" spans="2:2">
      <c r="B15942"/>
    </row>
    <row r="15943" spans="2:2">
      <c r="B15943"/>
    </row>
    <row r="15944" spans="2:2">
      <c r="B15944"/>
    </row>
    <row r="15945" spans="2:2">
      <c r="B15945"/>
    </row>
    <row r="15946" spans="2:2">
      <c r="B15946"/>
    </row>
    <row r="15947" spans="2:2">
      <c r="B15947"/>
    </row>
    <row r="15948" spans="2:2">
      <c r="B15948"/>
    </row>
    <row r="15949" spans="2:2">
      <c r="B15949"/>
    </row>
    <row r="15950" spans="2:2">
      <c r="B15950"/>
    </row>
    <row r="15951" spans="2:2">
      <c r="B15951"/>
    </row>
    <row r="15952" spans="2:2">
      <c r="B15952"/>
    </row>
    <row r="15953" spans="2:2">
      <c r="B15953"/>
    </row>
    <row r="15954" spans="2:2">
      <c r="B15954"/>
    </row>
    <row r="15955" spans="2:2">
      <c r="B15955"/>
    </row>
    <row r="15956" spans="2:2">
      <c r="B15956"/>
    </row>
    <row r="15957" spans="2:2">
      <c r="B15957"/>
    </row>
    <row r="15958" spans="2:2">
      <c r="B15958"/>
    </row>
    <row r="15959" spans="2:2">
      <c r="B15959"/>
    </row>
    <row r="15960" spans="2:2">
      <c r="B15960"/>
    </row>
    <row r="15961" spans="2:2">
      <c r="B15961"/>
    </row>
    <row r="15962" spans="2:2">
      <c r="B15962"/>
    </row>
    <row r="15963" spans="2:2">
      <c r="B15963"/>
    </row>
    <row r="15964" spans="2:2">
      <c r="B15964"/>
    </row>
    <row r="15965" spans="2:2">
      <c r="B15965"/>
    </row>
    <row r="15966" spans="2:2">
      <c r="B15966"/>
    </row>
    <row r="15967" spans="2:2">
      <c r="B15967"/>
    </row>
    <row r="15968" spans="2:2">
      <c r="B15968"/>
    </row>
    <row r="15969" spans="2:2">
      <c r="B15969"/>
    </row>
    <row r="15970" spans="2:2">
      <c r="B15970"/>
    </row>
    <row r="15971" spans="2:2">
      <c r="B15971"/>
    </row>
    <row r="15972" spans="2:2">
      <c r="B15972"/>
    </row>
    <row r="15973" spans="2:2">
      <c r="B15973"/>
    </row>
    <row r="15974" spans="2:2">
      <c r="B15974"/>
    </row>
    <row r="15975" spans="2:2">
      <c r="B15975"/>
    </row>
    <row r="15976" spans="2:2">
      <c r="B15976"/>
    </row>
    <row r="15977" spans="2:2">
      <c r="B15977"/>
    </row>
    <row r="15978" spans="2:2">
      <c r="B15978"/>
    </row>
    <row r="15979" spans="2:2">
      <c r="B15979"/>
    </row>
    <row r="15980" spans="2:2">
      <c r="B15980"/>
    </row>
    <row r="15981" spans="2:2">
      <c r="B15981"/>
    </row>
    <row r="15982" spans="2:2">
      <c r="B15982"/>
    </row>
    <row r="15983" spans="2:2">
      <c r="B15983"/>
    </row>
    <row r="15984" spans="2:2">
      <c r="B15984"/>
    </row>
    <row r="15985" spans="2:2">
      <c r="B15985"/>
    </row>
    <row r="15986" spans="2:2">
      <c r="B15986"/>
    </row>
    <row r="15987" spans="2:2">
      <c r="B15987"/>
    </row>
    <row r="15988" spans="2:2">
      <c r="B15988"/>
    </row>
    <row r="15989" spans="2:2">
      <c r="B15989"/>
    </row>
    <row r="15990" spans="2:2">
      <c r="B15990"/>
    </row>
    <row r="15991" spans="2:2">
      <c r="B15991"/>
    </row>
    <row r="15992" spans="2:2">
      <c r="B15992"/>
    </row>
    <row r="15993" spans="2:2">
      <c r="B15993"/>
    </row>
    <row r="15994" spans="2:2">
      <c r="B15994"/>
    </row>
    <row r="15995" spans="2:2">
      <c r="B15995"/>
    </row>
    <row r="15996" spans="2:2">
      <c r="B15996"/>
    </row>
    <row r="15997" spans="2:2">
      <c r="B15997"/>
    </row>
    <row r="15998" spans="2:2">
      <c r="B15998"/>
    </row>
    <row r="15999" spans="2:2">
      <c r="B15999"/>
    </row>
    <row r="16000" spans="2:2">
      <c r="B16000"/>
    </row>
    <row r="16001" spans="2:2">
      <c r="B16001"/>
    </row>
    <row r="16002" spans="2:2">
      <c r="B16002"/>
    </row>
    <row r="16003" spans="2:2">
      <c r="B16003"/>
    </row>
    <row r="16004" spans="2:2">
      <c r="B16004"/>
    </row>
    <row r="16005" spans="2:2">
      <c r="B16005"/>
    </row>
    <row r="16006" spans="2:2">
      <c r="B16006"/>
    </row>
    <row r="16007" spans="2:2">
      <c r="B16007"/>
    </row>
    <row r="16008" spans="2:2">
      <c r="B16008"/>
    </row>
    <row r="16009" spans="2:2">
      <c r="B16009"/>
    </row>
    <row r="16010" spans="2:2">
      <c r="B16010"/>
    </row>
    <row r="16011" spans="2:2">
      <c r="B16011"/>
    </row>
    <row r="16012" spans="2:2">
      <c r="B16012"/>
    </row>
    <row r="16013" spans="2:2">
      <c r="B16013"/>
    </row>
    <row r="16014" spans="2:2">
      <c r="B16014"/>
    </row>
    <row r="16015" spans="2:2">
      <c r="B16015"/>
    </row>
    <row r="16016" spans="2:2">
      <c r="B16016"/>
    </row>
    <row r="16017" spans="2:2">
      <c r="B16017"/>
    </row>
    <row r="16018" spans="2:2">
      <c r="B16018"/>
    </row>
    <row r="16019" spans="2:2">
      <c r="B16019"/>
    </row>
    <row r="16020" spans="2:2">
      <c r="B16020"/>
    </row>
    <row r="16021" spans="2:2">
      <c r="B16021"/>
    </row>
    <row r="16022" spans="2:2">
      <c r="B16022"/>
    </row>
    <row r="16023" spans="2:2">
      <c r="B16023"/>
    </row>
    <row r="16024" spans="2:2">
      <c r="B16024"/>
    </row>
    <row r="16025" spans="2:2">
      <c r="B16025"/>
    </row>
    <row r="16026" spans="2:2">
      <c r="B16026"/>
    </row>
    <row r="16027" spans="2:2">
      <c r="B16027"/>
    </row>
    <row r="16028" spans="2:2">
      <c r="B16028"/>
    </row>
    <row r="16029" spans="2:2">
      <c r="B16029"/>
    </row>
    <row r="16030" spans="2:2">
      <c r="B16030"/>
    </row>
    <row r="16031" spans="2:2">
      <c r="B16031"/>
    </row>
    <row r="16032" spans="2:2">
      <c r="B16032"/>
    </row>
    <row r="16033" spans="2:2">
      <c r="B16033"/>
    </row>
    <row r="16034" spans="2:2">
      <c r="B16034"/>
    </row>
    <row r="16035" spans="2:2">
      <c r="B16035"/>
    </row>
    <row r="16036" spans="2:2">
      <c r="B16036"/>
    </row>
    <row r="16037" spans="2:2">
      <c r="B16037"/>
    </row>
    <row r="16038" spans="2:2">
      <c r="B16038"/>
    </row>
    <row r="16039" spans="2:2">
      <c r="B16039"/>
    </row>
    <row r="16040" spans="2:2">
      <c r="B16040"/>
    </row>
    <row r="16041" spans="2:2">
      <c r="B16041"/>
    </row>
    <row r="16042" spans="2:2">
      <c r="B16042"/>
    </row>
    <row r="16043" spans="2:2">
      <c r="B16043"/>
    </row>
    <row r="16044" spans="2:2">
      <c r="B16044"/>
    </row>
    <row r="16045" spans="2:2">
      <c r="B16045"/>
    </row>
    <row r="16046" spans="2:2">
      <c r="B16046"/>
    </row>
    <row r="16047" spans="2:2">
      <c r="B16047"/>
    </row>
    <row r="16048" spans="2:2">
      <c r="B16048"/>
    </row>
    <row r="16049" spans="2:2">
      <c r="B16049"/>
    </row>
    <row r="16050" spans="2:2">
      <c r="B16050"/>
    </row>
    <row r="16051" spans="2:2">
      <c r="B16051"/>
    </row>
    <row r="16052" spans="2:2">
      <c r="B16052"/>
    </row>
    <row r="16053" spans="2:2">
      <c r="B16053"/>
    </row>
    <row r="16054" spans="2:2">
      <c r="B16054"/>
    </row>
    <row r="16055" spans="2:2">
      <c r="B16055"/>
    </row>
    <row r="16056" spans="2:2">
      <c r="B16056"/>
    </row>
    <row r="16057" spans="2:2">
      <c r="B16057"/>
    </row>
    <row r="16058" spans="2:2">
      <c r="B16058"/>
    </row>
    <row r="16059" spans="2:2">
      <c r="B16059"/>
    </row>
    <row r="16060" spans="2:2">
      <c r="B16060"/>
    </row>
    <row r="16061" spans="2:2">
      <c r="B16061"/>
    </row>
    <row r="16062" spans="2:2">
      <c r="B16062"/>
    </row>
    <row r="16063" spans="2:2">
      <c r="B16063"/>
    </row>
    <row r="16064" spans="2:2">
      <c r="B16064"/>
    </row>
    <row r="16065" spans="2:2">
      <c r="B16065"/>
    </row>
    <row r="16066" spans="2:2">
      <c r="B16066"/>
    </row>
    <row r="16067" spans="2:2">
      <c r="B16067"/>
    </row>
    <row r="16068" spans="2:2">
      <c r="B16068"/>
    </row>
    <row r="16069" spans="2:2">
      <c r="B16069"/>
    </row>
    <row r="16070" spans="2:2">
      <c r="B16070"/>
    </row>
    <row r="16071" spans="2:2">
      <c r="B16071"/>
    </row>
    <row r="16072" spans="2:2">
      <c r="B16072"/>
    </row>
    <row r="16073" spans="2:2">
      <c r="B16073"/>
    </row>
    <row r="16074" spans="2:2">
      <c r="B16074"/>
    </row>
    <row r="16075" spans="2:2">
      <c r="B16075"/>
    </row>
    <row r="16076" spans="2:2">
      <c r="B16076"/>
    </row>
    <row r="16077" spans="2:2">
      <c r="B16077"/>
    </row>
    <row r="16078" spans="2:2">
      <c r="B16078"/>
    </row>
    <row r="16079" spans="2:2">
      <c r="B16079"/>
    </row>
    <row r="16080" spans="2:2">
      <c r="B16080"/>
    </row>
    <row r="16081" spans="2:2">
      <c r="B16081"/>
    </row>
    <row r="16082" spans="2:2">
      <c r="B16082"/>
    </row>
    <row r="16083" spans="2:2">
      <c r="B16083"/>
    </row>
    <row r="16084" spans="2:2">
      <c r="B16084"/>
    </row>
    <row r="16085" spans="2:2">
      <c r="B16085"/>
    </row>
    <row r="16086" spans="2:2">
      <c r="B16086"/>
    </row>
    <row r="16087" spans="2:2">
      <c r="B16087"/>
    </row>
    <row r="16088" spans="2:2">
      <c r="B16088"/>
    </row>
    <row r="16089" spans="2:2">
      <c r="B16089"/>
    </row>
    <row r="16090" spans="2:2">
      <c r="B16090"/>
    </row>
    <row r="16091" spans="2:2">
      <c r="B16091"/>
    </row>
    <row r="16092" spans="2:2">
      <c r="B16092"/>
    </row>
    <row r="16093" spans="2:2">
      <c r="B16093"/>
    </row>
    <row r="16094" spans="2:2">
      <c r="B16094"/>
    </row>
    <row r="16095" spans="2:2">
      <c r="B16095"/>
    </row>
    <row r="16096" spans="2:2">
      <c r="B16096"/>
    </row>
    <row r="16097" spans="2:2">
      <c r="B16097"/>
    </row>
    <row r="16098" spans="2:2">
      <c r="B16098"/>
    </row>
    <row r="16099" spans="2:2">
      <c r="B16099"/>
    </row>
    <row r="16100" spans="2:2">
      <c r="B16100"/>
    </row>
    <row r="16101" spans="2:2">
      <c r="B16101"/>
    </row>
    <row r="16102" spans="2:2">
      <c r="B16102"/>
    </row>
    <row r="16103" spans="2:2">
      <c r="B16103"/>
    </row>
    <row r="16104" spans="2:2">
      <c r="B16104"/>
    </row>
    <row r="16105" spans="2:2">
      <c r="B16105"/>
    </row>
    <row r="16106" spans="2:2">
      <c r="B16106"/>
    </row>
    <row r="16107" spans="2:2">
      <c r="B16107"/>
    </row>
    <row r="16108" spans="2:2">
      <c r="B16108"/>
    </row>
    <row r="16109" spans="2:2">
      <c r="B16109"/>
    </row>
    <row r="16110" spans="2:2">
      <c r="B16110"/>
    </row>
    <row r="16111" spans="2:2">
      <c r="B16111"/>
    </row>
    <row r="16112" spans="2:2">
      <c r="B16112"/>
    </row>
    <row r="16113" spans="2:2">
      <c r="B16113"/>
    </row>
    <row r="16114" spans="2:2">
      <c r="B16114"/>
    </row>
    <row r="16115" spans="2:2">
      <c r="B16115"/>
    </row>
    <row r="16116" spans="2:2">
      <c r="B16116"/>
    </row>
    <row r="16117" spans="2:2">
      <c r="B16117"/>
    </row>
    <row r="16118" spans="2:2">
      <c r="B16118"/>
    </row>
    <row r="16119" spans="2:2">
      <c r="B16119"/>
    </row>
    <row r="16120" spans="2:2">
      <c r="B16120"/>
    </row>
    <row r="16121" spans="2:2">
      <c r="B16121"/>
    </row>
    <row r="16122" spans="2:2">
      <c r="B16122"/>
    </row>
    <row r="16123" spans="2:2">
      <c r="B16123"/>
    </row>
    <row r="16124" spans="2:2">
      <c r="B16124"/>
    </row>
    <row r="16125" spans="2:2">
      <c r="B16125"/>
    </row>
    <row r="16126" spans="2:2">
      <c r="B16126"/>
    </row>
    <row r="16127" spans="2:2">
      <c r="B16127"/>
    </row>
    <row r="16128" spans="2:2">
      <c r="B16128"/>
    </row>
    <row r="16129" spans="2:2">
      <c r="B16129"/>
    </row>
    <row r="16130" spans="2:2">
      <c r="B16130"/>
    </row>
    <row r="16131" spans="2:2">
      <c r="B16131"/>
    </row>
    <row r="16132" spans="2:2">
      <c r="B16132"/>
    </row>
    <row r="16133" spans="2:2">
      <c r="B16133"/>
    </row>
    <row r="16134" spans="2:2">
      <c r="B16134"/>
    </row>
    <row r="16135" spans="2:2">
      <c r="B16135"/>
    </row>
    <row r="16136" spans="2:2">
      <c r="B16136"/>
    </row>
    <row r="16137" spans="2:2">
      <c r="B16137"/>
    </row>
    <row r="16138" spans="2:2">
      <c r="B16138"/>
    </row>
    <row r="16139" spans="2:2">
      <c r="B16139"/>
    </row>
    <row r="16140" spans="2:2">
      <c r="B16140"/>
    </row>
    <row r="16141" spans="2:2">
      <c r="B16141"/>
    </row>
    <row r="16142" spans="2:2">
      <c r="B16142"/>
    </row>
    <row r="16143" spans="2:2">
      <c r="B16143"/>
    </row>
    <row r="16144" spans="2:2">
      <c r="B16144"/>
    </row>
    <row r="16145" spans="2:2">
      <c r="B16145"/>
    </row>
    <row r="16146" spans="2:2">
      <c r="B16146"/>
    </row>
    <row r="16147" spans="2:2">
      <c r="B16147"/>
    </row>
    <row r="16148" spans="2:2">
      <c r="B16148"/>
    </row>
    <row r="16149" spans="2:2">
      <c r="B16149"/>
    </row>
    <row r="16150" spans="2:2">
      <c r="B16150"/>
    </row>
    <row r="16151" spans="2:2">
      <c r="B16151"/>
    </row>
    <row r="16152" spans="2:2">
      <c r="B16152"/>
    </row>
    <row r="16153" spans="2:2">
      <c r="B16153"/>
    </row>
    <row r="16154" spans="2:2">
      <c r="B16154"/>
    </row>
    <row r="16155" spans="2:2">
      <c r="B16155"/>
    </row>
    <row r="16156" spans="2:2">
      <c r="B16156"/>
    </row>
    <row r="16157" spans="2:2">
      <c r="B16157"/>
    </row>
    <row r="16158" spans="2:2">
      <c r="B16158"/>
    </row>
    <row r="16159" spans="2:2">
      <c r="B16159"/>
    </row>
    <row r="16160" spans="2:2">
      <c r="B16160"/>
    </row>
    <row r="16161" spans="2:2">
      <c r="B16161"/>
    </row>
    <row r="16162" spans="2:2">
      <c r="B16162"/>
    </row>
    <row r="16163" spans="2:2">
      <c r="B16163"/>
    </row>
    <row r="16164" spans="2:2">
      <c r="B16164"/>
    </row>
    <row r="16165" spans="2:2">
      <c r="B16165"/>
    </row>
    <row r="16166" spans="2:2">
      <c r="B16166"/>
    </row>
    <row r="16167" spans="2:2">
      <c r="B16167"/>
    </row>
    <row r="16168" spans="2:2">
      <c r="B16168"/>
    </row>
    <row r="16169" spans="2:2">
      <c r="B16169"/>
    </row>
    <row r="16170" spans="2:2">
      <c r="B16170"/>
    </row>
    <row r="16171" spans="2:2">
      <c r="B16171"/>
    </row>
    <row r="16172" spans="2:2">
      <c r="B16172"/>
    </row>
    <row r="16173" spans="2:2">
      <c r="B16173"/>
    </row>
    <row r="16174" spans="2:2">
      <c r="B16174"/>
    </row>
    <row r="16175" spans="2:2">
      <c r="B16175"/>
    </row>
    <row r="16176" spans="2:2">
      <c r="B16176"/>
    </row>
    <row r="16177" spans="2:2">
      <c r="B16177"/>
    </row>
    <row r="16178" spans="2:2">
      <c r="B16178"/>
    </row>
    <row r="16179" spans="2:2">
      <c r="B16179"/>
    </row>
    <row r="16180" spans="2:2">
      <c r="B16180"/>
    </row>
    <row r="16181" spans="2:2">
      <c r="B16181"/>
    </row>
    <row r="16182" spans="2:2">
      <c r="B16182"/>
    </row>
    <row r="16183" spans="2:2">
      <c r="B16183"/>
    </row>
    <row r="16184" spans="2:2">
      <c r="B16184"/>
    </row>
    <row r="16185" spans="2:2">
      <c r="B16185"/>
    </row>
    <row r="16186" spans="2:2">
      <c r="B16186"/>
    </row>
    <row r="16187" spans="2:2">
      <c r="B16187"/>
    </row>
    <row r="16188" spans="2:2">
      <c r="B16188"/>
    </row>
    <row r="16189" spans="2:2">
      <c r="B16189"/>
    </row>
    <row r="16190" spans="2:2">
      <c r="B16190"/>
    </row>
    <row r="16191" spans="2:2">
      <c r="B16191"/>
    </row>
    <row r="16192" spans="2:2">
      <c r="B16192"/>
    </row>
    <row r="16193" spans="2:2">
      <c r="B16193"/>
    </row>
    <row r="16194" spans="2:2">
      <c r="B16194"/>
    </row>
    <row r="16195" spans="2:2">
      <c r="B16195"/>
    </row>
    <row r="16196" spans="2:2">
      <c r="B16196"/>
    </row>
    <row r="16197" spans="2:2">
      <c r="B16197"/>
    </row>
    <row r="16198" spans="2:2">
      <c r="B16198"/>
    </row>
    <row r="16199" spans="2:2">
      <c r="B16199"/>
    </row>
    <row r="16200" spans="2:2">
      <c r="B16200"/>
    </row>
    <row r="16201" spans="2:2">
      <c r="B16201"/>
    </row>
    <row r="16202" spans="2:2">
      <c r="B16202"/>
    </row>
    <row r="16203" spans="2:2">
      <c r="B16203"/>
    </row>
    <row r="16204" spans="2:2">
      <c r="B16204"/>
    </row>
    <row r="16205" spans="2:2">
      <c r="B16205"/>
    </row>
    <row r="16206" spans="2:2">
      <c r="B16206"/>
    </row>
    <row r="16207" spans="2:2">
      <c r="B16207"/>
    </row>
    <row r="16208" spans="2:2">
      <c r="B16208"/>
    </row>
    <row r="16209" spans="2:2">
      <c r="B16209"/>
    </row>
    <row r="16210" spans="2:2">
      <c r="B16210"/>
    </row>
    <row r="16211" spans="2:2">
      <c r="B16211"/>
    </row>
    <row r="16212" spans="2:2">
      <c r="B16212"/>
    </row>
    <row r="16213" spans="2:2">
      <c r="B16213"/>
    </row>
    <row r="16214" spans="2:2">
      <c r="B16214"/>
    </row>
    <row r="16215" spans="2:2">
      <c r="B16215"/>
    </row>
    <row r="16216" spans="2:2">
      <c r="B16216"/>
    </row>
    <row r="16217" spans="2:2">
      <c r="B16217"/>
    </row>
    <row r="16218" spans="2:2">
      <c r="B16218"/>
    </row>
    <row r="16219" spans="2:2">
      <c r="B16219"/>
    </row>
    <row r="16220" spans="2:2">
      <c r="B16220"/>
    </row>
    <row r="16221" spans="2:2">
      <c r="B16221"/>
    </row>
    <row r="16222" spans="2:2">
      <c r="B16222"/>
    </row>
    <row r="16223" spans="2:2">
      <c r="B16223"/>
    </row>
    <row r="16224" spans="2:2">
      <c r="B16224"/>
    </row>
    <row r="16225" spans="2:2">
      <c r="B16225"/>
    </row>
    <row r="16226" spans="2:2">
      <c r="B16226"/>
    </row>
    <row r="16227" spans="2:2">
      <c r="B16227"/>
    </row>
    <row r="16228" spans="2:2">
      <c r="B16228"/>
    </row>
    <row r="16229" spans="2:2">
      <c r="B16229"/>
    </row>
    <row r="16230" spans="2:2">
      <c r="B16230"/>
    </row>
    <row r="16231" spans="2:2">
      <c r="B16231"/>
    </row>
    <row r="16232" spans="2:2">
      <c r="B16232"/>
    </row>
    <row r="16233" spans="2:2">
      <c r="B16233"/>
    </row>
    <row r="16234" spans="2:2">
      <c r="B16234"/>
    </row>
    <row r="16235" spans="2:2">
      <c r="B16235"/>
    </row>
    <row r="16236" spans="2:2">
      <c r="B16236"/>
    </row>
    <row r="16237" spans="2:2">
      <c r="B16237"/>
    </row>
    <row r="16238" spans="2:2">
      <c r="B16238"/>
    </row>
    <row r="16239" spans="2:2">
      <c r="B16239"/>
    </row>
    <row r="16240" spans="2:2">
      <c r="B16240"/>
    </row>
    <row r="16241" spans="2:2">
      <c r="B16241"/>
    </row>
    <row r="16242" spans="2:2">
      <c r="B16242"/>
    </row>
    <row r="16243" spans="2:2">
      <c r="B16243"/>
    </row>
    <row r="16244" spans="2:2">
      <c r="B16244"/>
    </row>
    <row r="16245" spans="2:2">
      <c r="B16245"/>
    </row>
    <row r="16246" spans="2:2">
      <c r="B16246"/>
    </row>
    <row r="16247" spans="2:2">
      <c r="B16247"/>
    </row>
    <row r="16248" spans="2:2">
      <c r="B16248"/>
    </row>
    <row r="16249" spans="2:2">
      <c r="B16249"/>
    </row>
    <row r="16250" spans="2:2">
      <c r="B16250"/>
    </row>
    <row r="16251" spans="2:2">
      <c r="B16251"/>
    </row>
    <row r="16252" spans="2:2">
      <c r="B16252"/>
    </row>
    <row r="16253" spans="2:2">
      <c r="B16253"/>
    </row>
    <row r="16254" spans="2:2">
      <c r="B16254"/>
    </row>
    <row r="16255" spans="2:2">
      <c r="B16255"/>
    </row>
    <row r="16256" spans="2:2">
      <c r="B16256"/>
    </row>
    <row r="16257" spans="2:2">
      <c r="B16257"/>
    </row>
    <row r="16258" spans="2:2">
      <c r="B16258"/>
    </row>
    <row r="16259" spans="2:2">
      <c r="B16259"/>
    </row>
    <row r="16260" spans="2:2">
      <c r="B16260"/>
    </row>
    <row r="16261" spans="2:2">
      <c r="B16261"/>
    </row>
    <row r="16262" spans="2:2">
      <c r="B16262"/>
    </row>
    <row r="16263" spans="2:2">
      <c r="B16263"/>
    </row>
    <row r="16264" spans="2:2">
      <c r="B16264"/>
    </row>
    <row r="16265" spans="2:2">
      <c r="B16265"/>
    </row>
    <row r="16266" spans="2:2">
      <c r="B16266"/>
    </row>
    <row r="16267" spans="2:2">
      <c r="B16267"/>
    </row>
    <row r="16268" spans="2:2">
      <c r="B16268"/>
    </row>
    <row r="16269" spans="2:2">
      <c r="B16269"/>
    </row>
    <row r="16270" spans="2:2">
      <c r="B16270"/>
    </row>
    <row r="16271" spans="2:2">
      <c r="B16271"/>
    </row>
    <row r="16272" spans="2:2">
      <c r="B16272"/>
    </row>
    <row r="16273" spans="2:2">
      <c r="B16273"/>
    </row>
    <row r="16274" spans="2:2">
      <c r="B16274"/>
    </row>
    <row r="16275" spans="2:2">
      <c r="B16275"/>
    </row>
    <row r="16276" spans="2:2">
      <c r="B16276"/>
    </row>
    <row r="16277" spans="2:2">
      <c r="B16277"/>
    </row>
    <row r="16278" spans="2:2">
      <c r="B16278"/>
    </row>
    <row r="16279" spans="2:2">
      <c r="B16279"/>
    </row>
    <row r="16280" spans="2:2">
      <c r="B16280"/>
    </row>
    <row r="16281" spans="2:2">
      <c r="B16281"/>
    </row>
    <row r="16282" spans="2:2">
      <c r="B16282"/>
    </row>
    <row r="16283" spans="2:2">
      <c r="B16283"/>
    </row>
    <row r="16284" spans="2:2">
      <c r="B16284"/>
    </row>
    <row r="16285" spans="2:2">
      <c r="B16285"/>
    </row>
    <row r="16286" spans="2:2">
      <c r="B16286"/>
    </row>
    <row r="16287" spans="2:2">
      <c r="B16287"/>
    </row>
    <row r="16288" spans="2:2">
      <c r="B16288"/>
    </row>
    <row r="16289" spans="2:2">
      <c r="B16289"/>
    </row>
    <row r="16290" spans="2:2">
      <c r="B16290"/>
    </row>
    <row r="16291" spans="2:2">
      <c r="B16291"/>
    </row>
    <row r="16292" spans="2:2">
      <c r="B16292"/>
    </row>
    <row r="16293" spans="2:2">
      <c r="B16293"/>
    </row>
    <row r="16294" spans="2:2">
      <c r="B16294"/>
    </row>
    <row r="16295" spans="2:2">
      <c r="B16295"/>
    </row>
    <row r="16296" spans="2:2">
      <c r="B16296"/>
    </row>
    <row r="16297" spans="2:2">
      <c r="B16297"/>
    </row>
    <row r="16298" spans="2:2">
      <c r="B16298"/>
    </row>
    <row r="16299" spans="2:2">
      <c r="B16299"/>
    </row>
    <row r="16300" spans="2:2">
      <c r="B16300"/>
    </row>
    <row r="16301" spans="2:2">
      <c r="B16301"/>
    </row>
    <row r="16302" spans="2:2">
      <c r="B16302"/>
    </row>
    <row r="16303" spans="2:2">
      <c r="B16303"/>
    </row>
    <row r="16304" spans="2:2">
      <c r="B16304"/>
    </row>
    <row r="16305" spans="2:2">
      <c r="B16305"/>
    </row>
    <row r="16306" spans="2:2">
      <c r="B16306"/>
    </row>
    <row r="16307" spans="2:2">
      <c r="B16307"/>
    </row>
    <row r="16308" spans="2:2">
      <c r="B16308"/>
    </row>
    <row r="16309" spans="2:2">
      <c r="B16309"/>
    </row>
    <row r="16310" spans="2:2">
      <c r="B16310"/>
    </row>
    <row r="16311" spans="2:2">
      <c r="B16311"/>
    </row>
    <row r="16312" spans="2:2">
      <c r="B16312"/>
    </row>
    <row r="16313" spans="2:2">
      <c r="B16313"/>
    </row>
    <row r="16314" spans="2:2">
      <c r="B16314"/>
    </row>
    <row r="16315" spans="2:2">
      <c r="B16315"/>
    </row>
    <row r="16316" spans="2:2">
      <c r="B16316"/>
    </row>
    <row r="16317" spans="2:2">
      <c r="B16317"/>
    </row>
    <row r="16318" spans="2:2">
      <c r="B16318"/>
    </row>
    <row r="16319" spans="2:2">
      <c r="B16319"/>
    </row>
    <row r="16320" spans="2:2">
      <c r="B16320"/>
    </row>
    <row r="16321" spans="2:2">
      <c r="B16321"/>
    </row>
    <row r="16322" spans="2:2">
      <c r="B16322"/>
    </row>
    <row r="16323" spans="2:2">
      <c r="B16323"/>
    </row>
    <row r="16324" spans="2:2">
      <c r="B16324"/>
    </row>
    <row r="16325" spans="2:2">
      <c r="B16325"/>
    </row>
    <row r="16326" spans="2:2">
      <c r="B16326"/>
    </row>
    <row r="16327" spans="2:2">
      <c r="B16327"/>
    </row>
    <row r="16328" spans="2:2">
      <c r="B16328"/>
    </row>
    <row r="16329" spans="2:2">
      <c r="B16329"/>
    </row>
    <row r="16330" spans="2:2">
      <c r="B16330"/>
    </row>
    <row r="16331" spans="2:2">
      <c r="B16331"/>
    </row>
    <row r="16332" spans="2:2">
      <c r="B16332"/>
    </row>
    <row r="16333" spans="2:2">
      <c r="B16333"/>
    </row>
    <row r="16334" spans="2:2">
      <c r="B16334"/>
    </row>
    <row r="16335" spans="2:2">
      <c r="B16335"/>
    </row>
    <row r="16336" spans="2:2">
      <c r="B16336"/>
    </row>
    <row r="16337" spans="2:2">
      <c r="B16337"/>
    </row>
    <row r="16338" spans="2:2">
      <c r="B16338"/>
    </row>
    <row r="16339" spans="2:2">
      <c r="B16339"/>
    </row>
    <row r="16340" spans="2:2">
      <c r="B16340"/>
    </row>
    <row r="16341" spans="2:2">
      <c r="B16341"/>
    </row>
    <row r="16342" spans="2:2">
      <c r="B16342"/>
    </row>
    <row r="16343" spans="2:2">
      <c r="B16343"/>
    </row>
    <row r="16344" spans="2:2">
      <c r="B16344"/>
    </row>
    <row r="16345" spans="2:2">
      <c r="B16345"/>
    </row>
    <row r="16346" spans="2:2">
      <c r="B16346"/>
    </row>
    <row r="16347" spans="2:2">
      <c r="B16347"/>
    </row>
    <row r="16348" spans="2:2">
      <c r="B16348"/>
    </row>
    <row r="16349" spans="2:2">
      <c r="B16349"/>
    </row>
    <row r="16350" spans="2:2">
      <c r="B16350"/>
    </row>
    <row r="16351" spans="2:2">
      <c r="B16351"/>
    </row>
    <row r="16352" spans="2:2">
      <c r="B16352"/>
    </row>
    <row r="16353" spans="2:2">
      <c r="B16353"/>
    </row>
    <row r="16354" spans="2:2">
      <c r="B16354"/>
    </row>
    <row r="16355" spans="2:2">
      <c r="B16355"/>
    </row>
    <row r="16356" spans="2:2">
      <c r="B16356"/>
    </row>
    <row r="16357" spans="2:2">
      <c r="B16357"/>
    </row>
    <row r="16358" spans="2:2">
      <c r="B16358"/>
    </row>
    <row r="16359" spans="2:2">
      <c r="B16359"/>
    </row>
    <row r="16360" spans="2:2">
      <c r="B16360"/>
    </row>
    <row r="16361" spans="2:2">
      <c r="B16361"/>
    </row>
    <row r="16362" spans="2:2">
      <c r="B16362"/>
    </row>
    <row r="16363" spans="2:2">
      <c r="B16363"/>
    </row>
    <row r="16364" spans="2:2">
      <c r="B16364"/>
    </row>
    <row r="16365" spans="2:2">
      <c r="B16365"/>
    </row>
    <row r="16366" spans="2:2">
      <c r="B16366"/>
    </row>
    <row r="16367" spans="2:2">
      <c r="B16367"/>
    </row>
    <row r="16368" spans="2:2">
      <c r="B16368"/>
    </row>
    <row r="16369" spans="2:2">
      <c r="B16369"/>
    </row>
    <row r="16370" spans="2:2">
      <c r="B16370"/>
    </row>
    <row r="16371" spans="2:2">
      <c r="B16371"/>
    </row>
    <row r="16372" spans="2:2">
      <c r="B16372"/>
    </row>
    <row r="16373" spans="2:2">
      <c r="B16373"/>
    </row>
    <row r="16374" spans="2:2">
      <c r="B16374"/>
    </row>
    <row r="16375" spans="2:2">
      <c r="B16375"/>
    </row>
    <row r="16376" spans="2:2">
      <c r="B16376"/>
    </row>
    <row r="16377" spans="2:2">
      <c r="B16377"/>
    </row>
    <row r="16378" spans="2:2">
      <c r="B16378"/>
    </row>
    <row r="16379" spans="2:2">
      <c r="B16379"/>
    </row>
    <row r="16380" spans="2:2">
      <c r="B16380"/>
    </row>
    <row r="16381" spans="2:2">
      <c r="B16381"/>
    </row>
    <row r="16382" spans="2:2">
      <c r="B16382"/>
    </row>
    <row r="16383" spans="2:2">
      <c r="B16383"/>
    </row>
    <row r="16384" spans="2:2">
      <c r="B16384"/>
    </row>
    <row r="16385" spans="2:2">
      <c r="B16385"/>
    </row>
    <row r="16386" spans="2:2">
      <c r="B16386"/>
    </row>
    <row r="16387" spans="2:2">
      <c r="B16387"/>
    </row>
    <row r="16388" spans="2:2">
      <c r="B16388"/>
    </row>
    <row r="16389" spans="2:2">
      <c r="B16389"/>
    </row>
    <row r="16390" spans="2:2">
      <c r="B16390"/>
    </row>
    <row r="16391" spans="2:2">
      <c r="B16391"/>
    </row>
    <row r="16392" spans="2:2">
      <c r="B16392"/>
    </row>
    <row r="16393" spans="2:2">
      <c r="B16393"/>
    </row>
    <row r="16394" spans="2:2">
      <c r="B16394"/>
    </row>
    <row r="16395" spans="2:2">
      <c r="B16395"/>
    </row>
    <row r="16396" spans="2:2">
      <c r="B16396"/>
    </row>
    <row r="16397" spans="2:2">
      <c r="B16397"/>
    </row>
    <row r="16398" spans="2:2">
      <c r="B16398"/>
    </row>
    <row r="16399" spans="2:2">
      <c r="B16399"/>
    </row>
    <row r="16400" spans="2:2">
      <c r="B16400"/>
    </row>
    <row r="16401" spans="2:2">
      <c r="B16401"/>
    </row>
    <row r="16402" spans="2:2">
      <c r="B16402"/>
    </row>
    <row r="16403" spans="2:2">
      <c r="B16403"/>
    </row>
    <row r="16404" spans="2:2">
      <c r="B16404"/>
    </row>
    <row r="16405" spans="2:2">
      <c r="B16405"/>
    </row>
    <row r="16406" spans="2:2">
      <c r="B16406"/>
    </row>
    <row r="16407" spans="2:2">
      <c r="B16407"/>
    </row>
    <row r="16408" spans="2:2">
      <c r="B16408"/>
    </row>
    <row r="16409" spans="2:2">
      <c r="B16409"/>
    </row>
    <row r="16410" spans="2:2">
      <c r="B16410"/>
    </row>
    <row r="16411" spans="2:2">
      <c r="B16411"/>
    </row>
    <row r="16412" spans="2:2">
      <c r="B16412"/>
    </row>
    <row r="16413" spans="2:2">
      <c r="B16413"/>
    </row>
    <row r="16414" spans="2:2">
      <c r="B16414"/>
    </row>
    <row r="16415" spans="2:2">
      <c r="B16415"/>
    </row>
    <row r="16416" spans="2:2">
      <c r="B16416"/>
    </row>
    <row r="16417" spans="2:2">
      <c r="B16417"/>
    </row>
    <row r="16418" spans="2:2">
      <c r="B16418"/>
    </row>
    <row r="16419" spans="2:2">
      <c r="B16419"/>
    </row>
    <row r="16420" spans="2:2">
      <c r="B16420"/>
    </row>
    <row r="16421" spans="2:2">
      <c r="B16421"/>
    </row>
    <row r="16422" spans="2:2">
      <c r="B16422"/>
    </row>
    <row r="16423" spans="2:2">
      <c r="B16423"/>
    </row>
    <row r="16424" spans="2:2">
      <c r="B16424"/>
    </row>
    <row r="16425" spans="2:2">
      <c r="B16425"/>
    </row>
    <row r="16426" spans="2:2">
      <c r="B16426"/>
    </row>
    <row r="16427" spans="2:2">
      <c r="B16427"/>
    </row>
    <row r="16428" spans="2:2">
      <c r="B16428"/>
    </row>
    <row r="16429" spans="2:2">
      <c r="B16429"/>
    </row>
    <row r="16430" spans="2:2">
      <c r="B16430"/>
    </row>
    <row r="16431" spans="2:2">
      <c r="B16431"/>
    </row>
    <row r="16432" spans="2:2">
      <c r="B16432"/>
    </row>
    <row r="16433" spans="2:2">
      <c r="B16433"/>
    </row>
    <row r="16434" spans="2:2">
      <c r="B16434"/>
    </row>
    <row r="16435" spans="2:2">
      <c r="B16435"/>
    </row>
    <row r="16436" spans="2:2">
      <c r="B16436"/>
    </row>
    <row r="16437" spans="2:2">
      <c r="B16437"/>
    </row>
    <row r="16438" spans="2:2">
      <c r="B16438"/>
    </row>
    <row r="16439" spans="2:2">
      <c r="B16439"/>
    </row>
    <row r="16440" spans="2:2">
      <c r="B16440"/>
    </row>
    <row r="16441" spans="2:2">
      <c r="B16441"/>
    </row>
    <row r="16442" spans="2:2">
      <c r="B16442"/>
    </row>
    <row r="16443" spans="2:2">
      <c r="B16443"/>
    </row>
    <row r="16444" spans="2:2">
      <c r="B16444"/>
    </row>
    <row r="16445" spans="2:2">
      <c r="B16445"/>
    </row>
    <row r="16446" spans="2:2">
      <c r="B16446"/>
    </row>
    <row r="16447" spans="2:2">
      <c r="B16447"/>
    </row>
    <row r="16448" spans="2:2">
      <c r="B16448"/>
    </row>
    <row r="16449" spans="2:2">
      <c r="B16449"/>
    </row>
    <row r="16450" spans="2:2">
      <c r="B16450"/>
    </row>
    <row r="16451" spans="2:2">
      <c r="B16451"/>
    </row>
    <row r="16452" spans="2:2">
      <c r="B16452"/>
    </row>
    <row r="16453" spans="2:2">
      <c r="B16453"/>
    </row>
    <row r="16454" spans="2:2">
      <c r="B16454"/>
    </row>
    <row r="16455" spans="2:2">
      <c r="B16455"/>
    </row>
    <row r="16456" spans="2:2">
      <c r="B16456"/>
    </row>
    <row r="16457" spans="2:2">
      <c r="B16457"/>
    </row>
    <row r="16458" spans="2:2">
      <c r="B16458"/>
    </row>
    <row r="16459" spans="2:2">
      <c r="B16459"/>
    </row>
    <row r="16460" spans="2:2">
      <c r="B16460"/>
    </row>
    <row r="16461" spans="2:2">
      <c r="B16461"/>
    </row>
    <row r="16462" spans="2:2">
      <c r="B16462"/>
    </row>
    <row r="16463" spans="2:2">
      <c r="B16463"/>
    </row>
    <row r="16464" spans="2:2">
      <c r="B16464"/>
    </row>
    <row r="16465" spans="2:2">
      <c r="B16465"/>
    </row>
    <row r="16466" spans="2:2">
      <c r="B16466"/>
    </row>
    <row r="16467" spans="2:2">
      <c r="B16467"/>
    </row>
    <row r="16468" spans="2:2">
      <c r="B16468"/>
    </row>
    <row r="16469" spans="2:2">
      <c r="B16469"/>
    </row>
    <row r="16470" spans="2:2">
      <c r="B16470"/>
    </row>
    <row r="16471" spans="2:2">
      <c r="B16471"/>
    </row>
    <row r="16472" spans="2:2">
      <c r="B16472"/>
    </row>
    <row r="16473" spans="2:2">
      <c r="B16473"/>
    </row>
    <row r="16474" spans="2:2">
      <c r="B16474"/>
    </row>
    <row r="16475" spans="2:2">
      <c r="B16475"/>
    </row>
    <row r="16476" spans="2:2">
      <c r="B16476"/>
    </row>
    <row r="16477" spans="2:2">
      <c r="B16477"/>
    </row>
    <row r="16478" spans="2:2">
      <c r="B16478"/>
    </row>
    <row r="16479" spans="2:2">
      <c r="B16479"/>
    </row>
    <row r="16480" spans="2:2">
      <c r="B16480"/>
    </row>
    <row r="16481" spans="2:2">
      <c r="B16481"/>
    </row>
    <row r="16482" spans="2:2">
      <c r="B16482"/>
    </row>
    <row r="16483" spans="2:2">
      <c r="B16483"/>
    </row>
    <row r="16484" spans="2:2">
      <c r="B16484"/>
    </row>
    <row r="16485" spans="2:2">
      <c r="B16485"/>
    </row>
    <row r="16486" spans="2:2">
      <c r="B16486"/>
    </row>
    <row r="16487" spans="2:2">
      <c r="B16487"/>
    </row>
    <row r="16488" spans="2:2">
      <c r="B16488"/>
    </row>
    <row r="16489" spans="2:2">
      <c r="B16489"/>
    </row>
    <row r="16490" spans="2:2">
      <c r="B16490"/>
    </row>
    <row r="16491" spans="2:2">
      <c r="B16491"/>
    </row>
    <row r="16492" spans="2:2">
      <c r="B16492"/>
    </row>
    <row r="16493" spans="2:2">
      <c r="B16493"/>
    </row>
    <row r="16494" spans="2:2">
      <c r="B16494"/>
    </row>
    <row r="16495" spans="2:2">
      <c r="B16495"/>
    </row>
    <row r="16496" spans="2:2">
      <c r="B16496"/>
    </row>
    <row r="16497" spans="2:2">
      <c r="B16497"/>
    </row>
    <row r="16498" spans="2:2">
      <c r="B16498"/>
    </row>
    <row r="16499" spans="2:2">
      <c r="B16499"/>
    </row>
    <row r="16500" spans="2:2">
      <c r="B16500"/>
    </row>
    <row r="16501" spans="2:2">
      <c r="B16501"/>
    </row>
    <row r="16502" spans="2:2">
      <c r="B16502"/>
    </row>
    <row r="16503" spans="2:2">
      <c r="B16503"/>
    </row>
    <row r="16504" spans="2:2">
      <c r="B16504"/>
    </row>
    <row r="16505" spans="2:2">
      <c r="B16505"/>
    </row>
    <row r="16506" spans="2:2">
      <c r="B16506"/>
    </row>
    <row r="16507" spans="2:2">
      <c r="B16507"/>
    </row>
    <row r="16508" spans="2:2">
      <c r="B16508"/>
    </row>
    <row r="16509" spans="2:2">
      <c r="B16509"/>
    </row>
    <row r="16510" spans="2:2">
      <c r="B16510"/>
    </row>
    <row r="16511" spans="2:2">
      <c r="B16511"/>
    </row>
    <row r="16512" spans="2:2">
      <c r="B16512"/>
    </row>
    <row r="16513" spans="2:2">
      <c r="B16513"/>
    </row>
    <row r="16514" spans="2:2">
      <c r="B16514"/>
    </row>
    <row r="16515" spans="2:2">
      <c r="B16515"/>
    </row>
    <row r="16516" spans="2:2">
      <c r="B16516"/>
    </row>
    <row r="16517" spans="2:2">
      <c r="B16517"/>
    </row>
    <row r="16518" spans="2:2">
      <c r="B16518"/>
    </row>
    <row r="16519" spans="2:2">
      <c r="B16519"/>
    </row>
    <row r="16520" spans="2:2">
      <c r="B16520"/>
    </row>
    <row r="16521" spans="2:2">
      <c r="B16521"/>
    </row>
    <row r="16522" spans="2:2">
      <c r="B16522"/>
    </row>
    <row r="16523" spans="2:2">
      <c r="B16523"/>
    </row>
    <row r="16524" spans="2:2">
      <c r="B16524"/>
    </row>
    <row r="16525" spans="2:2">
      <c r="B16525"/>
    </row>
    <row r="16526" spans="2:2">
      <c r="B16526"/>
    </row>
    <row r="16527" spans="2:2">
      <c r="B16527"/>
    </row>
    <row r="16528" spans="2:2">
      <c r="B16528"/>
    </row>
    <row r="16529" spans="2:2">
      <c r="B16529"/>
    </row>
    <row r="16530" spans="2:2">
      <c r="B16530"/>
    </row>
    <row r="16531" spans="2:2">
      <c r="B16531"/>
    </row>
    <row r="16532" spans="2:2">
      <c r="B16532"/>
    </row>
    <row r="16533" spans="2:2">
      <c r="B16533"/>
    </row>
    <row r="16534" spans="2:2">
      <c r="B16534"/>
    </row>
    <row r="16535" spans="2:2">
      <c r="B16535"/>
    </row>
    <row r="16536" spans="2:2">
      <c r="B16536"/>
    </row>
    <row r="16537" spans="2:2">
      <c r="B16537"/>
    </row>
    <row r="16538" spans="2:2">
      <c r="B16538"/>
    </row>
    <row r="16539" spans="2:2">
      <c r="B16539"/>
    </row>
    <row r="16540" spans="2:2">
      <c r="B16540"/>
    </row>
    <row r="16541" spans="2:2">
      <c r="B16541"/>
    </row>
    <row r="16542" spans="2:2">
      <c r="B16542"/>
    </row>
    <row r="16543" spans="2:2">
      <c r="B16543"/>
    </row>
    <row r="16544" spans="2:2">
      <c r="B16544"/>
    </row>
    <row r="16545" spans="2:2">
      <c r="B16545"/>
    </row>
    <row r="16546" spans="2:2">
      <c r="B16546"/>
    </row>
    <row r="16547" spans="2:2">
      <c r="B16547"/>
    </row>
    <row r="16548" spans="2:2">
      <c r="B16548"/>
    </row>
    <row r="16549" spans="2:2">
      <c r="B16549"/>
    </row>
    <row r="16550" spans="2:2">
      <c r="B16550"/>
    </row>
    <row r="16551" spans="2:2">
      <c r="B16551"/>
    </row>
    <row r="16552" spans="2:2">
      <c r="B16552"/>
    </row>
    <row r="16553" spans="2:2">
      <c r="B16553"/>
    </row>
    <row r="16554" spans="2:2">
      <c r="B16554"/>
    </row>
    <row r="16555" spans="2:2">
      <c r="B16555"/>
    </row>
    <row r="16556" spans="2:2">
      <c r="B16556"/>
    </row>
    <row r="16557" spans="2:2">
      <c r="B16557"/>
    </row>
    <row r="16558" spans="2:2">
      <c r="B16558"/>
    </row>
    <row r="16559" spans="2:2">
      <c r="B16559"/>
    </row>
    <row r="16560" spans="2:2">
      <c r="B16560"/>
    </row>
    <row r="16561" spans="2:2">
      <c r="B16561"/>
    </row>
    <row r="16562" spans="2:2">
      <c r="B16562"/>
    </row>
    <row r="16563" spans="2:2">
      <c r="B16563"/>
    </row>
    <row r="16564" spans="2:2">
      <c r="B16564"/>
    </row>
    <row r="16565" spans="2:2">
      <c r="B16565"/>
    </row>
    <row r="16566" spans="2:2">
      <c r="B16566"/>
    </row>
    <row r="16567" spans="2:2">
      <c r="B16567"/>
    </row>
    <row r="16568" spans="2:2">
      <c r="B16568"/>
    </row>
    <row r="16569" spans="2:2">
      <c r="B16569"/>
    </row>
    <row r="16570" spans="2:2">
      <c r="B16570"/>
    </row>
    <row r="16571" spans="2:2">
      <c r="B16571"/>
    </row>
    <row r="16572" spans="2:2">
      <c r="B16572"/>
    </row>
    <row r="16573" spans="2:2">
      <c r="B16573"/>
    </row>
    <row r="16574" spans="2:2">
      <c r="B16574"/>
    </row>
    <row r="16575" spans="2:2">
      <c r="B16575"/>
    </row>
    <row r="16576" spans="2:2">
      <c r="B16576"/>
    </row>
    <row r="16577" spans="2:2">
      <c r="B16577"/>
    </row>
    <row r="16578" spans="2:2">
      <c r="B16578"/>
    </row>
    <row r="16579" spans="2:2">
      <c r="B16579"/>
    </row>
    <row r="16580" spans="2:2">
      <c r="B16580"/>
    </row>
    <row r="16581" spans="2:2">
      <c r="B16581"/>
    </row>
    <row r="16582" spans="2:2">
      <c r="B16582"/>
    </row>
    <row r="16583" spans="2:2">
      <c r="B16583"/>
    </row>
    <row r="16584" spans="2:2">
      <c r="B16584"/>
    </row>
    <row r="16585" spans="2:2">
      <c r="B16585"/>
    </row>
    <row r="16586" spans="2:2">
      <c r="B16586"/>
    </row>
    <row r="16587" spans="2:2">
      <c r="B16587"/>
    </row>
    <row r="16588" spans="2:2">
      <c r="B16588"/>
    </row>
  </sheetData>
  <sortState xmlns:xlrd2="http://schemas.microsoft.com/office/spreadsheetml/2017/richdata2" ref="BXA14:BXA19">
    <sortCondition ref="BXA13:BXA19"/>
  </sortState>
  <mergeCells count="632">
    <mergeCell ref="ARA26:ARE26"/>
    <mergeCell ref="ARA27:ARE27"/>
    <mergeCell ref="ARA28:ARE28"/>
    <mergeCell ref="ARA17:ARE17"/>
    <mergeCell ref="ARA18:ARE18"/>
    <mergeCell ref="ARA19:ARE19"/>
    <mergeCell ref="ARA20:ARE20"/>
    <mergeCell ref="ARA21:ARE21"/>
    <mergeCell ref="ARA22:ARE22"/>
    <mergeCell ref="ARA23:ARE23"/>
    <mergeCell ref="ARA24:ARE24"/>
    <mergeCell ref="ARA25:ARE25"/>
    <mergeCell ref="AQZ3:ARA3"/>
    <mergeCell ref="ARE3:ARF3"/>
    <mergeCell ref="ARE5:ARF5"/>
    <mergeCell ref="ARE6:ARF6"/>
    <mergeCell ref="ARE7:ARF7"/>
    <mergeCell ref="ARE8:ARF8"/>
    <mergeCell ref="AQZ9:ARB11"/>
    <mergeCell ref="ARD9:ARD11"/>
    <mergeCell ref="ARE9:ARF9"/>
    <mergeCell ref="ARE10:ARF10"/>
    <mergeCell ref="YD32:YE32"/>
    <mergeCell ref="YD33:YE33"/>
    <mergeCell ref="YD34:YE34"/>
    <mergeCell ref="YD35:YE35"/>
    <mergeCell ref="YD36:YE36"/>
    <mergeCell ref="YA16:YE16"/>
    <mergeCell ref="YK10:YN10"/>
    <mergeCell ref="XE3:XF3"/>
    <mergeCell ref="XE4:XF4"/>
    <mergeCell ref="XE5:XF5"/>
    <mergeCell ref="XE6:XF6"/>
    <mergeCell ref="XE7:XF7"/>
    <mergeCell ref="XE8:XF8"/>
    <mergeCell ref="XE9:XF9"/>
    <mergeCell ref="XM8:XO8"/>
    <mergeCell ref="YD23:YE23"/>
    <mergeCell ref="YD24:YE24"/>
    <mergeCell ref="YD25:YE25"/>
    <mergeCell ref="YD26:YE26"/>
    <mergeCell ref="YD27:YE27"/>
    <mergeCell ref="YD28:YE28"/>
    <mergeCell ref="YD29:YE29"/>
    <mergeCell ref="YD30:YE30"/>
    <mergeCell ref="YD31:YE31"/>
    <mergeCell ref="YJ2:YK2"/>
    <mergeCell ref="YE10:YF10"/>
    <mergeCell ref="YA14:YE14"/>
    <mergeCell ref="YD17:YE17"/>
    <mergeCell ref="YD18:YE18"/>
    <mergeCell ref="YD19:YE19"/>
    <mergeCell ref="YD20:YE20"/>
    <mergeCell ref="YD21:YE21"/>
    <mergeCell ref="YD22:YE22"/>
    <mergeCell ref="YE3:YF3"/>
    <mergeCell ref="YE4:YF4"/>
    <mergeCell ref="YE5:YF5"/>
    <mergeCell ref="YE6:YF6"/>
    <mergeCell ref="YE7:YF7"/>
    <mergeCell ref="YE8:YF8"/>
    <mergeCell ref="YE9:YF9"/>
    <mergeCell ref="YB11:YF11"/>
    <mergeCell ref="YB12:YF12"/>
    <mergeCell ref="DDC5:DDC7"/>
    <mergeCell ref="DDA8:DDB8"/>
    <mergeCell ref="DDC9:DDC11"/>
    <mergeCell ref="DDB13:DDF13"/>
    <mergeCell ref="DDB17:DDF17"/>
    <mergeCell ref="DDB16:DDE16"/>
    <mergeCell ref="BFE14:BFI14"/>
    <mergeCell ref="BFE6:BFI6"/>
    <mergeCell ref="BMA13:BMD13"/>
    <mergeCell ref="BYB13:BYF13"/>
    <mergeCell ref="BYB14:BYG14"/>
    <mergeCell ref="BYE7:BYG7"/>
    <mergeCell ref="BYA8:BYB8"/>
    <mergeCell ref="BYE8:BYG8"/>
    <mergeCell ref="BYC5:BYC7"/>
    <mergeCell ref="BYE5:BYG5"/>
    <mergeCell ref="BYE6:BYG6"/>
    <mergeCell ref="BYC9:BYC11"/>
    <mergeCell ref="BYE9:BYG9"/>
    <mergeCell ref="BYE10:BYG10"/>
    <mergeCell ref="BYE11:BYG11"/>
    <mergeCell ref="BMA5:BMB5"/>
    <mergeCell ref="BMC5:BMC9"/>
    <mergeCell ref="BKE8:BKI8"/>
    <mergeCell ref="DCE3:DCG3"/>
    <mergeCell ref="DCE4:DCG4"/>
    <mergeCell ref="BYE3:BYG3"/>
    <mergeCell ref="BYE4:BYG4"/>
    <mergeCell ref="BYB17:BYF17"/>
    <mergeCell ref="BYB16:BYF16"/>
    <mergeCell ref="BCB25:BCH25"/>
    <mergeCell ref="BCB26:BCH26"/>
    <mergeCell ref="BCB27:BCH27"/>
    <mergeCell ref="BCG11:BCH11"/>
    <mergeCell ref="BCG13:BCH13"/>
    <mergeCell ref="BXA3:BXB3"/>
    <mergeCell ref="BWA3:BWB3"/>
    <mergeCell ref="BLA15:BLC15"/>
    <mergeCell ref="BJA3:BJB3"/>
    <mergeCell ref="BFE5:BFI5"/>
    <mergeCell ref="BFE7:BFI7"/>
    <mergeCell ref="BFE8:BFI8"/>
    <mergeCell ref="BFE9:BFI9"/>
    <mergeCell ref="BFE10:BFI10"/>
    <mergeCell ref="BFE12:BFI12"/>
    <mergeCell ref="BJE3:BJI3"/>
    <mergeCell ref="BJE4:BJI4"/>
    <mergeCell ref="BKC5:BKC9"/>
    <mergeCell ref="AVE18:AVF18"/>
    <mergeCell ref="AVE16:AVF16"/>
    <mergeCell ref="AVA15:AVB15"/>
    <mergeCell ref="BAE16:BAF16"/>
    <mergeCell ref="BAE12:BAF12"/>
    <mergeCell ref="ATE10:ATH10"/>
    <mergeCell ref="BAC5:BAC11"/>
    <mergeCell ref="BAE13:BAF13"/>
    <mergeCell ref="BAE14:BAF14"/>
    <mergeCell ref="AYC5:AYC8"/>
    <mergeCell ref="AUE9:AUF9"/>
    <mergeCell ref="AVE13:AVF13"/>
    <mergeCell ref="BLA3:BLB3"/>
    <mergeCell ref="BLC5:BLC8"/>
    <mergeCell ref="ATF28:ATG28"/>
    <mergeCell ref="ATE5:ATH5"/>
    <mergeCell ref="ATE6:ATH6"/>
    <mergeCell ref="ATE17:ATH17"/>
    <mergeCell ref="ATE18:ATH18"/>
    <mergeCell ref="ATE19:ATH19"/>
    <mergeCell ref="ATE20:ATH20"/>
    <mergeCell ref="ATB26:ATE26"/>
    <mergeCell ref="ATE21:ATH21"/>
    <mergeCell ref="ATA17:ATB17"/>
    <mergeCell ref="ATA11:ATB11"/>
    <mergeCell ref="ATE7:ATH7"/>
    <mergeCell ref="ATB25:ATG25"/>
    <mergeCell ref="ATB24:ATG24"/>
    <mergeCell ref="ATE12:ATH16"/>
    <mergeCell ref="ATC5:ATC7"/>
    <mergeCell ref="BCB24:BCH24"/>
    <mergeCell ref="BCG19:BCH19"/>
    <mergeCell ref="BCG20:BCH20"/>
    <mergeCell ref="BCG16:BCH16"/>
    <mergeCell ref="BKE4:BKI4"/>
    <mergeCell ref="BKE7:BKI7"/>
    <mergeCell ref="BDF20:BDK20"/>
    <mergeCell ref="BAE21:BAF21"/>
    <mergeCell ref="BDF21:BDK21"/>
    <mergeCell ref="BBB21:BBE21"/>
    <mergeCell ref="BBB18:BBE18"/>
    <mergeCell ref="BBB20:BBE20"/>
    <mergeCell ref="BBE10:BBF10"/>
    <mergeCell ref="BBE11:BBF11"/>
    <mergeCell ref="BFA19:BFJ19"/>
    <mergeCell ref="BCG17:BCH17"/>
    <mergeCell ref="BCG18:BCH18"/>
    <mergeCell ref="BEA15:BEF15"/>
    <mergeCell ref="BFE13:BFI13"/>
    <mergeCell ref="BCG15:BCH15"/>
    <mergeCell ref="BAE17:BAF17"/>
    <mergeCell ref="BAE18:BAF18"/>
    <mergeCell ref="BAE19:BAF19"/>
    <mergeCell ref="BAE20:BAF20"/>
    <mergeCell ref="BDJ15:BDK15"/>
    <mergeCell ref="AHB16:AHC16"/>
    <mergeCell ref="AHB14:AHC14"/>
    <mergeCell ref="AHD14:AHE14"/>
    <mergeCell ref="ALB12:ALC12"/>
    <mergeCell ref="AMB12:AMC12"/>
    <mergeCell ref="AAF8:AAG8"/>
    <mergeCell ref="ADE16:ADF16"/>
    <mergeCell ref="ADE15:ADF15"/>
    <mergeCell ref="AUA16:AUD16"/>
    <mergeCell ref="AVA10:AVB10"/>
    <mergeCell ref="AQE11:AQG11"/>
    <mergeCell ref="ARA12:ARB12"/>
    <mergeCell ref="ARE12:ARF12"/>
    <mergeCell ref="ARA13:ARB13"/>
    <mergeCell ref="ARE13:ARF13"/>
    <mergeCell ref="ARE14:ARF14"/>
    <mergeCell ref="ARA16:ARE16"/>
    <mergeCell ref="BRC5:BRC14"/>
    <mergeCell ref="BFE11:BFI11"/>
    <mergeCell ref="BOA12:BOC12"/>
    <mergeCell ref="BBE13:BBF13"/>
    <mergeCell ref="BBE14:BBF14"/>
    <mergeCell ref="BCD5:BCE9"/>
    <mergeCell ref="BCG5:BCH5"/>
    <mergeCell ref="BCG6:BCH6"/>
    <mergeCell ref="BCG7:BCH7"/>
    <mergeCell ref="BCG8:BCH8"/>
    <mergeCell ref="BCG9:BCH9"/>
    <mergeCell ref="BGE5:BGI5"/>
    <mergeCell ref="BGE7:BGI7"/>
    <mergeCell ref="BGE8:BGI8"/>
    <mergeCell ref="BGE9:BGI9"/>
    <mergeCell ref="BGE6:BGI6"/>
    <mergeCell ref="BDJ13:BDK13"/>
    <mergeCell ref="BDJ14:BDK14"/>
    <mergeCell ref="BKE9:BKI9"/>
    <mergeCell ref="BJE5:BJI5"/>
    <mergeCell ref="BJE6:BJI6"/>
    <mergeCell ref="BJE7:BJI7"/>
    <mergeCell ref="BJE8:BJI8"/>
    <mergeCell ref="BJE9:BJI9"/>
    <mergeCell ref="FB18:FF18"/>
    <mergeCell ref="FB11:FC11"/>
    <mergeCell ref="FB15:FF15"/>
    <mergeCell ref="FE14:FF14"/>
    <mergeCell ref="GE10:GF10"/>
    <mergeCell ref="GB12:GF12"/>
    <mergeCell ref="GA15:GD15"/>
    <mergeCell ref="GB13:GF13"/>
    <mergeCell ref="FB10:FC10"/>
    <mergeCell ref="FB13:FC13"/>
    <mergeCell ref="FB16:FF16"/>
    <mergeCell ref="FB17:FF17"/>
    <mergeCell ref="ADB3:ADC3"/>
    <mergeCell ref="ACB3:ACC3"/>
    <mergeCell ref="AKB5:AKC5"/>
    <mergeCell ref="AKD5:AKD8"/>
    <mergeCell ref="AKB3:AKC3"/>
    <mergeCell ref="ADD5:ADD8"/>
    <mergeCell ref="AHD13:AHE13"/>
    <mergeCell ref="AHB3:AHC3"/>
    <mergeCell ref="AHB12:AHE12"/>
    <mergeCell ref="AHB13:AHC13"/>
    <mergeCell ref="AIB3:AIC3"/>
    <mergeCell ref="AJB12:AJC12"/>
    <mergeCell ref="AFB3:AFC3"/>
    <mergeCell ref="AEB3:AEC3"/>
    <mergeCell ref="ADC9:ADD9"/>
    <mergeCell ref="ACB12:ACC12"/>
    <mergeCell ref="ACB5:ACC5"/>
    <mergeCell ref="ACD5:ACD7"/>
    <mergeCell ref="ADB5:ADC5"/>
    <mergeCell ref="ABD5:ABD7"/>
    <mergeCell ref="ZB1:ZC1"/>
    <mergeCell ref="AAB1:AAC1"/>
    <mergeCell ref="ZB5:ZC5"/>
    <mergeCell ref="ZF3:ZG3"/>
    <mergeCell ref="ZD5:ZD7"/>
    <mergeCell ref="ZF4:ZG4"/>
    <mergeCell ref="ZF6:ZG6"/>
    <mergeCell ref="ZF7:ZG7"/>
    <mergeCell ref="ZB3:ZC3"/>
    <mergeCell ref="AAB3:AAC3"/>
    <mergeCell ref="AFB12:AFC12"/>
    <mergeCell ref="AGB12:AGC12"/>
    <mergeCell ref="ADB13:ADF13"/>
    <mergeCell ref="AQA5:AQB5"/>
    <mergeCell ref="ATA7:ATB7"/>
    <mergeCell ref="AVE4:AVF4"/>
    <mergeCell ref="AVE7:AVF7"/>
    <mergeCell ref="AQC6:AQC14"/>
    <mergeCell ref="AQE13:AQG13"/>
    <mergeCell ref="AEB5:AEC5"/>
    <mergeCell ref="AED5:AED9"/>
    <mergeCell ref="AFD5:AFD8"/>
    <mergeCell ref="AIB5:AIC5"/>
    <mergeCell ref="AQE8:AQG8"/>
    <mergeCell ref="AVE12:AVF12"/>
    <mergeCell ref="ANB5:ANC5"/>
    <mergeCell ref="AND5:AND8"/>
    <mergeCell ref="ADE14:ADF14"/>
    <mergeCell ref="AEB14:AEF14"/>
    <mergeCell ref="AMD5:AMD8"/>
    <mergeCell ref="AVA3:AVB3"/>
    <mergeCell ref="AVE6:AVF6"/>
    <mergeCell ref="AUE6:AUH6"/>
    <mergeCell ref="AUE7:AUH7"/>
    <mergeCell ref="AUE5:AUF5"/>
    <mergeCell ref="AUE8:AUF8"/>
    <mergeCell ref="AVE5:AVF5"/>
    <mergeCell ref="ATE3:ATH3"/>
    <mergeCell ref="ATE4:ATH4"/>
    <mergeCell ref="AVC6:AVC8"/>
    <mergeCell ref="AVE3:AVF3"/>
    <mergeCell ref="AVE8:AVF8"/>
    <mergeCell ref="AVE10:AVF10"/>
    <mergeCell ref="AXA3:AXB3"/>
    <mergeCell ref="AZC5:AZC7"/>
    <mergeCell ref="BAE6:BAF6"/>
    <mergeCell ref="BDJ12:BDK12"/>
    <mergeCell ref="BDJ9:BDK9"/>
    <mergeCell ref="BDJ11:BDK11"/>
    <mergeCell ref="BDE10:BDH10"/>
    <mergeCell ref="BDG5:BDG8"/>
    <mergeCell ref="BBE12:BBF12"/>
    <mergeCell ref="BBE9:BBF9"/>
    <mergeCell ref="BBE5:BBF5"/>
    <mergeCell ref="AQE6:AQG6"/>
    <mergeCell ref="AQE7:AQG7"/>
    <mergeCell ref="BEE4:BEF4"/>
    <mergeCell ref="BEE3:BEF3"/>
    <mergeCell ref="AUC5:AUC9"/>
    <mergeCell ref="ATE8:ATH8"/>
    <mergeCell ref="ATE9:ATH9"/>
    <mergeCell ref="AVC11:AVC14"/>
    <mergeCell ref="AVE14:AVF14"/>
    <mergeCell ref="AZA12:AZC12"/>
    <mergeCell ref="AYA3:AYB3"/>
    <mergeCell ref="BAE3:BAF3"/>
    <mergeCell ref="BDJ4:BDK4"/>
    <mergeCell ref="BCG3:BCH3"/>
    <mergeCell ref="BCG4:BCH4"/>
    <mergeCell ref="BEC5:BEC8"/>
    <mergeCell ref="BCA3:BCB3"/>
    <mergeCell ref="AVC9:AVC10"/>
    <mergeCell ref="AVE9:AVF9"/>
    <mergeCell ref="BBE6:BBF6"/>
    <mergeCell ref="BBC5:BBC8"/>
    <mergeCell ref="BBE7:BBF7"/>
    <mergeCell ref="BBE8:BBF8"/>
    <mergeCell ref="BDJ5:BDK5"/>
    <mergeCell ref="BDJ6:BDK6"/>
    <mergeCell ref="AVE11:AVF11"/>
    <mergeCell ref="AFB5:AFC5"/>
    <mergeCell ref="ALB5:ALC5"/>
    <mergeCell ref="ALD5:ALD8"/>
    <mergeCell ref="AJB3:AJC3"/>
    <mergeCell ref="AJB5:AJC5"/>
    <mergeCell ref="AJD5:AJD8"/>
    <mergeCell ref="AGB5:AGC5"/>
    <mergeCell ref="AGD5:AGD8"/>
    <mergeCell ref="AGB3:AGC3"/>
    <mergeCell ref="AID5:AID8"/>
    <mergeCell ref="AHB5:AHC5"/>
    <mergeCell ref="AHD5:AHD8"/>
    <mergeCell ref="CA1:CB1"/>
    <mergeCell ref="BC4:BC7"/>
    <mergeCell ref="XA3:XB3"/>
    <mergeCell ref="FE9:FF9"/>
    <mergeCell ref="FE11:FF11"/>
    <mergeCell ref="FE12:FF12"/>
    <mergeCell ref="FE13:FF13"/>
    <mergeCell ref="EB9:ED9"/>
    <mergeCell ref="FE10:FF10"/>
    <mergeCell ref="FB12:FC12"/>
    <mergeCell ref="FB9:FC9"/>
    <mergeCell ref="BA11:BC11"/>
    <mergeCell ref="DB10:DE10"/>
    <mergeCell ref="DA13:DB13"/>
    <mergeCell ref="DA3:DB3"/>
    <mergeCell ref="DA1:DB1"/>
    <mergeCell ref="HA3:HB3"/>
    <mergeCell ref="FE5:FF7"/>
    <mergeCell ref="EC5:EC7"/>
    <mergeCell ref="BA3:BB3"/>
    <mergeCell ref="EA3:EB3"/>
    <mergeCell ref="HE3:HF3"/>
    <mergeCell ref="FE3:FF3"/>
    <mergeCell ref="GE3:GF3"/>
    <mergeCell ref="AA15:AB15"/>
    <mergeCell ref="CA13:CC13"/>
    <mergeCell ref="CC5:CC8"/>
    <mergeCell ref="UC5:UC10"/>
    <mergeCell ref="UE5:UH5"/>
    <mergeCell ref="UE6:UH6"/>
    <mergeCell ref="UE7:UH7"/>
    <mergeCell ref="UE8:UH8"/>
    <mergeCell ref="UE9:UH9"/>
    <mergeCell ref="UE10:UH10"/>
    <mergeCell ref="UE11:UH11"/>
    <mergeCell ref="UA15:UG15"/>
    <mergeCell ref="ME5:ME7"/>
    <mergeCell ref="MB9:ME9"/>
    <mergeCell ref="LA11:LB11"/>
    <mergeCell ref="MA11:MB11"/>
    <mergeCell ref="RA10:RB10"/>
    <mergeCell ref="DA12:DB12"/>
    <mergeCell ref="EA11:EC11"/>
    <mergeCell ref="HE9:HF9"/>
    <mergeCell ref="QA5:QB5"/>
    <mergeCell ref="HD15:HF15"/>
    <mergeCell ref="FA5:FC5"/>
    <mergeCell ref="AMB5:AMC5"/>
    <mergeCell ref="AAF4:AAG4"/>
    <mergeCell ref="BCA1:BCB1"/>
    <mergeCell ref="AZE3:AZF3"/>
    <mergeCell ref="AZE4:AZF4"/>
    <mergeCell ref="AXG3:AXH3"/>
    <mergeCell ref="AXG4:AXH4"/>
    <mergeCell ref="BAE4:BAF4"/>
    <mergeCell ref="BAE5:BAF5"/>
    <mergeCell ref="AFB1:AFC1"/>
    <mergeCell ref="AGB1:AGC1"/>
    <mergeCell ref="AHB1:AHC1"/>
    <mergeCell ref="AJB1:AJC1"/>
    <mergeCell ref="AQA1:AQB1"/>
    <mergeCell ref="AMB3:AMC3"/>
    <mergeCell ref="AYA1:AYB1"/>
    <mergeCell ref="ABB5:ABC5"/>
    <mergeCell ref="ABB3:ABC3"/>
    <mergeCell ref="AUA3:AUB3"/>
    <mergeCell ref="ATA3:ATB3"/>
    <mergeCell ref="ANB3:ANC3"/>
    <mergeCell ref="ALB3:ALC3"/>
    <mergeCell ref="SA18:SH18"/>
    <mergeCell ref="SB13:SC13"/>
    <mergeCell ref="AAB5:AAC5"/>
    <mergeCell ref="AAD5:AAD7"/>
    <mergeCell ref="AAF6:AAG6"/>
    <mergeCell ref="SE5:SG7"/>
    <mergeCell ref="A1:B1"/>
    <mergeCell ref="AQA3:AQB3"/>
    <mergeCell ref="AA6:AB6"/>
    <mergeCell ref="AC5:AC8"/>
    <mergeCell ref="MA5:MB5"/>
    <mergeCell ref="CA3:CB3"/>
    <mergeCell ref="CA5:CB5"/>
    <mergeCell ref="DA5:DB5"/>
    <mergeCell ref="LA5:LB5"/>
    <mergeCell ref="DC5:DC7"/>
    <mergeCell ref="FA8:FC8"/>
    <mergeCell ref="RA3:RB3"/>
    <mergeCell ref="NA5:NB5"/>
    <mergeCell ref="RA5:RB5"/>
    <mergeCell ref="OA5:OB5"/>
    <mergeCell ref="NE5:NE7"/>
    <mergeCell ref="OE5:OE7"/>
    <mergeCell ref="PE5:PE9"/>
    <mergeCell ref="ABB11:ABC11"/>
    <mergeCell ref="XC5:XC8"/>
    <mergeCell ref="TB16:TC16"/>
    <mergeCell ref="VA12:VC12"/>
    <mergeCell ref="OA12:OB12"/>
    <mergeCell ref="KB9:KE9"/>
    <mergeCell ref="TC5:TE5"/>
    <mergeCell ref="AAF7:AAG7"/>
    <mergeCell ref="RA8:RB8"/>
    <mergeCell ref="AAB13:AAD13"/>
    <mergeCell ref="ZF8:ZG8"/>
    <mergeCell ref="ZB13:ZD13"/>
    <mergeCell ref="VA5:VB5"/>
    <mergeCell ref="WC5:WC7"/>
    <mergeCell ref="RA22:RG22"/>
    <mergeCell ref="GA20:GE20"/>
    <mergeCell ref="GA21:GE21"/>
    <mergeCell ref="HB12:HE12"/>
    <mergeCell ref="QA11:QB11"/>
    <mergeCell ref="NA11:NB11"/>
    <mergeCell ref="KA11:KB11"/>
    <mergeCell ref="HB11:HE11"/>
    <mergeCell ref="RB14:RC14"/>
    <mergeCell ref="HD21:HF21"/>
    <mergeCell ref="RB21:RE21"/>
    <mergeCell ref="RB17:RE17"/>
    <mergeCell ref="RB18:RE18"/>
    <mergeCell ref="RB19:RE19"/>
    <mergeCell ref="PA14:PE14"/>
    <mergeCell ref="HD18:HF18"/>
    <mergeCell ref="HD19:HF19"/>
    <mergeCell ref="HD20:HF20"/>
    <mergeCell ref="HD14:HF14"/>
    <mergeCell ref="HA13:HF13"/>
    <mergeCell ref="RB20:RE20"/>
    <mergeCell ref="HD17:HF17"/>
    <mergeCell ref="VC5:VC7"/>
    <mergeCell ref="VB8:VC8"/>
    <mergeCell ref="GE6:GF6"/>
    <mergeCell ref="XA1:XB1"/>
    <mergeCell ref="KE5:KE7"/>
    <mergeCell ref="WA3:WB3"/>
    <mergeCell ref="VA3:VB3"/>
    <mergeCell ref="RA1:RB1"/>
    <mergeCell ref="RE5:RE8"/>
    <mergeCell ref="UA1:UB1"/>
    <mergeCell ref="UA3:UB3"/>
    <mergeCell ref="WA1:WB1"/>
    <mergeCell ref="WB8:WC8"/>
    <mergeCell ref="WA5:WB5"/>
    <mergeCell ref="HC6:HC9"/>
    <mergeCell ref="SE8:SG8"/>
    <mergeCell ref="KA5:KB5"/>
    <mergeCell ref="HD16:HF16"/>
    <mergeCell ref="XA13:XE13"/>
    <mergeCell ref="SA5:SB5"/>
    <mergeCell ref="WA12:WC12"/>
    <mergeCell ref="UB11:UC11"/>
    <mergeCell ref="UE3:UH3"/>
    <mergeCell ref="GA3:GB3"/>
    <mergeCell ref="LC5:LC7"/>
    <mergeCell ref="QE5:QE7"/>
    <mergeCell ref="FB6:FC6"/>
    <mergeCell ref="FB7:FC7"/>
    <mergeCell ref="FA3:FB3"/>
    <mergeCell ref="PA1:PB1"/>
    <mergeCell ref="PA3:PB3"/>
    <mergeCell ref="HA5:HC5"/>
    <mergeCell ref="HE6:HF6"/>
    <mergeCell ref="HE7:HF7"/>
    <mergeCell ref="GE4:GF4"/>
    <mergeCell ref="FE4:FF4"/>
    <mergeCell ref="PA5:PB5"/>
    <mergeCell ref="BRA1:BRB1"/>
    <mergeCell ref="BOA3:BOB3"/>
    <mergeCell ref="BOA5:BOB5"/>
    <mergeCell ref="BPA3:BPB3"/>
    <mergeCell ref="BPA5:BPB5"/>
    <mergeCell ref="BQA3:BQB3"/>
    <mergeCell ref="BQA5:BQB5"/>
    <mergeCell ref="BRA3:BRB3"/>
    <mergeCell ref="BRA5:BRB5"/>
    <mergeCell ref="BQC5:BQC10"/>
    <mergeCell ref="BQA1:BQB1"/>
    <mergeCell ref="BOC5:BOC8"/>
    <mergeCell ref="BPA10:BPB10"/>
    <mergeCell ref="BNA1:BNB1"/>
    <mergeCell ref="BNE5:BNK5"/>
    <mergeCell ref="BNA3:BNB3"/>
    <mergeCell ref="BNE3:BNF3"/>
    <mergeCell ref="BNE4:BNF4"/>
    <mergeCell ref="BNA5:BNB5"/>
    <mergeCell ref="BLA5:BLB5"/>
    <mergeCell ref="BNC5:BNC13"/>
    <mergeCell ref="AXA1:AXB1"/>
    <mergeCell ref="BGC9:BGC14"/>
    <mergeCell ref="BGE10:BGI10"/>
    <mergeCell ref="BGC5:BGC7"/>
    <mergeCell ref="BCG10:BCH10"/>
    <mergeCell ref="BCG12:BCH12"/>
    <mergeCell ref="BFE4:BFI4"/>
    <mergeCell ref="BDJ7:BDK7"/>
    <mergeCell ref="BDJ8:BDK8"/>
    <mergeCell ref="BCA14:BCD14"/>
    <mergeCell ref="BGE3:BGI3"/>
    <mergeCell ref="BGE4:BGI4"/>
    <mergeCell ref="BHA3:BHB3"/>
    <mergeCell ref="BMA3:BMB3"/>
    <mergeCell ref="BME3:BMF3"/>
    <mergeCell ref="BME4:BMF4"/>
    <mergeCell ref="BPZ15:BPZ16"/>
    <mergeCell ref="BAB24:BAE24"/>
    <mergeCell ref="BAB23:BAE23"/>
    <mergeCell ref="BMA1:BMB1"/>
    <mergeCell ref="BLA1:BLB1"/>
    <mergeCell ref="BKA3:BKB3"/>
    <mergeCell ref="BKE3:BKI3"/>
    <mergeCell ref="BPB13:BPE13"/>
    <mergeCell ref="BPB14:BPE14"/>
    <mergeCell ref="BOA1:BOB1"/>
    <mergeCell ref="BPA1:BPB1"/>
    <mergeCell ref="BAA1:BAB1"/>
    <mergeCell ref="BAA3:BAB3"/>
    <mergeCell ref="BBA3:BBB3"/>
    <mergeCell ref="BBA1:BBB1"/>
    <mergeCell ref="BAE7:BAF7"/>
    <mergeCell ref="BAE8:BAF8"/>
    <mergeCell ref="BAE9:BAF9"/>
    <mergeCell ref="BAE10:BAF10"/>
    <mergeCell ref="BAE11:BAF11"/>
    <mergeCell ref="BIA1:BIB1"/>
    <mergeCell ref="BIA3:BIB3"/>
    <mergeCell ref="BFE3:BFI3"/>
    <mergeCell ref="BDJ3:BDK3"/>
    <mergeCell ref="BPB16:BPE16"/>
    <mergeCell ref="BKE5:BKI5"/>
    <mergeCell ref="BKE6:BKI6"/>
    <mergeCell ref="BPA18:BPE18"/>
    <mergeCell ref="BNA14:BNC14"/>
    <mergeCell ref="AXB8:AXC8"/>
    <mergeCell ref="AXE4:AXE9"/>
    <mergeCell ref="AXB5:AXC5"/>
    <mergeCell ref="AXB6:AXC6"/>
    <mergeCell ref="AXB7:AXC7"/>
    <mergeCell ref="AXB16:AXD16"/>
    <mergeCell ref="AXE10:AXE16"/>
    <mergeCell ref="AXD4:AXD5"/>
    <mergeCell ref="BIC5:BIC7"/>
    <mergeCell ref="BBE15:BBF15"/>
    <mergeCell ref="BAE15:BAF15"/>
    <mergeCell ref="BDJ16:BDK16"/>
    <mergeCell ref="BEB13:BEF13"/>
    <mergeCell ref="BEE5:BEF5"/>
    <mergeCell ref="BEE6:BEF6"/>
    <mergeCell ref="BEE7:BEF7"/>
    <mergeCell ref="BEE8:BEF8"/>
    <mergeCell ref="BEE9:BEF9"/>
    <mergeCell ref="BEE10:BEF10"/>
    <mergeCell ref="AHD21:AHE21"/>
    <mergeCell ref="AHD17:AHE17"/>
    <mergeCell ref="AHD18:AHE18"/>
    <mergeCell ref="AHD19:AHE19"/>
    <mergeCell ref="AHD20:AHE20"/>
    <mergeCell ref="ADE18:ADF18"/>
    <mergeCell ref="BRA26:BRD26"/>
    <mergeCell ref="AXA21:AXG21"/>
    <mergeCell ref="BQA18:BQC18"/>
    <mergeCell ref="ADE19:ADF19"/>
    <mergeCell ref="AHB17:AHC17"/>
    <mergeCell ref="AHB18:AHC18"/>
    <mergeCell ref="AHB19:AHC19"/>
    <mergeCell ref="AHB21:AHC21"/>
    <mergeCell ref="AHB20:AHC20"/>
    <mergeCell ref="BNA23:BND23"/>
    <mergeCell ref="BNB19:BNC19"/>
    <mergeCell ref="AVA22:AVE22"/>
    <mergeCell ref="AVB20:AVE20"/>
    <mergeCell ref="AVA17:AVB17"/>
    <mergeCell ref="ADE17:ADF17"/>
    <mergeCell ref="ADE20:ADF20"/>
    <mergeCell ref="ADE21:ADF21"/>
    <mergeCell ref="BAB25:BAC25"/>
    <mergeCell ref="AQE9:AQG9"/>
    <mergeCell ref="AHD16:AHE16"/>
    <mergeCell ref="AHB15:AHC15"/>
    <mergeCell ref="AHD15:AHE15"/>
    <mergeCell ref="AQE10:AQG10"/>
    <mergeCell ref="AIB12:AIC12"/>
    <mergeCell ref="AQA18:AQB18"/>
    <mergeCell ref="AQE12:AQG12"/>
    <mergeCell ref="AQE14:AQG14"/>
    <mergeCell ref="ADE22:ADF22"/>
    <mergeCell ref="BXC5:BXC7"/>
    <mergeCell ref="AUB14:AUE14"/>
    <mergeCell ref="AUB11:AUE11"/>
    <mergeCell ref="AUB12:AUE12"/>
    <mergeCell ref="AUB13:AUE13"/>
    <mergeCell ref="BWA10:BWI10"/>
    <mergeCell ref="BJE10:BJI10"/>
    <mergeCell ref="BPB15:BPE15"/>
    <mergeCell ref="BPA8:BPB8"/>
    <mergeCell ref="BPC5:BPC11"/>
    <mergeCell ref="BJC5:BJC10"/>
    <mergeCell ref="AQE15:AQG15"/>
    <mergeCell ref="AKB12:AKC12"/>
    <mergeCell ref="ANB12:ANC12"/>
    <mergeCell ref="AEC10:AED10"/>
  </mergeCells>
  <phoneticPr fontId="8" type="noConversion"/>
  <conditionalFormatting sqref="D4:D76">
    <cfRule type="duplicateValues" dxfId="12" priority="1"/>
  </conditionalFormatting>
  <hyperlinks>
    <hyperlink ref="EE1" location="$C$58" display="$C$58" xr:uid="{9786A286-C2B1-47FB-B39F-89103D84B505}"/>
    <hyperlink ref="KE1" location="$C$54" display="$C$54" xr:uid="{B420716E-AFD4-4CB7-B06D-37C32E9E3B1B}"/>
    <hyperlink ref="DE1" location="$C$14" display="$C$14" xr:uid="{6A5C496B-136A-456B-BF9D-828C1F5374A1}"/>
    <hyperlink ref="FE1" location="$C$6" display="$C$6" xr:uid="{8E91CA13-C636-43DE-8025-A86B44EED042}"/>
    <hyperlink ref="AEF1" location="$C$22" display="$C$22" xr:uid="{476C1908-0E0E-4E6E-BA98-54640B6AAF44}"/>
    <hyperlink ref="AYE1" location="$C$32" display="$C$32" xr:uid="{0D872204-F5FA-4FB1-BBFA-2B28059F4358}"/>
    <hyperlink ref="AE1" location="$C$19" display="$C$19" xr:uid="{20E7615D-9685-4C0C-88BD-E9A98C3E5404}"/>
    <hyperlink ref="BE1" location="$C$57" display="$C$57" xr:uid="{ECECBDBD-F01F-445A-A3B4-DCAF1DF6ADD6}"/>
    <hyperlink ref="CE1" location="$C$12" display="$C$12" xr:uid="{08B14C37-E378-4F7F-B756-01AC629CC4D6}"/>
    <hyperlink ref="LE1" location="$C$27" display="$C$27" xr:uid="{702635CF-10F5-4AED-9458-AB5B2F5B77F2}"/>
    <hyperlink ref="ME1" location="$C$40" display="$C$40" xr:uid="{607BDBC7-F88D-4B67-8EBD-EC3F6ED7F5B9}"/>
    <hyperlink ref="NE1" location="$C$52" display="$C$52" xr:uid="{455E40E6-68CD-4177-A5A9-AECD274BB6C7}"/>
    <hyperlink ref="OE1" location="$C$39" display="$C$39" xr:uid="{54E8F831-47FF-443A-B5BD-F119C321F6F7}"/>
    <hyperlink ref="PE1" location="$C$53" display="$C$53" xr:uid="{35DFDD6B-54FA-4B13-9B1C-12B50B639049}"/>
    <hyperlink ref="RE1" location="$C$23" display="$C$23" xr:uid="{E62E941D-22D5-4218-ACCB-30A0AB7C4A83}"/>
    <hyperlink ref="SE1" location="$C$28" display="$C$28" xr:uid="{1D0293ED-57FC-46B9-B51E-59D5DF364D19}"/>
    <hyperlink ref="TG1" location="D56" display="D56" xr:uid="{1CE63681-50AA-4934-ABFC-22FB1C26F54C}"/>
    <hyperlink ref="UH1" location="D29" display="D29" xr:uid="{5C1B661D-A24E-48B6-B09E-73C49DF5C0F4}"/>
    <hyperlink ref="VE1" location="$C$20" display="$C$20" xr:uid="{AAFBA378-1880-42B7-A689-CC2126B54CBF}"/>
    <hyperlink ref="WE1" location="$C$61" display="$C$61" xr:uid="{17D563E2-8245-4052-AE1F-A81A5389F4D5}"/>
    <hyperlink ref="XE1" location="$C$62" display="$C$62" xr:uid="{BACAFB3E-457E-4C7B-88DD-3C94E7FDFE29}"/>
    <hyperlink ref="YE1" location="$C$60" display="$C$60" xr:uid="{0A39BDAD-0CFA-476F-BBC3-E03F0AB6AE26}"/>
    <hyperlink ref="ABF1" location="$C$63" display="$C$63" xr:uid="{9AD13832-2360-4FAF-BDB4-9A9456911618}"/>
    <hyperlink ref="ACF1" location="$C$25" display="$C$25" xr:uid="{AD183572-0F89-44CD-9831-0F67722317E9}"/>
    <hyperlink ref="ADF1" location="$C$21" display="$C$21" xr:uid="{5954B11E-DEE6-4546-991F-A520CEE6D6CE}"/>
    <hyperlink ref="AFF1" location="$C$41" display="$C$41" xr:uid="{911813C7-DF91-4AC2-85CF-79078EFAA5F2}"/>
    <hyperlink ref="AGF1" location="$C$42" display="$C$42" xr:uid="{92FEF87C-719F-4E83-862D-5855DC461118}"/>
    <hyperlink ref="AHF1" location="$C$48" display="$C$48" xr:uid="{6F670CE3-D598-471D-A748-EB7C5C1A9FF4}"/>
    <hyperlink ref="AIF1" location="$C$50" display="$C$50" xr:uid="{57BB1020-6561-4A7F-9174-4F1B2C0BD8A4}"/>
    <hyperlink ref="AJF1" location="$C$49" display="$C$49" xr:uid="{0CA0D6A8-585E-49DC-9D97-99A59D1C9653}"/>
    <hyperlink ref="AKF1" location="$C$43" display="$C$43" xr:uid="{110F6B19-17E6-4ABC-9531-B94A27BECAD9}"/>
    <hyperlink ref="AMF1" location="$C$47" display="$C$47" xr:uid="{7A3316A8-C329-432D-BB6A-448B84E9D263}"/>
    <hyperlink ref="ALF1" location="$C$45" display="$C$45" xr:uid="{1CFC7FBC-DD80-47F8-B159-ECD61A28A68D}"/>
    <hyperlink ref="ANF1" location="$C$51" display="$C$51" xr:uid="{61E47D5C-B7BD-4738-89C0-D0534C8C88B5}"/>
    <hyperlink ref="AQE1" location="$C$9" display="$C$9" xr:uid="{5E8AECA9-CE98-4C53-B648-51772006620A}"/>
    <hyperlink ref="ATE1" location="Master!C7" display="Contents" xr:uid="{F3B9DF08-D2F7-466A-8FAC-7B9830D92074}"/>
    <hyperlink ref="AUE1" location="Master!C19" display="Contents" xr:uid="{E1C7FB21-05C4-4680-9639-98F86A72DF98}"/>
    <hyperlink ref="AVE1" location="$C$4" display="$C$4" xr:uid="{3C9149C9-565E-45A3-A679-07A9DA42D4C3}"/>
    <hyperlink ref="BHE1" location="$C$17" display="$C$17" xr:uid="{4F48D827-2986-4C6E-B036-E98806D0DCF0}"/>
    <hyperlink ref="BIE1" location="$C$18" display="$C$18" xr:uid="{D84390CB-F151-49AE-8A6E-2B3E4AB7BA90}"/>
    <hyperlink ref="BAE1" location="Setting!C39" display="Contents" xr:uid="{FF23BD8B-FE28-4611-BAF1-5E0760D5BB9A}"/>
    <hyperlink ref="BBE1" location="$C$36" display="$C$36" xr:uid="{6FE05557-479A-4900-9674-3691A218F94D}"/>
    <hyperlink ref="BCG1" location="Setting!C35" display="Contents" xr:uid="{EF4B92AA-0288-4271-BEDC-60EB4BCD4F5E}"/>
    <hyperlink ref="BDJ1" location="Setting!C14" display="Contents" xr:uid="{71989A58-A96C-4CE1-BBAF-03DF08FEF5CD}"/>
    <hyperlink ref="BEE1" location="$C$37" display="$C$37" xr:uid="{42DF73EF-D52B-4EF0-A45D-80E43B29434E}"/>
    <hyperlink ref="BFE1" location="$C$34" display="$C$34" xr:uid="{1956FB5F-98E7-4537-A08F-372C003EBA0B}"/>
    <hyperlink ref="BJE1" location="$C$15" display="$C$15" xr:uid="{C1B85803-D529-4E7C-BA90-8291E826866D}"/>
    <hyperlink ref="GE1" location="Master!C8" display="Contents" xr:uid="{A8BE2D6F-B91E-4669-AC97-495AD7AB1EC7}"/>
    <hyperlink ref="HE1" location="$C$8" display="$C$8" xr:uid="{26AE1BDB-7D01-4B35-AEA4-B42CC6D43C9B}"/>
    <hyperlink ref="AZE1" location="$C$26" display="$C$26" xr:uid="{AF1E7502-C77B-4F11-A843-2EA84C88B167}"/>
    <hyperlink ref="BKE1" location="$C$16" display="$C$16" xr:uid="{8189FC7E-DD32-4B3C-93F4-385E23F79FA5}"/>
    <hyperlink ref="ZF1" location="$C$30" display="$C$30" xr:uid="{E8728702-272F-41EF-9259-088B89B9EC72}"/>
    <hyperlink ref="AAF1" location="$C$31" display="$C$31" xr:uid="{E6062046-6707-4984-9997-9096F581A59F}"/>
    <hyperlink ref="BLE1" location="$C$68" display="$C$68" xr:uid="{ABE073C9-5FCA-4E1D-B792-D63C2A142D4E}"/>
    <hyperlink ref="BME1" location="$C$69" display="$C$69" xr:uid="{D536B9F3-A149-47BD-90DC-5475BCC7B918}"/>
    <hyperlink ref="BNE1" location="$C$70" display="$C$70" xr:uid="{2C98B661-D9EB-4381-8D3C-CE6881BF992B}"/>
    <hyperlink ref="QE1" location="$C$59" display="$C$59" xr:uid="{9C5BB2BB-FF28-4419-9CA5-3DD19894D6CC}"/>
    <hyperlink ref="BOE1" location="$C$64" display="$C$64" xr:uid="{E85ED368-28EA-4431-B966-5500DDF7DBE6}"/>
    <hyperlink ref="BPE1" location="$C$65" display="$C$65" xr:uid="{D4FC3DF4-5CD9-4F6F-877D-DCDCF4E95F33}"/>
    <hyperlink ref="BQE1" location="$C$67" display="$C$67" xr:uid="{55C55464-F367-42E8-BCCE-BE26FA583724}"/>
    <hyperlink ref="BRE1" location="$C$66" display="$C$66" xr:uid="{0AF929C3-03EB-4CAC-844D-83CEBC1A54AE}"/>
    <hyperlink ref="AXG1" location="D11" display="D11" xr:uid="{DB8A88B2-30E0-486B-8D5E-C9DCA83183DE}"/>
    <hyperlink ref="AXE1" location="$C$11" display="$C$11" xr:uid="{B69B3AB2-D759-4408-9357-13E9B3E22FCF}"/>
    <hyperlink ref="UE1" location="$C$29" display="$C$29" xr:uid="{3C2893ED-C3E1-4EED-B9BD-56AC471699F3}"/>
    <hyperlink ref="TE1" location="$C$56" display="$C$56" xr:uid="{5B7D53DC-C91D-42D3-9C59-5A117411CDCA}"/>
    <hyperlink ref="DBE1" location="Setting!C73" display="Contents" xr:uid="{E6EE81EE-E3A6-4E62-9428-F25304487271}"/>
    <hyperlink ref="BWE1" location="Setting!C71" display="Contents" xr:uid="{35B0308E-BEAB-4961-B45C-DD88E2DF03AE}"/>
    <hyperlink ref="BXE1" location="Setting!C55" display="Contents" xr:uid="{BFD25E11-8981-4964-80B2-275D388F5326}"/>
    <hyperlink ref="BYE1" location="Setting!C72" display="Contents" xr:uid="{7598B5E4-1A14-4593-81EF-91FD9E7B16AB}"/>
    <hyperlink ref="BAC19" location="Setting!BFE1" display="Display UI" xr:uid="{A2283E54-B116-4BC7-8C30-78482C8ACBD8}"/>
    <hyperlink ref="BGE1" location="Setting!C36" display="Contents" xr:uid="{A8273210-23AE-4C5B-B2BD-721E73E12E16}"/>
    <hyperlink ref="DCE1" location="Master!C4" display="Contents" xr:uid="{D3F6AF7C-A95F-4988-8588-E8476AF5DF77}"/>
    <hyperlink ref="DDE1" location="Master!C48" display="Contents" xr:uid="{FEC80AAA-921F-4B79-AB2B-2A63BFEF1B6C}"/>
    <hyperlink ref="DDF16" location="Table_Sample!BA1" display="Display" xr:uid="{788C8AD5-ADE2-4DB7-A13C-B6446A150279}"/>
    <hyperlink ref="ARD1" location="Master!C39" display="Contents" xr:uid="{E33690AF-F579-45A7-8F84-533D2899A1B9}"/>
    <hyperlink ref="ARF18" location="Table_Sample!BA1" display="TF-002" xr:uid="{AEBBD446-BF07-4E5F-83CF-29D4F5467CE0}"/>
    <hyperlink ref="ARB30" location="Table_Sample!DA1" display="TF-003" xr:uid="{D2B4F10E-E393-493A-B448-1E7CC97E7086}"/>
    <hyperlink ref="F3" location="Purchase_Doc!M2" display="Display" xr:uid="{490F2035-6F42-49D4-953B-245AF99350BC}"/>
    <hyperlink ref="F18" location="Master!DA1" display="Display" xr:uid="{2FB8F9FC-8EDF-40FD-9D95-8ED467C6007B}"/>
    <hyperlink ref="F9:F10" location="Setting_UF!BK1" display="Display" xr:uid="{EDA999CF-08A5-445D-8395-64EEE4DFD435}"/>
    <hyperlink ref="F29" location="Master!SA1" display="Display" xr:uid="{4687AE27-DA79-4AEB-B891-F39FACF7D1EE}"/>
    <hyperlink ref="F28" location="Master!LA1" display="Display" xr:uid="{4CE3E783-7CE8-44AA-90F3-8B58136E731F}"/>
    <hyperlink ref="F44" location="Master!DDE1" display="Display" xr:uid="{22D60D6B-FD2B-4A9C-A943-8B9AA3E8770F}"/>
    <hyperlink ref="F22" location="$VE$1" display="$VE$1" xr:uid="{08252EE5-5FDF-4C8B-8AAF-46714092D807}"/>
    <hyperlink ref="F26" location="$ACE$1" display="$ACE$1" xr:uid="{A1C65E2F-C9A9-4D1F-9D05-F6D9B6EAE357}"/>
    <hyperlink ref="F30" location="$UE$1" display="$UE$1" xr:uid="{C0996C31-B59E-43CD-A3D5-7155D881041E}"/>
    <hyperlink ref="F21" location="Master!AA1" display="Display" xr:uid="{DF757D38-1E6A-43A3-9FC7-F5D0EBA29F8A}"/>
    <hyperlink ref="F15" location="Master!ATA1" display="Display" xr:uid="{84B7ED03-61DE-4A6A-BA8E-EAEFE809BEB1}"/>
    <hyperlink ref="F20" location="Master!BDA1" display="Display" xr:uid="{187B3526-5941-46D2-9DF0-50A6254F5DB9}"/>
    <hyperlink ref="F5" location="Master!APA1" display="Display" xr:uid="{6743F703-EAA9-4988-8001-8A4E268B0B41}"/>
    <hyperlink ref="F10" location="Master!HA1" display="Display" xr:uid="{0A8D27E5-9113-4569-A4E3-9B87038A9FFA}"/>
    <hyperlink ref="F8" location="Master!FA1" display="Display" xr:uid="{C56C98C6-79F3-4ACA-87B7-85AD33C1C0A8}"/>
    <hyperlink ref="F9" location="Master!GA1" display="Display" xr:uid="{6B4D4F94-3316-470F-90B2-6C5EBC366FE6}"/>
    <hyperlink ref="F23" location="$ADE$1" display="$ADE$1" xr:uid="{FDC8A43F-43FC-4695-89DC-C5F22036327E}"/>
    <hyperlink ref="F16" location="Master!CA1" display="Display" xr:uid="{A3E55402-E1DF-4B5C-A256-80E89EA115CB}"/>
    <hyperlink ref="F11" location="Master!ASA1" display="Display" xr:uid="{9AA26FE5-216C-4765-9330-DF3449F67398}"/>
    <hyperlink ref="F31" location="$AAE$1" display="$AAE$1" xr:uid="{D2199A2F-FD1B-46DD-9A3C-7C86B27C4C01}"/>
    <hyperlink ref="F24" location="$AEE$1" display="$AEE$1" xr:uid="{29EC808D-7352-496C-B1F1-2B3AC7EC73CE}"/>
    <hyperlink ref="F56" location="$BE$1" display="$BE$1" xr:uid="{E68E8C3B-76BA-4E62-AF4C-6DB442095EE7}"/>
    <hyperlink ref="F57" location="$EE$1" display="$EE$1" xr:uid="{35C09713-561F-4B3D-89F0-129E616C5CD6}"/>
    <hyperlink ref="F52" location="$KE$1" display="$KE$1" xr:uid="{5FA19C14-293F-40F9-B8C9-370F389E672E}"/>
    <hyperlink ref="F38" location="$ME$1" display="$ME$1" xr:uid="{B0A0ADEE-716A-470D-91E8-B6AEB5BEA2DE}"/>
    <hyperlink ref="F50" location="$NE$1" display="$NE$1" xr:uid="{69FF9BA1-E391-4259-8933-A2248D08F7A5}"/>
    <hyperlink ref="F37" location="Master!OA1" display="Display" xr:uid="{8FF54522-E7B5-4D97-8A27-4CFD7FA21E4B}"/>
    <hyperlink ref="F51" location="$PE$1" display="$PE$1" xr:uid="{45BC90EA-D850-4C3A-AD1B-F347DA844E1A}"/>
    <hyperlink ref="F25" location="$RE$1" display="$RE$1" xr:uid="{0419086B-9959-4A44-BDE9-BF0F76A41D40}"/>
    <hyperlink ref="F55" location="$TE$1" display="$TE$1" xr:uid="{58A1ADE8-4573-4D3F-BA24-E5A593A679C0}"/>
    <hyperlink ref="F60" location="$WE$1" display="$WE$1" xr:uid="{ACCEC622-8A4B-40C3-AA20-0B557CF00B33}"/>
    <hyperlink ref="F61" location="$XE$1" display="$XE$1" xr:uid="{903FB682-DF07-48E5-8053-66BF3F3B1BFB}"/>
    <hyperlink ref="F59" location="$YE$1" display="$YE$1" xr:uid="{6FE61B31-0059-4F5E-9AEB-AAB32F0C60EE}"/>
    <hyperlink ref="F63" location="$ABE$1" display="$ABE$1" xr:uid="{6431A4F3-D18B-4790-AE19-F773CCE29512}"/>
    <hyperlink ref="F41" location="$AGE$1" display="$AGE$1" xr:uid="{6DE3A133-E1EC-4E43-9017-B5E719D26B23}"/>
    <hyperlink ref="F46" location="$AHE$1" display="$AHE$1" xr:uid="{30646F89-CC93-46C8-A340-A29AC5BCA985}"/>
    <hyperlink ref="F48" location="$AIE$1" display="$AIE$1" xr:uid="{08D4B813-B7AF-49BF-9EA4-2130C707546B}"/>
    <hyperlink ref="F47" location="$AJE$1" display="$AJE$1" xr:uid="{59266376-D912-42A4-8756-6623FD5F8727}"/>
    <hyperlink ref="F42" location="$AKE$1" display="$AKE$1" xr:uid="{783139A6-3270-4F2A-9EBC-3136E2776E22}"/>
    <hyperlink ref="F43" location="$ALE$1" display="$ALE$1" xr:uid="{1C7A0CE0-BAD2-429A-AD75-E2E1B355803F}"/>
    <hyperlink ref="F45" location="$AME$1" display="$AME$1" xr:uid="{FB0848B1-338C-42CE-B4A8-2B2868BB6C80}"/>
    <hyperlink ref="F49" location="$ANE$1" display="$ANE$1" xr:uid="{21AE405C-954E-433E-B170-1C26F8187EA8}"/>
    <hyperlink ref="F7" location="Master!ANA1" display="Display" xr:uid="{DFF94313-6EC9-4B6C-BFD5-F53B9CD74AD0}"/>
    <hyperlink ref="F40" location="$AFE$1" display="$AFE$1" xr:uid="{FEB40549-0930-42FC-BD59-B453E34B491D}"/>
    <hyperlink ref="F32" location="$AYE$1" display="$AYE$1" xr:uid="{9BCE5681-44CD-4626-948B-E2546EB2886C}"/>
    <hyperlink ref="F36" location="Master!AWA1" display="Display" xr:uid="{470B4F5E-27E3-45FB-95A9-FAC949D158A0}"/>
    <hyperlink ref="F53" location="Master!BCA1" display="Display" xr:uid="{AA20F5A5-EAB2-4D2C-B825-8D1ED15CCC5D}"/>
    <hyperlink ref="F35" location="Setting!BCE1" display="Display" xr:uid="{10071B0F-5287-48C6-9FB5-A6194821CD3D}"/>
    <hyperlink ref="F14" location="Master!AYA1" display="Display" xr:uid="{89EF1CB5-8C53-4A10-8A0E-3B54DF0C4D19}"/>
    <hyperlink ref="F13" location="Master!AZA1" display="Display" xr:uid="{2408A052-E35E-422C-94AA-7564634329FE}"/>
    <hyperlink ref="F34" location="$BFE$1" display="$BFE$1" xr:uid="{AC422C1B-05F4-49C7-ACD3-AB0332979E23}"/>
    <hyperlink ref="F19" location="Master!BCA1" display="Display" xr:uid="{3E8ABEC8-1B3F-4E5D-8CAE-9B2DFDD446F0}"/>
    <hyperlink ref="F58" location="$QE$1" display="$QE$1" xr:uid="{7AA2B53C-41D2-46D6-BB27-1817CE372133}"/>
    <hyperlink ref="F64" location="$BNE$1" display="$BNE$1" xr:uid="{A3C17E80-75B9-427F-ACB4-34388BF71DD0}"/>
    <hyperlink ref="F65" location="$BOE$1" display="$BOE$1" xr:uid="{0C363445-A66D-46CA-B120-84045255EA21}"/>
    <hyperlink ref="F67" location="Master!BGA1" display="Display" xr:uid="{BEB040C8-2AD2-4562-BED7-82F4BCC8B7C0}"/>
    <hyperlink ref="F66" location="$BQE$1" display="$BQE$1" xr:uid="{825E3D8C-D855-4F19-B238-096FF316345C}"/>
    <hyperlink ref="F39" location="Master!ARA1" display="Display" xr:uid="{3ADE22EC-5767-47C2-840A-42AA4D3004D9}"/>
    <hyperlink ref="F6" location="Master!AQA1" display="Display" xr:uid="{E3B0E17A-3CFC-4A7F-A2A7-20DB344B91D4}"/>
    <hyperlink ref="F62" location="Setting!DAA1" display="Display" xr:uid="{A63AEDC9-B7DA-4318-9257-910F85D89328}"/>
    <hyperlink ref="F54" location="Master!BZA1" display="Display" xr:uid="{203B28CF-C5ED-46AC-A7AC-9602D9CF9ECF}"/>
    <hyperlink ref="F33" location="Setting!BGE1" display="Display" xr:uid="{9D1AAECC-9AC4-4D78-81AC-966A8F11B502}"/>
    <hyperlink ref="F12" location="Master!DDA1" display="Display" xr:uid="{AF58800F-AF3D-44F5-9553-CD03D0DA806E}"/>
    <hyperlink ref="F4" location="Master!DAR1" display="Display" xr:uid="{A299BFC9-338C-4ABF-B61C-487FFB1ECE47}"/>
    <hyperlink ref="C1" location="Contents!B24" display="Contents" xr:uid="{62AC3624-C880-4CA4-869D-479483D99FA5}"/>
    <hyperlink ref="E1" location="UI_Comments!G1" display="UI_Comments" xr:uid="{F99429D4-999F-4F77-866D-0696D1A6E7FE}"/>
    <hyperlink ref="F17" location="Master!AOA1" display="Display" xr:uid="{A7803C6D-7261-4692-8B19-26C4C6EF6BA2}"/>
    <hyperlink ref="F68" location="Master!DEA1" display="Display" xr:uid="{D66EBC1D-689F-4E99-AB55-56D8F5685E82}"/>
  </hyperlinks>
  <pageMargins left="0.7" right="0.7" top="0.75" bottom="0.75" header="0.3" footer="0.3"/>
  <pageSetup orientation="portrait" r:id="rId1"/>
  <legacy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05D9F-48FE-48B4-B6A7-6A822C16CE96}">
  <sheetPr codeName="Sheet2">
    <tabColor rgb="FF92D050"/>
  </sheetPr>
  <dimension ref="A1:SL133"/>
  <sheetViews>
    <sheetView topLeftCell="SD1" zoomScale="115" zoomScaleNormal="115" workbookViewId="0">
      <selection activeCell="SD1" sqref="SD1"/>
    </sheetView>
  </sheetViews>
  <sheetFormatPr defaultColWidth="8.88671875" defaultRowHeight="13.8"/>
  <cols>
    <col min="1" max="1" width="8.88671875" style="129"/>
    <col min="2" max="2" width="8.88671875" style="129" customWidth="1"/>
    <col min="3" max="3" width="40.77734375" style="129" customWidth="1"/>
    <col min="4" max="4" width="12.21875" style="129" customWidth="1"/>
    <col min="5" max="5" width="34.21875" style="129" customWidth="1"/>
    <col min="6" max="6" width="9.44140625" style="129" customWidth="1"/>
    <col min="7" max="10" width="20.77734375" style="129" customWidth="1"/>
    <col min="11" max="26" width="1.77734375" style="129" customWidth="1"/>
    <col min="27" max="28" width="25.77734375" style="129" customWidth="1"/>
    <col min="29" max="30" width="16.33203125" style="129" customWidth="1"/>
    <col min="31" max="31" width="15.21875" style="129" customWidth="1"/>
    <col min="32" max="32" width="63.33203125" style="129" customWidth="1"/>
    <col min="33" max="33" width="13.21875" style="129" customWidth="1"/>
    <col min="34" max="52" width="1.77734375" style="129" customWidth="1"/>
    <col min="53" max="53" width="25.77734375" style="129" customWidth="1"/>
    <col min="54" max="60" width="20.77734375" style="129" customWidth="1"/>
    <col min="61" max="61" width="12.77734375" style="129" customWidth="1"/>
    <col min="62" max="64" width="13.21875" style="129" customWidth="1"/>
    <col min="65" max="78" width="1.77734375" style="129" customWidth="1"/>
    <col min="79" max="80" width="25.77734375" style="129" customWidth="1"/>
    <col min="81" max="87" width="12.77734375" style="129" customWidth="1"/>
    <col min="88" max="88" width="16.5546875" style="129" customWidth="1"/>
    <col min="89" max="91" width="10.109375" style="129" customWidth="1"/>
    <col min="92" max="104" width="1.77734375" style="129" customWidth="1"/>
    <col min="105" max="106" width="25.77734375" style="129" customWidth="1"/>
    <col min="107" max="107" width="10.77734375" style="129" customWidth="1"/>
    <col min="108" max="108" width="18" style="129" customWidth="1"/>
    <col min="109" max="109" width="10.77734375" style="129" customWidth="1"/>
    <col min="110" max="110" width="40.77734375" style="129" customWidth="1"/>
    <col min="111" max="130" width="1.77734375" style="129" customWidth="1"/>
    <col min="131" max="131" width="18.21875" style="129" customWidth="1"/>
    <col min="132" max="132" width="18.5546875" style="129" customWidth="1"/>
    <col min="133" max="133" width="18.88671875" style="129" customWidth="1"/>
    <col min="134" max="134" width="17.6640625" style="129" customWidth="1"/>
    <col min="135" max="135" width="15.109375" style="129" customWidth="1"/>
    <col min="136" max="138" width="20.77734375" style="129" customWidth="1"/>
    <col min="139" max="155" width="1.77734375" style="129" customWidth="1"/>
    <col min="156" max="156" width="1.77734375" style="378" customWidth="1"/>
    <col min="157" max="157" width="25.77734375" style="378" customWidth="1"/>
    <col min="158" max="161" width="17.44140625" style="378" customWidth="1"/>
    <col min="162" max="164" width="11.5546875" style="378" customWidth="1"/>
    <col min="165" max="165" width="20.77734375" style="378" customWidth="1"/>
    <col min="166" max="182" width="1.77734375" style="378" customWidth="1"/>
    <col min="183" max="184" width="25.77734375" style="378" customWidth="1"/>
    <col min="185" max="186" width="15.6640625" style="378" customWidth="1"/>
    <col min="187" max="187" width="10.77734375" style="378" customWidth="1"/>
    <col min="188" max="188" width="40.77734375" style="378" customWidth="1"/>
    <col min="189" max="208" width="1.77734375" style="378" customWidth="1"/>
    <col min="209" max="210" width="24.109375" style="129" customWidth="1"/>
    <col min="211" max="213" width="17.6640625" style="129" customWidth="1"/>
    <col min="214" max="214" width="11.6640625" style="129" customWidth="1"/>
    <col min="215" max="216" width="11.6640625" style="378" customWidth="1"/>
    <col min="217" max="234" width="1.77734375" style="378" customWidth="1"/>
    <col min="235" max="236" width="24.44140625" style="378" customWidth="1"/>
    <col min="237" max="242" width="14.5546875" style="378" customWidth="1"/>
    <col min="243" max="260" width="1.77734375" style="378" customWidth="1"/>
    <col min="261" max="261" width="27.6640625" style="378" customWidth="1"/>
    <col min="262" max="264" width="25.77734375" style="378" customWidth="1"/>
    <col min="265" max="265" width="10.77734375" style="378" customWidth="1"/>
    <col min="266" max="266" width="13" style="378" customWidth="1"/>
    <col min="267" max="267" width="10.77734375" style="378" customWidth="1"/>
    <col min="268" max="268" width="40.77734375" style="378" customWidth="1"/>
    <col min="269" max="286" width="1.77734375" style="378" customWidth="1"/>
    <col min="287" max="288" width="26.21875" style="129" customWidth="1"/>
    <col min="289" max="294" width="20.77734375" style="129" customWidth="1"/>
    <col min="295" max="312" width="1.77734375" style="129" customWidth="1"/>
    <col min="313" max="319" width="20.77734375" style="129" customWidth="1"/>
    <col min="320" max="320" width="14.77734375" style="129" bestFit="1" customWidth="1"/>
    <col min="321" max="338" width="1.77734375" style="129" customWidth="1"/>
    <col min="339" max="339" width="27.6640625" style="378" customWidth="1"/>
    <col min="340" max="340" width="25.77734375" style="378" customWidth="1"/>
    <col min="341" max="342" width="21.5546875" style="378" customWidth="1"/>
    <col min="343" max="343" width="10.77734375" style="378" customWidth="1"/>
    <col min="344" max="344" width="40.77734375" style="378" customWidth="1"/>
    <col min="345" max="364" width="1.77734375" style="378" customWidth="1"/>
    <col min="365" max="365" width="25.77734375" style="129" customWidth="1"/>
    <col min="366" max="372" width="20.77734375" style="129" customWidth="1"/>
    <col min="373" max="390" width="1.77734375" style="129" customWidth="1"/>
    <col min="391" max="391" width="25.77734375" style="129" customWidth="1"/>
    <col min="392" max="392" width="24.109375" style="129" customWidth="1"/>
    <col min="393" max="395" width="20.77734375" style="129" customWidth="1"/>
    <col min="396" max="396" width="18.33203125" style="129" bestFit="1" customWidth="1"/>
    <col min="397" max="397" width="15.77734375" style="129" bestFit="1" customWidth="1"/>
    <col min="398" max="398" width="14.77734375" style="129" bestFit="1" customWidth="1"/>
    <col min="399" max="416" width="1.77734375" style="129" customWidth="1"/>
    <col min="417" max="418" width="30.109375" style="378" customWidth="1"/>
    <col min="419" max="421" width="10.77734375" style="378" customWidth="1"/>
    <col min="422" max="422" width="40.77734375" style="378" customWidth="1"/>
    <col min="423" max="442" width="1.77734375" style="378" customWidth="1"/>
    <col min="443" max="444" width="25.77734375" style="129" customWidth="1"/>
    <col min="445" max="447" width="17.44140625" style="129" customWidth="1"/>
    <col min="448" max="450" width="20.77734375" style="129" customWidth="1"/>
    <col min="451" max="468" width="1.77734375" style="129" customWidth="1"/>
    <col min="469" max="469" width="25.77734375" style="129" customWidth="1"/>
    <col min="470" max="470" width="24.109375" style="129" customWidth="1"/>
    <col min="471" max="473" width="20.77734375" style="129" customWidth="1"/>
    <col min="474" max="474" width="18.33203125" style="129" bestFit="1" customWidth="1"/>
    <col min="475" max="475" width="15.77734375" style="129" bestFit="1" customWidth="1"/>
    <col min="476" max="476" width="14.77734375" style="129" bestFit="1" customWidth="1"/>
    <col min="477" max="494" width="1.77734375" style="129" customWidth="1"/>
    <col min="495" max="495" width="23" style="129" customWidth="1"/>
    <col min="496" max="498" width="16.5546875" style="129" customWidth="1"/>
    <col min="499" max="499" width="23.33203125" style="129" customWidth="1"/>
    <col min="500" max="500" width="11.77734375" style="129" customWidth="1"/>
    <col min="501" max="501" width="11" style="129" customWidth="1"/>
    <col min="502" max="502" width="10.77734375" style="129" customWidth="1"/>
    <col min="503" max="503" width="28.109375" style="129" customWidth="1"/>
    <col min="504" max="504" width="12.5546875" style="129" customWidth="1"/>
    <col min="505" max="505" width="15" style="129" customWidth="1"/>
    <col min="506" max="506" width="11.88671875" style="129" customWidth="1"/>
    <col min="507" max="16384" width="8.88671875" style="129"/>
  </cols>
  <sheetData>
    <row r="1" spans="1:506" ht="21">
      <c r="A1" s="1788" t="s">
        <v>5721</v>
      </c>
      <c r="B1" s="1788"/>
      <c r="C1" s="1788"/>
      <c r="D1" s="1788"/>
      <c r="E1" s="1788"/>
      <c r="F1" s="1062"/>
      <c r="AA1" s="1083" t="s">
        <v>5608</v>
      </c>
      <c r="AD1" s="237"/>
      <c r="AE1" s="198" t="s">
        <v>336</v>
      </c>
      <c r="AG1" s="519"/>
      <c r="AH1" s="519"/>
      <c r="AI1" s="519"/>
      <c r="AJ1" s="519"/>
      <c r="AK1" s="519"/>
      <c r="AL1" s="519"/>
      <c r="AM1" s="519"/>
      <c r="AN1" s="519"/>
      <c r="AO1" s="519"/>
      <c r="AP1" s="519"/>
      <c r="AQ1" s="519"/>
      <c r="AR1" s="519"/>
      <c r="AS1" s="519"/>
      <c r="AT1" s="519"/>
      <c r="AU1" s="519"/>
      <c r="AV1" s="519"/>
      <c r="AW1" s="519"/>
      <c r="AX1" s="519"/>
      <c r="AY1" s="237"/>
      <c r="BA1" s="1083" t="s">
        <v>5632</v>
      </c>
      <c r="BD1" s="237"/>
      <c r="BE1" s="198" t="s">
        <v>336</v>
      </c>
      <c r="CA1" s="1083" t="s">
        <v>5612</v>
      </c>
      <c r="CD1" s="237"/>
      <c r="CE1" s="198" t="s">
        <v>336</v>
      </c>
      <c r="DA1" s="1083" t="s">
        <v>5616</v>
      </c>
      <c r="DE1" s="198" t="s">
        <v>336</v>
      </c>
      <c r="EA1" s="1083" t="s">
        <v>5617</v>
      </c>
      <c r="ED1" s="237"/>
      <c r="EE1" s="1066" t="s">
        <v>336</v>
      </c>
      <c r="EF1" s="378"/>
      <c r="EG1" s="378"/>
      <c r="EH1" s="378"/>
      <c r="EI1" s="378"/>
      <c r="EJ1" s="378"/>
      <c r="EK1" s="378"/>
      <c r="EL1" s="378"/>
      <c r="EM1" s="378"/>
      <c r="EN1" s="378"/>
      <c r="EO1" s="378"/>
      <c r="EP1" s="378"/>
      <c r="EQ1" s="378"/>
      <c r="ER1" s="378"/>
      <c r="ES1" s="378"/>
      <c r="ET1" s="378"/>
      <c r="EU1" s="378"/>
      <c r="EV1" s="378"/>
      <c r="EW1" s="378"/>
      <c r="EX1" s="378"/>
      <c r="EZ1" s="129"/>
      <c r="FA1" s="1083" t="s">
        <v>5618</v>
      </c>
      <c r="FB1" s="129"/>
      <c r="FC1" s="129"/>
      <c r="FD1" s="237"/>
      <c r="FE1" s="198" t="s">
        <v>336</v>
      </c>
      <c r="FF1" s="129"/>
      <c r="FG1" s="129"/>
      <c r="FH1" s="129"/>
      <c r="FI1" s="129"/>
      <c r="FJ1" s="129"/>
      <c r="FK1" s="129"/>
      <c r="FL1" s="129"/>
      <c r="FM1" s="129"/>
      <c r="FN1" s="129"/>
      <c r="FO1" s="129"/>
      <c r="FP1" s="129"/>
      <c r="FQ1" s="129"/>
      <c r="FR1" s="129"/>
      <c r="FS1" s="129"/>
      <c r="FT1" s="129"/>
      <c r="FU1" s="129"/>
      <c r="FV1" s="129"/>
      <c r="FW1" s="129"/>
      <c r="FX1" s="129"/>
      <c r="FY1" s="129"/>
      <c r="FZ1" s="129"/>
      <c r="GA1" s="1083" t="s">
        <v>5622</v>
      </c>
      <c r="GB1" s="129"/>
      <c r="GC1" s="129"/>
      <c r="GD1" s="237"/>
      <c r="GE1" s="198" t="s">
        <v>336</v>
      </c>
      <c r="GF1" s="129"/>
      <c r="GG1" s="129"/>
      <c r="GH1" s="129"/>
      <c r="GI1" s="129"/>
      <c r="GJ1" s="129"/>
      <c r="GK1" s="129"/>
      <c r="GL1" s="129"/>
      <c r="GM1" s="129"/>
      <c r="GN1" s="129"/>
      <c r="GO1" s="129"/>
      <c r="GP1" s="129"/>
      <c r="GQ1" s="129"/>
      <c r="GR1" s="129"/>
      <c r="GS1" s="129"/>
      <c r="GT1" s="129"/>
      <c r="GU1" s="129"/>
      <c r="GV1" s="129"/>
      <c r="GW1" s="129"/>
      <c r="GX1" s="129"/>
      <c r="GY1" s="129"/>
      <c r="GZ1" s="129"/>
      <c r="HA1" s="1083" t="s">
        <v>5623</v>
      </c>
      <c r="HB1" s="237"/>
      <c r="HC1" s="237"/>
      <c r="HD1" s="237"/>
      <c r="HE1" s="198" t="s">
        <v>336</v>
      </c>
      <c r="HG1" s="129"/>
      <c r="HH1" s="129"/>
      <c r="HI1" s="129"/>
      <c r="HJ1" s="129"/>
      <c r="HK1" s="129"/>
      <c r="HL1" s="129"/>
      <c r="HM1" s="129"/>
      <c r="HN1" s="129"/>
      <c r="HO1" s="129"/>
      <c r="HP1" s="129"/>
      <c r="HQ1" s="129"/>
      <c r="HR1" s="129"/>
      <c r="HS1" s="129"/>
      <c r="HT1" s="129"/>
      <c r="HU1" s="129"/>
      <c r="HV1" s="129"/>
      <c r="HW1" s="129"/>
      <c r="HX1" s="129"/>
      <c r="HY1" s="129"/>
      <c r="HZ1" s="129"/>
      <c r="IA1" s="1083" t="s">
        <v>5624</v>
      </c>
      <c r="IB1" s="237"/>
      <c r="IC1" s="237"/>
      <c r="ID1" s="237"/>
      <c r="IE1" s="198" t="s">
        <v>336</v>
      </c>
      <c r="IF1" s="129"/>
      <c r="IG1" s="129"/>
      <c r="IH1" s="129"/>
      <c r="II1" s="129"/>
      <c r="IJ1" s="129"/>
      <c r="IK1" s="129"/>
      <c r="IL1" s="129"/>
      <c r="IM1" s="129"/>
      <c r="IN1" s="129"/>
      <c r="IO1" s="129"/>
      <c r="IP1" s="129"/>
      <c r="IQ1" s="129"/>
      <c r="IR1" s="129"/>
      <c r="IS1" s="129"/>
      <c r="IT1" s="129"/>
      <c r="IU1" s="129"/>
      <c r="IV1" s="129"/>
      <c r="IW1" s="129"/>
      <c r="IX1" s="129"/>
      <c r="IY1" s="129"/>
      <c r="IZ1" s="129"/>
      <c r="JA1" s="1281" t="s">
        <v>6377</v>
      </c>
      <c r="JB1" s="1282"/>
      <c r="JC1" s="1282"/>
      <c r="JD1" s="237"/>
      <c r="JE1" s="237"/>
      <c r="JF1" s="237"/>
      <c r="JG1" s="198" t="s">
        <v>336</v>
      </c>
      <c r="JH1" s="129"/>
      <c r="JI1" s="129"/>
      <c r="JJ1" s="129"/>
      <c r="JK1" s="129"/>
      <c r="JL1" s="129"/>
      <c r="JM1" s="129"/>
      <c r="JN1" s="129"/>
      <c r="JO1" s="129"/>
      <c r="JP1" s="129"/>
      <c r="JQ1" s="129"/>
      <c r="JR1" s="129"/>
      <c r="JS1" s="129"/>
      <c r="JT1" s="129"/>
      <c r="JU1" s="129"/>
      <c r="JV1" s="129"/>
      <c r="JW1" s="129"/>
      <c r="JX1" s="129"/>
      <c r="JY1" s="129"/>
      <c r="JZ1" s="129"/>
      <c r="KA1" s="1083" t="s">
        <v>6383</v>
      </c>
      <c r="KB1" s="237"/>
      <c r="KC1" s="237"/>
      <c r="KE1" s="198" t="s">
        <v>336</v>
      </c>
      <c r="LA1" s="1083" t="s">
        <v>6384</v>
      </c>
      <c r="LB1" s="237"/>
      <c r="LC1" s="237"/>
      <c r="LD1" s="237"/>
      <c r="LE1" s="198" t="s">
        <v>336</v>
      </c>
      <c r="LF1" s="494"/>
      <c r="MA1" s="44" t="s">
        <v>6070</v>
      </c>
      <c r="MB1" s="237"/>
      <c r="MC1" s="237"/>
      <c r="MD1" s="237"/>
      <c r="ME1" s="198" t="s">
        <v>336</v>
      </c>
      <c r="MF1" s="129"/>
      <c r="MG1" s="129"/>
      <c r="MH1" s="129"/>
      <c r="MI1" s="129"/>
      <c r="MJ1" s="129"/>
      <c r="MK1" s="129"/>
      <c r="ML1" s="129"/>
      <c r="MM1" s="129"/>
      <c r="MN1" s="129"/>
      <c r="MO1" s="129"/>
      <c r="MP1" s="129"/>
      <c r="MQ1" s="129"/>
      <c r="MR1" s="129"/>
      <c r="MS1" s="129"/>
      <c r="MT1" s="129"/>
      <c r="MU1" s="129"/>
      <c r="MV1" s="129"/>
      <c r="MW1" s="129"/>
      <c r="MX1" s="129"/>
      <c r="MY1" s="129"/>
      <c r="MZ1" s="129"/>
      <c r="NA1" s="1084" t="s">
        <v>6071</v>
      </c>
      <c r="NB1" s="237"/>
      <c r="NC1" s="237"/>
      <c r="ND1" s="237"/>
      <c r="NE1" s="198" t="s">
        <v>336</v>
      </c>
      <c r="NF1" s="494"/>
      <c r="OA1" s="1084" t="s">
        <v>6072</v>
      </c>
      <c r="OB1" s="237"/>
      <c r="OC1" s="237"/>
      <c r="OD1" s="237"/>
      <c r="OE1" s="198" t="s">
        <v>336</v>
      </c>
      <c r="OF1" s="494"/>
      <c r="PA1" s="44" t="s">
        <v>5628</v>
      </c>
      <c r="PB1" s="237"/>
      <c r="PC1" s="237"/>
      <c r="PD1" s="237"/>
      <c r="PE1" s="198" t="s">
        <v>336</v>
      </c>
      <c r="PF1" s="129"/>
      <c r="PG1" s="129"/>
      <c r="PH1" s="129"/>
      <c r="PI1" s="129"/>
      <c r="PJ1" s="129"/>
      <c r="PK1" s="129"/>
      <c r="PL1" s="129"/>
      <c r="PM1" s="129"/>
      <c r="PN1" s="129"/>
      <c r="PO1" s="129"/>
      <c r="PP1" s="129"/>
      <c r="PQ1" s="129"/>
      <c r="PR1" s="129"/>
      <c r="PS1" s="129"/>
      <c r="PT1" s="129"/>
      <c r="PU1" s="129"/>
      <c r="PV1" s="129"/>
      <c r="PW1" s="129"/>
      <c r="PX1" s="129"/>
      <c r="PY1" s="129"/>
      <c r="PZ1" s="129"/>
      <c r="QA1" s="1083" t="s">
        <v>5629</v>
      </c>
      <c r="QB1" s="237"/>
      <c r="QC1" s="237"/>
      <c r="QD1" s="237"/>
      <c r="QE1" s="198" t="s">
        <v>336</v>
      </c>
      <c r="QF1" s="494"/>
      <c r="RA1" s="1083" t="s">
        <v>5630</v>
      </c>
      <c r="RB1" s="237"/>
      <c r="RC1" s="237"/>
      <c r="RD1" s="237"/>
      <c r="RE1" s="198" t="s">
        <v>336</v>
      </c>
      <c r="RF1" s="494"/>
      <c r="SA1" s="237" t="s">
        <v>5478</v>
      </c>
      <c r="SB1" s="237"/>
      <c r="SC1" s="237"/>
      <c r="SD1" s="237"/>
      <c r="SE1" s="198" t="s">
        <v>336</v>
      </c>
      <c r="SG1" s="237"/>
      <c r="SH1" s="237"/>
    </row>
    <row r="2" spans="1:506" ht="21">
      <c r="D2" s="545"/>
      <c r="E2" s="545"/>
      <c r="F2" s="545"/>
      <c r="BF2" s="522" t="s">
        <v>5734</v>
      </c>
      <c r="CF2" s="522" t="s">
        <v>5734</v>
      </c>
      <c r="EF2" s="522" t="s">
        <v>5734</v>
      </c>
      <c r="FA2" s="129"/>
      <c r="FB2" s="129"/>
      <c r="FC2" s="129"/>
      <c r="FD2" s="129"/>
      <c r="FE2" s="129"/>
      <c r="FF2" s="522" t="s">
        <v>5734</v>
      </c>
      <c r="GA2" s="129"/>
      <c r="GB2" s="129"/>
      <c r="GC2" s="129"/>
      <c r="GD2" s="129"/>
      <c r="GE2" s="129"/>
      <c r="GF2" s="129"/>
      <c r="HF2" s="522" t="s">
        <v>5734</v>
      </c>
      <c r="IA2" s="129"/>
      <c r="IB2" s="129"/>
      <c r="IC2" s="129"/>
      <c r="ID2" s="129"/>
      <c r="IE2" s="129"/>
      <c r="IF2" s="522" t="s">
        <v>5734</v>
      </c>
      <c r="IN2" s="129"/>
      <c r="JA2" s="129"/>
      <c r="JB2" s="129"/>
      <c r="JC2" s="129"/>
      <c r="JD2" s="129"/>
      <c r="JE2" s="129"/>
      <c r="JF2" s="129"/>
      <c r="JG2" s="129"/>
      <c r="JH2" s="129"/>
      <c r="KE2" s="522" t="s">
        <v>5734</v>
      </c>
      <c r="LF2" s="522" t="s">
        <v>5734</v>
      </c>
      <c r="MA2" s="129"/>
      <c r="MB2" s="129"/>
      <c r="MC2" s="129"/>
      <c r="MD2" s="129"/>
      <c r="ME2" s="129"/>
      <c r="MF2" s="129"/>
      <c r="NF2" s="522" t="s">
        <v>5734</v>
      </c>
      <c r="OF2" s="522" t="s">
        <v>5734</v>
      </c>
      <c r="PA2" s="129"/>
      <c r="PB2" s="129"/>
      <c r="PC2" s="129"/>
      <c r="PD2" s="129"/>
      <c r="PE2" s="129"/>
      <c r="PF2" s="129"/>
      <c r="QF2" s="522" t="s">
        <v>5734</v>
      </c>
      <c r="RF2" s="522" t="s">
        <v>5734</v>
      </c>
    </row>
    <row r="3" spans="1:506" ht="18.600000000000001" thickBot="1">
      <c r="B3" s="403" t="s">
        <v>345</v>
      </c>
      <c r="C3" s="404" t="s">
        <v>122</v>
      </c>
      <c r="D3" s="404" t="s">
        <v>346</v>
      </c>
      <c r="E3" s="463" t="s">
        <v>347</v>
      </c>
      <c r="F3" s="405" t="s">
        <v>233</v>
      </c>
      <c r="G3" s="1288" t="s">
        <v>6615</v>
      </c>
      <c r="H3" s="1288" t="s">
        <v>6616</v>
      </c>
      <c r="I3" s="1288" t="s">
        <v>6617</v>
      </c>
      <c r="J3" s="1288" t="s">
        <v>234</v>
      </c>
      <c r="AA3" s="1756" t="s">
        <v>5608</v>
      </c>
      <c r="AB3" s="1757"/>
      <c r="AC3" s="520" t="s">
        <v>4115</v>
      </c>
      <c r="AD3" s="520" t="s">
        <v>5609</v>
      </c>
      <c r="AE3" s="520" t="s">
        <v>352</v>
      </c>
      <c r="AF3" s="520" t="s">
        <v>348</v>
      </c>
      <c r="AG3" s="548"/>
      <c r="AH3" s="548"/>
      <c r="AI3" s="548"/>
      <c r="AJ3" s="548"/>
      <c r="AK3" s="548"/>
      <c r="AL3" s="548"/>
      <c r="AM3" s="548"/>
      <c r="AN3" s="548"/>
      <c r="AO3" s="548"/>
      <c r="AP3" s="548"/>
      <c r="AQ3" s="548"/>
      <c r="AR3" s="548"/>
      <c r="AS3" s="548"/>
      <c r="AT3" s="548"/>
      <c r="AU3" s="548"/>
      <c r="AV3" s="548"/>
      <c r="AW3" s="548"/>
      <c r="AX3" s="548"/>
      <c r="AY3" s="122"/>
      <c r="BA3" s="1801" t="s">
        <v>5632</v>
      </c>
      <c r="BB3" s="1801"/>
      <c r="BC3" s="520" t="s">
        <v>4115</v>
      </c>
      <c r="BD3" s="520" t="s">
        <v>5610</v>
      </c>
      <c r="BE3" s="237"/>
      <c r="BF3" s="237"/>
      <c r="CA3" s="1756" t="s">
        <v>5612</v>
      </c>
      <c r="CB3" s="1757"/>
      <c r="CC3" s="520" t="s">
        <v>4115</v>
      </c>
      <c r="CD3" s="700" t="s">
        <v>5611</v>
      </c>
      <c r="CE3" s="237"/>
      <c r="DA3" s="1756" t="s">
        <v>5616</v>
      </c>
      <c r="DB3" s="1757"/>
      <c r="DC3" s="520" t="s">
        <v>4115</v>
      </c>
      <c r="DD3" s="520" t="s">
        <v>5613</v>
      </c>
      <c r="DE3" s="520" t="s">
        <v>352</v>
      </c>
      <c r="DF3" s="520" t="s">
        <v>348</v>
      </c>
      <c r="EA3" s="1090" t="s">
        <v>5437</v>
      </c>
      <c r="EB3" s="1093"/>
      <c r="EC3" s="1042" t="s">
        <v>4115</v>
      </c>
      <c r="ED3" s="1090" t="s">
        <v>5614</v>
      </c>
      <c r="EE3" s="237"/>
      <c r="EZ3" s="847"/>
      <c r="FA3" s="1756" t="s">
        <v>5618</v>
      </c>
      <c r="FB3" s="1757"/>
      <c r="FC3" s="520" t="s">
        <v>4115</v>
      </c>
      <c r="FD3" s="700" t="s">
        <v>5615</v>
      </c>
      <c r="FE3" s="237"/>
      <c r="FF3" s="237"/>
      <c r="FG3" s="847"/>
      <c r="FH3" s="847"/>
      <c r="FI3" s="847"/>
      <c r="FJ3" s="847"/>
      <c r="FK3" s="847"/>
      <c r="FL3" s="847"/>
      <c r="FM3" s="847"/>
      <c r="FN3" s="847"/>
      <c r="FO3" s="847"/>
      <c r="FP3" s="847"/>
      <c r="FQ3" s="847"/>
      <c r="FR3" s="847"/>
      <c r="FS3" s="847"/>
      <c r="FT3" s="847"/>
      <c r="FU3" s="847"/>
      <c r="FV3" s="847"/>
      <c r="FW3" s="847"/>
      <c r="FX3" s="847"/>
      <c r="FY3" s="847"/>
      <c r="FZ3" s="847"/>
      <c r="GA3" s="1756" t="s">
        <v>5622</v>
      </c>
      <c r="GB3" s="1757"/>
      <c r="GC3" s="520" t="s">
        <v>4115</v>
      </c>
      <c r="GD3" s="520" t="s">
        <v>5619</v>
      </c>
      <c r="GE3" s="520" t="s">
        <v>352</v>
      </c>
      <c r="GF3" s="520" t="s">
        <v>348</v>
      </c>
      <c r="GG3" s="847"/>
      <c r="GH3" s="847"/>
      <c r="GI3" s="847"/>
      <c r="GJ3" s="847"/>
      <c r="GK3" s="847"/>
      <c r="GL3" s="847"/>
      <c r="GM3" s="847"/>
      <c r="GN3" s="847"/>
      <c r="GO3" s="847"/>
      <c r="GP3" s="847"/>
      <c r="GQ3" s="847"/>
      <c r="GR3" s="847"/>
      <c r="GS3" s="847"/>
      <c r="GT3" s="847"/>
      <c r="GU3" s="847"/>
      <c r="GV3" s="847"/>
      <c r="GW3" s="847"/>
      <c r="GX3" s="847"/>
      <c r="GY3" s="847"/>
      <c r="GZ3" s="847"/>
      <c r="HA3" s="1775" t="s">
        <v>5623</v>
      </c>
      <c r="HB3" s="1776"/>
      <c r="HC3" s="1042" t="s">
        <v>4115</v>
      </c>
      <c r="HD3" s="1090" t="s">
        <v>5620</v>
      </c>
      <c r="HE3" s="237"/>
      <c r="HF3" s="237"/>
      <c r="HG3" s="847"/>
      <c r="HH3" s="847"/>
      <c r="HI3" s="847"/>
      <c r="HJ3" s="847"/>
      <c r="HK3" s="847"/>
      <c r="HL3" s="847"/>
      <c r="HM3" s="847"/>
      <c r="HN3" s="847"/>
      <c r="HO3" s="847"/>
      <c r="HP3" s="847"/>
      <c r="HQ3" s="847"/>
      <c r="HR3" s="847"/>
      <c r="HS3" s="847"/>
      <c r="HT3" s="847"/>
      <c r="HU3" s="847"/>
      <c r="HV3" s="847"/>
      <c r="HW3" s="847"/>
      <c r="HX3" s="847"/>
      <c r="HY3" s="847"/>
      <c r="HZ3" s="847"/>
      <c r="IA3" s="1756" t="s">
        <v>5624</v>
      </c>
      <c r="IB3" s="1757"/>
      <c r="IC3" s="520" t="s">
        <v>4115</v>
      </c>
      <c r="ID3" s="700" t="s">
        <v>5621</v>
      </c>
      <c r="IE3" s="237"/>
      <c r="IF3" s="237"/>
      <c r="II3" s="847"/>
      <c r="IJ3" s="847"/>
      <c r="IK3" s="847"/>
      <c r="IL3" s="847"/>
      <c r="IM3" s="847"/>
      <c r="IN3" s="658"/>
      <c r="IO3" s="847"/>
      <c r="IP3" s="847"/>
      <c r="IQ3" s="847"/>
      <c r="IR3" s="847"/>
      <c r="IS3" s="847"/>
      <c r="IT3" s="847"/>
      <c r="IU3" s="847"/>
      <c r="IV3" s="847"/>
      <c r="IW3" s="847"/>
      <c r="IX3" s="847"/>
      <c r="IY3" s="847"/>
      <c r="IZ3" s="847"/>
      <c r="JA3" s="1811" t="s">
        <v>6377</v>
      </c>
      <c r="JB3" s="1812"/>
      <c r="JC3" s="1108"/>
      <c r="JD3" s="1108"/>
      <c r="JE3" s="520" t="s">
        <v>4115</v>
      </c>
      <c r="JF3" s="520" t="s">
        <v>5625</v>
      </c>
      <c r="JG3" s="520" t="s">
        <v>352</v>
      </c>
      <c r="JH3" s="520" t="s">
        <v>348</v>
      </c>
      <c r="JI3" s="847"/>
      <c r="JJ3" s="847"/>
      <c r="JK3" s="847"/>
      <c r="JL3" s="847"/>
      <c r="JM3" s="847"/>
      <c r="JN3" s="847"/>
      <c r="JO3" s="847"/>
      <c r="JP3" s="847"/>
      <c r="JQ3" s="847"/>
      <c r="JR3" s="847"/>
      <c r="JS3" s="847"/>
      <c r="JT3" s="847"/>
      <c r="JU3" s="847"/>
      <c r="JV3" s="847"/>
      <c r="JW3" s="847"/>
      <c r="JX3" s="847"/>
      <c r="JY3" s="847"/>
      <c r="JZ3" s="847"/>
      <c r="KA3" s="1756" t="s">
        <v>6383</v>
      </c>
      <c r="KB3" s="1757"/>
      <c r="KC3" s="1042" t="s">
        <v>4115</v>
      </c>
      <c r="KD3" s="1090" t="s">
        <v>5626</v>
      </c>
      <c r="KE3" s="237"/>
      <c r="LA3" s="1811" t="s">
        <v>6384</v>
      </c>
      <c r="LB3" s="1812"/>
      <c r="LC3" s="520" t="s">
        <v>4115</v>
      </c>
      <c r="LD3" s="700" t="s">
        <v>5627</v>
      </c>
      <c r="LE3" s="237"/>
      <c r="LF3" s="237"/>
      <c r="LG3" s="378"/>
      <c r="LH3" s="378"/>
      <c r="MA3" s="1756" t="s">
        <v>6070</v>
      </c>
      <c r="MB3" s="1757"/>
      <c r="MC3" s="520" t="s">
        <v>4115</v>
      </c>
      <c r="MD3" s="520" t="s">
        <v>5641</v>
      </c>
      <c r="ME3" s="520" t="s">
        <v>352</v>
      </c>
      <c r="MF3" s="520" t="s">
        <v>348</v>
      </c>
      <c r="MG3" s="847"/>
      <c r="MH3" s="847"/>
      <c r="MI3" s="847"/>
      <c r="MJ3" s="847"/>
      <c r="MK3" s="847"/>
      <c r="ML3" s="847"/>
      <c r="MM3" s="847"/>
      <c r="MN3" s="847"/>
      <c r="MO3" s="847"/>
      <c r="MP3" s="847"/>
      <c r="MQ3" s="847"/>
      <c r="MR3" s="847"/>
      <c r="MS3" s="847"/>
      <c r="MT3" s="847"/>
      <c r="MU3" s="847"/>
      <c r="MV3" s="847"/>
      <c r="MW3" s="847"/>
      <c r="MX3" s="847"/>
      <c r="MY3" s="847"/>
      <c r="MZ3" s="847"/>
      <c r="NA3" s="1756" t="s">
        <v>6071</v>
      </c>
      <c r="NB3" s="1757"/>
      <c r="NC3" s="1042" t="s">
        <v>4115</v>
      </c>
      <c r="ND3" s="1090" t="s">
        <v>5791</v>
      </c>
      <c r="NE3" s="237"/>
      <c r="NF3" s="237"/>
      <c r="OA3" s="1756" t="s">
        <v>6072</v>
      </c>
      <c r="OB3" s="1757"/>
      <c r="OC3" s="520" t="s">
        <v>4115</v>
      </c>
      <c r="OD3" s="700" t="s">
        <v>5792</v>
      </c>
      <c r="OE3" s="237"/>
      <c r="OF3" s="237"/>
      <c r="OG3" s="378"/>
      <c r="OH3" s="378"/>
      <c r="PA3" s="1756" t="s">
        <v>5628</v>
      </c>
      <c r="PB3" s="1757"/>
      <c r="PC3" s="520" t="s">
        <v>4115</v>
      </c>
      <c r="PD3" s="520" t="s">
        <v>5796</v>
      </c>
      <c r="PE3" s="520" t="s">
        <v>352</v>
      </c>
      <c r="PF3" s="520" t="s">
        <v>348</v>
      </c>
      <c r="PG3" s="847"/>
      <c r="PH3" s="847"/>
      <c r="PI3" s="847"/>
      <c r="PJ3" s="847"/>
      <c r="PK3" s="847"/>
      <c r="PL3" s="847"/>
      <c r="PM3" s="847"/>
      <c r="PN3" s="847"/>
      <c r="PO3" s="847"/>
      <c r="PP3" s="847"/>
      <c r="PQ3" s="847"/>
      <c r="PR3" s="847"/>
      <c r="PS3" s="847"/>
      <c r="PT3" s="847"/>
      <c r="PU3" s="847"/>
      <c r="PV3" s="847"/>
      <c r="PW3" s="847"/>
      <c r="PX3" s="847"/>
      <c r="PY3" s="847"/>
      <c r="PZ3" s="847"/>
      <c r="QA3" s="1756" t="s">
        <v>5629</v>
      </c>
      <c r="QB3" s="1757"/>
      <c r="QC3" s="1042" t="s">
        <v>4115</v>
      </c>
      <c r="QD3" s="520" t="s">
        <v>6066</v>
      </c>
      <c r="QE3" s="237"/>
      <c r="QF3" s="237"/>
      <c r="RA3" s="1756" t="s">
        <v>5630</v>
      </c>
      <c r="RB3" s="1757"/>
      <c r="RC3" s="520" t="s">
        <v>4115</v>
      </c>
      <c r="RD3" s="700" t="s">
        <v>6067</v>
      </c>
      <c r="RE3" s="237"/>
      <c r="RF3" s="237"/>
      <c r="RG3" s="378"/>
      <c r="RH3" s="378"/>
      <c r="RI3" s="378"/>
      <c r="RJ3" s="378"/>
      <c r="RK3" s="378"/>
      <c r="RL3" s="378"/>
      <c r="RM3" s="378"/>
      <c r="RN3" s="378"/>
      <c r="RO3" s="378"/>
      <c r="RP3" s="378"/>
      <c r="RQ3" s="378"/>
      <c r="RR3" s="378"/>
      <c r="RS3" s="378"/>
      <c r="RT3" s="378"/>
      <c r="RU3" s="378"/>
      <c r="RV3" s="378"/>
      <c r="RW3" s="378"/>
      <c r="RX3" s="378"/>
      <c r="SA3" s="1756" t="s">
        <v>5478</v>
      </c>
      <c r="SB3" s="1819"/>
      <c r="SC3" s="1819"/>
      <c r="SD3" s="1757"/>
      <c r="SE3" s="1042" t="s">
        <v>232</v>
      </c>
      <c r="SF3" s="520" t="s">
        <v>6065</v>
      </c>
      <c r="SG3" s="520"/>
      <c r="SH3" s="520" t="s">
        <v>352</v>
      </c>
      <c r="SI3" s="1042" t="s">
        <v>348</v>
      </c>
    </row>
    <row r="4" spans="1:506" ht="21" customHeight="1" thickBot="1">
      <c r="B4" s="1082">
        <v>1</v>
      </c>
      <c r="C4" s="1081" t="s">
        <v>5608</v>
      </c>
      <c r="D4" s="138" t="s">
        <v>5609</v>
      </c>
      <c r="E4" s="138" t="s">
        <v>5448</v>
      </c>
      <c r="F4" s="546" t="s">
        <v>233</v>
      </c>
      <c r="AA4" s="1041"/>
      <c r="AB4" s="1041" t="s">
        <v>351</v>
      </c>
      <c r="AC4" s="1041"/>
      <c r="AD4" s="1041"/>
      <c r="AE4" s="1041"/>
      <c r="AF4" s="1041" t="s">
        <v>348</v>
      </c>
      <c r="AG4" s="53"/>
      <c r="AH4" s="53"/>
      <c r="AI4" s="53"/>
      <c r="AJ4" s="53"/>
      <c r="AK4" s="53"/>
      <c r="AL4" s="53"/>
      <c r="AM4" s="53"/>
      <c r="AN4" s="53"/>
      <c r="AO4" s="53"/>
      <c r="AP4" s="53"/>
      <c r="AQ4" s="53"/>
      <c r="AR4" s="53"/>
      <c r="AS4" s="53"/>
      <c r="AT4" s="53"/>
      <c r="AU4" s="53"/>
      <c r="AV4" s="53"/>
      <c r="AW4" s="53"/>
      <c r="AX4" s="53"/>
      <c r="BA4" s="1041" t="s">
        <v>5726</v>
      </c>
      <c r="BB4" s="1041" t="s">
        <v>5727</v>
      </c>
      <c r="BC4" s="1041" t="s">
        <v>5728</v>
      </c>
      <c r="BD4" s="1041" t="s">
        <v>5729</v>
      </c>
      <c r="BE4" s="1041" t="s">
        <v>5730</v>
      </c>
      <c r="BF4" s="1041" t="s">
        <v>5731</v>
      </c>
      <c r="BG4" s="1041" t="s">
        <v>5732</v>
      </c>
      <c r="BH4" s="1041" t="s">
        <v>5733</v>
      </c>
      <c r="CA4" s="1041" t="s">
        <v>5726</v>
      </c>
      <c r="CB4" s="1041" t="s">
        <v>5727</v>
      </c>
      <c r="CC4" s="1041" t="s">
        <v>5728</v>
      </c>
      <c r="CD4" s="1041" t="s">
        <v>5729</v>
      </c>
      <c r="CE4" s="1041" t="s">
        <v>5730</v>
      </c>
      <c r="CF4" s="1041" t="s">
        <v>5731</v>
      </c>
      <c r="CG4" s="1041" t="s">
        <v>5732</v>
      </c>
      <c r="CH4" s="1095" t="s">
        <v>5733</v>
      </c>
      <c r="CI4" s="237"/>
      <c r="CJ4" s="237"/>
      <c r="CK4" s="237"/>
      <c r="CL4" s="237"/>
      <c r="CM4" s="237"/>
      <c r="DA4" s="498" t="s">
        <v>350</v>
      </c>
      <c r="DB4" s="1588" t="s">
        <v>351</v>
      </c>
      <c r="DC4" s="1794"/>
      <c r="DD4" s="1497" t="s">
        <v>5463</v>
      </c>
      <c r="EA4" s="1041" t="s">
        <v>5726</v>
      </c>
      <c r="EB4" s="1041" t="s">
        <v>5727</v>
      </c>
      <c r="EC4" s="1041" t="s">
        <v>5728</v>
      </c>
      <c r="ED4" s="1041" t="s">
        <v>5729</v>
      </c>
      <c r="EE4" s="1041" t="s">
        <v>5730</v>
      </c>
      <c r="EF4" s="1041" t="s">
        <v>5731</v>
      </c>
      <c r="EG4" s="1041" t="s">
        <v>5732</v>
      </c>
      <c r="EH4" s="1041" t="s">
        <v>5733</v>
      </c>
      <c r="EZ4" s="129"/>
      <c r="FA4" s="1041" t="s">
        <v>5726</v>
      </c>
      <c r="FB4" s="1041" t="s">
        <v>5727</v>
      </c>
      <c r="FC4" s="1041" t="s">
        <v>5728</v>
      </c>
      <c r="FD4" s="1041" t="s">
        <v>5729</v>
      </c>
      <c r="FE4" s="702" t="s">
        <v>5730</v>
      </c>
      <c r="FF4" s="1041" t="s">
        <v>5731</v>
      </c>
      <c r="FG4" s="702" t="s">
        <v>5732</v>
      </c>
      <c r="FH4" s="1041" t="s">
        <v>5733</v>
      </c>
      <c r="FI4" s="129"/>
      <c r="FJ4" s="129"/>
      <c r="FK4" s="129"/>
      <c r="FL4" s="129"/>
      <c r="FM4" s="129"/>
      <c r="FN4" s="129"/>
      <c r="FO4" s="129"/>
      <c r="FP4" s="129"/>
      <c r="FQ4" s="129"/>
      <c r="FR4" s="129"/>
      <c r="FS4" s="129"/>
      <c r="FT4" s="129"/>
      <c r="FU4" s="129"/>
      <c r="FV4" s="129"/>
      <c r="FW4" s="129"/>
      <c r="FX4" s="129"/>
      <c r="FY4" s="129"/>
      <c r="FZ4" s="129"/>
      <c r="GA4" s="498" t="s">
        <v>350</v>
      </c>
      <c r="GB4" s="234" t="s">
        <v>351</v>
      </c>
      <c r="GC4" s="1779" t="s">
        <v>5487</v>
      </c>
      <c r="GD4" s="1779"/>
      <c r="GE4" s="129"/>
      <c r="GF4" s="129"/>
      <c r="GG4" s="129"/>
      <c r="GH4" s="129"/>
      <c r="GI4" s="129"/>
      <c r="GJ4" s="129"/>
      <c r="GK4" s="129"/>
      <c r="GL4" s="129"/>
      <c r="GM4" s="129"/>
      <c r="GN4" s="129"/>
      <c r="GO4" s="129"/>
      <c r="GP4" s="129"/>
      <c r="GQ4" s="129"/>
      <c r="GR4" s="129"/>
      <c r="GS4" s="129"/>
      <c r="GT4" s="129"/>
      <c r="GU4" s="129"/>
      <c r="GV4" s="129"/>
      <c r="GW4" s="129"/>
      <c r="GX4" s="129"/>
      <c r="GY4" s="129"/>
      <c r="GZ4" s="129"/>
      <c r="HA4" s="1041" t="s">
        <v>5726</v>
      </c>
      <c r="HB4" s="1041" t="s">
        <v>5727</v>
      </c>
      <c r="HC4" s="1041" t="s">
        <v>5728</v>
      </c>
      <c r="HD4" s="1041" t="s">
        <v>5729</v>
      </c>
      <c r="HE4" s="1041" t="s">
        <v>5730</v>
      </c>
      <c r="HF4" s="1041" t="s">
        <v>5731</v>
      </c>
      <c r="HG4" s="1041" t="s">
        <v>5732</v>
      </c>
      <c r="HH4" s="1041" t="s">
        <v>5733</v>
      </c>
      <c r="HI4" s="129"/>
      <c r="HJ4" s="129"/>
      <c r="HK4" s="129"/>
      <c r="HL4" s="129"/>
      <c r="HM4" s="129"/>
      <c r="HN4" s="129"/>
      <c r="HO4" s="129"/>
      <c r="HP4" s="129"/>
      <c r="HQ4" s="129"/>
      <c r="HR4" s="129"/>
      <c r="HS4" s="129"/>
      <c r="HT4" s="129"/>
      <c r="HU4" s="129"/>
      <c r="HV4" s="129"/>
      <c r="HW4" s="129"/>
      <c r="HX4" s="129"/>
      <c r="HY4" s="129"/>
      <c r="HZ4" s="129"/>
      <c r="IA4" s="1041" t="s">
        <v>5726</v>
      </c>
      <c r="IB4" s="1041" t="s">
        <v>5727</v>
      </c>
      <c r="IC4" s="1041" t="s">
        <v>5728</v>
      </c>
      <c r="ID4" s="1041" t="s">
        <v>5729</v>
      </c>
      <c r="IE4" s="702" t="s">
        <v>5730</v>
      </c>
      <c r="IF4" s="1041" t="s">
        <v>5731</v>
      </c>
      <c r="IG4" s="702" t="s">
        <v>5732</v>
      </c>
      <c r="IH4" s="1041" t="s">
        <v>5733</v>
      </c>
      <c r="II4" s="129"/>
      <c r="IJ4" s="129"/>
      <c r="IK4" s="129"/>
      <c r="IL4" s="129"/>
      <c r="IM4" s="129"/>
      <c r="IN4" s="129"/>
      <c r="IO4" s="129"/>
      <c r="IP4" s="129"/>
      <c r="IQ4" s="129"/>
      <c r="IR4" s="129"/>
      <c r="IS4" s="129"/>
      <c r="IT4" s="129"/>
      <c r="IU4" s="129"/>
      <c r="IV4" s="129"/>
      <c r="IW4" s="129"/>
      <c r="IX4" s="129"/>
      <c r="IY4" s="129"/>
      <c r="IZ4" s="129"/>
      <c r="JA4" s="498" t="s">
        <v>350</v>
      </c>
      <c r="JB4" s="232" t="s">
        <v>351</v>
      </c>
      <c r="JC4" s="116"/>
      <c r="JD4" s="116"/>
      <c r="JE4" s="116"/>
      <c r="JF4" s="116"/>
      <c r="JG4" s="116"/>
      <c r="JH4" s="53"/>
      <c r="JI4" s="129"/>
      <c r="JJ4" s="129"/>
      <c r="JK4" s="129"/>
      <c r="JL4" s="129"/>
      <c r="JM4" s="129"/>
      <c r="JN4" s="129"/>
      <c r="JO4" s="129"/>
      <c r="JP4" s="129"/>
      <c r="JQ4" s="129"/>
      <c r="JR4" s="129"/>
      <c r="JS4" s="129"/>
      <c r="JT4" s="129"/>
      <c r="JU4" s="129"/>
      <c r="JV4" s="129"/>
      <c r="JW4" s="129"/>
      <c r="JX4" s="129"/>
      <c r="JY4" s="129"/>
      <c r="JZ4" s="129"/>
      <c r="KA4" s="1041" t="s">
        <v>5726</v>
      </c>
      <c r="KB4" s="1041" t="s">
        <v>5727</v>
      </c>
      <c r="KC4" s="1041" t="s">
        <v>5728</v>
      </c>
      <c r="KD4" s="1041" t="s">
        <v>5729</v>
      </c>
      <c r="KE4" s="1041" t="s">
        <v>5730</v>
      </c>
      <c r="KF4" s="1041" t="s">
        <v>5731</v>
      </c>
      <c r="KG4" s="1041" t="s">
        <v>5732</v>
      </c>
      <c r="KH4" s="1041" t="s">
        <v>5733</v>
      </c>
      <c r="LA4" s="1041" t="s">
        <v>5726</v>
      </c>
      <c r="LB4" s="1041" t="s">
        <v>5727</v>
      </c>
      <c r="LC4" s="1041" t="s">
        <v>5728</v>
      </c>
      <c r="LD4" s="1041" t="s">
        <v>5729</v>
      </c>
      <c r="LE4" s="1041" t="s">
        <v>5730</v>
      </c>
      <c r="LF4" s="1041" t="s">
        <v>5731</v>
      </c>
      <c r="LG4" s="1041" t="s">
        <v>5732</v>
      </c>
      <c r="LH4" s="1041" t="s">
        <v>5733</v>
      </c>
      <c r="MA4" s="498" t="s">
        <v>350</v>
      </c>
      <c r="MB4" s="232" t="s">
        <v>351</v>
      </c>
      <c r="MC4" s="116"/>
      <c r="MD4" s="116"/>
      <c r="ME4" s="116"/>
      <c r="MF4" s="53"/>
      <c r="MG4" s="129"/>
      <c r="MH4" s="129"/>
      <c r="MI4" s="129"/>
      <c r="MJ4" s="129"/>
      <c r="MK4" s="129"/>
      <c r="ML4" s="129"/>
      <c r="MM4" s="129"/>
      <c r="MN4" s="129"/>
      <c r="MO4" s="129"/>
      <c r="MP4" s="129"/>
      <c r="MQ4" s="129"/>
      <c r="MR4" s="129"/>
      <c r="MS4" s="129"/>
      <c r="MT4" s="129"/>
      <c r="MU4" s="129"/>
      <c r="MV4" s="129"/>
      <c r="MW4" s="129"/>
      <c r="MX4" s="129"/>
      <c r="MY4" s="129"/>
      <c r="MZ4" s="129"/>
      <c r="NA4" s="1041" t="s">
        <v>5726</v>
      </c>
      <c r="NB4" s="1041" t="s">
        <v>5727</v>
      </c>
      <c r="NC4" s="1041" t="s">
        <v>5728</v>
      </c>
      <c r="ND4" s="1041" t="s">
        <v>5729</v>
      </c>
      <c r="NE4" s="1041" t="s">
        <v>5730</v>
      </c>
      <c r="NF4" s="1041" t="s">
        <v>5731</v>
      </c>
      <c r="NG4" s="1041" t="s">
        <v>5732</v>
      </c>
      <c r="OA4" s="1041" t="s">
        <v>5726</v>
      </c>
      <c r="OB4" s="1041" t="s">
        <v>5727</v>
      </c>
      <c r="OC4" s="1041" t="s">
        <v>5728</v>
      </c>
      <c r="OD4" s="1041" t="s">
        <v>5729</v>
      </c>
      <c r="OE4" s="1041" t="s">
        <v>5730</v>
      </c>
      <c r="OF4" s="1041" t="s">
        <v>5731</v>
      </c>
      <c r="OG4" s="1095" t="s">
        <v>5732</v>
      </c>
      <c r="OH4" s="237"/>
      <c r="PA4" s="498" t="s">
        <v>350</v>
      </c>
      <c r="PB4" s="232" t="s">
        <v>351</v>
      </c>
      <c r="PC4" s="116"/>
      <c r="PD4" s="116"/>
      <c r="PE4" s="116"/>
      <c r="PF4" s="53"/>
      <c r="PG4" s="129"/>
      <c r="PH4" s="129"/>
      <c r="PI4" s="129"/>
      <c r="PJ4" s="129"/>
      <c r="PK4" s="129"/>
      <c r="PL4" s="129"/>
      <c r="PM4" s="129"/>
      <c r="PN4" s="129"/>
      <c r="PO4" s="129"/>
      <c r="PP4" s="129"/>
      <c r="PQ4" s="129"/>
      <c r="PR4" s="129"/>
      <c r="PS4" s="129"/>
      <c r="PT4" s="129"/>
      <c r="PU4" s="129"/>
      <c r="PV4" s="129"/>
      <c r="PW4" s="129"/>
      <c r="PX4" s="129"/>
      <c r="PY4" s="129"/>
      <c r="PZ4" s="129"/>
      <c r="QA4" s="1041" t="s">
        <v>5726</v>
      </c>
      <c r="QB4" s="1041" t="s">
        <v>5727</v>
      </c>
      <c r="QC4" s="1041" t="s">
        <v>5728</v>
      </c>
      <c r="QD4" s="1041" t="s">
        <v>5729</v>
      </c>
      <c r="QE4" s="1041" t="s">
        <v>5730</v>
      </c>
      <c r="QF4" s="1041" t="s">
        <v>5746</v>
      </c>
      <c r="QG4" s="1041" t="s">
        <v>5732</v>
      </c>
      <c r="QH4" s="1041" t="s">
        <v>5733</v>
      </c>
      <c r="RA4" s="1041" t="s">
        <v>5726</v>
      </c>
      <c r="RB4" s="1041" t="s">
        <v>5727</v>
      </c>
      <c r="RC4" s="1041" t="s">
        <v>5728</v>
      </c>
      <c r="RD4" s="1041" t="s">
        <v>5729</v>
      </c>
      <c r="RE4" s="1041" t="s">
        <v>5730</v>
      </c>
      <c r="RF4" s="1041" t="s">
        <v>5746</v>
      </c>
      <c r="RG4" s="1041" t="s">
        <v>5732</v>
      </c>
      <c r="RH4" s="1041" t="s">
        <v>5733</v>
      </c>
      <c r="RI4" s="237"/>
      <c r="RJ4" s="237"/>
      <c r="RK4" s="237"/>
      <c r="RL4" s="237"/>
      <c r="RM4" s="237"/>
      <c r="RN4" s="237"/>
      <c r="RO4" s="237"/>
      <c r="RP4" s="237"/>
      <c r="RQ4" s="237"/>
      <c r="RR4" s="237"/>
      <c r="RS4" s="237"/>
      <c r="RT4" s="237"/>
      <c r="RU4" s="237"/>
      <c r="RV4" s="237"/>
      <c r="RW4" s="237"/>
      <c r="RX4" s="237"/>
      <c r="SA4" s="498" t="s">
        <v>350</v>
      </c>
      <c r="SB4" s="1588" t="s">
        <v>351</v>
      </c>
      <c r="SC4" s="1820"/>
      <c r="SD4" s="1820"/>
      <c r="SE4" s="1808" t="s">
        <v>5509</v>
      </c>
      <c r="SF4" s="245"/>
      <c r="SG4" s="245"/>
      <c r="SH4" s="245"/>
      <c r="SI4" s="237"/>
    </row>
    <row r="5" spans="1:506" ht="30" customHeight="1" thickBot="1">
      <c r="B5" s="349">
        <v>2</v>
      </c>
      <c r="C5" s="138" t="s">
        <v>5632</v>
      </c>
      <c r="D5" s="138" t="s">
        <v>5610</v>
      </c>
      <c r="E5" s="1063" t="s">
        <v>5633</v>
      </c>
      <c r="F5" s="546" t="s">
        <v>233</v>
      </c>
      <c r="AA5" s="222" t="s">
        <v>6063</v>
      </c>
      <c r="AB5" s="1795" t="s">
        <v>6841</v>
      </c>
      <c r="AC5" s="1796"/>
      <c r="AD5" s="1797"/>
      <c r="AE5" s="258">
        <v>1</v>
      </c>
      <c r="AF5" s="1236"/>
      <c r="AG5" s="133"/>
      <c r="AH5" s="133"/>
      <c r="AI5" s="133"/>
      <c r="AJ5" s="133"/>
      <c r="AK5" s="133"/>
      <c r="AL5" s="133"/>
      <c r="AM5" s="133"/>
      <c r="AN5" s="133"/>
      <c r="AO5" s="133"/>
      <c r="AP5" s="133"/>
      <c r="AQ5" s="133"/>
      <c r="AR5" s="133"/>
      <c r="AS5" s="133"/>
      <c r="AT5" s="133"/>
      <c r="AU5" s="133"/>
      <c r="AV5" s="133"/>
      <c r="AW5" s="133"/>
      <c r="AX5" s="133"/>
      <c r="BA5" s="1087" t="s">
        <v>5736</v>
      </c>
      <c r="BB5" s="1087" t="s">
        <v>5723</v>
      </c>
      <c r="BC5" s="1087" t="str">
        <f>$AA$6</f>
        <v>Stakeholder Name</v>
      </c>
      <c r="BD5" s="1087" t="s">
        <v>5608</v>
      </c>
      <c r="BE5" s="1087" t="s">
        <v>935</v>
      </c>
      <c r="BF5" s="1085" t="s">
        <v>5739</v>
      </c>
      <c r="BG5" s="1087" t="s">
        <v>5757</v>
      </c>
      <c r="BH5" s="1087" t="s">
        <v>5758</v>
      </c>
      <c r="CA5" s="1087" t="s">
        <v>5736</v>
      </c>
      <c r="CB5" s="1087" t="s">
        <v>5723</v>
      </c>
      <c r="CC5" s="1087" t="str">
        <f>$AA$6</f>
        <v>Stakeholder Name</v>
      </c>
      <c r="CD5" s="1087" t="s">
        <v>5608</v>
      </c>
      <c r="CE5" s="1087" t="s">
        <v>935</v>
      </c>
      <c r="CF5" s="1085" t="s">
        <v>5904</v>
      </c>
      <c r="CG5" s="1087" t="s">
        <v>5757</v>
      </c>
      <c r="CH5" s="1087" t="s">
        <v>5758</v>
      </c>
      <c r="CK5" s="1085"/>
      <c r="DA5" s="547" t="s">
        <v>5462</v>
      </c>
      <c r="DB5" s="1777" t="s">
        <v>5451</v>
      </c>
      <c r="DC5" s="1778"/>
      <c r="DD5" s="1499"/>
      <c r="DE5" s="437">
        <v>1</v>
      </c>
      <c r="DF5" s="378" t="s">
        <v>5768</v>
      </c>
      <c r="EA5" s="1087" t="s">
        <v>5736</v>
      </c>
      <c r="EB5" s="129" t="s">
        <v>5723</v>
      </c>
      <c r="EC5" s="129" t="s">
        <v>5462</v>
      </c>
      <c r="ED5" s="129" t="s">
        <v>5454</v>
      </c>
      <c r="EE5" s="129" t="s">
        <v>5453</v>
      </c>
      <c r="EF5" s="1085" t="s">
        <v>5739</v>
      </c>
      <c r="EG5" s="129" t="s">
        <v>5757</v>
      </c>
      <c r="EH5" s="129" t="s">
        <v>5758</v>
      </c>
      <c r="EZ5" s="129"/>
      <c r="FA5" s="1087" t="s">
        <v>5736</v>
      </c>
      <c r="FB5" s="129" t="s">
        <v>5723</v>
      </c>
      <c r="FC5" s="129" t="str">
        <f>$AA$6</f>
        <v>Stakeholder Name</v>
      </c>
      <c r="FD5" s="129" t="s">
        <v>5454</v>
      </c>
      <c r="FE5" s="129" t="s">
        <v>5453</v>
      </c>
      <c r="FF5" s="1085" t="s">
        <v>5739</v>
      </c>
      <c r="FG5" s="129" t="s">
        <v>5757</v>
      </c>
      <c r="FH5" s="129" t="s">
        <v>5758</v>
      </c>
      <c r="FI5" s="129"/>
      <c r="FJ5" s="129"/>
      <c r="FK5" s="129"/>
      <c r="FL5" s="129"/>
      <c r="FM5" s="129"/>
      <c r="FN5" s="129"/>
      <c r="FO5" s="129"/>
      <c r="FP5" s="129"/>
      <c r="FQ5" s="129"/>
      <c r="FR5" s="129"/>
      <c r="FS5" s="129"/>
      <c r="FT5" s="129"/>
      <c r="FU5" s="129"/>
      <c r="FV5" s="129"/>
      <c r="FW5" s="129"/>
      <c r="FX5" s="129"/>
      <c r="FY5" s="129"/>
      <c r="FZ5" s="129"/>
      <c r="GA5" s="222" t="s">
        <v>5462</v>
      </c>
      <c r="GB5" s="1045" t="s">
        <v>5480</v>
      </c>
      <c r="GC5" s="1780"/>
      <c r="GD5" s="1780"/>
      <c r="GE5" s="225">
        <v>1</v>
      </c>
      <c r="GF5" s="129" t="s">
        <v>5486</v>
      </c>
      <c r="GG5" s="129"/>
      <c r="GH5" s="129"/>
      <c r="GI5" s="129"/>
      <c r="GJ5" s="129"/>
      <c r="GK5" s="129"/>
      <c r="GL5" s="129"/>
      <c r="GM5" s="129"/>
      <c r="GN5" s="129"/>
      <c r="GO5" s="129"/>
      <c r="GP5" s="129"/>
      <c r="GQ5" s="129"/>
      <c r="GR5" s="129"/>
      <c r="GS5" s="129"/>
      <c r="GT5" s="129"/>
      <c r="GU5" s="129"/>
      <c r="GV5" s="129"/>
      <c r="GW5" s="129"/>
      <c r="GX5" s="129"/>
      <c r="GY5" s="129"/>
      <c r="GZ5" s="129"/>
      <c r="HA5" s="1087" t="s">
        <v>5736</v>
      </c>
      <c r="HB5" s="129" t="s">
        <v>5723</v>
      </c>
      <c r="HC5" s="129" t="str">
        <f>$AA$6</f>
        <v>Stakeholder Name</v>
      </c>
      <c r="HD5" s="129" t="s">
        <v>5738</v>
      </c>
      <c r="HE5" s="129" t="s">
        <v>938</v>
      </c>
      <c r="HF5" s="1085" t="s">
        <v>5739</v>
      </c>
      <c r="HG5" s="129" t="s">
        <v>5757</v>
      </c>
      <c r="HH5" s="129" t="s">
        <v>5758</v>
      </c>
      <c r="HI5" s="129"/>
      <c r="HJ5" s="129"/>
      <c r="HK5" s="129"/>
      <c r="HL5" s="129"/>
      <c r="HM5" s="129"/>
      <c r="HN5" s="129"/>
      <c r="HO5" s="129"/>
      <c r="HP5" s="129"/>
      <c r="HQ5" s="129"/>
      <c r="HR5" s="129"/>
      <c r="HS5" s="129"/>
      <c r="HT5" s="129"/>
      <c r="HU5" s="129"/>
      <c r="HV5" s="129"/>
      <c r="HW5" s="129"/>
      <c r="HX5" s="129"/>
      <c r="HY5" s="129"/>
      <c r="HZ5" s="129"/>
      <c r="IA5" s="1087" t="s">
        <v>5736</v>
      </c>
      <c r="IB5" s="129" t="s">
        <v>5723</v>
      </c>
      <c r="IC5" s="129" t="str">
        <f>$AA$6</f>
        <v>Stakeholder Name</v>
      </c>
      <c r="ID5" s="129" t="s">
        <v>5738</v>
      </c>
      <c r="IE5" s="129" t="s">
        <v>938</v>
      </c>
      <c r="IF5" s="1085" t="s">
        <v>5739</v>
      </c>
      <c r="IG5" s="129" t="s">
        <v>5747</v>
      </c>
      <c r="IH5" s="129" t="s">
        <v>5748</v>
      </c>
      <c r="II5" s="129"/>
      <c r="IJ5" s="129"/>
      <c r="IK5" s="129"/>
      <c r="IL5" s="129"/>
      <c r="IM5" s="129"/>
      <c r="IN5" s="129"/>
      <c r="IO5" s="129"/>
      <c r="IP5" s="129"/>
      <c r="IQ5" s="129"/>
      <c r="IR5" s="129"/>
      <c r="IS5" s="129"/>
      <c r="IT5" s="129"/>
      <c r="IU5" s="129"/>
      <c r="IV5" s="129"/>
      <c r="IW5" s="129"/>
      <c r="IX5" s="129"/>
      <c r="IY5" s="129"/>
      <c r="IZ5" s="129"/>
      <c r="JA5" s="399" t="s">
        <v>5462</v>
      </c>
      <c r="JB5" s="1784" t="s">
        <v>5490</v>
      </c>
      <c r="JC5" s="1784"/>
      <c r="JD5" s="1190"/>
      <c r="JE5" s="1522" t="s">
        <v>6116</v>
      </c>
      <c r="JF5" s="1767"/>
      <c r="JG5" s="157">
        <v>1</v>
      </c>
      <c r="JH5" s="1129" t="s">
        <v>6090</v>
      </c>
      <c r="JI5" s="129"/>
      <c r="JJ5" s="129"/>
      <c r="JK5" s="129"/>
      <c r="JL5" s="129"/>
      <c r="JM5" s="129"/>
      <c r="JN5" s="129"/>
      <c r="JO5" s="129"/>
      <c r="JP5" s="129"/>
      <c r="JQ5" s="129"/>
      <c r="JR5" s="129"/>
      <c r="JS5" s="129"/>
      <c r="JT5" s="129"/>
      <c r="JU5" s="129"/>
      <c r="JV5" s="129"/>
      <c r="JW5" s="129"/>
      <c r="JX5" s="129"/>
      <c r="JY5" s="129"/>
      <c r="JZ5" s="129"/>
      <c r="KA5" s="1087" t="s">
        <v>5736</v>
      </c>
      <c r="KB5" s="129" t="s">
        <v>5723</v>
      </c>
      <c r="KC5" s="129" t="str">
        <f>$AA$6</f>
        <v>Stakeholder Name</v>
      </c>
      <c r="KD5" s="129" t="s">
        <v>6063</v>
      </c>
      <c r="KE5" s="378" t="s">
        <v>6117</v>
      </c>
      <c r="KF5" s="1085" t="s">
        <v>5739</v>
      </c>
      <c r="KG5" s="129" t="s">
        <v>5747</v>
      </c>
      <c r="KH5" s="129" t="s">
        <v>5748</v>
      </c>
      <c r="LA5" s="1087" t="s">
        <v>5736</v>
      </c>
      <c r="LB5" s="129" t="s">
        <v>5723</v>
      </c>
      <c r="LC5" s="129" t="str">
        <f>$AA$6</f>
        <v>Stakeholder Name</v>
      </c>
      <c r="LD5" s="129" t="s">
        <v>6063</v>
      </c>
      <c r="LE5" s="378" t="s">
        <v>6117</v>
      </c>
      <c r="LF5" s="1085" t="s">
        <v>5739</v>
      </c>
      <c r="LG5" s="129" t="s">
        <v>5747</v>
      </c>
      <c r="LH5" s="129" t="s">
        <v>5748</v>
      </c>
      <c r="MA5" s="222" t="s">
        <v>1193</v>
      </c>
      <c r="MB5" s="1121" t="s">
        <v>6006</v>
      </c>
      <c r="MC5" s="1782" t="s">
        <v>6162</v>
      </c>
      <c r="MD5" s="1783"/>
      <c r="ME5" s="157">
        <v>1</v>
      </c>
      <c r="MF5" s="129" t="s">
        <v>6074</v>
      </c>
      <c r="MG5" s="129"/>
      <c r="MH5" s="129"/>
      <c r="MI5" s="129"/>
      <c r="MJ5" s="129"/>
      <c r="MK5" s="129"/>
      <c r="ML5" s="129"/>
      <c r="MM5" s="129"/>
      <c r="MN5" s="129"/>
      <c r="MO5" s="129"/>
      <c r="MP5" s="129"/>
      <c r="MQ5" s="129"/>
      <c r="MR5" s="129"/>
      <c r="MS5" s="129"/>
      <c r="MT5" s="129"/>
      <c r="MU5" s="129"/>
      <c r="MV5" s="129"/>
      <c r="MW5" s="129"/>
      <c r="MX5" s="129"/>
      <c r="MY5" s="129"/>
      <c r="MZ5" s="129"/>
      <c r="NA5" s="1087" t="s">
        <v>5736</v>
      </c>
      <c r="NB5" s="129" t="s">
        <v>5723</v>
      </c>
      <c r="NC5" s="129" t="str">
        <f>$AA$6</f>
        <v>Stakeholder Name</v>
      </c>
      <c r="ND5" s="129" t="s">
        <v>1193</v>
      </c>
      <c r="NE5" s="1085" t="s">
        <v>5739</v>
      </c>
      <c r="NF5" s="129" t="s">
        <v>5747</v>
      </c>
      <c r="NG5" s="129" t="s">
        <v>5748</v>
      </c>
      <c r="OA5" s="1087" t="s">
        <v>5736</v>
      </c>
      <c r="OB5" s="129" t="s">
        <v>5723</v>
      </c>
      <c r="OC5" s="129" t="str">
        <f>$AA$6</f>
        <v>Stakeholder Name</v>
      </c>
      <c r="OD5" s="129" t="s">
        <v>1193</v>
      </c>
      <c r="OE5" s="1085" t="s">
        <v>5739</v>
      </c>
      <c r="OF5" s="129" t="s">
        <v>5747</v>
      </c>
      <c r="OG5" s="129" t="s">
        <v>5748</v>
      </c>
      <c r="PA5" s="222" t="s">
        <v>1193</v>
      </c>
      <c r="PB5" s="1122" t="s">
        <v>6082</v>
      </c>
      <c r="PC5" s="1522" t="s">
        <v>6073</v>
      </c>
      <c r="PD5" s="1767"/>
      <c r="PE5" s="157">
        <v>2</v>
      </c>
      <c r="PF5" s="862" t="s">
        <v>6089</v>
      </c>
      <c r="PG5" s="129"/>
      <c r="PH5" s="129"/>
      <c r="PI5" s="129"/>
      <c r="PJ5" s="129"/>
      <c r="PK5" s="129"/>
      <c r="PL5" s="129"/>
      <c r="PM5" s="129"/>
      <c r="PN5" s="129"/>
      <c r="PO5" s="129"/>
      <c r="PP5" s="129"/>
      <c r="PQ5" s="129"/>
      <c r="PR5" s="129"/>
      <c r="PS5" s="129"/>
      <c r="PT5" s="129"/>
      <c r="PU5" s="129"/>
      <c r="PV5" s="129"/>
      <c r="PW5" s="129"/>
      <c r="PX5" s="129"/>
      <c r="PY5" s="129"/>
      <c r="PZ5" s="129"/>
      <c r="QA5" s="1087" t="s">
        <v>5736</v>
      </c>
      <c r="QB5" s="129" t="s">
        <v>5723</v>
      </c>
      <c r="QC5" s="129" t="str">
        <f>$AA$6</f>
        <v>Stakeholder Name</v>
      </c>
      <c r="QD5" s="129" t="s">
        <v>1193</v>
      </c>
      <c r="QE5" s="129" t="s">
        <v>1296</v>
      </c>
      <c r="QF5" s="1085" t="s">
        <v>5739</v>
      </c>
      <c r="QG5" s="129" t="s">
        <v>5747</v>
      </c>
      <c r="QH5" s="129" t="s">
        <v>5748</v>
      </c>
      <c r="RA5" s="1087" t="s">
        <v>5736</v>
      </c>
      <c r="RB5" s="129" t="s">
        <v>5723</v>
      </c>
      <c r="RC5" s="129" t="str">
        <f>$AA$6</f>
        <v>Stakeholder Name</v>
      </c>
      <c r="RD5" s="129" t="s">
        <v>1193</v>
      </c>
      <c r="RE5" s="129" t="s">
        <v>1296</v>
      </c>
      <c r="RF5" s="1085" t="s">
        <v>5739</v>
      </c>
      <c r="RG5" s="129" t="s">
        <v>5747</v>
      </c>
      <c r="RH5" s="129" t="s">
        <v>5748</v>
      </c>
      <c r="SA5" s="222" t="s">
        <v>5462</v>
      </c>
      <c r="SB5" s="1816" t="s">
        <v>5496</v>
      </c>
      <c r="SC5" s="1816"/>
      <c r="SD5" s="1817"/>
      <c r="SE5" s="1809"/>
      <c r="SF5" s="171"/>
      <c r="SG5" s="171"/>
      <c r="SH5" s="129">
        <v>1</v>
      </c>
      <c r="SI5" s="1046" t="s">
        <v>5498</v>
      </c>
    </row>
    <row r="6" spans="1:506" ht="30" customHeight="1" thickBot="1">
      <c r="B6" s="1082">
        <v>3</v>
      </c>
      <c r="C6" s="138" t="s">
        <v>5612</v>
      </c>
      <c r="D6" s="138" t="s">
        <v>5611</v>
      </c>
      <c r="E6" s="1063" t="s">
        <v>5636</v>
      </c>
      <c r="F6" s="546" t="s">
        <v>233</v>
      </c>
      <c r="AA6" s="222" t="s">
        <v>5462</v>
      </c>
      <c r="AB6" s="1068" t="s">
        <v>933</v>
      </c>
      <c r="AC6" s="1522" t="s">
        <v>5879</v>
      </c>
      <c r="AD6" s="1767"/>
      <c r="AE6" s="157">
        <v>2</v>
      </c>
      <c r="AF6" s="1101" t="s">
        <v>930</v>
      </c>
      <c r="AG6" s="378"/>
      <c r="AH6" s="378"/>
      <c r="AI6" s="378"/>
      <c r="AJ6" s="378"/>
      <c r="AK6" s="378"/>
      <c r="AL6" s="378"/>
      <c r="AM6" s="378"/>
      <c r="AN6" s="378"/>
      <c r="AO6" s="378"/>
      <c r="AP6" s="378"/>
      <c r="AQ6" s="378"/>
      <c r="AR6" s="378"/>
      <c r="AS6" s="378"/>
      <c r="AT6" s="378"/>
      <c r="AU6" s="378"/>
      <c r="AV6" s="378"/>
      <c r="AW6" s="378"/>
      <c r="AX6" s="378"/>
      <c r="BC6" s="378"/>
      <c r="CA6" s="1086"/>
      <c r="DA6" s="547" t="s">
        <v>5454</v>
      </c>
      <c r="DB6" s="1793" t="s">
        <v>6840</v>
      </c>
      <c r="DC6" s="1793"/>
      <c r="DD6" s="1497" t="s">
        <v>5464</v>
      </c>
      <c r="DE6" s="437">
        <v>2</v>
      </c>
      <c r="DF6" s="378" t="s">
        <v>5452</v>
      </c>
      <c r="EC6" s="378"/>
      <c r="EZ6" s="129"/>
      <c r="FA6" s="129"/>
      <c r="FB6" s="129"/>
      <c r="FD6" s="129"/>
      <c r="FE6" s="129"/>
      <c r="FF6" s="129"/>
      <c r="FG6" s="129"/>
      <c r="FH6" s="129"/>
      <c r="FI6" s="129"/>
      <c r="FJ6" s="129"/>
      <c r="FK6" s="129"/>
      <c r="FL6" s="129"/>
      <c r="FM6" s="129"/>
      <c r="FN6" s="129"/>
      <c r="FO6" s="129"/>
      <c r="FP6" s="129"/>
      <c r="FQ6" s="129"/>
      <c r="FR6" s="129"/>
      <c r="FS6" s="129"/>
      <c r="FT6" s="129"/>
      <c r="FU6" s="129"/>
      <c r="FV6" s="129"/>
      <c r="FW6" s="129"/>
      <c r="FX6" s="129"/>
      <c r="FY6" s="129"/>
      <c r="FZ6" s="129"/>
      <c r="GA6" s="540" t="s">
        <v>34</v>
      </c>
      <c r="GB6" s="1043" t="s">
        <v>5481</v>
      </c>
      <c r="GC6" s="1780"/>
      <c r="GD6" s="1780"/>
      <c r="GE6" s="225">
        <v>2</v>
      </c>
      <c r="GF6" s="129" t="s">
        <v>5483</v>
      </c>
      <c r="GG6" s="129"/>
      <c r="GH6" s="129"/>
      <c r="GI6" s="129"/>
      <c r="GJ6" s="129"/>
      <c r="GK6" s="129"/>
      <c r="GL6" s="129"/>
      <c r="GM6" s="129"/>
      <c r="GN6" s="129"/>
      <c r="GO6" s="129"/>
      <c r="GP6" s="129"/>
      <c r="GQ6" s="129"/>
      <c r="GR6" s="129"/>
      <c r="GS6" s="129"/>
      <c r="GT6" s="129"/>
      <c r="GU6" s="129"/>
      <c r="GV6" s="129"/>
      <c r="GW6" s="129"/>
      <c r="GX6" s="129"/>
      <c r="GY6" s="129"/>
      <c r="GZ6" s="129"/>
      <c r="HG6" s="129"/>
      <c r="HH6" s="129"/>
      <c r="HI6" s="129"/>
      <c r="HJ6" s="129"/>
      <c r="HK6" s="129"/>
      <c r="HL6" s="129"/>
      <c r="HM6" s="129"/>
      <c r="HN6" s="129"/>
      <c r="HO6" s="129"/>
      <c r="HP6" s="129"/>
      <c r="HQ6" s="129"/>
      <c r="HR6" s="129"/>
      <c r="HS6" s="129"/>
      <c r="HT6" s="129"/>
      <c r="HU6" s="129"/>
      <c r="HV6" s="129"/>
      <c r="HW6" s="129"/>
      <c r="HX6" s="129"/>
      <c r="HY6" s="129"/>
      <c r="HZ6" s="129"/>
      <c r="IA6" s="129"/>
      <c r="IB6" s="129"/>
      <c r="ID6" s="129"/>
      <c r="IE6" s="129"/>
      <c r="IF6" s="129"/>
      <c r="IG6" s="129"/>
      <c r="IH6" s="129"/>
      <c r="II6" s="129"/>
      <c r="IJ6" s="129"/>
      <c r="IK6" s="129"/>
      <c r="IL6" s="129"/>
      <c r="IM6" s="129"/>
      <c r="IN6" s="129"/>
      <c r="IO6" s="129"/>
      <c r="IP6" s="129"/>
      <c r="IQ6" s="129"/>
      <c r="IR6" s="129"/>
      <c r="IS6" s="129"/>
      <c r="IT6" s="129"/>
      <c r="IU6" s="129"/>
      <c r="IV6" s="129"/>
      <c r="IW6" s="129"/>
      <c r="IX6" s="129"/>
      <c r="IY6" s="129"/>
      <c r="IZ6" s="129"/>
      <c r="JA6" s="1813" t="s">
        <v>6097</v>
      </c>
      <c r="JB6" s="1813"/>
      <c r="JC6" s="1813" t="s">
        <v>6112</v>
      </c>
      <c r="JD6" s="1813"/>
      <c r="JE6" s="1814"/>
      <c r="JF6" s="1798"/>
      <c r="JG6" s="157"/>
      <c r="JH6" s="1130"/>
      <c r="JI6" s="129"/>
      <c r="JJ6" s="129"/>
      <c r="JK6" s="129"/>
      <c r="JL6" s="129"/>
      <c r="JM6" s="129"/>
      <c r="JN6" s="129"/>
      <c r="JO6" s="129"/>
      <c r="JP6" s="129"/>
      <c r="JQ6" s="129"/>
      <c r="JR6" s="129"/>
      <c r="JS6" s="129"/>
      <c r="JT6" s="129"/>
      <c r="JU6" s="129"/>
      <c r="JV6" s="129"/>
      <c r="JW6" s="129"/>
      <c r="JX6" s="129"/>
      <c r="JY6" s="129"/>
      <c r="JZ6" s="129"/>
      <c r="MA6" s="222" t="s">
        <v>5462</v>
      </c>
      <c r="MB6" s="1094" t="s">
        <v>5490</v>
      </c>
      <c r="MC6" s="1782" t="s">
        <v>6157</v>
      </c>
      <c r="MD6" s="1783"/>
      <c r="ME6" s="157">
        <v>2</v>
      </c>
      <c r="MF6" s="129" t="s">
        <v>5740</v>
      </c>
      <c r="MG6" s="129"/>
      <c r="MH6" s="129"/>
      <c r="MI6" s="129"/>
      <c r="MJ6" s="129"/>
      <c r="MK6" s="129"/>
      <c r="ML6" s="129"/>
      <c r="MM6" s="129"/>
      <c r="MN6" s="129"/>
      <c r="MO6" s="129"/>
      <c r="MP6" s="129"/>
      <c r="MQ6" s="129"/>
      <c r="MR6" s="129"/>
      <c r="MS6" s="129"/>
      <c r="MT6" s="129"/>
      <c r="MU6" s="129"/>
      <c r="MV6" s="129"/>
      <c r="MW6" s="129"/>
      <c r="MX6" s="129"/>
      <c r="MY6" s="129"/>
      <c r="MZ6" s="129"/>
      <c r="PA6" s="222" t="s">
        <v>5462</v>
      </c>
      <c r="PB6" s="1094" t="s">
        <v>5490</v>
      </c>
      <c r="PC6" s="1524"/>
      <c r="PD6" s="1768"/>
      <c r="PE6" s="157">
        <v>1</v>
      </c>
      <c r="PF6" s="129" t="s">
        <v>5740</v>
      </c>
      <c r="PG6" s="129"/>
      <c r="PH6" s="129"/>
      <c r="PI6" s="129"/>
      <c r="PJ6" s="129"/>
      <c r="PK6" s="129"/>
      <c r="PL6" s="129"/>
      <c r="PM6" s="129"/>
      <c r="PN6" s="129"/>
      <c r="PO6" s="129"/>
      <c r="PP6" s="129"/>
      <c r="PQ6" s="129"/>
      <c r="PR6" s="129"/>
      <c r="PS6" s="129"/>
      <c r="PT6" s="129"/>
      <c r="PU6" s="129"/>
      <c r="PV6" s="129"/>
      <c r="PW6" s="129"/>
      <c r="PX6" s="129"/>
      <c r="PY6" s="129"/>
      <c r="PZ6" s="129"/>
      <c r="SA6" s="222" t="s">
        <v>932</v>
      </c>
      <c r="SB6" s="1818" t="s">
        <v>5510</v>
      </c>
      <c r="SC6" s="1818"/>
      <c r="SD6" s="1795"/>
      <c r="SE6" s="1809"/>
      <c r="SF6" s="215"/>
      <c r="SG6" s="215"/>
      <c r="SH6" s="129">
        <v>2</v>
      </c>
      <c r="SI6" s="1047" t="s">
        <v>5512</v>
      </c>
    </row>
    <row r="7" spans="1:506" ht="30" customHeight="1" thickBot="1">
      <c r="B7" s="1082">
        <v>4</v>
      </c>
      <c r="C7" s="138" t="s">
        <v>5616</v>
      </c>
      <c r="D7" s="138" t="s">
        <v>5613</v>
      </c>
      <c r="E7" s="138" t="s">
        <v>5474</v>
      </c>
      <c r="F7" s="546" t="s">
        <v>233</v>
      </c>
      <c r="AA7" s="222" t="s">
        <v>5436</v>
      </c>
      <c r="AB7" s="1069" t="s">
        <v>6605</v>
      </c>
      <c r="AC7" s="1523"/>
      <c r="AD7" s="1798"/>
      <c r="AE7" s="437">
        <v>3</v>
      </c>
      <c r="AF7" s="1092" t="s">
        <v>5769</v>
      </c>
      <c r="AG7" s="378"/>
      <c r="AH7" s="378"/>
      <c r="AI7" s="378"/>
      <c r="AJ7" s="378"/>
      <c r="AK7" s="378"/>
      <c r="AL7" s="378"/>
      <c r="AM7" s="378"/>
      <c r="AN7" s="378"/>
      <c r="AO7" s="378"/>
      <c r="AP7" s="378"/>
      <c r="AQ7" s="378"/>
      <c r="AR7" s="378"/>
      <c r="AS7" s="378"/>
      <c r="AT7" s="378"/>
      <c r="AU7" s="378"/>
      <c r="AV7" s="378"/>
      <c r="AW7" s="378"/>
      <c r="AX7" s="378"/>
      <c r="BA7" s="129" t="s">
        <v>5726</v>
      </c>
      <c r="BB7" s="129" t="s">
        <v>5753</v>
      </c>
      <c r="CA7" s="129" t="s">
        <v>5726</v>
      </c>
      <c r="CB7" s="129" t="s">
        <v>5753</v>
      </c>
      <c r="DA7" s="547" t="s">
        <v>5453</v>
      </c>
      <c r="DB7" s="1793" t="s">
        <v>5461</v>
      </c>
      <c r="DC7" s="1793"/>
      <c r="DD7" s="1499"/>
      <c r="DE7" s="437">
        <v>3</v>
      </c>
      <c r="DF7" s="378" t="s">
        <v>5455</v>
      </c>
      <c r="EA7" s="129" t="s">
        <v>5726</v>
      </c>
      <c r="EB7" s="129" t="s">
        <v>5753</v>
      </c>
      <c r="EZ7" s="129"/>
      <c r="FA7" s="129" t="s">
        <v>5726</v>
      </c>
      <c r="FB7" s="129" t="s">
        <v>5753</v>
      </c>
      <c r="FC7" s="129"/>
      <c r="FD7" s="129"/>
      <c r="FE7" s="129"/>
      <c r="FF7" s="129"/>
      <c r="FG7" s="129"/>
      <c r="FH7" s="129"/>
      <c r="FI7" s="129"/>
      <c r="FJ7" s="129"/>
      <c r="FK7" s="129"/>
      <c r="FL7" s="129"/>
      <c r="FM7" s="129"/>
      <c r="FN7" s="129"/>
      <c r="FO7" s="129"/>
      <c r="FP7" s="129"/>
      <c r="FQ7" s="129"/>
      <c r="FR7" s="129"/>
      <c r="FS7" s="129"/>
      <c r="FT7" s="129"/>
      <c r="FU7" s="129"/>
      <c r="FV7" s="129"/>
      <c r="FW7" s="129"/>
      <c r="FX7" s="129"/>
      <c r="FY7" s="129"/>
      <c r="FZ7" s="129"/>
      <c r="GA7" s="540" t="s">
        <v>5738</v>
      </c>
      <c r="GB7" s="1043" t="s">
        <v>936</v>
      </c>
      <c r="GC7" s="1780"/>
      <c r="GD7" s="1780"/>
      <c r="GE7" s="225">
        <v>3</v>
      </c>
      <c r="GF7" s="129"/>
      <c r="GG7" s="129"/>
      <c r="GH7" s="129"/>
      <c r="GI7" s="129"/>
      <c r="GJ7" s="129"/>
      <c r="GK7" s="129"/>
      <c r="GL7" s="129"/>
      <c r="GM7" s="129"/>
      <c r="GN7" s="129"/>
      <c r="GO7" s="129"/>
      <c r="GP7" s="129"/>
      <c r="GQ7" s="129"/>
      <c r="GR7" s="129"/>
      <c r="GS7" s="129"/>
      <c r="GT7" s="129"/>
      <c r="GU7" s="129"/>
      <c r="GV7" s="129"/>
      <c r="GW7" s="129"/>
      <c r="GX7" s="129"/>
      <c r="GY7" s="129"/>
      <c r="GZ7" s="129"/>
      <c r="HA7" s="129" t="s">
        <v>5726</v>
      </c>
      <c r="HB7" s="129" t="s">
        <v>5725</v>
      </c>
      <c r="HG7" s="129"/>
      <c r="HH7" s="129"/>
      <c r="HI7" s="129"/>
      <c r="HJ7" s="129"/>
      <c r="HK7" s="129"/>
      <c r="HL7" s="129"/>
      <c r="HM7" s="129"/>
      <c r="HN7" s="129"/>
      <c r="HO7" s="129"/>
      <c r="HP7" s="129"/>
      <c r="HQ7" s="129"/>
      <c r="HR7" s="129"/>
      <c r="HS7" s="129"/>
      <c r="HT7" s="129"/>
      <c r="HU7" s="129"/>
      <c r="HV7" s="129"/>
      <c r="HW7" s="129"/>
      <c r="HX7" s="129"/>
      <c r="HY7" s="129"/>
      <c r="HZ7" s="129"/>
      <c r="IA7" s="129" t="s">
        <v>5726</v>
      </c>
      <c r="IB7" s="129" t="s">
        <v>5753</v>
      </c>
      <c r="IC7" s="129"/>
      <c r="ID7" s="129"/>
      <c r="IE7" s="129"/>
      <c r="IF7" s="129"/>
      <c r="IG7" s="129"/>
      <c r="IH7" s="129"/>
      <c r="II7" s="129"/>
      <c r="IJ7" s="129"/>
      <c r="IK7" s="129"/>
      <c r="IL7" s="129"/>
      <c r="IM7" s="129"/>
      <c r="IN7" s="129"/>
      <c r="IO7" s="129"/>
      <c r="IP7" s="129"/>
      <c r="IQ7" s="129"/>
      <c r="IR7" s="129"/>
      <c r="IS7" s="129"/>
      <c r="IT7" s="129"/>
      <c r="IU7" s="129"/>
      <c r="IV7" s="129"/>
      <c r="IW7" s="129"/>
      <c r="IX7" s="129"/>
      <c r="IY7" s="129"/>
      <c r="IZ7" s="129"/>
      <c r="JA7" s="1126" t="s">
        <v>542</v>
      </c>
      <c r="JB7" s="1125" t="s">
        <v>5825</v>
      </c>
      <c r="JC7" s="1126" t="s">
        <v>6092</v>
      </c>
      <c r="JD7" s="1125" t="s">
        <v>4593</v>
      </c>
      <c r="JE7" s="1523"/>
      <c r="JF7" s="1798"/>
      <c r="JG7" s="157" t="s">
        <v>6152</v>
      </c>
      <c r="JH7" s="1130" t="s">
        <v>6093</v>
      </c>
      <c r="JI7" s="129"/>
      <c r="JJ7" s="129"/>
      <c r="JK7" s="129"/>
      <c r="JL7" s="129"/>
      <c r="JM7" s="129"/>
      <c r="JN7" s="129"/>
      <c r="JO7" s="129"/>
      <c r="JP7" s="129"/>
      <c r="JQ7" s="129"/>
      <c r="JR7" s="129"/>
      <c r="JS7" s="129"/>
      <c r="JT7" s="129"/>
      <c r="JU7" s="129"/>
      <c r="JV7" s="129"/>
      <c r="JW7" s="129"/>
      <c r="JX7" s="129"/>
      <c r="JY7" s="129"/>
      <c r="JZ7" s="129"/>
      <c r="KA7" s="129" t="s">
        <v>5726</v>
      </c>
      <c r="KB7" s="129" t="s">
        <v>5725</v>
      </c>
      <c r="LA7" s="129" t="s">
        <v>5726</v>
      </c>
      <c r="LB7" s="129" t="s">
        <v>5725</v>
      </c>
      <c r="MG7" s="129"/>
      <c r="MH7" s="129"/>
      <c r="MI7" s="129"/>
      <c r="MJ7" s="129"/>
      <c r="MK7" s="129"/>
      <c r="ML7" s="129"/>
      <c r="MM7" s="129"/>
      <c r="MN7" s="129"/>
      <c r="MO7" s="129"/>
      <c r="MP7" s="129"/>
      <c r="MQ7" s="129"/>
      <c r="MR7" s="129"/>
      <c r="MS7" s="129"/>
      <c r="MT7" s="129"/>
      <c r="MU7" s="129"/>
      <c r="MV7" s="129"/>
      <c r="MW7" s="129"/>
      <c r="MX7" s="129"/>
      <c r="MY7" s="129"/>
      <c r="MZ7" s="129"/>
      <c r="NA7" s="129" t="s">
        <v>5726</v>
      </c>
      <c r="NB7" s="129" t="s">
        <v>5725</v>
      </c>
      <c r="OA7" s="129" t="s">
        <v>5726</v>
      </c>
      <c r="OB7" s="129" t="s">
        <v>5725</v>
      </c>
      <c r="PG7" s="129"/>
      <c r="PH7" s="129"/>
      <c r="PI7" s="129"/>
      <c r="PJ7" s="129"/>
      <c r="PK7" s="129"/>
      <c r="PL7" s="129"/>
      <c r="PM7" s="129"/>
      <c r="PN7" s="129"/>
      <c r="PO7" s="129"/>
      <c r="PP7" s="129"/>
      <c r="PQ7" s="129"/>
      <c r="PR7" s="129"/>
      <c r="PS7" s="129"/>
      <c r="PT7" s="129"/>
      <c r="PU7" s="129"/>
      <c r="PV7" s="129"/>
      <c r="PW7" s="129"/>
      <c r="PX7" s="129"/>
      <c r="PY7" s="129"/>
      <c r="PZ7" s="129"/>
      <c r="QA7" s="129" t="s">
        <v>5726</v>
      </c>
      <c r="QB7" s="129" t="s">
        <v>5725</v>
      </c>
      <c r="RA7" s="129" t="s">
        <v>5726</v>
      </c>
      <c r="RB7" s="129" t="s">
        <v>5725</v>
      </c>
      <c r="SA7" s="222" t="s">
        <v>5499</v>
      </c>
      <c r="SB7" s="1816" t="s">
        <v>5500</v>
      </c>
      <c r="SC7" s="1816"/>
      <c r="SD7" s="1817"/>
      <c r="SE7" s="1810"/>
      <c r="SH7" s="129">
        <v>3</v>
      </c>
      <c r="SI7" s="1815" t="s">
        <v>5511</v>
      </c>
      <c r="SJ7" s="1815"/>
      <c r="SK7" s="1815"/>
      <c r="SL7" s="1815"/>
    </row>
    <row r="8" spans="1:506" ht="30" customHeight="1">
      <c r="B8" s="349">
        <v>5</v>
      </c>
      <c r="C8" s="138" t="s">
        <v>5617</v>
      </c>
      <c r="D8" s="138" t="s">
        <v>5614</v>
      </c>
      <c r="E8" s="1063" t="s">
        <v>5634</v>
      </c>
      <c r="F8" s="546" t="s">
        <v>233</v>
      </c>
      <c r="AA8" s="222" t="s">
        <v>814</v>
      </c>
      <c r="AB8" s="1038" t="s">
        <v>6606</v>
      </c>
      <c r="AC8" s="1523"/>
      <c r="AD8" s="1798"/>
      <c r="AE8" s="157">
        <v>4</v>
      </c>
      <c r="AF8" s="1101" t="s">
        <v>5882</v>
      </c>
      <c r="AG8" s="378"/>
      <c r="BA8" s="129" t="s">
        <v>5727</v>
      </c>
      <c r="BB8" s="129" t="s">
        <v>5735</v>
      </c>
      <c r="CA8" s="129" t="s">
        <v>5727</v>
      </c>
      <c r="CB8" s="129" t="s">
        <v>5735</v>
      </c>
      <c r="DF8" s="378"/>
      <c r="EA8" s="129" t="s">
        <v>5727</v>
      </c>
      <c r="EB8" s="129" t="s">
        <v>5735</v>
      </c>
      <c r="EZ8" s="129"/>
      <c r="FA8" s="129" t="s">
        <v>5727</v>
      </c>
      <c r="FB8" s="129" t="s">
        <v>5735</v>
      </c>
      <c r="FC8" s="129"/>
      <c r="FD8" s="129"/>
      <c r="FE8" s="129"/>
      <c r="FF8" s="129"/>
      <c r="FG8" s="129"/>
      <c r="FH8" s="129"/>
      <c r="FI8" s="129"/>
      <c r="FJ8" s="129"/>
      <c r="FK8" s="129"/>
      <c r="FL8" s="129"/>
      <c r="FM8" s="129"/>
      <c r="FN8" s="129"/>
      <c r="FO8" s="129"/>
      <c r="FP8" s="129"/>
      <c r="FQ8" s="129"/>
      <c r="FR8" s="129"/>
      <c r="FS8" s="129"/>
      <c r="FT8" s="129"/>
      <c r="FU8" s="129"/>
      <c r="FV8" s="129"/>
      <c r="FW8" s="129"/>
      <c r="FX8" s="129"/>
      <c r="FY8" s="129"/>
      <c r="FZ8" s="129"/>
      <c r="GA8" s="540" t="s">
        <v>938</v>
      </c>
      <c r="GB8" s="1044" t="s">
        <v>939</v>
      </c>
      <c r="GC8" s="1781"/>
      <c r="GD8" s="1781"/>
      <c r="GE8" s="225">
        <v>4</v>
      </c>
      <c r="GF8" s="129" t="s">
        <v>940</v>
      </c>
      <c r="GG8" s="129"/>
      <c r="GH8" s="129"/>
      <c r="GI8" s="129"/>
      <c r="GJ8" s="129"/>
      <c r="GK8" s="129"/>
      <c r="GL8" s="129"/>
      <c r="GM8" s="129"/>
      <c r="GN8" s="129"/>
      <c r="GO8" s="129"/>
      <c r="GP8" s="129"/>
      <c r="GQ8" s="129"/>
      <c r="GR8" s="129"/>
      <c r="GS8" s="129"/>
      <c r="GT8" s="129"/>
      <c r="GU8" s="129"/>
      <c r="GV8" s="129"/>
      <c r="GW8" s="129"/>
      <c r="GX8" s="129"/>
      <c r="GY8" s="129"/>
      <c r="GZ8" s="129"/>
      <c r="HA8" s="129" t="s">
        <v>5727</v>
      </c>
      <c r="HB8" s="129" t="s">
        <v>5735</v>
      </c>
      <c r="HG8" s="129"/>
      <c r="HH8" s="129"/>
      <c r="HI8" s="129"/>
      <c r="HJ8" s="129"/>
      <c r="HK8" s="129"/>
      <c r="HL8" s="129"/>
      <c r="HM8" s="129"/>
      <c r="HN8" s="129"/>
      <c r="HO8" s="129"/>
      <c r="HP8" s="129"/>
      <c r="HQ8" s="129"/>
      <c r="HR8" s="129"/>
      <c r="HS8" s="129"/>
      <c r="HT8" s="129"/>
      <c r="HU8" s="129"/>
      <c r="HV8" s="129"/>
      <c r="HW8" s="129"/>
      <c r="HX8" s="129"/>
      <c r="HY8" s="129"/>
      <c r="HZ8" s="129"/>
      <c r="IA8" s="129" t="s">
        <v>5727</v>
      </c>
      <c r="IB8" s="129" t="s">
        <v>5735</v>
      </c>
      <c r="IC8" s="129"/>
      <c r="ID8" s="129"/>
      <c r="IE8" s="129"/>
      <c r="IF8" s="129"/>
      <c r="IG8" s="129"/>
      <c r="IH8" s="129"/>
      <c r="II8" s="129"/>
      <c r="IJ8" s="129"/>
      <c r="IK8" s="129"/>
      <c r="IL8" s="129"/>
      <c r="IM8" s="129"/>
      <c r="IN8" s="129"/>
      <c r="IO8" s="129"/>
      <c r="IP8" s="129"/>
      <c r="IQ8" s="129"/>
      <c r="IR8" s="129"/>
      <c r="IS8" s="129"/>
      <c r="IT8" s="129"/>
      <c r="IU8" s="129"/>
      <c r="IV8" s="129"/>
      <c r="IW8" s="129"/>
      <c r="IX8" s="129"/>
      <c r="IY8" s="129"/>
      <c r="IZ8" s="129"/>
      <c r="JA8" s="1126" t="s">
        <v>6098</v>
      </c>
      <c r="JB8" s="1125" t="s">
        <v>5825</v>
      </c>
      <c r="JC8" s="1126" t="s">
        <v>6091</v>
      </c>
      <c r="JD8" s="1125" t="s">
        <v>4593</v>
      </c>
      <c r="JE8" s="1523"/>
      <c r="JF8" s="1798"/>
      <c r="JG8" s="157" t="s">
        <v>6153</v>
      </c>
      <c r="JH8" s="1130" t="s">
        <v>6111</v>
      </c>
      <c r="JI8" s="129"/>
      <c r="JJ8" s="129"/>
      <c r="JK8" s="129"/>
      <c r="JL8" s="129"/>
      <c r="JM8" s="129"/>
      <c r="JN8" s="129"/>
      <c r="JO8" s="129"/>
      <c r="JP8" s="129"/>
      <c r="JQ8" s="129"/>
      <c r="JR8" s="129"/>
      <c r="JS8" s="129"/>
      <c r="JT8" s="129"/>
      <c r="JU8" s="129"/>
      <c r="JV8" s="129"/>
      <c r="JW8" s="129"/>
      <c r="JX8" s="129"/>
      <c r="JY8" s="129"/>
      <c r="JZ8" s="129"/>
      <c r="KA8" s="129" t="s">
        <v>5727</v>
      </c>
      <c r="KB8" s="129" t="s">
        <v>5735</v>
      </c>
      <c r="LA8" s="129" t="s">
        <v>5727</v>
      </c>
      <c r="LB8" s="129" t="s">
        <v>5735</v>
      </c>
      <c r="MA8" s="735" t="s">
        <v>430</v>
      </c>
      <c r="MB8" s="129" t="s">
        <v>6075</v>
      </c>
      <c r="MC8" s="129"/>
      <c r="MD8" s="129"/>
      <c r="ME8" s="129"/>
      <c r="MF8" s="129"/>
      <c r="MG8" s="129"/>
      <c r="MH8" s="129"/>
      <c r="MI8" s="129"/>
      <c r="MJ8" s="129"/>
      <c r="MK8" s="129"/>
      <c r="ML8" s="129"/>
      <c r="MM8" s="129"/>
      <c r="MN8" s="129"/>
      <c r="MO8" s="129"/>
      <c r="MP8" s="129"/>
      <c r="MQ8" s="129"/>
      <c r="MR8" s="129"/>
      <c r="MS8" s="129"/>
      <c r="MT8" s="129"/>
      <c r="MU8" s="129"/>
      <c r="MV8" s="129"/>
      <c r="MW8" s="129"/>
      <c r="MX8" s="129"/>
      <c r="MY8" s="129"/>
      <c r="MZ8" s="129"/>
      <c r="NA8" s="129" t="s">
        <v>5727</v>
      </c>
      <c r="NB8" s="129" t="s">
        <v>5735</v>
      </c>
      <c r="OA8" s="129" t="s">
        <v>5727</v>
      </c>
      <c r="OB8" s="129" t="s">
        <v>5735</v>
      </c>
      <c r="PA8" s="1758" t="s">
        <v>6083</v>
      </c>
      <c r="PB8" s="1758" t="s">
        <v>5492</v>
      </c>
      <c r="PC8" s="1123"/>
      <c r="PD8" s="1123"/>
      <c r="PE8" s="1761">
        <v>3</v>
      </c>
      <c r="PF8" s="1764" t="s">
        <v>5741</v>
      </c>
      <c r="PG8" s="129"/>
      <c r="PH8" s="129"/>
      <c r="PI8" s="129"/>
      <c r="PJ8" s="129"/>
      <c r="PK8" s="129"/>
      <c r="PL8" s="129"/>
      <c r="PM8" s="129"/>
      <c r="PN8" s="129"/>
      <c r="PO8" s="129"/>
      <c r="PP8" s="129"/>
      <c r="PQ8" s="129"/>
      <c r="PR8" s="129"/>
      <c r="PS8" s="129"/>
      <c r="PT8" s="129"/>
      <c r="PU8" s="129"/>
      <c r="PV8" s="129"/>
      <c r="PW8" s="129"/>
      <c r="PX8" s="129"/>
      <c r="PY8" s="129"/>
      <c r="PZ8" s="129"/>
      <c r="QA8" s="129" t="s">
        <v>5727</v>
      </c>
      <c r="QB8" s="129" t="s">
        <v>5735</v>
      </c>
      <c r="RA8" s="129" t="s">
        <v>5727</v>
      </c>
      <c r="RB8" s="129" t="s">
        <v>5735</v>
      </c>
      <c r="SA8" s="497"/>
      <c r="SB8" s="1049"/>
      <c r="SC8" s="1049"/>
      <c r="SD8" s="1049"/>
      <c r="SI8" s="1048"/>
    </row>
    <row r="9" spans="1:506" ht="30" customHeight="1" thickBot="1">
      <c r="B9" s="1082">
        <v>6</v>
      </c>
      <c r="C9" s="138" t="s">
        <v>5618</v>
      </c>
      <c r="D9" s="138" t="s">
        <v>5615</v>
      </c>
      <c r="E9" s="1063" t="s">
        <v>5637</v>
      </c>
      <c r="F9" s="546" t="s">
        <v>233</v>
      </c>
      <c r="AA9" s="227" t="s">
        <v>806</v>
      </c>
      <c r="AB9" s="1070" t="s">
        <v>4593</v>
      </c>
      <c r="AC9" s="1799"/>
      <c r="AD9" s="1800"/>
      <c r="AE9" s="437">
        <v>5</v>
      </c>
      <c r="AF9" s="1102" t="s">
        <v>5883</v>
      </c>
      <c r="AG9" s="378"/>
      <c r="AH9" s="378"/>
      <c r="AI9" s="378"/>
      <c r="AJ9" s="378"/>
      <c r="AK9" s="378"/>
      <c r="AL9" s="378"/>
      <c r="AM9" s="378"/>
      <c r="AN9" s="378"/>
      <c r="AO9" s="378"/>
      <c r="AP9" s="378"/>
      <c r="AQ9" s="378"/>
      <c r="AR9" s="378"/>
      <c r="AS9" s="378"/>
      <c r="AT9" s="378"/>
      <c r="AU9" s="378"/>
      <c r="AV9" s="378"/>
      <c r="AW9" s="378"/>
      <c r="AX9" s="378"/>
      <c r="BA9" s="129" t="s">
        <v>5728</v>
      </c>
      <c r="BB9" s="129" t="s">
        <v>5766</v>
      </c>
      <c r="CA9" s="129" t="s">
        <v>5728</v>
      </c>
      <c r="CB9" s="129" t="s">
        <v>5766</v>
      </c>
      <c r="DA9" s="1789" t="s">
        <v>843</v>
      </c>
      <c r="DB9" s="1790"/>
      <c r="DC9" s="1790"/>
      <c r="DD9" s="1790"/>
      <c r="DE9" s="178"/>
      <c r="DF9" s="378"/>
      <c r="EA9" s="378"/>
      <c r="EB9" s="129" t="s">
        <v>5754</v>
      </c>
      <c r="EZ9" s="129"/>
      <c r="FB9" s="129" t="s">
        <v>5754</v>
      </c>
      <c r="FC9" s="129"/>
      <c r="FD9" s="129"/>
      <c r="FE9" s="129"/>
      <c r="FF9" s="129"/>
      <c r="FG9" s="129"/>
      <c r="FH9" s="129"/>
      <c r="FI9" s="129"/>
      <c r="FJ9" s="129"/>
      <c r="FK9" s="129"/>
      <c r="FL9" s="129"/>
      <c r="FM9" s="129"/>
      <c r="FN9" s="129"/>
      <c r="FO9" s="129"/>
      <c r="FP9" s="129"/>
      <c r="FQ9" s="129"/>
      <c r="FR9" s="129"/>
      <c r="FS9" s="129"/>
      <c r="FT9" s="129"/>
      <c r="FU9" s="129"/>
      <c r="FV9" s="129"/>
      <c r="FW9" s="129"/>
      <c r="FX9" s="129"/>
      <c r="FY9" s="129"/>
      <c r="FZ9" s="129"/>
      <c r="GA9" s="540" t="s">
        <v>943</v>
      </c>
      <c r="GB9" s="1044" t="s">
        <v>944</v>
      </c>
      <c r="GC9" s="543" t="s">
        <v>361</v>
      </c>
      <c r="GD9" s="542" t="s">
        <v>945</v>
      </c>
      <c r="GE9" s="225">
        <v>5</v>
      </c>
      <c r="GF9" s="129" t="s">
        <v>5475</v>
      </c>
      <c r="GG9" s="129"/>
      <c r="GH9" s="129"/>
      <c r="GI9" s="129"/>
      <c r="GJ9" s="129"/>
      <c r="GK9" s="129"/>
      <c r="GL9" s="129"/>
      <c r="GM9" s="129"/>
      <c r="GN9" s="129"/>
      <c r="GO9" s="129"/>
      <c r="GP9" s="129"/>
      <c r="GQ9" s="129"/>
      <c r="GR9" s="129"/>
      <c r="GS9" s="129"/>
      <c r="GT9" s="129"/>
      <c r="GU9" s="129"/>
      <c r="GV9" s="129"/>
      <c r="GW9" s="129"/>
      <c r="GX9" s="129"/>
      <c r="GY9" s="129"/>
      <c r="GZ9" s="129"/>
      <c r="HA9" s="129" t="s">
        <v>5728</v>
      </c>
      <c r="HB9" s="129" t="s">
        <v>5743</v>
      </c>
      <c r="HG9" s="129"/>
      <c r="HH9" s="129"/>
      <c r="HI9" s="129"/>
      <c r="HJ9" s="129"/>
      <c r="HK9" s="129"/>
      <c r="HL9" s="129"/>
      <c r="HM9" s="129"/>
      <c r="HN9" s="129"/>
      <c r="HO9" s="129"/>
      <c r="HP9" s="129"/>
      <c r="HQ9" s="129"/>
      <c r="HR9" s="129"/>
      <c r="HS9" s="129"/>
      <c r="HT9" s="129"/>
      <c r="HU9" s="129"/>
      <c r="HV9" s="129"/>
      <c r="HW9" s="129"/>
      <c r="HX9" s="129"/>
      <c r="HY9" s="129"/>
      <c r="HZ9" s="129"/>
      <c r="IB9" s="129" t="s">
        <v>5754</v>
      </c>
      <c r="IC9" s="129"/>
      <c r="ID9" s="129"/>
      <c r="IE9" s="129"/>
      <c r="IF9" s="129"/>
      <c r="IG9" s="129"/>
      <c r="IH9" s="129"/>
      <c r="II9" s="129"/>
      <c r="IJ9" s="129"/>
      <c r="IK9" s="129"/>
      <c r="IL9" s="129"/>
      <c r="IM9" s="129"/>
      <c r="IN9" s="129"/>
      <c r="IO9" s="129"/>
      <c r="IP9" s="129"/>
      <c r="IQ9" s="129"/>
      <c r="IR9" s="129"/>
      <c r="IS9" s="129"/>
      <c r="IT9" s="129"/>
      <c r="IU9" s="129"/>
      <c r="IV9" s="129"/>
      <c r="IW9" s="129"/>
      <c r="IX9" s="129"/>
      <c r="IY9" s="129"/>
      <c r="IZ9" s="129"/>
      <c r="JA9" s="1126" t="s">
        <v>6372</v>
      </c>
      <c r="JB9" s="1125" t="s">
        <v>5825</v>
      </c>
      <c r="JC9" s="1126" t="s">
        <v>6322</v>
      </c>
      <c r="JD9" s="1125" t="s">
        <v>4593</v>
      </c>
      <c r="JE9" s="1524"/>
      <c r="JF9" s="1768"/>
      <c r="JG9" s="157" t="s">
        <v>6154</v>
      </c>
      <c r="JH9" s="378" t="s">
        <v>6113</v>
      </c>
      <c r="JI9" s="129"/>
      <c r="JJ9" s="129"/>
      <c r="JK9" s="129"/>
      <c r="JL9" s="129"/>
      <c r="JM9" s="129"/>
      <c r="JN9" s="129"/>
      <c r="JO9" s="129"/>
      <c r="JP9" s="129"/>
      <c r="JQ9" s="129"/>
      <c r="JR9" s="129"/>
      <c r="JS9" s="129"/>
      <c r="JT9" s="129"/>
      <c r="JU9" s="129"/>
      <c r="JV9" s="129"/>
      <c r="JW9" s="129"/>
      <c r="JX9" s="129"/>
      <c r="JY9" s="129"/>
      <c r="JZ9" s="129"/>
      <c r="KA9" s="129" t="s">
        <v>5728</v>
      </c>
      <c r="KB9" s="129" t="s">
        <v>5743</v>
      </c>
      <c r="LA9" s="129" t="s">
        <v>5728</v>
      </c>
      <c r="LB9" s="129" t="s">
        <v>5743</v>
      </c>
      <c r="MA9" s="129"/>
      <c r="MB9" s="129" t="s">
        <v>6076</v>
      </c>
      <c r="MC9" s="129"/>
      <c r="MD9" s="129"/>
      <c r="ME9" s="129"/>
      <c r="MF9" s="129"/>
      <c r="MG9" s="129"/>
      <c r="MH9" s="129"/>
      <c r="MI9" s="129"/>
      <c r="MJ9" s="129"/>
      <c r="MK9" s="129"/>
      <c r="ML9" s="129"/>
      <c r="MM9" s="129"/>
      <c r="MN9" s="129"/>
      <c r="MO9" s="129"/>
      <c r="MP9" s="129"/>
      <c r="MQ9" s="129"/>
      <c r="MR9" s="129"/>
      <c r="MS9" s="129"/>
      <c r="MT9" s="129"/>
      <c r="MU9" s="129"/>
      <c r="MV9" s="129"/>
      <c r="MW9" s="129"/>
      <c r="MX9" s="129"/>
      <c r="MY9" s="129"/>
      <c r="MZ9" s="129"/>
      <c r="NA9" s="129" t="s">
        <v>5728</v>
      </c>
      <c r="NB9" s="129" t="s">
        <v>5743</v>
      </c>
      <c r="OA9" s="129" t="s">
        <v>5728</v>
      </c>
      <c r="OB9" s="129" t="s">
        <v>5743</v>
      </c>
      <c r="PA9" s="1759"/>
      <c r="PB9" s="1759"/>
      <c r="PC9" s="1123"/>
      <c r="PD9" s="1123"/>
      <c r="PE9" s="1762"/>
      <c r="PF9" s="1765"/>
      <c r="PG9" s="129"/>
      <c r="PH9" s="129"/>
      <c r="PI9" s="129"/>
      <c r="PJ9" s="129"/>
      <c r="PK9" s="129"/>
      <c r="PL9" s="129"/>
      <c r="PM9" s="129"/>
      <c r="PN9" s="129"/>
      <c r="PO9" s="129"/>
      <c r="PP9" s="129"/>
      <c r="PQ9" s="129"/>
      <c r="PR9" s="129"/>
      <c r="PS9" s="129"/>
      <c r="PT9" s="129"/>
      <c r="PU9" s="129"/>
      <c r="PV9" s="129"/>
      <c r="PW9" s="129"/>
      <c r="PX9" s="129"/>
      <c r="PY9" s="129"/>
      <c r="PZ9" s="129"/>
      <c r="QA9" s="129" t="s">
        <v>5728</v>
      </c>
      <c r="QB9" s="129" t="s">
        <v>5743</v>
      </c>
      <c r="RA9" s="129" t="s">
        <v>5728</v>
      </c>
      <c r="RB9" s="129" t="s">
        <v>5743</v>
      </c>
      <c r="SA9" s="1656" t="s">
        <v>5497</v>
      </c>
      <c r="SB9" s="1657"/>
      <c r="SC9" s="1657"/>
      <c r="SD9" s="1657"/>
      <c r="SE9" s="1657"/>
      <c r="SF9" s="1657"/>
      <c r="SG9" s="1657"/>
      <c r="SI9" s="1048"/>
    </row>
    <row r="10" spans="1:506" ht="30" customHeight="1" thickBot="1">
      <c r="B10" s="1082">
        <v>7</v>
      </c>
      <c r="C10" s="138" t="s">
        <v>5622</v>
      </c>
      <c r="D10" s="138" t="s">
        <v>5619</v>
      </c>
      <c r="E10" s="138" t="s">
        <v>5449</v>
      </c>
      <c r="F10" s="546" t="s">
        <v>233</v>
      </c>
      <c r="AA10" s="222" t="s">
        <v>946</v>
      </c>
      <c r="AB10" s="1057" t="s">
        <v>4593</v>
      </c>
      <c r="AC10" s="222" t="s">
        <v>831</v>
      </c>
      <c r="AD10" s="1039"/>
      <c r="AE10" s="258" t="s">
        <v>5426</v>
      </c>
      <c r="AF10" s="1103" t="s">
        <v>5770</v>
      </c>
      <c r="AG10" s="378"/>
      <c r="AH10" s="378"/>
      <c r="AI10" s="378"/>
      <c r="AJ10" s="378"/>
      <c r="AK10" s="378"/>
      <c r="AL10" s="378"/>
      <c r="AM10" s="378"/>
      <c r="AN10" s="378"/>
      <c r="AO10" s="378"/>
      <c r="AP10" s="378"/>
      <c r="AQ10" s="378"/>
      <c r="AR10" s="378"/>
      <c r="AS10" s="378"/>
      <c r="AT10" s="378"/>
      <c r="AU10" s="378"/>
      <c r="AV10" s="378"/>
      <c r="AW10" s="378"/>
      <c r="AX10" s="378"/>
      <c r="BA10" s="129" t="s">
        <v>5729</v>
      </c>
      <c r="BB10" s="129" t="s">
        <v>5900</v>
      </c>
      <c r="CA10" s="129" t="s">
        <v>5729</v>
      </c>
      <c r="CB10" s="129" t="s">
        <v>5900</v>
      </c>
      <c r="DA10" s="222" t="s">
        <v>848</v>
      </c>
      <c r="DB10" s="530" t="s">
        <v>931</v>
      </c>
      <c r="DC10" s="1035"/>
      <c r="DD10" s="533"/>
      <c r="DE10" s="258">
        <v>4</v>
      </c>
      <c r="DF10" s="378"/>
      <c r="EA10" s="129" t="s">
        <v>5728</v>
      </c>
      <c r="EB10" s="129" t="s">
        <v>5766</v>
      </c>
      <c r="EZ10" s="129"/>
      <c r="FA10" s="129" t="s">
        <v>5728</v>
      </c>
      <c r="FB10" s="129" t="s">
        <v>5766</v>
      </c>
      <c r="FC10" s="129"/>
      <c r="FD10" s="129"/>
      <c r="FE10" s="129"/>
      <c r="FF10" s="129"/>
      <c r="FG10" s="129"/>
      <c r="FH10" s="129"/>
      <c r="FI10" s="129"/>
      <c r="FJ10" s="129"/>
      <c r="FK10" s="129"/>
      <c r="FL10" s="129"/>
      <c r="FM10" s="129"/>
      <c r="FN10" s="129"/>
      <c r="FO10" s="129"/>
      <c r="FP10" s="129"/>
      <c r="FQ10" s="129"/>
      <c r="FR10" s="129"/>
      <c r="FS10" s="129"/>
      <c r="FT10" s="129"/>
      <c r="FU10" s="129"/>
      <c r="FV10" s="129"/>
      <c r="FW10" s="129"/>
      <c r="FX10" s="129"/>
      <c r="FY10" s="129"/>
      <c r="FZ10" s="129"/>
      <c r="GA10" s="540" t="s">
        <v>947</v>
      </c>
      <c r="GB10" s="1044" t="s">
        <v>944</v>
      </c>
      <c r="GC10" s="543" t="s">
        <v>361</v>
      </c>
      <c r="GD10" s="542" t="s">
        <v>945</v>
      </c>
      <c r="GE10" s="225">
        <v>6</v>
      </c>
      <c r="GF10" s="129" t="s">
        <v>5475</v>
      </c>
      <c r="GG10" s="129"/>
      <c r="GH10" s="129"/>
      <c r="GI10" s="129"/>
      <c r="GJ10" s="129"/>
      <c r="GK10" s="129"/>
      <c r="GL10" s="129"/>
      <c r="GM10" s="129"/>
      <c r="GN10" s="129"/>
      <c r="GO10" s="129"/>
      <c r="GP10" s="129"/>
      <c r="GQ10" s="129"/>
      <c r="GR10" s="129"/>
      <c r="GS10" s="129"/>
      <c r="GT10" s="129"/>
      <c r="GU10" s="129"/>
      <c r="GV10" s="129"/>
      <c r="GW10" s="129"/>
      <c r="GX10" s="129"/>
      <c r="GY10" s="129"/>
      <c r="GZ10" s="129"/>
      <c r="HA10" s="129" t="s">
        <v>5729</v>
      </c>
      <c r="HB10" s="129" t="s">
        <v>5744</v>
      </c>
      <c r="HG10" s="129"/>
      <c r="HH10" s="129"/>
      <c r="HI10" s="129"/>
      <c r="HJ10" s="129"/>
      <c r="HK10" s="129"/>
      <c r="HL10" s="129"/>
      <c r="HM10" s="129"/>
      <c r="HN10" s="129"/>
      <c r="HO10" s="129"/>
      <c r="HP10" s="129"/>
      <c r="HQ10" s="129"/>
      <c r="HR10" s="129"/>
      <c r="HS10" s="129"/>
      <c r="HT10" s="129"/>
      <c r="HU10" s="129"/>
      <c r="HV10" s="129"/>
      <c r="HW10" s="129"/>
      <c r="HX10" s="129"/>
      <c r="HY10" s="129"/>
      <c r="HZ10" s="129"/>
      <c r="IA10" s="129" t="s">
        <v>5728</v>
      </c>
      <c r="IB10" s="129" t="s">
        <v>5759</v>
      </c>
      <c r="IC10" s="129"/>
      <c r="ID10" s="129"/>
      <c r="IE10" s="129"/>
      <c r="IF10" s="129"/>
      <c r="IG10" s="129"/>
      <c r="IH10" s="129"/>
      <c r="II10" s="129"/>
      <c r="IJ10" s="129"/>
      <c r="IK10" s="129"/>
      <c r="IL10" s="129"/>
      <c r="IM10" s="129"/>
      <c r="IN10" s="129"/>
      <c r="IO10" s="129"/>
      <c r="IP10" s="129"/>
      <c r="IQ10" s="129"/>
      <c r="IR10" s="129"/>
      <c r="IS10" s="129"/>
      <c r="IT10" s="129"/>
      <c r="IU10" s="129"/>
      <c r="IV10" s="129"/>
      <c r="IW10" s="129"/>
      <c r="IX10" s="129"/>
      <c r="IY10" s="129"/>
      <c r="IZ10" s="129"/>
      <c r="JA10" s="1126" t="s">
        <v>6099</v>
      </c>
      <c r="JB10" s="1125" t="s">
        <v>5825</v>
      </c>
      <c r="JC10" s="1126" t="s">
        <v>6323</v>
      </c>
      <c r="JD10" s="1125" t="s">
        <v>4593</v>
      </c>
      <c r="JE10" s="129"/>
      <c r="JF10" s="129"/>
      <c r="JG10" s="157" t="s">
        <v>6395</v>
      </c>
      <c r="JH10" s="1822" t="s">
        <v>6156</v>
      </c>
      <c r="JI10" s="129"/>
      <c r="JJ10" s="129"/>
      <c r="JK10" s="129"/>
      <c r="JL10" s="129"/>
      <c r="JM10" s="129"/>
      <c r="JN10" s="129"/>
      <c r="JO10" s="129"/>
      <c r="JP10" s="129"/>
      <c r="JQ10" s="129"/>
      <c r="JR10" s="129"/>
      <c r="JS10" s="129"/>
      <c r="JT10" s="129"/>
      <c r="JU10" s="129"/>
      <c r="JV10" s="129"/>
      <c r="JW10" s="129"/>
      <c r="JX10" s="129"/>
      <c r="JY10" s="129"/>
      <c r="JZ10" s="129"/>
      <c r="KA10" s="129" t="s">
        <v>5729</v>
      </c>
      <c r="KB10" s="129" t="s">
        <v>5744</v>
      </c>
      <c r="LA10" s="129" t="s">
        <v>5729</v>
      </c>
      <c r="LB10" s="129" t="s">
        <v>5744</v>
      </c>
      <c r="MA10" s="129"/>
      <c r="MB10" s="129" t="s">
        <v>6077</v>
      </c>
      <c r="MC10" s="129"/>
      <c r="MD10" s="129"/>
      <c r="ME10" s="129"/>
      <c r="MF10" s="129"/>
      <c r="MG10" s="129"/>
      <c r="MH10" s="129"/>
      <c r="MI10" s="129"/>
      <c r="MJ10" s="129"/>
      <c r="MK10" s="129"/>
      <c r="ML10" s="129"/>
      <c r="MM10" s="129"/>
      <c r="MN10" s="129"/>
      <c r="MO10" s="129"/>
      <c r="MP10" s="129"/>
      <c r="MQ10" s="129"/>
      <c r="MR10" s="129"/>
      <c r="MS10" s="129"/>
      <c r="MT10" s="129"/>
      <c r="MU10" s="129"/>
      <c r="MV10" s="129"/>
      <c r="MW10" s="129"/>
      <c r="MX10" s="129"/>
      <c r="MY10" s="129"/>
      <c r="MZ10" s="129"/>
      <c r="NA10" s="129" t="s">
        <v>5729</v>
      </c>
      <c r="NB10" s="129" t="s">
        <v>6079</v>
      </c>
      <c r="OA10" s="129" t="s">
        <v>5729</v>
      </c>
      <c r="OB10" s="129" t="s">
        <v>6079</v>
      </c>
      <c r="PA10" s="1759"/>
      <c r="PB10" s="1759"/>
      <c r="PC10" s="1123"/>
      <c r="PD10" s="1123"/>
      <c r="PE10" s="1762"/>
      <c r="PF10" s="1766"/>
      <c r="PG10" s="129"/>
      <c r="PH10" s="129"/>
      <c r="PI10" s="129"/>
      <c r="PJ10" s="129"/>
      <c r="PK10" s="129"/>
      <c r="PL10" s="129"/>
      <c r="PM10" s="129"/>
      <c r="PN10" s="129"/>
      <c r="PO10" s="129"/>
      <c r="PP10" s="129"/>
      <c r="PQ10" s="129"/>
      <c r="PR10" s="129"/>
      <c r="PS10" s="129"/>
      <c r="PT10" s="129"/>
      <c r="PU10" s="129"/>
      <c r="PV10" s="129"/>
      <c r="PW10" s="129"/>
      <c r="PX10" s="129"/>
      <c r="PY10" s="129"/>
      <c r="PZ10" s="129"/>
      <c r="QA10" s="129" t="s">
        <v>5729</v>
      </c>
      <c r="QB10" s="129" t="s">
        <v>5744</v>
      </c>
      <c r="RA10" s="129" t="s">
        <v>5729</v>
      </c>
      <c r="RB10" s="129" t="s">
        <v>5744</v>
      </c>
      <c r="SA10" s="1050" t="s">
        <v>355</v>
      </c>
      <c r="SB10" s="1050" t="s">
        <v>7554</v>
      </c>
      <c r="SC10" s="1599" t="s">
        <v>843</v>
      </c>
      <c r="SD10" s="1632"/>
      <c r="SE10" s="1803"/>
      <c r="SF10" s="1050" t="s">
        <v>804</v>
      </c>
      <c r="SG10" s="1050" t="s">
        <v>441</v>
      </c>
      <c r="SI10" s="1048"/>
    </row>
    <row r="11" spans="1:506" ht="30" customHeight="1">
      <c r="B11" s="349">
        <v>8</v>
      </c>
      <c r="C11" s="138" t="s">
        <v>5623</v>
      </c>
      <c r="D11" s="138" t="s">
        <v>5620</v>
      </c>
      <c r="E11" s="1063" t="s">
        <v>5635</v>
      </c>
      <c r="F11" s="546" t="s">
        <v>233</v>
      </c>
      <c r="AA11" s="399" t="s">
        <v>948</v>
      </c>
      <c r="AB11" s="1114" t="s">
        <v>4593</v>
      </c>
      <c r="AC11" s="399" t="s">
        <v>835</v>
      </c>
      <c r="AD11" s="1115"/>
      <c r="AE11" s="258" t="s">
        <v>5955</v>
      </c>
      <c r="AF11" s="1103" t="s">
        <v>5427</v>
      </c>
      <c r="AG11" s="378"/>
      <c r="AH11" s="378"/>
      <c r="AI11" s="378"/>
      <c r="AJ11" s="378"/>
      <c r="AK11" s="378"/>
      <c r="AL11" s="378"/>
      <c r="AM11" s="378"/>
      <c r="AN11" s="378"/>
      <c r="AO11" s="378"/>
      <c r="AP11" s="378"/>
      <c r="AQ11" s="378"/>
      <c r="AR11" s="378"/>
      <c r="AS11" s="378"/>
      <c r="AT11" s="378"/>
      <c r="AU11" s="378"/>
      <c r="AV11" s="378"/>
      <c r="AW11" s="378"/>
      <c r="AX11" s="378"/>
      <c r="BA11" s="129" t="s">
        <v>5730</v>
      </c>
      <c r="BB11" s="129" t="s">
        <v>5901</v>
      </c>
      <c r="CA11" s="129" t="s">
        <v>5730</v>
      </c>
      <c r="CB11" s="129" t="s">
        <v>5901</v>
      </c>
      <c r="DA11" s="222" t="s">
        <v>850</v>
      </c>
      <c r="DB11" s="530" t="s">
        <v>931</v>
      </c>
      <c r="DC11" s="1035"/>
      <c r="DD11" s="533"/>
      <c r="DE11" s="258">
        <v>5</v>
      </c>
      <c r="DF11" s="378"/>
      <c r="EA11" s="129" t="s">
        <v>5729</v>
      </c>
      <c r="EB11" s="129" t="s">
        <v>5764</v>
      </c>
      <c r="EZ11" s="129"/>
      <c r="FA11" s="129" t="s">
        <v>5729</v>
      </c>
      <c r="FB11" s="129" t="s">
        <v>5764</v>
      </c>
      <c r="FC11" s="129"/>
      <c r="FD11" s="129"/>
      <c r="FE11" s="129"/>
      <c r="FF11" s="129"/>
      <c r="FG11" s="129"/>
      <c r="FH11" s="129"/>
      <c r="FI11" s="129"/>
      <c r="FJ11" s="129"/>
      <c r="FK11" s="129"/>
      <c r="FL11" s="129"/>
      <c r="FM11" s="129"/>
      <c r="FN11" s="129"/>
      <c r="FO11" s="129"/>
      <c r="FP11" s="129"/>
      <c r="FQ11" s="129"/>
      <c r="FR11" s="129"/>
      <c r="FS11" s="129"/>
      <c r="FT11" s="129"/>
      <c r="FU11" s="129"/>
      <c r="FV11" s="129"/>
      <c r="FW11" s="129"/>
      <c r="FX11" s="129"/>
      <c r="FY11" s="129"/>
      <c r="FZ11" s="129"/>
      <c r="GA11" s="222" t="s">
        <v>528</v>
      </c>
      <c r="GB11" s="539"/>
      <c r="GC11" s="533"/>
      <c r="GD11" s="541"/>
      <c r="GE11" s="225">
        <v>7</v>
      </c>
      <c r="GF11" s="129" t="s">
        <v>5475</v>
      </c>
      <c r="GG11" s="129"/>
      <c r="GH11" s="129"/>
      <c r="GI11" s="129"/>
      <c r="GJ11" s="129"/>
      <c r="GK11" s="129"/>
      <c r="GL11" s="129"/>
      <c r="GM11" s="129"/>
      <c r="GN11" s="129"/>
      <c r="GO11" s="129"/>
      <c r="GP11" s="129"/>
      <c r="GQ11" s="129"/>
      <c r="GR11" s="129"/>
      <c r="GS11" s="129"/>
      <c r="GT11" s="129"/>
      <c r="GU11" s="129"/>
      <c r="GV11" s="129"/>
      <c r="GW11" s="129"/>
      <c r="GX11" s="129"/>
      <c r="GY11" s="129"/>
      <c r="GZ11" s="129"/>
      <c r="HA11" s="129" t="s">
        <v>5730</v>
      </c>
      <c r="HB11" s="129" t="s">
        <v>5760</v>
      </c>
      <c r="HG11" s="129"/>
      <c r="HH11" s="129"/>
      <c r="HI11" s="129"/>
      <c r="HJ11" s="129"/>
      <c r="HK11" s="129"/>
      <c r="HL11" s="129"/>
      <c r="HM11" s="129"/>
      <c r="HN11" s="129"/>
      <c r="HO11" s="129"/>
      <c r="HP11" s="129"/>
      <c r="HQ11" s="129"/>
      <c r="HR11" s="129"/>
      <c r="HS11" s="129"/>
      <c r="HT11" s="129"/>
      <c r="HU11" s="129"/>
      <c r="HV11" s="129"/>
      <c r="HW11" s="129"/>
      <c r="HX11" s="129"/>
      <c r="HY11" s="129"/>
      <c r="HZ11" s="129"/>
      <c r="IA11" s="129" t="s">
        <v>5729</v>
      </c>
      <c r="IB11" s="129" t="s">
        <v>5759</v>
      </c>
      <c r="IC11" s="129"/>
      <c r="ID11" s="129"/>
      <c r="IE11" s="129"/>
      <c r="IF11" s="129"/>
      <c r="IG11" s="129"/>
      <c r="IH11" s="129"/>
      <c r="II11" s="129"/>
      <c r="IJ11" s="129"/>
      <c r="IK11" s="129"/>
      <c r="IL11" s="129"/>
      <c r="IM11" s="129"/>
      <c r="IN11" s="129"/>
      <c r="IO11" s="129"/>
      <c r="IP11" s="129"/>
      <c r="IQ11" s="129"/>
      <c r="IR11" s="129"/>
      <c r="IS11" s="129"/>
      <c r="IT11" s="129"/>
      <c r="IU11" s="129"/>
      <c r="IV11" s="129"/>
      <c r="IW11" s="129"/>
      <c r="IX11" s="129"/>
      <c r="IY11" s="129"/>
      <c r="IZ11" s="129"/>
      <c r="JA11" s="1126" t="s">
        <v>228</v>
      </c>
      <c r="JB11" s="1125" t="s">
        <v>5825</v>
      </c>
      <c r="JC11" s="1195" t="s">
        <v>2090</v>
      </c>
      <c r="JD11" s="1196" t="s">
        <v>4593</v>
      </c>
      <c r="JG11" s="434" t="s">
        <v>6155</v>
      </c>
      <c r="JH11" s="1823"/>
      <c r="JI11" s="129"/>
      <c r="JJ11" s="129"/>
      <c r="JK11" s="129"/>
      <c r="JL11" s="129"/>
      <c r="JM11" s="129"/>
      <c r="JN11" s="129"/>
      <c r="JO11" s="129"/>
      <c r="JP11" s="129"/>
      <c r="JQ11" s="129"/>
      <c r="JR11" s="129"/>
      <c r="JS11" s="129"/>
      <c r="JT11" s="129"/>
      <c r="JU11" s="129"/>
      <c r="JV11" s="129"/>
      <c r="JW11" s="129"/>
      <c r="JX11" s="129"/>
      <c r="JY11" s="129"/>
      <c r="JZ11" s="129"/>
      <c r="KA11" s="129" t="s">
        <v>5730</v>
      </c>
      <c r="KB11" s="129" t="s">
        <v>5751</v>
      </c>
      <c r="LA11" s="129" t="s">
        <v>5730</v>
      </c>
      <c r="LB11" s="129" t="s">
        <v>5751</v>
      </c>
      <c r="MC11" s="129"/>
      <c r="MD11" s="129"/>
      <c r="ME11" s="129"/>
      <c r="MF11" s="129"/>
      <c r="MG11" s="129"/>
      <c r="MH11" s="129"/>
      <c r="MI11" s="129"/>
      <c r="MJ11" s="129"/>
      <c r="MK11" s="129"/>
      <c r="ML11" s="129"/>
      <c r="MM11" s="129"/>
      <c r="MN11" s="129"/>
      <c r="MO11" s="129"/>
      <c r="MP11" s="129"/>
      <c r="MQ11" s="129"/>
      <c r="MR11" s="129"/>
      <c r="MS11" s="129"/>
      <c r="MT11" s="129"/>
      <c r="MU11" s="129"/>
      <c r="MV11" s="129"/>
      <c r="MW11" s="129"/>
      <c r="MX11" s="129"/>
      <c r="MY11" s="129"/>
      <c r="MZ11" s="129"/>
      <c r="PA11" s="1759"/>
      <c r="PB11" s="1759"/>
      <c r="PC11" s="1123"/>
      <c r="PD11" s="1123"/>
      <c r="PE11" s="1762"/>
      <c r="PF11" s="1765" t="s">
        <v>5742</v>
      </c>
      <c r="PG11" s="129"/>
      <c r="PH11" s="129"/>
      <c r="PI11" s="129"/>
      <c r="PJ11" s="129"/>
      <c r="PK11" s="129"/>
      <c r="PL11" s="129"/>
      <c r="PM11" s="129"/>
      <c r="PN11" s="129"/>
      <c r="PO11" s="129"/>
      <c r="PP11" s="129"/>
      <c r="PQ11" s="129"/>
      <c r="PR11" s="129"/>
      <c r="PS11" s="129"/>
      <c r="PT11" s="129"/>
      <c r="PU11" s="129"/>
      <c r="PV11" s="129"/>
      <c r="PW11" s="129"/>
      <c r="PX11" s="129"/>
      <c r="PY11" s="129"/>
      <c r="PZ11" s="129"/>
      <c r="QA11" s="129" t="s">
        <v>5730</v>
      </c>
      <c r="QB11" s="129" t="s">
        <v>5751</v>
      </c>
      <c r="RA11" s="129" t="s">
        <v>5730</v>
      </c>
      <c r="RB11" s="129" t="s">
        <v>5751</v>
      </c>
      <c r="SA11" s="549"/>
      <c r="SB11" s="549"/>
      <c r="SC11" s="1804"/>
      <c r="SD11" s="1805"/>
      <c r="SE11" s="1806"/>
      <c r="SF11" s="550"/>
      <c r="SG11" s="550"/>
      <c r="SH11" s="129">
        <v>4</v>
      </c>
      <c r="SI11" s="1061" t="s">
        <v>5501</v>
      </c>
      <c r="SJ11" s="1061"/>
      <c r="SK11" s="1061"/>
    </row>
    <row r="12" spans="1:506" ht="15.75" customHeight="1">
      <c r="B12" s="1082">
        <v>9</v>
      </c>
      <c r="C12" s="138" t="s">
        <v>5624</v>
      </c>
      <c r="D12" s="138" t="s">
        <v>5621</v>
      </c>
      <c r="E12" s="1063" t="s">
        <v>5638</v>
      </c>
      <c r="F12" s="546" t="s">
        <v>233</v>
      </c>
      <c r="AA12" s="222" t="s">
        <v>6607</v>
      </c>
      <c r="AB12" s="1057" t="s">
        <v>6040</v>
      </c>
      <c r="AC12" s="222" t="s">
        <v>4495</v>
      </c>
      <c r="AD12" s="1039" t="s">
        <v>6039</v>
      </c>
      <c r="AE12" s="1076" t="s">
        <v>6610</v>
      </c>
      <c r="AF12" s="1103" t="s">
        <v>6608</v>
      </c>
      <c r="AG12" s="296"/>
      <c r="AH12" s="296"/>
      <c r="AI12" s="296"/>
      <c r="AJ12" s="296"/>
      <c r="AK12" s="296"/>
      <c r="AL12" s="296"/>
      <c r="AM12" s="296"/>
      <c r="AN12" s="296"/>
      <c r="AO12" s="296"/>
      <c r="AP12" s="296"/>
      <c r="AQ12" s="296"/>
      <c r="AR12" s="296"/>
      <c r="AS12" s="296"/>
      <c r="AT12" s="296"/>
      <c r="AU12" s="296"/>
      <c r="AV12" s="296"/>
      <c r="AW12" s="296"/>
      <c r="AX12" s="296"/>
      <c r="BA12" s="129" t="s">
        <v>5731</v>
      </c>
      <c r="BB12" s="129" t="s">
        <v>5749</v>
      </c>
      <c r="CA12" s="129" t="s">
        <v>5731</v>
      </c>
      <c r="CB12" s="129" t="s">
        <v>5749</v>
      </c>
      <c r="DA12" s="222" t="s">
        <v>852</v>
      </c>
      <c r="DB12" s="530" t="s">
        <v>931</v>
      </c>
      <c r="DC12" s="1035"/>
      <c r="DD12" s="533"/>
      <c r="DE12" s="258">
        <v>6</v>
      </c>
      <c r="DF12" s="378"/>
      <c r="EA12" s="129" t="s">
        <v>5730</v>
      </c>
      <c r="EB12" s="129" t="s">
        <v>5765</v>
      </c>
      <c r="EZ12" s="129"/>
      <c r="FA12" s="129" t="s">
        <v>5730</v>
      </c>
      <c r="FB12" s="129" t="s">
        <v>5765</v>
      </c>
      <c r="FC12" s="129"/>
      <c r="FD12" s="129"/>
      <c r="FE12" s="129"/>
      <c r="FF12" s="129"/>
      <c r="FG12" s="129"/>
      <c r="FH12" s="129"/>
      <c r="FI12" s="129"/>
      <c r="FJ12" s="129"/>
      <c r="FK12" s="129"/>
      <c r="FL12" s="129"/>
      <c r="FM12" s="129"/>
      <c r="FN12" s="129"/>
      <c r="FO12" s="129"/>
      <c r="FP12" s="129"/>
      <c r="FQ12" s="129"/>
      <c r="FR12" s="129"/>
      <c r="FS12" s="129"/>
      <c r="FT12" s="129"/>
      <c r="FU12" s="129"/>
      <c r="FV12" s="129"/>
      <c r="FW12" s="129"/>
      <c r="FX12" s="129"/>
      <c r="FY12" s="129"/>
      <c r="FZ12" s="129"/>
      <c r="GA12" s="222" t="s">
        <v>428</v>
      </c>
      <c r="GB12" s="1769"/>
      <c r="GC12" s="1770"/>
      <c r="GD12" s="1771"/>
      <c r="GE12" s="225">
        <v>8</v>
      </c>
      <c r="GF12" s="129" t="s">
        <v>952</v>
      </c>
      <c r="GG12" s="129"/>
      <c r="GH12" s="129"/>
      <c r="GI12" s="129"/>
      <c r="GJ12" s="129"/>
      <c r="GK12" s="129"/>
      <c r="GL12" s="129"/>
      <c r="GM12" s="129"/>
      <c r="GN12" s="129"/>
      <c r="GO12" s="129"/>
      <c r="GP12" s="129"/>
      <c r="GQ12" s="129"/>
      <c r="GR12" s="129"/>
      <c r="GS12" s="129"/>
      <c r="GT12" s="129"/>
      <c r="GU12" s="129"/>
      <c r="GV12" s="129"/>
      <c r="GW12" s="129"/>
      <c r="GX12" s="129"/>
      <c r="GY12" s="129"/>
      <c r="GZ12" s="129"/>
      <c r="HA12" s="129" t="s">
        <v>5731</v>
      </c>
      <c r="HB12" s="129" t="s">
        <v>5761</v>
      </c>
      <c r="HG12" s="129"/>
      <c r="HH12" s="129"/>
      <c r="HI12" s="129"/>
      <c r="HJ12" s="129"/>
      <c r="HK12" s="129"/>
      <c r="HL12" s="129"/>
      <c r="HM12" s="129"/>
      <c r="HN12" s="129"/>
      <c r="HO12" s="129"/>
      <c r="HP12" s="129"/>
      <c r="HQ12" s="129"/>
      <c r="HR12" s="129"/>
      <c r="HS12" s="129"/>
      <c r="HT12" s="129"/>
      <c r="HU12" s="129"/>
      <c r="HV12" s="129"/>
      <c r="HW12" s="129"/>
      <c r="HX12" s="129"/>
      <c r="HY12" s="129"/>
      <c r="HZ12" s="129"/>
      <c r="IA12" s="129" t="s">
        <v>5730</v>
      </c>
      <c r="IB12" s="129" t="s">
        <v>5759</v>
      </c>
      <c r="IC12" s="129"/>
      <c r="ID12" s="129"/>
      <c r="IE12" s="129"/>
      <c r="IF12" s="129"/>
      <c r="IG12" s="129"/>
      <c r="IH12" s="129"/>
      <c r="II12" s="129"/>
      <c r="IJ12" s="129"/>
      <c r="IK12" s="129"/>
      <c r="IL12" s="129"/>
      <c r="IM12" s="129"/>
      <c r="IN12" s="129"/>
      <c r="IO12" s="129"/>
      <c r="IP12" s="129"/>
      <c r="IQ12" s="129"/>
      <c r="IR12" s="129"/>
      <c r="IS12" s="129"/>
      <c r="IT12" s="129"/>
      <c r="IU12" s="129"/>
      <c r="IV12" s="129"/>
      <c r="IW12" s="129"/>
      <c r="IX12" s="129"/>
      <c r="IY12" s="129"/>
      <c r="IZ12" s="129"/>
      <c r="JC12" s="1197"/>
      <c r="JD12" s="1123"/>
      <c r="JG12" s="129"/>
      <c r="JI12" s="129"/>
      <c r="JJ12" s="129"/>
      <c r="JK12" s="129"/>
      <c r="JL12" s="129"/>
      <c r="JM12" s="129"/>
      <c r="JN12" s="129"/>
      <c r="JO12" s="129"/>
      <c r="JP12" s="129"/>
      <c r="JQ12" s="129"/>
      <c r="JR12" s="129"/>
      <c r="JS12" s="129"/>
      <c r="JT12" s="129"/>
      <c r="JU12" s="129"/>
      <c r="JV12" s="129"/>
      <c r="JW12" s="129"/>
      <c r="JX12" s="129"/>
      <c r="JY12" s="129"/>
      <c r="JZ12" s="129"/>
      <c r="KB12" s="129" t="s">
        <v>6118</v>
      </c>
      <c r="LB12" s="129" t="s">
        <v>6118</v>
      </c>
      <c r="MA12" s="735" t="s">
        <v>4865</v>
      </c>
      <c r="MB12" s="1785" t="s">
        <v>5495</v>
      </c>
      <c r="MC12" s="1785"/>
      <c r="MD12" s="1785"/>
      <c r="ME12" s="1785"/>
      <c r="MF12" s="129"/>
      <c r="MG12" s="129"/>
      <c r="MH12" s="129"/>
      <c r="MI12" s="129"/>
      <c r="MJ12" s="129"/>
      <c r="MK12" s="129"/>
      <c r="ML12" s="129"/>
      <c r="MM12" s="129"/>
      <c r="MN12" s="129"/>
      <c r="MO12" s="129"/>
      <c r="MP12" s="129"/>
      <c r="MQ12" s="129"/>
      <c r="MR12" s="129"/>
      <c r="MS12" s="129"/>
      <c r="MT12" s="129"/>
      <c r="MU12" s="129"/>
      <c r="MV12" s="129"/>
      <c r="MW12" s="129"/>
      <c r="MX12" s="129"/>
      <c r="MY12" s="129"/>
      <c r="MZ12" s="129"/>
      <c r="NA12" s="129" t="s">
        <v>5730</v>
      </c>
      <c r="NB12" s="129" t="s">
        <v>6080</v>
      </c>
      <c r="OA12" s="129" t="s">
        <v>5730</v>
      </c>
      <c r="OB12" s="129" t="s">
        <v>6080</v>
      </c>
      <c r="PA12" s="1759"/>
      <c r="PB12" s="1759"/>
      <c r="PC12" s="1123"/>
      <c r="PD12" s="1123"/>
      <c r="PE12" s="1762"/>
      <c r="PF12" s="1765"/>
      <c r="PG12" s="129"/>
      <c r="PH12" s="129"/>
      <c r="PI12" s="129"/>
      <c r="PJ12" s="129"/>
      <c r="PK12" s="129"/>
      <c r="PL12" s="129"/>
      <c r="PM12" s="129"/>
      <c r="PN12" s="129"/>
      <c r="PO12" s="129"/>
      <c r="PP12" s="129"/>
      <c r="PQ12" s="129"/>
      <c r="PR12" s="129"/>
      <c r="PS12" s="129"/>
      <c r="PT12" s="129"/>
      <c r="PU12" s="129"/>
      <c r="PV12" s="129"/>
      <c r="PW12" s="129"/>
      <c r="PX12" s="129"/>
      <c r="PY12" s="129"/>
      <c r="PZ12" s="129"/>
      <c r="QB12" s="129" t="s">
        <v>5800</v>
      </c>
      <c r="RB12" s="129" t="s">
        <v>5801</v>
      </c>
      <c r="SA12" s="549"/>
      <c r="SB12" s="549"/>
      <c r="SC12" s="1804"/>
      <c r="SD12" s="1805"/>
      <c r="SE12" s="1806"/>
      <c r="SF12" s="550"/>
      <c r="SG12" s="550"/>
      <c r="SH12" s="1048">
        <v>5</v>
      </c>
      <c r="SI12" s="1061"/>
      <c r="SJ12" s="1061"/>
      <c r="SK12" s="1061"/>
    </row>
    <row r="13" spans="1:506" ht="30" customHeight="1" thickBot="1">
      <c r="B13" s="1082">
        <v>10</v>
      </c>
      <c r="C13" s="1283" t="s">
        <v>6377</v>
      </c>
      <c r="D13" s="1283" t="s">
        <v>5625</v>
      </c>
      <c r="E13" s="1284" t="s">
        <v>5793</v>
      </c>
      <c r="F13" s="1285" t="s">
        <v>233</v>
      </c>
      <c r="J13" s="129" t="s">
        <v>6310</v>
      </c>
      <c r="AB13" s="532"/>
      <c r="AC13" s="532"/>
      <c r="AD13" s="532"/>
      <c r="AE13" s="537"/>
      <c r="AF13" s="378"/>
      <c r="AG13" s="378"/>
      <c r="AH13" s="378"/>
      <c r="AI13" s="378"/>
      <c r="AJ13" s="378"/>
      <c r="AK13" s="378"/>
      <c r="AL13" s="378"/>
      <c r="AM13" s="378"/>
      <c r="AN13" s="378"/>
      <c r="AO13" s="378"/>
      <c r="AP13" s="378"/>
      <c r="AQ13" s="378"/>
      <c r="AR13" s="378"/>
      <c r="AS13" s="378"/>
      <c r="AT13" s="378"/>
      <c r="AU13" s="378"/>
      <c r="AV13" s="378"/>
      <c r="AW13" s="378"/>
      <c r="AX13" s="378"/>
      <c r="BB13" s="129" t="s">
        <v>5762</v>
      </c>
      <c r="CB13" s="129" t="s">
        <v>5762</v>
      </c>
      <c r="DA13" s="222" t="s">
        <v>854</v>
      </c>
      <c r="DB13" s="530" t="s">
        <v>5429</v>
      </c>
      <c r="DC13" s="222" t="s">
        <v>857</v>
      </c>
      <c r="DD13" s="530"/>
      <c r="DE13" s="258" t="s">
        <v>5456</v>
      </c>
      <c r="DF13" s="378"/>
      <c r="EA13" s="129" t="s">
        <v>5731</v>
      </c>
      <c r="EB13" s="129" t="s">
        <v>5749</v>
      </c>
      <c r="EZ13" s="129"/>
      <c r="FA13" s="129" t="s">
        <v>5731</v>
      </c>
      <c r="FB13" s="129" t="s">
        <v>5749</v>
      </c>
      <c r="FC13" s="129"/>
      <c r="FD13" s="129"/>
      <c r="FE13" s="129"/>
      <c r="FF13" s="129"/>
      <c r="FG13" s="129"/>
      <c r="FH13" s="129"/>
      <c r="FI13" s="129"/>
      <c r="FJ13" s="129"/>
      <c r="FK13" s="129"/>
      <c r="FL13" s="129"/>
      <c r="FM13" s="129"/>
      <c r="FN13" s="129"/>
      <c r="FO13" s="129"/>
      <c r="FP13" s="129"/>
      <c r="FQ13" s="129"/>
      <c r="FR13" s="129"/>
      <c r="FS13" s="129"/>
      <c r="FT13" s="129"/>
      <c r="FU13" s="129"/>
      <c r="FV13" s="129"/>
      <c r="FW13" s="129"/>
      <c r="FX13" s="129"/>
      <c r="FY13" s="129"/>
      <c r="FZ13" s="129"/>
      <c r="GA13" s="222" t="s">
        <v>4718</v>
      </c>
      <c r="GB13" s="1772" t="s">
        <v>4593</v>
      </c>
      <c r="GC13" s="1772"/>
      <c r="GD13" s="1772"/>
      <c r="GE13" s="225">
        <v>9</v>
      </c>
      <c r="GF13" s="129" t="s">
        <v>5482</v>
      </c>
      <c r="GG13" s="129"/>
      <c r="GH13" s="129"/>
      <c r="GI13" s="129"/>
      <c r="GJ13" s="129"/>
      <c r="GK13" s="129"/>
      <c r="GL13" s="129"/>
      <c r="GM13" s="129"/>
      <c r="GN13" s="129"/>
      <c r="GO13" s="129"/>
      <c r="GP13" s="129"/>
      <c r="GQ13" s="129"/>
      <c r="GR13" s="129"/>
      <c r="GS13" s="129"/>
      <c r="GT13" s="129"/>
      <c r="GU13" s="129"/>
      <c r="GV13" s="129"/>
      <c r="GW13" s="129"/>
      <c r="GX13" s="129"/>
      <c r="GY13" s="129"/>
      <c r="GZ13" s="129"/>
      <c r="HB13" s="129" t="s">
        <v>5762</v>
      </c>
      <c r="HG13" s="129"/>
      <c r="HH13" s="129"/>
      <c r="HI13" s="129"/>
      <c r="HJ13" s="129"/>
      <c r="HK13" s="129"/>
      <c r="HL13" s="129"/>
      <c r="HM13" s="129"/>
      <c r="HN13" s="129"/>
      <c r="HO13" s="129"/>
      <c r="HP13" s="129"/>
      <c r="HQ13" s="129"/>
      <c r="HR13" s="129"/>
      <c r="HS13" s="129"/>
      <c r="HT13" s="129"/>
      <c r="HU13" s="129"/>
      <c r="HV13" s="129"/>
      <c r="HW13" s="129"/>
      <c r="HX13" s="129"/>
      <c r="HY13" s="129"/>
      <c r="HZ13" s="129"/>
      <c r="IA13" s="129" t="s">
        <v>5731</v>
      </c>
      <c r="IB13" s="129" t="s">
        <v>5749</v>
      </c>
      <c r="IC13" s="129"/>
      <c r="ID13" s="129"/>
      <c r="IE13" s="129"/>
      <c r="IF13" s="129"/>
      <c r="IG13" s="129"/>
      <c r="IH13" s="129"/>
      <c r="II13" s="129"/>
      <c r="IJ13" s="129"/>
      <c r="IK13" s="129"/>
      <c r="IL13" s="129"/>
      <c r="IM13" s="129"/>
      <c r="IN13" s="129"/>
      <c r="IO13" s="129"/>
      <c r="IP13" s="129"/>
      <c r="IQ13" s="129"/>
      <c r="IR13" s="129"/>
      <c r="IS13" s="129"/>
      <c r="IT13" s="129"/>
      <c r="IU13" s="129"/>
      <c r="IV13" s="129"/>
      <c r="IW13" s="129"/>
      <c r="IX13" s="129"/>
      <c r="IY13" s="129"/>
      <c r="IZ13" s="129"/>
      <c r="JG13" s="415"/>
      <c r="JH13" s="415"/>
      <c r="JI13" s="129"/>
      <c r="JJ13" s="129"/>
      <c r="JK13" s="129"/>
      <c r="JL13" s="129"/>
      <c r="JM13" s="129"/>
      <c r="JN13" s="129"/>
      <c r="JO13" s="129"/>
      <c r="JP13" s="129"/>
      <c r="JQ13" s="129"/>
      <c r="JR13" s="129"/>
      <c r="JS13" s="129"/>
      <c r="JT13" s="129"/>
      <c r="JU13" s="129"/>
      <c r="JV13" s="129"/>
      <c r="JW13" s="129"/>
      <c r="JX13" s="129"/>
      <c r="JY13" s="129"/>
      <c r="JZ13" s="129"/>
      <c r="KA13" s="129" t="s">
        <v>5731</v>
      </c>
      <c r="KB13" s="129" t="s">
        <v>5749</v>
      </c>
      <c r="LA13" s="129" t="s">
        <v>5731</v>
      </c>
      <c r="LB13" s="129" t="s">
        <v>5749</v>
      </c>
      <c r="MA13" s="129"/>
      <c r="MB13" s="1785" t="s">
        <v>6078</v>
      </c>
      <c r="MC13" s="1785"/>
      <c r="MD13" s="1785"/>
      <c r="ME13" s="1785"/>
      <c r="MF13" s="129"/>
      <c r="MG13" s="129"/>
      <c r="MH13" s="129"/>
      <c r="MI13" s="129"/>
      <c r="MJ13" s="129"/>
      <c r="MK13" s="129"/>
      <c r="ML13" s="129"/>
      <c r="MM13" s="129"/>
      <c r="MN13" s="129"/>
      <c r="MO13" s="129"/>
      <c r="MP13" s="129"/>
      <c r="MQ13" s="129"/>
      <c r="MR13" s="129"/>
      <c r="MS13" s="129"/>
      <c r="MT13" s="129"/>
      <c r="MU13" s="129"/>
      <c r="MV13" s="129"/>
      <c r="MW13" s="129"/>
      <c r="MX13" s="129"/>
      <c r="MY13" s="129"/>
      <c r="MZ13" s="129"/>
      <c r="NB13" s="129" t="s">
        <v>5797</v>
      </c>
      <c r="OB13" s="129" t="s">
        <v>5797</v>
      </c>
      <c r="PA13" s="1760"/>
      <c r="PB13" s="1760"/>
      <c r="PC13" s="1124"/>
      <c r="PD13" s="1124"/>
      <c r="PE13" s="1763"/>
      <c r="PF13" s="1766"/>
      <c r="PG13" s="129"/>
      <c r="PH13" s="129"/>
      <c r="PI13" s="129"/>
      <c r="PJ13" s="129"/>
      <c r="PK13" s="129"/>
      <c r="PL13" s="129"/>
      <c r="PM13" s="129"/>
      <c r="PN13" s="129"/>
      <c r="PO13" s="129"/>
      <c r="PP13" s="129"/>
      <c r="PQ13" s="129"/>
      <c r="PR13" s="129"/>
      <c r="PS13" s="129"/>
      <c r="PT13" s="129"/>
      <c r="PU13" s="129"/>
      <c r="PV13" s="129"/>
      <c r="PW13" s="129"/>
      <c r="PX13" s="129"/>
      <c r="PY13" s="129"/>
      <c r="PZ13" s="129"/>
      <c r="QA13" s="129" t="s">
        <v>5731</v>
      </c>
      <c r="QB13" s="129" t="s">
        <v>5749</v>
      </c>
      <c r="RA13" s="129" t="s">
        <v>5731</v>
      </c>
      <c r="RB13" s="129" t="s">
        <v>5749</v>
      </c>
      <c r="SA13" s="549"/>
      <c r="SB13" s="549"/>
      <c r="SC13" s="1804"/>
      <c r="SD13" s="1805"/>
      <c r="SE13" s="1806"/>
      <c r="SF13" s="550"/>
      <c r="SG13" s="550"/>
      <c r="SH13" s="129">
        <v>6</v>
      </c>
      <c r="SI13" s="1061"/>
      <c r="SJ13" s="1061"/>
      <c r="SK13" s="1061"/>
    </row>
    <row r="14" spans="1:506" ht="30" customHeight="1">
      <c r="B14" s="349">
        <v>11</v>
      </c>
      <c r="C14" s="1283" t="s">
        <v>6383</v>
      </c>
      <c r="D14" s="1283" t="s">
        <v>5626</v>
      </c>
      <c r="E14" s="1286" t="s">
        <v>6068</v>
      </c>
      <c r="F14" s="1287" t="s">
        <v>233</v>
      </c>
      <c r="J14" s="129" t="s">
        <v>6310</v>
      </c>
      <c r="AA14" s="1791" t="s">
        <v>5465</v>
      </c>
      <c r="AB14" s="1792"/>
      <c r="AC14" s="1792"/>
      <c r="AD14" s="1792"/>
      <c r="AE14" s="178"/>
      <c r="AF14" s="1120" t="s">
        <v>5466</v>
      </c>
      <c r="AG14" s="378"/>
      <c r="AH14" s="378"/>
      <c r="AI14" s="378"/>
      <c r="AJ14" s="378"/>
      <c r="AK14" s="378"/>
      <c r="AL14" s="378"/>
      <c r="AM14" s="378"/>
      <c r="AN14" s="378"/>
      <c r="AO14" s="378"/>
      <c r="AP14" s="378"/>
      <c r="AQ14" s="378"/>
      <c r="AR14" s="378"/>
      <c r="AS14" s="378"/>
      <c r="AT14" s="378"/>
      <c r="AU14" s="378"/>
      <c r="AV14" s="378"/>
      <c r="AW14" s="378"/>
      <c r="AX14" s="378"/>
      <c r="BB14" s="522" t="s">
        <v>5763</v>
      </c>
      <c r="CB14" s="522" t="s">
        <v>5763</v>
      </c>
      <c r="DA14" s="222" t="s">
        <v>370</v>
      </c>
      <c r="DB14" s="530" t="s">
        <v>5428</v>
      </c>
      <c r="DC14" s="533"/>
      <c r="DD14" s="533"/>
      <c r="DE14" s="258">
        <v>7</v>
      </c>
      <c r="DF14" s="378"/>
      <c r="EB14" s="129" t="s">
        <v>5762</v>
      </c>
      <c r="EZ14" s="129"/>
      <c r="FA14" s="129"/>
      <c r="FB14" s="522" t="s">
        <v>5752</v>
      </c>
      <c r="FC14" s="129"/>
      <c r="FD14" s="129"/>
      <c r="FE14" s="129"/>
      <c r="FF14" s="129"/>
      <c r="FG14" s="129"/>
      <c r="FH14" s="129"/>
      <c r="FI14" s="129"/>
      <c r="FJ14" s="129"/>
      <c r="FK14" s="129"/>
      <c r="FL14" s="129"/>
      <c r="FM14" s="129"/>
      <c r="FN14" s="129"/>
      <c r="FO14" s="129"/>
      <c r="FP14" s="129"/>
      <c r="FQ14" s="129"/>
      <c r="FR14" s="129"/>
      <c r="FS14" s="129"/>
      <c r="FT14" s="129"/>
      <c r="FU14" s="129"/>
      <c r="FV14" s="129"/>
      <c r="FW14" s="129"/>
      <c r="FX14" s="129"/>
      <c r="FY14" s="129"/>
      <c r="FZ14" s="129"/>
      <c r="GA14" s="129"/>
      <c r="GB14" s="500"/>
      <c r="GC14" s="500"/>
      <c r="GD14" s="500"/>
      <c r="GE14" s="129"/>
      <c r="GF14" s="129"/>
      <c r="GG14" s="129"/>
      <c r="GH14" s="129"/>
      <c r="GI14" s="129"/>
      <c r="GJ14" s="129"/>
      <c r="GK14" s="129"/>
      <c r="GL14" s="129"/>
      <c r="GM14" s="129"/>
      <c r="GN14" s="129"/>
      <c r="GO14" s="129"/>
      <c r="GP14" s="129"/>
      <c r="GQ14" s="129"/>
      <c r="GR14" s="129"/>
      <c r="GS14" s="129"/>
      <c r="GT14" s="129"/>
      <c r="GU14" s="129"/>
      <c r="GV14" s="129"/>
      <c r="GW14" s="129"/>
      <c r="GX14" s="129"/>
      <c r="GY14" s="129"/>
      <c r="GZ14" s="129"/>
      <c r="HB14" s="522" t="s">
        <v>5763</v>
      </c>
      <c r="HG14" s="129"/>
      <c r="HH14" s="129"/>
      <c r="HI14" s="129"/>
      <c r="HJ14" s="129"/>
      <c r="HK14" s="129"/>
      <c r="HL14" s="129"/>
      <c r="HM14" s="129"/>
      <c r="HN14" s="129"/>
      <c r="HO14" s="129"/>
      <c r="HP14" s="129"/>
      <c r="HQ14" s="129"/>
      <c r="HR14" s="129"/>
      <c r="HS14" s="129"/>
      <c r="HT14" s="129"/>
      <c r="HU14" s="129"/>
      <c r="HV14" s="129"/>
      <c r="HW14" s="129"/>
      <c r="HX14" s="129"/>
      <c r="HY14" s="129"/>
      <c r="HZ14" s="129"/>
      <c r="IA14" s="129"/>
      <c r="IB14" s="522" t="s">
        <v>5752</v>
      </c>
      <c r="IC14" s="129"/>
      <c r="ID14" s="129"/>
      <c r="IE14" s="129"/>
      <c r="IF14" s="129"/>
      <c r="IG14" s="129"/>
      <c r="IH14" s="129"/>
      <c r="II14" s="129"/>
      <c r="IJ14" s="129"/>
      <c r="IK14" s="129"/>
      <c r="IL14" s="129"/>
      <c r="IM14" s="129"/>
      <c r="IN14" s="129"/>
      <c r="IO14" s="129"/>
      <c r="IP14" s="129"/>
      <c r="IQ14" s="129"/>
      <c r="IR14" s="129"/>
      <c r="IS14" s="129"/>
      <c r="IT14" s="129"/>
      <c r="IU14" s="129"/>
      <c r="IV14" s="129"/>
      <c r="IW14" s="129"/>
      <c r="IX14" s="129"/>
      <c r="IY14" s="129"/>
      <c r="IZ14" s="129"/>
      <c r="JA14" s="735" t="s">
        <v>430</v>
      </c>
      <c r="JB14" s="1755" t="s">
        <v>6379</v>
      </c>
      <c r="JC14" s="1755"/>
      <c r="JD14" s="1755"/>
      <c r="JE14" s="1755"/>
      <c r="JF14" s="1755"/>
      <c r="JG14" s="129"/>
      <c r="JH14" s="129"/>
      <c r="JI14" s="129"/>
      <c r="JJ14" s="129"/>
      <c r="JK14" s="129"/>
      <c r="JL14" s="129"/>
      <c r="JM14" s="129"/>
      <c r="JN14" s="129"/>
      <c r="JO14" s="129"/>
      <c r="JP14" s="129"/>
      <c r="JQ14" s="129"/>
      <c r="JR14" s="129"/>
      <c r="JS14" s="129"/>
      <c r="JT14" s="129"/>
      <c r="JU14" s="129"/>
      <c r="JV14" s="129"/>
      <c r="JW14" s="129"/>
      <c r="JX14" s="129"/>
      <c r="JY14" s="129"/>
      <c r="JZ14" s="129"/>
      <c r="KB14" s="129" t="s">
        <v>5762</v>
      </c>
      <c r="LB14" s="522" t="s">
        <v>5752</v>
      </c>
      <c r="MA14" s="129"/>
      <c r="MB14" s="1786" t="s">
        <v>6158</v>
      </c>
      <c r="MC14" s="1786"/>
      <c r="MD14" s="1786"/>
      <c r="ME14" s="1786"/>
      <c r="MF14" s="129"/>
      <c r="MG14" s="129"/>
      <c r="MH14" s="129"/>
      <c r="MI14" s="129"/>
      <c r="MJ14" s="129"/>
      <c r="MK14" s="129"/>
      <c r="ML14" s="129"/>
      <c r="MM14" s="129"/>
      <c r="MN14" s="129"/>
      <c r="MO14" s="129"/>
      <c r="MP14" s="129"/>
      <c r="MQ14" s="129"/>
      <c r="MR14" s="129"/>
      <c r="MS14" s="129"/>
      <c r="MT14" s="129"/>
      <c r="MU14" s="129"/>
      <c r="MV14" s="129"/>
      <c r="MW14" s="129"/>
      <c r="MX14" s="129"/>
      <c r="MY14" s="129"/>
      <c r="MZ14" s="129"/>
      <c r="NB14" s="129" t="s">
        <v>5762</v>
      </c>
      <c r="OB14" s="129" t="s">
        <v>5762</v>
      </c>
      <c r="PA14" s="129"/>
      <c r="PB14" s="129"/>
      <c r="PC14" s="129"/>
      <c r="PD14" s="129"/>
      <c r="PE14" s="129"/>
      <c r="PF14" s="129"/>
      <c r="PG14" s="129"/>
      <c r="PH14" s="129"/>
      <c r="PI14" s="129"/>
      <c r="PJ14" s="129"/>
      <c r="PK14" s="129"/>
      <c r="PL14" s="129"/>
      <c r="PM14" s="129"/>
      <c r="PN14" s="129"/>
      <c r="PO14" s="129"/>
      <c r="PP14" s="129"/>
      <c r="PQ14" s="129"/>
      <c r="PR14" s="129"/>
      <c r="PS14" s="129"/>
      <c r="PT14" s="129"/>
      <c r="PU14" s="129"/>
      <c r="PV14" s="129"/>
      <c r="PW14" s="129"/>
      <c r="PX14" s="129"/>
      <c r="PY14" s="129"/>
      <c r="PZ14" s="129"/>
      <c r="QB14" s="129" t="s">
        <v>5762</v>
      </c>
      <c r="RB14" s="522" t="s">
        <v>5752</v>
      </c>
      <c r="SA14" s="1051"/>
      <c r="SB14" s="1051"/>
      <c r="SC14" s="1804"/>
      <c r="SD14" s="1805"/>
      <c r="SE14" s="1806"/>
      <c r="SF14" s="1052"/>
      <c r="SG14" s="1052"/>
      <c r="SH14" s="129">
        <v>7</v>
      </c>
      <c r="SI14" s="1061"/>
      <c r="SJ14" s="1061"/>
      <c r="SK14" s="1061"/>
    </row>
    <row r="15" spans="1:506" ht="30" customHeight="1">
      <c r="B15" s="1082">
        <v>12</v>
      </c>
      <c r="C15" s="1283" t="s">
        <v>6384</v>
      </c>
      <c r="D15" s="1283" t="s">
        <v>5627</v>
      </c>
      <c r="E15" s="1286" t="s">
        <v>6069</v>
      </c>
      <c r="F15" s="1287" t="s">
        <v>233</v>
      </c>
      <c r="J15" s="129" t="s">
        <v>6310</v>
      </c>
      <c r="AA15" s="222" t="s">
        <v>848</v>
      </c>
      <c r="AB15" s="1038" t="s">
        <v>931</v>
      </c>
      <c r="AC15" s="1071"/>
      <c r="AD15" s="533"/>
      <c r="AE15" s="258">
        <v>8</v>
      </c>
      <c r="AF15" s="1086" t="s">
        <v>5771</v>
      </c>
      <c r="AG15" s="378"/>
      <c r="AH15" s="378"/>
      <c r="AI15" s="378"/>
      <c r="AJ15" s="378"/>
      <c r="AK15" s="378"/>
      <c r="AL15" s="378"/>
      <c r="AM15" s="378"/>
      <c r="AN15" s="378"/>
      <c r="AO15" s="378"/>
      <c r="AP15" s="378"/>
      <c r="AQ15" s="378"/>
      <c r="AR15" s="378"/>
      <c r="AS15" s="378"/>
      <c r="AT15" s="378"/>
      <c r="AU15" s="378"/>
      <c r="AV15" s="378"/>
      <c r="AW15" s="378"/>
      <c r="AX15" s="378"/>
      <c r="BA15" s="129" t="s">
        <v>5745</v>
      </c>
      <c r="BC15"/>
      <c r="BD15"/>
      <c r="BE15"/>
      <c r="DA15" s="222"/>
      <c r="DB15" s="222" t="s">
        <v>5431</v>
      </c>
      <c r="DC15" s="222" t="s">
        <v>361</v>
      </c>
      <c r="DD15" s="222" t="s">
        <v>5432</v>
      </c>
      <c r="DE15" s="258"/>
      <c r="DF15" s="378" t="s">
        <v>5450</v>
      </c>
      <c r="EB15" s="522" t="s">
        <v>5763</v>
      </c>
      <c r="EZ15" s="129"/>
      <c r="FA15" s="129"/>
      <c r="FB15" s="129" t="s">
        <v>5762</v>
      </c>
      <c r="FC15" s="129"/>
      <c r="FD15" s="129"/>
      <c r="FE15" s="129"/>
      <c r="FF15" s="129"/>
      <c r="FG15" s="129"/>
      <c r="FH15" s="129"/>
      <c r="FI15" s="129"/>
      <c r="FJ15" s="129"/>
      <c r="FK15" s="129"/>
      <c r="FL15" s="129"/>
      <c r="FM15" s="129"/>
      <c r="FN15" s="129"/>
      <c r="FO15" s="129"/>
      <c r="FP15" s="129"/>
      <c r="FQ15" s="129"/>
      <c r="FR15" s="129"/>
      <c r="FS15" s="129"/>
      <c r="FT15" s="129"/>
      <c r="FU15" s="129"/>
      <c r="FV15" s="129"/>
      <c r="FW15" s="129"/>
      <c r="FX15" s="129"/>
      <c r="FY15" s="129"/>
      <c r="FZ15" s="129"/>
      <c r="GA15" s="735" t="s">
        <v>430</v>
      </c>
      <c r="GB15" s="129" t="s">
        <v>5488</v>
      </c>
      <c r="GC15" s="129"/>
      <c r="GD15" s="129"/>
      <c r="GE15" s="129"/>
      <c r="GF15" s="129"/>
      <c r="GG15" s="129"/>
      <c r="GH15" s="129"/>
      <c r="GI15" s="129"/>
      <c r="GJ15" s="129"/>
      <c r="GK15" s="129"/>
      <c r="GL15" s="129"/>
      <c r="GM15" s="129"/>
      <c r="GN15" s="129"/>
      <c r="GO15" s="129"/>
      <c r="GP15" s="129"/>
      <c r="GQ15" s="129"/>
      <c r="GR15" s="129"/>
      <c r="GS15" s="129"/>
      <c r="GT15" s="129"/>
      <c r="GU15" s="129"/>
      <c r="GV15" s="129"/>
      <c r="GW15" s="129"/>
      <c r="GX15" s="129"/>
      <c r="GY15" s="129"/>
      <c r="GZ15" s="129"/>
      <c r="HA15" s="129" t="s">
        <v>5745</v>
      </c>
      <c r="HG15" s="129"/>
      <c r="HH15" s="129"/>
      <c r="HI15" s="129"/>
      <c r="HJ15" s="129"/>
      <c r="HK15" s="129"/>
      <c r="HL15" s="129"/>
      <c r="HM15" s="129"/>
      <c r="HN15" s="129"/>
      <c r="HO15" s="129"/>
      <c r="HP15" s="129"/>
      <c r="HQ15" s="129"/>
      <c r="HR15" s="129"/>
      <c r="HS15" s="129"/>
      <c r="HT15" s="129"/>
      <c r="HU15" s="129"/>
      <c r="HV15" s="129"/>
      <c r="HW15" s="129"/>
      <c r="HX15" s="129"/>
      <c r="HY15" s="129"/>
      <c r="HZ15" s="129"/>
      <c r="IA15" s="129"/>
      <c r="IB15" s="129" t="s">
        <v>5762</v>
      </c>
      <c r="IC15" s="129"/>
      <c r="ID15" s="129"/>
      <c r="IE15" s="129"/>
      <c r="IF15" s="129"/>
      <c r="IG15" s="129"/>
      <c r="IH15" s="129"/>
      <c r="II15" s="129"/>
      <c r="IJ15" s="129"/>
      <c r="IK15" s="129"/>
      <c r="IL15" s="129"/>
      <c r="IM15" s="129"/>
      <c r="IN15" s="129"/>
      <c r="IO15" s="129"/>
      <c r="IP15" s="129"/>
      <c r="IQ15" s="129"/>
      <c r="IR15" s="129"/>
      <c r="IS15" s="129"/>
      <c r="IT15" s="129"/>
      <c r="IU15" s="129"/>
      <c r="IV15" s="129"/>
      <c r="IW15" s="129"/>
      <c r="IX15" s="129"/>
      <c r="IY15" s="129"/>
      <c r="IZ15" s="129"/>
      <c r="JI15" s="129"/>
      <c r="JJ15" s="129"/>
      <c r="JK15" s="129"/>
      <c r="JL15" s="129"/>
      <c r="JM15" s="129"/>
      <c r="JN15" s="129"/>
      <c r="JO15" s="129"/>
      <c r="JP15" s="129"/>
      <c r="JQ15" s="129"/>
      <c r="JR15" s="129"/>
      <c r="JS15" s="129"/>
      <c r="JT15" s="129"/>
      <c r="JU15" s="129"/>
      <c r="JV15" s="129"/>
      <c r="JW15" s="129"/>
      <c r="JX15" s="129"/>
      <c r="JY15" s="129"/>
      <c r="JZ15" s="129"/>
      <c r="KB15" s="522" t="s">
        <v>5752</v>
      </c>
      <c r="LB15" s="129" t="s">
        <v>5762</v>
      </c>
      <c r="MA15" s="129"/>
      <c r="MB15" s="1787" t="s">
        <v>6159</v>
      </c>
      <c r="MC15" s="1787"/>
      <c r="MD15" s="1787"/>
      <c r="ME15" s="1787"/>
      <c r="MF15" s="129"/>
      <c r="MG15" s="129"/>
      <c r="MH15" s="129"/>
      <c r="MI15" s="129"/>
      <c r="MJ15" s="129"/>
      <c r="MK15" s="129"/>
      <c r="ML15" s="129"/>
      <c r="MM15" s="129"/>
      <c r="MN15" s="129"/>
      <c r="MO15" s="129"/>
      <c r="MP15" s="129"/>
      <c r="MQ15" s="129"/>
      <c r="MR15" s="129"/>
      <c r="MS15" s="129"/>
      <c r="MT15" s="129"/>
      <c r="MU15" s="129"/>
      <c r="MV15" s="129"/>
      <c r="MW15" s="129"/>
      <c r="MX15" s="129"/>
      <c r="MY15" s="129"/>
      <c r="MZ15" s="129"/>
      <c r="NB15" s="522" t="s">
        <v>5752</v>
      </c>
      <c r="OB15" s="522" t="s">
        <v>5752</v>
      </c>
      <c r="PA15" s="735" t="s">
        <v>430</v>
      </c>
      <c r="PB15" s="129" t="s">
        <v>6084</v>
      </c>
      <c r="PC15" s="129"/>
      <c r="PD15" s="129"/>
      <c r="PE15" s="129"/>
      <c r="PF15" s="129"/>
      <c r="PG15" s="129"/>
      <c r="PH15" s="129"/>
      <c r="PI15" s="129"/>
      <c r="PJ15" s="129"/>
      <c r="PK15" s="129"/>
      <c r="PL15" s="129"/>
      <c r="PM15" s="129"/>
      <c r="PN15" s="129"/>
      <c r="PO15" s="129"/>
      <c r="PP15" s="129"/>
      <c r="PQ15" s="129"/>
      <c r="PR15" s="129"/>
      <c r="PS15" s="129"/>
      <c r="PT15" s="129"/>
      <c r="PU15" s="129"/>
      <c r="PV15" s="129"/>
      <c r="PW15" s="129"/>
      <c r="PX15" s="129"/>
      <c r="PY15" s="129"/>
      <c r="PZ15" s="129"/>
      <c r="QB15" s="522" t="s">
        <v>5752</v>
      </c>
      <c r="RB15" s="129" t="s">
        <v>5762</v>
      </c>
      <c r="SA15" s="1053"/>
      <c r="SB15" s="1054"/>
      <c r="SC15" s="1054"/>
      <c r="SD15" s="1055"/>
      <c r="SE15" s="1055"/>
      <c r="SF15" s="1054"/>
      <c r="SG15" s="500"/>
      <c r="SH15" s="133"/>
    </row>
    <row r="16" spans="1:506" ht="30" customHeight="1">
      <c r="B16" s="1082">
        <v>13</v>
      </c>
      <c r="C16" s="138" t="s">
        <v>6094</v>
      </c>
      <c r="D16" s="138" t="s">
        <v>5641</v>
      </c>
      <c r="E16" s="497" t="s">
        <v>5489</v>
      </c>
      <c r="F16" s="546" t="s">
        <v>233</v>
      </c>
      <c r="AA16" s="222" t="s">
        <v>850</v>
      </c>
      <c r="AB16" s="1038" t="s">
        <v>931</v>
      </c>
      <c r="AC16" s="1071"/>
      <c r="AD16" s="533"/>
      <c r="AE16" s="258">
        <v>9</v>
      </c>
      <c r="AF16" s="378"/>
      <c r="AG16" s="378"/>
      <c r="AH16" s="378"/>
      <c r="AI16" s="378"/>
      <c r="AJ16" s="378"/>
      <c r="AK16" s="378"/>
      <c r="AL16" s="378"/>
      <c r="AM16" s="378"/>
      <c r="AN16" s="378"/>
      <c r="AO16" s="378"/>
      <c r="AP16" s="378"/>
      <c r="AQ16" s="378"/>
      <c r="AR16" s="378"/>
      <c r="AS16" s="378"/>
      <c r="AT16" s="378"/>
      <c r="AU16" s="378"/>
      <c r="AV16" s="378"/>
      <c r="AW16" s="378"/>
      <c r="AX16" s="378"/>
      <c r="BA16" s="129" t="s">
        <v>5724</v>
      </c>
      <c r="BC16"/>
      <c r="BD16"/>
      <c r="BE16"/>
      <c r="BF16"/>
      <c r="BG16"/>
      <c r="BH16"/>
      <c r="CA16" s="129" t="s">
        <v>5905</v>
      </c>
      <c r="DA16" s="222" t="s">
        <v>860</v>
      </c>
      <c r="DB16" s="536" t="s">
        <v>4542</v>
      </c>
      <c r="DC16" s="529" t="s">
        <v>862</v>
      </c>
      <c r="DD16" s="529" t="s">
        <v>945</v>
      </c>
      <c r="DE16" s="258" t="s">
        <v>5457</v>
      </c>
      <c r="DF16" s="378"/>
      <c r="EA16" s="129" t="s">
        <v>5745</v>
      </c>
      <c r="EC16"/>
      <c r="ED16"/>
      <c r="EE16"/>
      <c r="EF16"/>
      <c r="EG16"/>
      <c r="EH16"/>
      <c r="EZ16" s="129"/>
      <c r="FB16" s="129"/>
      <c r="FC16" s="129"/>
      <c r="FD16" s="129"/>
      <c r="FE16" s="129"/>
      <c r="FF16" s="129"/>
      <c r="FG16" s="129"/>
      <c r="FH16" s="129"/>
      <c r="FI16" s="129"/>
      <c r="FJ16" s="129"/>
      <c r="FK16" s="129"/>
      <c r="FL16" s="129"/>
      <c r="FM16" s="129"/>
      <c r="FN16" s="129"/>
      <c r="FO16" s="129"/>
      <c r="FP16" s="129"/>
      <c r="FQ16" s="129"/>
      <c r="FR16" s="129"/>
      <c r="FS16" s="129"/>
      <c r="FT16" s="129"/>
      <c r="FU16" s="129"/>
      <c r="FV16" s="129"/>
      <c r="FW16" s="129"/>
      <c r="FX16" s="129"/>
      <c r="FY16" s="129"/>
      <c r="FZ16" s="129"/>
      <c r="GA16" s="129"/>
      <c r="GB16" s="129" t="s">
        <v>5755</v>
      </c>
      <c r="GC16" s="129"/>
      <c r="GD16" s="129"/>
      <c r="GE16" s="129"/>
      <c r="GF16" s="129"/>
      <c r="GG16" s="129"/>
      <c r="GH16" s="129"/>
      <c r="GI16" s="129"/>
      <c r="GJ16" s="129"/>
      <c r="GK16" s="129"/>
      <c r="GL16" s="129"/>
      <c r="GM16" s="129"/>
      <c r="GN16" s="129"/>
      <c r="GO16" s="129"/>
      <c r="GP16" s="129"/>
      <c r="GQ16" s="129"/>
      <c r="GR16" s="129"/>
      <c r="GS16" s="129"/>
      <c r="GT16" s="129"/>
      <c r="GU16" s="129"/>
      <c r="GV16" s="129"/>
      <c r="GW16" s="129"/>
      <c r="GX16" s="129"/>
      <c r="GY16" s="129"/>
      <c r="GZ16" s="129"/>
      <c r="HA16" s="129" t="s">
        <v>5724</v>
      </c>
      <c r="HG16" s="129"/>
      <c r="HH16" s="129"/>
      <c r="HI16" s="129"/>
      <c r="HJ16" s="129"/>
      <c r="HK16" s="129"/>
      <c r="HL16" s="129"/>
      <c r="HM16" s="129"/>
      <c r="HN16" s="129"/>
      <c r="HO16" s="129"/>
      <c r="HP16" s="129"/>
      <c r="HQ16" s="129"/>
      <c r="HR16" s="129"/>
      <c r="HS16" s="129"/>
      <c r="HT16" s="129"/>
      <c r="HU16" s="129"/>
      <c r="HV16" s="129"/>
      <c r="HW16" s="129"/>
      <c r="HX16" s="129"/>
      <c r="HY16" s="129"/>
      <c r="HZ16" s="129"/>
      <c r="IA16" s="129" t="s">
        <v>5745</v>
      </c>
      <c r="IB16" s="129"/>
      <c r="IC16" s="129"/>
      <c r="ID16" s="129"/>
      <c r="IE16" s="129"/>
      <c r="IF16" s="129"/>
      <c r="IG16" s="129"/>
      <c r="IH16" s="129"/>
      <c r="II16" s="129"/>
      <c r="IJ16" s="129"/>
      <c r="IK16" s="129"/>
      <c r="IL16" s="129"/>
      <c r="IM16" s="129"/>
      <c r="IN16" s="129"/>
      <c r="IO16" s="129"/>
      <c r="IP16" s="129"/>
      <c r="IQ16" s="129"/>
      <c r="IR16" s="129"/>
      <c r="IS16" s="129"/>
      <c r="IT16" s="129"/>
      <c r="IU16" s="129"/>
      <c r="IV16" s="129"/>
      <c r="IW16" s="129"/>
      <c r="IX16" s="129"/>
      <c r="IY16" s="129"/>
      <c r="IZ16" s="129"/>
      <c r="JA16" s="735" t="s">
        <v>4865</v>
      </c>
      <c r="JB16" s="377" t="s">
        <v>6114</v>
      </c>
      <c r="JI16" s="129"/>
      <c r="JJ16" s="129"/>
      <c r="JK16" s="129"/>
      <c r="JL16" s="129"/>
      <c r="JM16" s="129"/>
      <c r="JN16" s="129"/>
      <c r="JO16" s="129"/>
      <c r="JP16" s="129"/>
      <c r="JQ16" s="129"/>
      <c r="JR16" s="129"/>
      <c r="JS16" s="129"/>
      <c r="JT16" s="129"/>
      <c r="JU16" s="129"/>
      <c r="JV16" s="129"/>
      <c r="JW16" s="129"/>
      <c r="JX16" s="129"/>
      <c r="JY16" s="129"/>
      <c r="JZ16" s="129"/>
      <c r="KA16" s="129" t="s">
        <v>5745</v>
      </c>
      <c r="LA16" s="129" t="s">
        <v>5745</v>
      </c>
      <c r="MA16" s="129"/>
      <c r="MB16" s="1787" t="s">
        <v>6160</v>
      </c>
      <c r="MC16" s="1787"/>
      <c r="MD16" s="1787"/>
      <c r="ME16" s="1787"/>
      <c r="MF16" s="129"/>
      <c r="MG16" s="129"/>
      <c r="MH16" s="129"/>
      <c r="MI16" s="129"/>
      <c r="MJ16" s="129"/>
      <c r="MK16" s="129"/>
      <c r="ML16" s="129"/>
      <c r="MM16" s="129"/>
      <c r="MN16" s="129"/>
      <c r="MO16" s="129"/>
      <c r="MP16" s="129"/>
      <c r="MQ16" s="129"/>
      <c r="MR16" s="129"/>
      <c r="MS16" s="129"/>
      <c r="MT16" s="129"/>
      <c r="MU16" s="129"/>
      <c r="MV16" s="129"/>
      <c r="MW16" s="129"/>
      <c r="MX16" s="129"/>
      <c r="MY16" s="129"/>
      <c r="MZ16" s="129"/>
      <c r="NA16" s="129" t="s">
        <v>5745</v>
      </c>
      <c r="OA16" s="129" t="s">
        <v>5745</v>
      </c>
      <c r="PA16" s="129"/>
      <c r="PB16" s="1755" t="s">
        <v>6085</v>
      </c>
      <c r="PC16" s="1755"/>
      <c r="PD16" s="1755"/>
      <c r="PE16" s="1755"/>
      <c r="PF16" s="1755"/>
      <c r="PG16" s="129"/>
      <c r="PH16" s="129"/>
      <c r="PI16" s="129"/>
      <c r="PJ16" s="129"/>
      <c r="PK16" s="129"/>
      <c r="PL16" s="129"/>
      <c r="PM16" s="129"/>
      <c r="PN16" s="129"/>
      <c r="PO16" s="129"/>
      <c r="PP16" s="129"/>
      <c r="PQ16" s="129"/>
      <c r="PR16" s="129"/>
      <c r="PS16" s="129"/>
      <c r="PT16" s="129"/>
      <c r="PU16" s="129"/>
      <c r="PV16" s="129"/>
      <c r="PW16" s="129"/>
      <c r="PX16" s="129"/>
      <c r="PY16" s="129"/>
      <c r="PZ16" s="129"/>
      <c r="QA16" s="129" t="s">
        <v>5745</v>
      </c>
      <c r="RA16" s="129" t="s">
        <v>5745</v>
      </c>
      <c r="SA16" s="1599" t="s">
        <v>5502</v>
      </c>
      <c r="SB16" s="1632"/>
      <c r="SC16" s="1632"/>
      <c r="SD16" s="1632"/>
      <c r="SE16" s="1632"/>
      <c r="SF16" s="1632"/>
      <c r="SG16" s="500"/>
      <c r="SH16" s="133"/>
    </row>
    <row r="17" spans="2:502" ht="19.2" customHeight="1">
      <c r="B17" s="349">
        <v>14</v>
      </c>
      <c r="C17" s="138" t="s">
        <v>6095</v>
      </c>
      <c r="D17" s="138" t="s">
        <v>5791</v>
      </c>
      <c r="E17" s="1128" t="s">
        <v>5640</v>
      </c>
      <c r="F17" s="546" t="s">
        <v>233</v>
      </c>
      <c r="AA17" s="222" t="s">
        <v>852</v>
      </c>
      <c r="AB17" s="1038" t="s">
        <v>931</v>
      </c>
      <c r="AC17" s="1071"/>
      <c r="AD17" s="533"/>
      <c r="AE17" s="258">
        <v>10</v>
      </c>
      <c r="AF17" s="378"/>
      <c r="AG17" s="378"/>
      <c r="AH17" s="378"/>
      <c r="AI17" s="378"/>
      <c r="AJ17" s="378"/>
      <c r="AK17" s="378"/>
      <c r="AL17" s="378"/>
      <c r="AM17" s="378"/>
      <c r="AN17" s="378"/>
      <c r="AO17" s="378"/>
      <c r="AP17" s="378"/>
      <c r="AQ17" s="378"/>
      <c r="AR17" s="378"/>
      <c r="AS17" s="378"/>
      <c r="AT17" s="378"/>
      <c r="AU17" s="378"/>
      <c r="AV17" s="378"/>
      <c r="AW17" s="378"/>
      <c r="AX17" s="378"/>
      <c r="BA17" s="129" t="s">
        <v>5737</v>
      </c>
      <c r="BC17"/>
      <c r="BD17"/>
      <c r="BE17"/>
      <c r="BF17"/>
      <c r="BG17"/>
      <c r="BH17"/>
      <c r="CA17" s="129" t="s">
        <v>6081</v>
      </c>
      <c r="DA17" s="222" t="s">
        <v>866</v>
      </c>
      <c r="DB17" s="536" t="s">
        <v>4542</v>
      </c>
      <c r="DC17" s="529" t="s">
        <v>862</v>
      </c>
      <c r="DD17" s="529" t="s">
        <v>945</v>
      </c>
      <c r="DE17" s="258" t="s">
        <v>5458</v>
      </c>
      <c r="DF17" s="378"/>
      <c r="EA17" s="129" t="s">
        <v>5724</v>
      </c>
      <c r="EC17"/>
      <c r="ED17"/>
      <c r="EE17"/>
      <c r="EF17"/>
      <c r="EG17"/>
      <c r="EH17"/>
      <c r="EZ17" s="129"/>
      <c r="FA17" s="129" t="s">
        <v>5745</v>
      </c>
      <c r="FB17" s="129"/>
      <c r="FC17" s="129"/>
      <c r="FD17" s="129"/>
      <c r="FE17" s="129"/>
      <c r="FF17" s="129"/>
      <c r="FG17" s="129"/>
      <c r="FH17" s="129"/>
      <c r="FI17" s="129"/>
      <c r="FJ17" s="129"/>
      <c r="FK17" s="129"/>
      <c r="FL17" s="129"/>
      <c r="FM17" s="129"/>
      <c r="FN17" s="129"/>
      <c r="FO17" s="129"/>
      <c r="FP17" s="129"/>
      <c r="FQ17" s="129"/>
      <c r="FR17" s="129"/>
      <c r="FS17" s="129"/>
      <c r="FT17" s="129"/>
      <c r="FU17" s="129"/>
      <c r="FV17" s="129"/>
      <c r="FW17" s="129"/>
      <c r="FX17" s="129"/>
      <c r="FY17" s="129"/>
      <c r="FZ17" s="129"/>
      <c r="GG17" s="129"/>
      <c r="GH17" s="129"/>
      <c r="GI17" s="129"/>
      <c r="GJ17" s="129"/>
      <c r="GK17" s="129"/>
      <c r="GL17" s="129"/>
      <c r="GM17" s="129"/>
      <c r="GN17" s="129"/>
      <c r="GO17" s="129"/>
      <c r="GP17" s="129"/>
      <c r="GQ17" s="129"/>
      <c r="GR17" s="129"/>
      <c r="GS17" s="129"/>
      <c r="GT17" s="129"/>
      <c r="GU17" s="129"/>
      <c r="GV17" s="129"/>
      <c r="GW17" s="129"/>
      <c r="GX17" s="129"/>
      <c r="GY17" s="129"/>
      <c r="GZ17" s="129"/>
      <c r="HA17" s="129" t="s">
        <v>5737</v>
      </c>
      <c r="HG17" s="129"/>
      <c r="HH17" s="129"/>
      <c r="HI17" s="129"/>
      <c r="HJ17" s="129"/>
      <c r="HK17" s="129"/>
      <c r="HL17" s="129"/>
      <c r="HM17" s="129"/>
      <c r="HN17" s="129"/>
      <c r="HO17" s="129"/>
      <c r="HP17" s="129"/>
      <c r="HQ17" s="129"/>
      <c r="HR17" s="129"/>
      <c r="HS17" s="129"/>
      <c r="HT17" s="129"/>
      <c r="HU17" s="129"/>
      <c r="HV17" s="129"/>
      <c r="HW17" s="129"/>
      <c r="HX17" s="129"/>
      <c r="HY17" s="129"/>
      <c r="HZ17" s="129"/>
      <c r="IA17" s="129" t="s">
        <v>6081</v>
      </c>
      <c r="IB17" s="129"/>
      <c r="IC17" s="129"/>
      <c r="ID17" s="129"/>
      <c r="IE17" s="129"/>
      <c r="IF17" s="129"/>
      <c r="IG17" s="129"/>
      <c r="IH17" s="129"/>
      <c r="II17" s="129"/>
      <c r="IJ17" s="129"/>
      <c r="IK17" s="129"/>
      <c r="IL17" s="129"/>
      <c r="IM17" s="129"/>
      <c r="IN17" s="129"/>
      <c r="IO17" s="129"/>
      <c r="IP17" s="129"/>
      <c r="IQ17" s="129"/>
      <c r="IR17" s="129"/>
      <c r="IS17" s="129"/>
      <c r="IT17" s="129"/>
      <c r="IU17" s="129"/>
      <c r="IV17" s="129"/>
      <c r="IW17" s="129"/>
      <c r="IX17" s="129"/>
      <c r="IY17" s="129"/>
      <c r="IZ17" s="129"/>
      <c r="JA17" s="7"/>
      <c r="JB17" s="1785" t="s">
        <v>6109</v>
      </c>
      <c r="JC17" s="1785"/>
      <c r="JD17" s="1785"/>
      <c r="JE17" s="1785"/>
      <c r="JF17" s="1785"/>
      <c r="JG17" s="1785"/>
      <c r="JI17" s="129"/>
      <c r="JJ17" s="129"/>
      <c r="JK17" s="129"/>
      <c r="JL17" s="129"/>
      <c r="JM17" s="129"/>
      <c r="JN17" s="129"/>
      <c r="JO17" s="129"/>
      <c r="JP17" s="129"/>
      <c r="JQ17" s="129"/>
      <c r="JR17" s="129"/>
      <c r="JS17" s="129"/>
      <c r="JT17" s="129"/>
      <c r="JU17" s="129"/>
      <c r="JV17" s="129"/>
      <c r="JW17" s="129"/>
      <c r="JX17" s="129"/>
      <c r="JY17" s="129"/>
      <c r="JZ17" s="129"/>
      <c r="KA17" s="129" t="s">
        <v>5724</v>
      </c>
      <c r="LA17" s="129" t="s">
        <v>6081</v>
      </c>
      <c r="MA17" s="129"/>
      <c r="MB17" s="1755" t="s">
        <v>6161</v>
      </c>
      <c r="MC17" s="1755"/>
      <c r="MD17" s="1755"/>
      <c r="ME17" s="1755"/>
      <c r="MF17" s="129"/>
      <c r="MG17" s="129"/>
      <c r="MH17" s="129"/>
      <c r="MI17" s="129"/>
      <c r="MJ17" s="129"/>
      <c r="MK17" s="129"/>
      <c r="ML17" s="129"/>
      <c r="MM17" s="129"/>
      <c r="MN17" s="129"/>
      <c r="MO17" s="129"/>
      <c r="MP17" s="129"/>
      <c r="MQ17" s="129"/>
      <c r="MR17" s="129"/>
      <c r="MS17" s="129"/>
      <c r="MT17" s="129"/>
      <c r="MU17" s="129"/>
      <c r="MV17" s="129"/>
      <c r="MW17" s="129"/>
      <c r="MX17" s="129"/>
      <c r="MY17" s="129"/>
      <c r="MZ17" s="129"/>
      <c r="NA17" s="129" t="s">
        <v>5724</v>
      </c>
      <c r="OA17" s="129" t="s">
        <v>6081</v>
      </c>
      <c r="PA17" s="129"/>
      <c r="PB17" s="129"/>
      <c r="PC17" s="129"/>
      <c r="PD17" s="129"/>
      <c r="PE17" s="129"/>
      <c r="PF17" s="129"/>
      <c r="PG17" s="129"/>
      <c r="PH17" s="129"/>
      <c r="PI17" s="129"/>
      <c r="PJ17" s="129"/>
      <c r="PK17" s="129"/>
      <c r="PL17" s="129"/>
      <c r="PM17" s="129"/>
      <c r="PN17" s="129"/>
      <c r="PO17" s="129"/>
      <c r="PP17" s="129"/>
      <c r="PQ17" s="129"/>
      <c r="PR17" s="129"/>
      <c r="PS17" s="129"/>
      <c r="PT17" s="129"/>
      <c r="PU17" s="129"/>
      <c r="PV17" s="129"/>
      <c r="PW17" s="129"/>
      <c r="PX17" s="129"/>
      <c r="PY17" s="129"/>
      <c r="PZ17" s="129"/>
      <c r="QA17" s="129" t="s">
        <v>5724</v>
      </c>
      <c r="RA17" s="129" t="s">
        <v>6081</v>
      </c>
      <c r="SA17" s="531" t="s">
        <v>355</v>
      </c>
      <c r="SB17" s="1056" t="s">
        <v>5503</v>
      </c>
      <c r="SC17" s="500"/>
      <c r="SD17" s="500"/>
      <c r="SE17" s="500"/>
      <c r="SF17" s="133"/>
      <c r="SH17" s="129">
        <v>8</v>
      </c>
    </row>
    <row r="18" spans="2:502" ht="16.5" customHeight="1">
      <c r="B18" s="1082">
        <v>15</v>
      </c>
      <c r="C18" s="138" t="s">
        <v>6096</v>
      </c>
      <c r="D18" s="138" t="s">
        <v>5792</v>
      </c>
      <c r="E18" s="1128" t="s">
        <v>5639</v>
      </c>
      <c r="F18" s="546" t="s">
        <v>233</v>
      </c>
      <c r="AA18" s="222" t="s">
        <v>854</v>
      </c>
      <c r="AB18" s="1038" t="s">
        <v>5429</v>
      </c>
      <c r="AC18" s="222" t="s">
        <v>857</v>
      </c>
      <c r="AD18" s="1038" t="s">
        <v>5572</v>
      </c>
      <c r="AE18" s="258" t="s">
        <v>6611</v>
      </c>
      <c r="AF18" s="378"/>
      <c r="AG18" s="378"/>
      <c r="AH18" s="378"/>
      <c r="AI18" s="378"/>
      <c r="AJ18" s="378"/>
      <c r="AK18" s="378"/>
      <c r="AL18" s="378"/>
      <c r="AM18" s="378"/>
      <c r="AN18" s="378"/>
      <c r="AO18" s="378"/>
      <c r="AP18" s="378"/>
      <c r="AQ18" s="378"/>
      <c r="AR18" s="378"/>
      <c r="AS18" s="378"/>
      <c r="AT18" s="378"/>
      <c r="AU18" s="378"/>
      <c r="AV18" s="378"/>
      <c r="AW18" s="378"/>
      <c r="AX18" s="378"/>
      <c r="BA18" s="1089" t="s">
        <v>5750</v>
      </c>
      <c r="BC18"/>
      <c r="BD18"/>
      <c r="BE18"/>
      <c r="BF18"/>
      <c r="BG18"/>
      <c r="BH18"/>
      <c r="CA18" s="129" t="s">
        <v>5777</v>
      </c>
      <c r="DA18" s="222" t="s">
        <v>870</v>
      </c>
      <c r="DB18" s="536" t="s">
        <v>4542</v>
      </c>
      <c r="DC18" s="529" t="s">
        <v>862</v>
      </c>
      <c r="DD18" s="529" t="s">
        <v>945</v>
      </c>
      <c r="DE18" s="258" t="s">
        <v>5459</v>
      </c>
      <c r="DF18" s="378"/>
      <c r="EA18" s="129" t="s">
        <v>5737</v>
      </c>
      <c r="EC18"/>
      <c r="ED18"/>
      <c r="EE18"/>
      <c r="EF18"/>
      <c r="EG18"/>
      <c r="EH18"/>
      <c r="EZ18" s="129"/>
      <c r="FA18" s="129" t="s">
        <v>6081</v>
      </c>
      <c r="FB18" s="129"/>
      <c r="FC18" s="129"/>
      <c r="FD18" s="129"/>
      <c r="FE18" s="129"/>
      <c r="FF18" s="129"/>
      <c r="FG18" s="129"/>
      <c r="FH18" s="129"/>
      <c r="FI18" s="129"/>
      <c r="FJ18" s="129"/>
      <c r="FK18" s="129"/>
      <c r="FL18" s="129"/>
      <c r="FM18" s="129"/>
      <c r="FN18" s="129"/>
      <c r="FO18" s="129"/>
      <c r="FP18" s="129"/>
      <c r="FQ18" s="129"/>
      <c r="FR18" s="129"/>
      <c r="FS18" s="129"/>
      <c r="FT18" s="129"/>
      <c r="FU18" s="129"/>
      <c r="FV18" s="129"/>
      <c r="FW18" s="129"/>
      <c r="FX18" s="129"/>
      <c r="FY18" s="129"/>
      <c r="FZ18" s="129"/>
      <c r="GA18" s="735" t="s">
        <v>4865</v>
      </c>
      <c r="GB18" s="1802" t="s">
        <v>5484</v>
      </c>
      <c r="GC18" s="1802"/>
      <c r="GD18" s="1802"/>
      <c r="GE18" s="1802"/>
      <c r="GF18" s="1802"/>
      <c r="GG18" s="129"/>
      <c r="GH18" s="129"/>
      <c r="GI18" s="129"/>
      <c r="GJ18" s="129"/>
      <c r="GK18" s="129"/>
      <c r="GL18" s="129"/>
      <c r="GM18" s="129"/>
      <c r="GN18" s="129"/>
      <c r="GO18" s="129"/>
      <c r="GP18" s="129"/>
      <c r="GQ18" s="129"/>
      <c r="GR18" s="129"/>
      <c r="GS18" s="129"/>
      <c r="GT18" s="129"/>
      <c r="GU18" s="129"/>
      <c r="GV18" s="129"/>
      <c r="GW18" s="129"/>
      <c r="GX18" s="129"/>
      <c r="GY18" s="129"/>
      <c r="GZ18" s="129"/>
      <c r="HA18" s="129" t="s">
        <v>5802</v>
      </c>
      <c r="HG18" s="129"/>
      <c r="HH18" s="129"/>
      <c r="HI18" s="129"/>
      <c r="HJ18" s="129"/>
      <c r="HK18" s="129"/>
      <c r="HL18" s="129"/>
      <c r="HM18" s="129"/>
      <c r="HN18" s="129"/>
      <c r="HO18" s="129"/>
      <c r="HP18" s="129"/>
      <c r="HQ18" s="129"/>
      <c r="HR18" s="129"/>
      <c r="HS18" s="129"/>
      <c r="HT18" s="129"/>
      <c r="HU18" s="129"/>
      <c r="HV18" s="129"/>
      <c r="HW18" s="129"/>
      <c r="HX18" s="129"/>
      <c r="HY18" s="129"/>
      <c r="HZ18" s="129"/>
      <c r="IA18" s="129" t="s">
        <v>5777</v>
      </c>
      <c r="IB18" s="129"/>
      <c r="IC18" s="129"/>
      <c r="ID18" s="129"/>
      <c r="IE18" s="129"/>
      <c r="IF18" s="129"/>
      <c r="IG18" s="129"/>
      <c r="IH18" s="129"/>
      <c r="II18" s="129"/>
      <c r="IJ18" s="129"/>
      <c r="IK18" s="129"/>
      <c r="IL18" s="129"/>
      <c r="IM18" s="129"/>
      <c r="IN18" s="129"/>
      <c r="IO18" s="129"/>
      <c r="IP18" s="129"/>
      <c r="IQ18" s="129"/>
      <c r="IR18" s="129"/>
      <c r="IS18" s="129"/>
      <c r="IT18" s="129"/>
      <c r="IU18" s="129"/>
      <c r="IV18" s="129"/>
      <c r="IW18" s="129"/>
      <c r="IX18" s="129"/>
      <c r="IY18" s="129"/>
      <c r="IZ18" s="129"/>
      <c r="JA18" s="7"/>
      <c r="JB18" s="1785" t="s">
        <v>6121</v>
      </c>
      <c r="JC18" s="1785"/>
      <c r="JD18" s="1785"/>
      <c r="JE18" s="1785"/>
      <c r="JF18" s="1785"/>
      <c r="JG18" s="1785"/>
      <c r="JI18" s="129"/>
      <c r="JJ18" s="129"/>
      <c r="JK18" s="129"/>
      <c r="JL18" s="129"/>
      <c r="JM18" s="129"/>
      <c r="JN18" s="129"/>
      <c r="JO18" s="129"/>
      <c r="JP18" s="129"/>
      <c r="JQ18" s="129"/>
      <c r="JR18" s="129"/>
      <c r="JS18" s="129"/>
      <c r="JT18" s="129"/>
      <c r="JU18" s="129"/>
      <c r="JV18" s="129"/>
      <c r="JW18" s="129"/>
      <c r="JX18" s="129"/>
      <c r="JY18" s="129"/>
      <c r="JZ18" s="129"/>
      <c r="KA18" s="129" t="s">
        <v>5737</v>
      </c>
      <c r="LA18" s="129" t="s">
        <v>5777</v>
      </c>
      <c r="MA18" s="129"/>
      <c r="MB18" s="129"/>
      <c r="MC18" s="129"/>
      <c r="MD18" s="129"/>
      <c r="ME18" s="129"/>
      <c r="MF18" s="129"/>
      <c r="MG18" s="129"/>
      <c r="MH18" s="129"/>
      <c r="MI18" s="129"/>
      <c r="MJ18" s="129"/>
      <c r="MK18" s="129"/>
      <c r="ML18" s="129"/>
      <c r="MM18" s="129"/>
      <c r="MN18" s="129"/>
      <c r="MO18" s="129"/>
      <c r="MP18" s="129"/>
      <c r="MQ18" s="129"/>
      <c r="MR18" s="129"/>
      <c r="MS18" s="129"/>
      <c r="MT18" s="129"/>
      <c r="MU18" s="129"/>
      <c r="MV18" s="129"/>
      <c r="MW18" s="129"/>
      <c r="MX18" s="129"/>
      <c r="MY18" s="129"/>
      <c r="MZ18" s="129"/>
      <c r="NA18" s="129" t="s">
        <v>5737</v>
      </c>
      <c r="OA18" s="129" t="s">
        <v>5777</v>
      </c>
      <c r="PA18" s="735" t="s">
        <v>4865</v>
      </c>
      <c r="PB18" s="129" t="s">
        <v>5799</v>
      </c>
      <c r="PC18" s="129"/>
      <c r="PD18" s="129"/>
      <c r="PE18" s="129"/>
      <c r="PF18" s="129"/>
      <c r="PG18" s="129"/>
      <c r="PH18" s="129"/>
      <c r="PI18" s="129"/>
      <c r="PJ18" s="129"/>
      <c r="PK18" s="129"/>
      <c r="PL18" s="129"/>
      <c r="PM18" s="129"/>
      <c r="PN18" s="129"/>
      <c r="PO18" s="129"/>
      <c r="PP18" s="129"/>
      <c r="PQ18" s="129"/>
      <c r="PR18" s="129"/>
      <c r="PS18" s="129"/>
      <c r="PT18" s="129"/>
      <c r="PU18" s="129"/>
      <c r="PV18" s="129"/>
      <c r="PW18" s="129"/>
      <c r="PX18" s="129"/>
      <c r="PY18" s="129"/>
      <c r="PZ18" s="129"/>
      <c r="QA18" s="129" t="s">
        <v>5737</v>
      </c>
      <c r="RA18" s="129" t="s">
        <v>5777</v>
      </c>
      <c r="SA18" s="531" t="s">
        <v>423</v>
      </c>
      <c r="SB18" s="1807" t="s">
        <v>5504</v>
      </c>
      <c r="SC18" s="1807"/>
      <c r="SD18" s="1807"/>
      <c r="SE18" s="1807"/>
      <c r="SF18" s="1807"/>
      <c r="SH18" s="129">
        <v>9</v>
      </c>
    </row>
    <row r="19" spans="2:502" ht="18.600000000000001" customHeight="1">
      <c r="B19" s="1082">
        <v>16</v>
      </c>
      <c r="C19" s="138" t="s">
        <v>5628</v>
      </c>
      <c r="D19" s="138" t="s">
        <v>5796</v>
      </c>
      <c r="E19" s="497" t="s">
        <v>5489</v>
      </c>
      <c r="F19" s="546" t="s">
        <v>233</v>
      </c>
      <c r="AA19" s="222" t="s">
        <v>370</v>
      </c>
      <c r="AB19" s="1038" t="s">
        <v>5428</v>
      </c>
      <c r="AC19" s="533"/>
      <c r="AD19" s="533"/>
      <c r="AE19" s="258">
        <v>12</v>
      </c>
      <c r="AF19" s="378"/>
      <c r="AG19" s="378"/>
      <c r="AH19" s="378"/>
      <c r="AI19" s="378"/>
      <c r="AJ19" s="378"/>
      <c r="AK19" s="378"/>
      <c r="AL19" s="378"/>
      <c r="AM19" s="378"/>
      <c r="AN19" s="378"/>
      <c r="AO19" s="378"/>
      <c r="AP19" s="378"/>
      <c r="AQ19" s="378"/>
      <c r="AR19" s="378"/>
      <c r="AS19" s="378"/>
      <c r="AT19" s="378"/>
      <c r="AU19" s="378"/>
      <c r="AV19" s="378"/>
      <c r="AW19" s="378"/>
      <c r="AX19" s="378"/>
      <c r="BA19" s="129" t="s">
        <v>5745</v>
      </c>
      <c r="BF19"/>
      <c r="BG19"/>
      <c r="BH19"/>
      <c r="CA19" s="129" t="s">
        <v>5906</v>
      </c>
      <c r="DA19" s="222" t="s">
        <v>528</v>
      </c>
      <c r="DB19" s="1773"/>
      <c r="DC19" s="1774"/>
      <c r="DD19" s="1774"/>
      <c r="DE19" s="258">
        <v>11</v>
      </c>
      <c r="DF19" s="378"/>
      <c r="EA19" s="129" t="s">
        <v>5802</v>
      </c>
      <c r="EC19"/>
      <c r="ED19"/>
      <c r="EE19"/>
      <c r="EF19"/>
      <c r="EG19"/>
      <c r="EH19"/>
      <c r="EZ19" s="129"/>
      <c r="FA19" s="129" t="s">
        <v>5777</v>
      </c>
      <c r="FB19" s="129"/>
      <c r="FC19" s="129"/>
      <c r="FD19" s="129"/>
      <c r="FE19" s="129"/>
      <c r="FF19" s="129"/>
      <c r="FG19" s="129"/>
      <c r="FH19" s="129"/>
      <c r="FI19" s="129"/>
      <c r="FJ19" s="129"/>
      <c r="FK19" s="129"/>
      <c r="FL19" s="129"/>
      <c r="FM19" s="129"/>
      <c r="FN19" s="129"/>
      <c r="FO19" s="129"/>
      <c r="FP19" s="129"/>
      <c r="FQ19" s="129"/>
      <c r="FR19" s="129"/>
      <c r="FS19" s="129"/>
      <c r="FT19" s="129"/>
      <c r="FU19" s="129"/>
      <c r="FV19" s="129"/>
      <c r="FW19" s="129"/>
      <c r="FX19" s="129"/>
      <c r="FY19" s="129"/>
      <c r="FZ19" s="129"/>
      <c r="GA19" s="502"/>
      <c r="GB19" s="1802" t="s">
        <v>5485</v>
      </c>
      <c r="GC19" s="1802"/>
      <c r="GD19" s="1802"/>
      <c r="GE19" s="1802"/>
      <c r="GF19" s="1802"/>
      <c r="GG19" s="129"/>
      <c r="GH19" s="129"/>
      <c r="GI19" s="129"/>
      <c r="GJ19" s="129"/>
      <c r="GK19" s="129"/>
      <c r="GL19" s="129"/>
      <c r="GM19" s="129"/>
      <c r="GN19" s="129"/>
      <c r="GO19" s="129"/>
      <c r="GP19" s="129"/>
      <c r="GQ19" s="129"/>
      <c r="GR19" s="129"/>
      <c r="GS19" s="129"/>
      <c r="GT19" s="129"/>
      <c r="GU19" s="129"/>
      <c r="GV19" s="129"/>
      <c r="GW19" s="129"/>
      <c r="GX19" s="129"/>
      <c r="GY19" s="129"/>
      <c r="GZ19" s="129"/>
      <c r="HA19" s="1089" t="s">
        <v>5750</v>
      </c>
      <c r="HG19" s="129"/>
      <c r="HH19" s="129"/>
      <c r="HI19" s="129"/>
      <c r="HJ19" s="129"/>
      <c r="HK19" s="129"/>
      <c r="HL19" s="129"/>
      <c r="HM19" s="129"/>
      <c r="HN19" s="129"/>
      <c r="HO19" s="129"/>
      <c r="HP19" s="129"/>
      <c r="HQ19" s="129"/>
      <c r="HR19" s="129"/>
      <c r="HS19" s="129"/>
      <c r="HT19" s="129"/>
      <c r="HU19" s="129"/>
      <c r="HV19" s="129"/>
      <c r="HW19" s="129"/>
      <c r="HX19" s="129"/>
      <c r="HY19" s="129"/>
      <c r="HZ19" s="129"/>
      <c r="IA19" s="129" t="s">
        <v>5798</v>
      </c>
      <c r="IB19" s="129"/>
      <c r="IC19" s="129"/>
      <c r="ID19" s="129"/>
      <c r="IE19" s="129"/>
      <c r="IF19" s="129"/>
      <c r="IG19" s="129"/>
      <c r="IH19" s="129"/>
      <c r="II19" s="129"/>
      <c r="IJ19" s="129"/>
      <c r="IK19" s="129"/>
      <c r="IL19" s="129"/>
      <c r="IM19" s="129"/>
      <c r="IN19" s="129"/>
      <c r="IO19" s="129"/>
      <c r="IP19" s="129"/>
      <c r="IQ19" s="129"/>
      <c r="IR19" s="129"/>
      <c r="IS19" s="129"/>
      <c r="IT19" s="129"/>
      <c r="IU19" s="129"/>
      <c r="IV19" s="129"/>
      <c r="IW19" s="129"/>
      <c r="IX19" s="129"/>
      <c r="IY19" s="129"/>
      <c r="IZ19" s="129"/>
      <c r="JA19" s="7"/>
      <c r="JB19" s="1785" t="s">
        <v>6110</v>
      </c>
      <c r="JC19" s="1785"/>
      <c r="JD19" s="1785"/>
      <c r="JE19" s="1785"/>
      <c r="JF19" s="1785"/>
      <c r="JG19" s="1785"/>
      <c r="JI19" s="129"/>
      <c r="JJ19" s="129"/>
      <c r="JK19" s="129"/>
      <c r="JL19" s="129"/>
      <c r="JM19" s="129"/>
      <c r="JN19" s="129"/>
      <c r="JO19" s="129"/>
      <c r="JP19" s="129"/>
      <c r="JQ19" s="129"/>
      <c r="JR19" s="129"/>
      <c r="JS19" s="129"/>
      <c r="JT19" s="129"/>
      <c r="JU19" s="129"/>
      <c r="JV19" s="129"/>
      <c r="JW19" s="129"/>
      <c r="JX19" s="129"/>
      <c r="JY19" s="129"/>
      <c r="JZ19" s="129"/>
      <c r="KA19" s="129" t="s">
        <v>5802</v>
      </c>
      <c r="LA19" s="129" t="s">
        <v>5798</v>
      </c>
      <c r="MA19" s="129"/>
      <c r="MB19" s="129"/>
      <c r="MC19" s="129"/>
      <c r="MD19" s="129"/>
      <c r="ME19" s="129"/>
      <c r="MF19" s="129"/>
      <c r="MG19" s="129"/>
      <c r="MH19" s="129"/>
      <c r="MI19" s="129"/>
      <c r="MJ19" s="129"/>
      <c r="MK19" s="129"/>
      <c r="ML19" s="129"/>
      <c r="MM19" s="129"/>
      <c r="MN19" s="129"/>
      <c r="MO19" s="129"/>
      <c r="MP19" s="129"/>
      <c r="MQ19" s="129"/>
      <c r="MR19" s="129"/>
      <c r="MS19" s="129"/>
      <c r="MT19" s="129"/>
      <c r="MU19" s="129"/>
      <c r="MV19" s="129"/>
      <c r="MW19" s="129"/>
      <c r="MX19" s="129"/>
      <c r="MY19" s="129"/>
      <c r="MZ19" s="129"/>
      <c r="NA19" s="129" t="s">
        <v>5802</v>
      </c>
      <c r="OA19" s="129" t="s">
        <v>5798</v>
      </c>
      <c r="PA19" s="129"/>
      <c r="PB19" s="129" t="s">
        <v>6086</v>
      </c>
      <c r="PC19" s="129"/>
      <c r="PD19" s="129"/>
      <c r="PE19" s="129"/>
      <c r="PF19" s="129"/>
      <c r="PG19" s="129"/>
      <c r="PH19" s="129"/>
      <c r="PI19" s="129"/>
      <c r="PJ19" s="129"/>
      <c r="PK19" s="129"/>
      <c r="PL19" s="129"/>
      <c r="PM19" s="129"/>
      <c r="PN19" s="129"/>
      <c r="PO19" s="129"/>
      <c r="PP19" s="129"/>
      <c r="PQ19" s="129"/>
      <c r="PR19" s="129"/>
      <c r="PS19" s="129"/>
      <c r="PT19" s="129"/>
      <c r="PU19" s="129"/>
      <c r="PV19" s="129"/>
      <c r="PW19" s="129"/>
      <c r="PX19" s="129"/>
      <c r="PY19" s="129"/>
      <c r="PZ19" s="129"/>
      <c r="QA19" s="129" t="s">
        <v>5802</v>
      </c>
      <c r="RA19" s="129" t="s">
        <v>5798</v>
      </c>
      <c r="SA19" s="544"/>
      <c r="SB19" s="544"/>
      <c r="SC19" s="544"/>
      <c r="SD19" s="903"/>
      <c r="SE19" s="903"/>
      <c r="SF19" s="903"/>
    </row>
    <row r="20" spans="2:502" ht="15.6">
      <c r="B20" s="349">
        <v>17</v>
      </c>
      <c r="C20" s="138" t="s">
        <v>5629</v>
      </c>
      <c r="D20" s="138" t="s">
        <v>6066</v>
      </c>
      <c r="E20" s="1128" t="s">
        <v>5794</v>
      </c>
      <c r="F20" s="546" t="s">
        <v>233</v>
      </c>
      <c r="AA20" s="222"/>
      <c r="AB20" s="222" t="s">
        <v>5431</v>
      </c>
      <c r="AC20" s="222" t="s">
        <v>361</v>
      </c>
      <c r="AD20" s="222" t="s">
        <v>5432</v>
      </c>
      <c r="AE20" s="258"/>
      <c r="AF20" s="378" t="s">
        <v>5773</v>
      </c>
      <c r="AG20" s="378"/>
      <c r="AH20" s="378"/>
      <c r="AI20" s="378"/>
      <c r="AJ20" s="378"/>
      <c r="AK20" s="378"/>
      <c r="AL20" s="378"/>
      <c r="AM20" s="378"/>
      <c r="AN20" s="378"/>
      <c r="AO20" s="378"/>
      <c r="AP20" s="378"/>
      <c r="AQ20" s="378"/>
      <c r="AR20" s="378"/>
      <c r="AS20" s="378"/>
      <c r="AT20" s="378"/>
      <c r="AU20" s="378"/>
      <c r="AV20" s="378"/>
      <c r="AW20" s="378"/>
      <c r="AX20" s="378"/>
      <c r="BA20" s="129" t="s">
        <v>5724</v>
      </c>
      <c r="CA20" s="129" t="s">
        <v>6380</v>
      </c>
      <c r="DA20" s="222" t="s">
        <v>873</v>
      </c>
      <c r="DB20" s="1773"/>
      <c r="DC20" s="1774"/>
      <c r="DD20" s="1774"/>
      <c r="DE20" s="258">
        <v>12</v>
      </c>
      <c r="DF20" s="378"/>
      <c r="EA20" s="1089" t="s">
        <v>5750</v>
      </c>
      <c r="EZ20" s="129"/>
      <c r="FA20" s="129" t="s">
        <v>5798</v>
      </c>
      <c r="FB20" s="129"/>
      <c r="FC20" s="129"/>
      <c r="FD20" s="129"/>
      <c r="FE20" s="129"/>
      <c r="FF20" s="129"/>
      <c r="FG20" s="129"/>
      <c r="FH20" s="129"/>
      <c r="FI20" s="129"/>
      <c r="FJ20" s="129"/>
      <c r="FK20" s="129"/>
      <c r="FL20" s="129"/>
      <c r="FM20" s="129"/>
      <c r="FN20" s="129"/>
      <c r="FO20" s="129"/>
      <c r="FP20" s="129"/>
      <c r="FQ20" s="129"/>
      <c r="FR20" s="129"/>
      <c r="FS20" s="129"/>
      <c r="FT20" s="129"/>
      <c r="FU20" s="129"/>
      <c r="FV20" s="129"/>
      <c r="FW20" s="129"/>
      <c r="FX20" s="129"/>
      <c r="FY20" s="129"/>
      <c r="FZ20" s="129"/>
      <c r="GA20" s="129"/>
      <c r="GB20" s="129"/>
      <c r="GC20" s="129"/>
      <c r="GD20" s="129"/>
      <c r="GE20" s="129"/>
      <c r="GF20" s="129"/>
      <c r="GG20" s="129"/>
      <c r="GH20" s="129"/>
      <c r="GI20" s="129"/>
      <c r="GJ20" s="129"/>
      <c r="GK20" s="129"/>
      <c r="GL20" s="129"/>
      <c r="GM20" s="129"/>
      <c r="GN20" s="129"/>
      <c r="GO20" s="129"/>
      <c r="GP20" s="129"/>
      <c r="GQ20" s="129"/>
      <c r="GR20" s="129"/>
      <c r="GS20" s="129"/>
      <c r="GT20" s="129"/>
      <c r="GU20" s="129"/>
      <c r="GV20" s="129"/>
      <c r="GW20" s="129"/>
      <c r="GX20" s="129"/>
      <c r="GY20" s="129"/>
      <c r="GZ20" s="129"/>
      <c r="HG20" s="129"/>
      <c r="HH20" s="129"/>
      <c r="HI20" s="129"/>
      <c r="HJ20" s="129"/>
      <c r="HK20" s="129"/>
      <c r="HL20" s="129"/>
      <c r="HM20" s="129"/>
      <c r="HN20" s="129"/>
      <c r="HO20" s="129"/>
      <c r="HP20" s="129"/>
      <c r="HQ20" s="129"/>
      <c r="HR20" s="129"/>
      <c r="HS20" s="129"/>
      <c r="HT20" s="129"/>
      <c r="HU20" s="129"/>
      <c r="HV20" s="129"/>
      <c r="HW20" s="129"/>
      <c r="HX20" s="129"/>
      <c r="HY20" s="129"/>
      <c r="HZ20" s="129"/>
      <c r="IA20" s="129" t="s">
        <v>5776</v>
      </c>
      <c r="IB20" s="129"/>
      <c r="IC20" s="129"/>
      <c r="ID20" s="129"/>
      <c r="IE20" s="129"/>
      <c r="IF20" s="129"/>
      <c r="IG20" s="129"/>
      <c r="IH20" s="129"/>
      <c r="II20" s="129"/>
      <c r="IJ20" s="129"/>
      <c r="IK20" s="129"/>
      <c r="IL20" s="129"/>
      <c r="IM20" s="129"/>
      <c r="IN20" s="129"/>
      <c r="IO20" s="129"/>
      <c r="IP20" s="129"/>
      <c r="IQ20" s="129"/>
      <c r="IR20" s="129"/>
      <c r="IS20" s="129"/>
      <c r="IT20" s="129"/>
      <c r="IU20" s="129"/>
      <c r="IV20" s="129"/>
      <c r="IW20" s="129"/>
      <c r="IX20" s="129"/>
      <c r="IY20" s="129"/>
      <c r="IZ20" s="129"/>
      <c r="JA20" s="7"/>
      <c r="JB20" s="1785" t="s">
        <v>6115</v>
      </c>
      <c r="JC20" s="1785"/>
      <c r="JD20" s="1785"/>
      <c r="JE20" s="1785"/>
      <c r="JF20" s="1785"/>
      <c r="JG20" s="1785"/>
      <c r="JI20" s="129"/>
      <c r="JJ20" s="129"/>
      <c r="JK20" s="129"/>
      <c r="JL20" s="129"/>
      <c r="JM20" s="129"/>
      <c r="JN20" s="129"/>
      <c r="JO20" s="129"/>
      <c r="JP20" s="129"/>
      <c r="JQ20" s="129"/>
      <c r="JR20" s="129"/>
      <c r="JS20" s="129"/>
      <c r="JT20" s="129"/>
      <c r="JU20" s="129"/>
      <c r="JV20" s="129"/>
      <c r="JW20" s="129"/>
      <c r="JX20" s="129"/>
      <c r="JY20" s="129"/>
      <c r="JZ20" s="129"/>
      <c r="KA20" s="1089" t="s">
        <v>5750</v>
      </c>
      <c r="LA20" s="129" t="s">
        <v>5776</v>
      </c>
      <c r="MA20" s="129"/>
      <c r="MB20" s="129"/>
      <c r="MC20" s="129"/>
      <c r="MD20" s="129"/>
      <c r="ME20" s="129"/>
      <c r="MF20" s="129"/>
      <c r="MG20" s="129"/>
      <c r="MH20" s="129"/>
      <c r="MI20" s="129"/>
      <c r="MJ20" s="129"/>
      <c r="MK20" s="129"/>
      <c r="ML20" s="129"/>
      <c r="MM20" s="129"/>
      <c r="MN20" s="129"/>
      <c r="MO20" s="129"/>
      <c r="MP20" s="129"/>
      <c r="MQ20" s="129"/>
      <c r="MR20" s="129"/>
      <c r="MS20" s="129"/>
      <c r="MT20" s="129"/>
      <c r="MU20" s="129"/>
      <c r="MV20" s="129"/>
      <c r="MW20" s="129"/>
      <c r="MX20" s="129"/>
      <c r="MY20" s="129"/>
      <c r="MZ20" s="129"/>
      <c r="NA20" s="1089" t="s">
        <v>5750</v>
      </c>
      <c r="OA20" s="129" t="s">
        <v>5776</v>
      </c>
      <c r="PA20" s="129"/>
      <c r="PB20" s="129" t="s">
        <v>6087</v>
      </c>
      <c r="PC20" s="129"/>
      <c r="PD20" s="129"/>
      <c r="PE20" s="129"/>
      <c r="PF20" s="129"/>
      <c r="PG20" s="129"/>
      <c r="PH20" s="129"/>
      <c r="PI20" s="129"/>
      <c r="PJ20" s="129"/>
      <c r="PK20" s="129"/>
      <c r="PL20" s="129"/>
      <c r="PM20" s="129"/>
      <c r="PN20" s="129"/>
      <c r="PO20" s="129"/>
      <c r="PP20" s="129"/>
      <c r="PQ20" s="129"/>
      <c r="PR20" s="129"/>
      <c r="PS20" s="129"/>
      <c r="PT20" s="129"/>
      <c r="PU20" s="129"/>
      <c r="PV20" s="129"/>
      <c r="PW20" s="129"/>
      <c r="PX20" s="129"/>
      <c r="PY20" s="129"/>
      <c r="PZ20" s="129"/>
      <c r="QA20" s="1089" t="s">
        <v>5750</v>
      </c>
      <c r="RA20" s="129" t="s">
        <v>5776</v>
      </c>
      <c r="SA20" s="735" t="s">
        <v>430</v>
      </c>
      <c r="SB20" s="129" t="s">
        <v>5476</v>
      </c>
    </row>
    <row r="21" spans="2:502" ht="15" customHeight="1">
      <c r="B21" s="1082">
        <v>18</v>
      </c>
      <c r="C21" s="138" t="s">
        <v>5630</v>
      </c>
      <c r="D21" s="138" t="s">
        <v>6067</v>
      </c>
      <c r="E21" s="1128" t="s">
        <v>5795</v>
      </c>
      <c r="F21" s="546" t="s">
        <v>233</v>
      </c>
      <c r="AA21" s="222" t="s">
        <v>860</v>
      </c>
      <c r="AB21" s="536" t="s">
        <v>6609</v>
      </c>
      <c r="AC21" s="536" t="s">
        <v>5573</v>
      </c>
      <c r="AD21" s="536" t="s">
        <v>5576</v>
      </c>
      <c r="AE21" s="258" t="s">
        <v>5435</v>
      </c>
      <c r="AF21" s="1091" t="s">
        <v>5774</v>
      </c>
      <c r="AG21" s="378"/>
      <c r="AH21" s="378"/>
      <c r="AI21" s="378"/>
      <c r="AJ21" s="378"/>
      <c r="AK21" s="378"/>
      <c r="AL21" s="378"/>
      <c r="AM21" s="378"/>
      <c r="AN21" s="378"/>
      <c r="AO21" s="378"/>
      <c r="AP21" s="378"/>
      <c r="AQ21" s="378"/>
      <c r="AR21" s="378"/>
      <c r="AS21" s="378"/>
      <c r="AT21" s="378"/>
      <c r="AU21" s="378"/>
      <c r="AV21" s="378"/>
      <c r="AW21" s="378"/>
      <c r="AX21" s="378"/>
      <c r="BA21" s="129" t="s">
        <v>5737</v>
      </c>
      <c r="CA21" s="1089" t="s">
        <v>5750</v>
      </c>
      <c r="DA21" s="1599" t="s">
        <v>878</v>
      </c>
      <c r="DB21" s="1632"/>
      <c r="DC21" s="1632"/>
      <c r="DD21" s="1803"/>
      <c r="DF21" s="378"/>
      <c r="EZ21" s="129"/>
      <c r="FA21" s="129" t="s">
        <v>5776</v>
      </c>
      <c r="FB21" s="129"/>
      <c r="FC21" s="129"/>
      <c r="FD21" s="129"/>
      <c r="FE21" s="129"/>
      <c r="FF21" s="129"/>
      <c r="FG21" s="129"/>
      <c r="FH21" s="129"/>
      <c r="FI21" s="129"/>
      <c r="FJ21" s="129"/>
      <c r="FK21" s="129"/>
      <c r="FL21" s="129"/>
      <c r="FM21" s="129"/>
      <c r="FN21" s="129"/>
      <c r="FO21" s="129"/>
      <c r="FP21" s="129"/>
      <c r="FQ21" s="129"/>
      <c r="FR21" s="129"/>
      <c r="FS21" s="129"/>
      <c r="FT21" s="129"/>
      <c r="FU21" s="129"/>
      <c r="FV21" s="129"/>
      <c r="FW21" s="129"/>
      <c r="FX21" s="129"/>
      <c r="FY21" s="129"/>
      <c r="FZ21" s="129"/>
      <c r="GA21" s="129" t="s">
        <v>6381</v>
      </c>
      <c r="GB21" s="129"/>
      <c r="GC21" s="129"/>
      <c r="GD21" s="129"/>
      <c r="GE21" s="129"/>
      <c r="GF21" s="129"/>
      <c r="GG21" s="129"/>
      <c r="GH21" s="129"/>
      <c r="GI21" s="129"/>
      <c r="GJ21" s="129"/>
      <c r="GK21" s="129"/>
      <c r="GL21" s="129"/>
      <c r="GM21" s="129"/>
      <c r="GN21" s="129"/>
      <c r="GO21" s="129"/>
      <c r="GP21" s="129"/>
      <c r="GQ21" s="129"/>
      <c r="GR21" s="129"/>
      <c r="GS21" s="129"/>
      <c r="GT21" s="129"/>
      <c r="GU21" s="129"/>
      <c r="GV21" s="129"/>
      <c r="GW21" s="129"/>
      <c r="GX21" s="129"/>
      <c r="GY21" s="129"/>
      <c r="GZ21" s="129"/>
      <c r="HA21" s="507"/>
      <c r="HG21" s="129"/>
      <c r="HH21" s="129"/>
      <c r="HI21" s="129"/>
      <c r="HJ21" s="129"/>
      <c r="HK21" s="129"/>
      <c r="HL21" s="129"/>
      <c r="HM21" s="129"/>
      <c r="HN21" s="129"/>
      <c r="HO21" s="129"/>
      <c r="HP21" s="129"/>
      <c r="HQ21" s="129"/>
      <c r="HR21" s="129"/>
      <c r="HS21" s="129"/>
      <c r="HT21" s="129"/>
      <c r="HU21" s="129"/>
      <c r="HV21" s="129"/>
      <c r="HW21" s="129"/>
      <c r="HX21" s="129"/>
      <c r="HY21" s="129"/>
      <c r="HZ21" s="129"/>
      <c r="IA21" s="1089" t="s">
        <v>5750</v>
      </c>
      <c r="IB21" s="129"/>
      <c r="IC21" s="129"/>
      <c r="ID21" s="129"/>
      <c r="IE21" s="129"/>
      <c r="IF21" s="129"/>
      <c r="IG21" s="129"/>
      <c r="IH21" s="129"/>
      <c r="II21" s="129"/>
      <c r="IJ21" s="129"/>
      <c r="IK21" s="129"/>
      <c r="IL21" s="129"/>
      <c r="IM21" s="129"/>
      <c r="IN21" s="129"/>
      <c r="IO21" s="129"/>
      <c r="IP21" s="129"/>
      <c r="IQ21" s="129"/>
      <c r="IR21" s="129"/>
      <c r="IS21" s="129"/>
      <c r="IT21" s="129"/>
      <c r="IU21" s="129"/>
      <c r="IV21" s="129"/>
      <c r="IW21" s="129"/>
      <c r="IX21" s="129"/>
      <c r="IY21" s="129"/>
      <c r="IZ21" s="129"/>
      <c r="JB21" s="1785" t="s">
        <v>6378</v>
      </c>
      <c r="JC21" s="1785"/>
      <c r="JD21" s="1785"/>
      <c r="JE21" s="1785"/>
      <c r="JF21" s="1785"/>
      <c r="JG21" s="1785"/>
      <c r="JI21" s="129"/>
      <c r="JJ21" s="129"/>
      <c r="JK21" s="129"/>
      <c r="JL21" s="129"/>
      <c r="JM21" s="129"/>
      <c r="JN21" s="129"/>
      <c r="JO21" s="129"/>
      <c r="JP21" s="129"/>
      <c r="JQ21" s="129"/>
      <c r="JR21" s="129"/>
      <c r="JS21" s="129"/>
      <c r="JT21" s="129"/>
      <c r="JU21" s="129"/>
      <c r="JV21" s="129"/>
      <c r="JW21" s="129"/>
      <c r="JX21" s="129"/>
      <c r="JY21" s="129"/>
      <c r="JZ21" s="129"/>
      <c r="LA21" s="1089" t="s">
        <v>5750</v>
      </c>
      <c r="MA21" s="129"/>
      <c r="MB21" s="129"/>
      <c r="MC21" s="129"/>
      <c r="MD21" s="129"/>
      <c r="ME21" s="129"/>
      <c r="MF21" s="129"/>
      <c r="MG21" s="129"/>
      <c r="MH21" s="129"/>
      <c r="MI21" s="129"/>
      <c r="MJ21" s="129"/>
      <c r="MK21" s="129"/>
      <c r="ML21" s="129"/>
      <c r="MM21" s="129"/>
      <c r="MN21" s="129"/>
      <c r="MO21" s="129"/>
      <c r="MP21" s="129"/>
      <c r="MQ21" s="129"/>
      <c r="MR21" s="129"/>
      <c r="MS21" s="129"/>
      <c r="MT21" s="129"/>
      <c r="MU21" s="129"/>
      <c r="MV21" s="129"/>
      <c r="MW21" s="129"/>
      <c r="MX21" s="129"/>
      <c r="MY21" s="129"/>
      <c r="MZ21" s="129"/>
      <c r="OA21" s="1089" t="s">
        <v>5750</v>
      </c>
      <c r="PA21" s="129"/>
      <c r="PB21" s="129" t="s">
        <v>5494</v>
      </c>
      <c r="PC21" s="129"/>
      <c r="PD21" s="129"/>
      <c r="PE21" s="129"/>
      <c r="PF21" s="129"/>
      <c r="PG21" s="129"/>
      <c r="PH21" s="129"/>
      <c r="PI21" s="129"/>
      <c r="PJ21" s="129"/>
      <c r="PK21" s="129"/>
      <c r="PL21" s="129"/>
      <c r="PM21" s="129"/>
      <c r="PN21" s="129"/>
      <c r="PO21" s="129"/>
      <c r="PP21" s="129"/>
      <c r="PQ21" s="129"/>
      <c r="PR21" s="129"/>
      <c r="PS21" s="129"/>
      <c r="PT21" s="129"/>
      <c r="PU21" s="129"/>
      <c r="PV21" s="129"/>
      <c r="PW21" s="129"/>
      <c r="PX21" s="129"/>
      <c r="PY21" s="129"/>
      <c r="PZ21" s="129"/>
      <c r="RA21" s="1089" t="s">
        <v>5750</v>
      </c>
      <c r="SB21" s="296"/>
      <c r="SC21" s="296"/>
      <c r="SD21" s="296"/>
      <c r="SE21" s="296"/>
      <c r="SF21" s="296"/>
    </row>
    <row r="22" spans="2:502" ht="18" customHeight="1">
      <c r="B22" s="1082">
        <v>19</v>
      </c>
      <c r="C22" s="1324" t="s">
        <v>5442</v>
      </c>
      <c r="D22" s="139" t="s">
        <v>6065</v>
      </c>
      <c r="E22" s="557" t="s">
        <v>5631</v>
      </c>
      <c r="F22" s="1040" t="s">
        <v>233</v>
      </c>
      <c r="AA22" s="222" t="s">
        <v>866</v>
      </c>
      <c r="AB22" s="536" t="s">
        <v>6609</v>
      </c>
      <c r="AC22" s="536" t="s">
        <v>5574</v>
      </c>
      <c r="AD22" s="536" t="s">
        <v>5576</v>
      </c>
      <c r="AE22" s="258" t="s">
        <v>5430</v>
      </c>
      <c r="AF22" s="1091" t="s">
        <v>5772</v>
      </c>
      <c r="AG22" s="378"/>
      <c r="AH22" s="378"/>
      <c r="AI22" s="378"/>
      <c r="AJ22" s="378"/>
      <c r="AK22" s="378"/>
      <c r="AL22" s="378"/>
      <c r="AM22" s="378"/>
      <c r="AN22" s="378"/>
      <c r="AO22" s="378"/>
      <c r="AP22" s="378"/>
      <c r="AQ22" s="378"/>
      <c r="AR22" s="378"/>
      <c r="AS22" s="378"/>
      <c r="AT22" s="378"/>
      <c r="AU22" s="378"/>
      <c r="AV22" s="378"/>
      <c r="AW22" s="378"/>
      <c r="AX22" s="378"/>
      <c r="BA22" s="129" t="s">
        <v>5802</v>
      </c>
      <c r="DA22" s="501" t="s">
        <v>5433</v>
      </c>
      <c r="DB22" s="529" t="s">
        <v>4593</v>
      </c>
      <c r="DC22" s="1037"/>
      <c r="DD22" s="1037"/>
      <c r="DE22" s="538">
        <v>13</v>
      </c>
      <c r="DF22" s="534" t="s">
        <v>5460</v>
      </c>
      <c r="EZ22" s="129"/>
      <c r="FA22" s="1089" t="s">
        <v>5750</v>
      </c>
      <c r="FB22" s="129"/>
      <c r="FC22" s="129"/>
      <c r="FD22" s="129"/>
      <c r="FE22" s="129"/>
      <c r="FF22" s="129"/>
      <c r="FG22" s="129"/>
      <c r="FH22" s="129"/>
      <c r="FI22" s="129"/>
      <c r="FJ22" s="129"/>
      <c r="FK22" s="129"/>
      <c r="FL22" s="129"/>
      <c r="FM22" s="129"/>
      <c r="FN22" s="129"/>
      <c r="FO22" s="129"/>
      <c r="FP22" s="129"/>
      <c r="FQ22" s="129"/>
      <c r="FR22" s="129"/>
      <c r="FS22" s="129"/>
      <c r="FT22" s="129"/>
      <c r="FU22" s="129"/>
      <c r="FV22" s="129"/>
      <c r="FW22" s="129"/>
      <c r="FX22" s="129"/>
      <c r="FY22" s="129"/>
      <c r="FZ22" s="129"/>
      <c r="GA22" s="129" t="s">
        <v>5756</v>
      </c>
      <c r="GB22" s="129"/>
      <c r="GC22" s="129"/>
      <c r="GD22" s="129"/>
      <c r="GE22" s="129"/>
      <c r="GF22" s="129"/>
      <c r="GG22" s="129"/>
      <c r="GH22" s="129"/>
      <c r="GI22" s="129"/>
      <c r="GJ22" s="129"/>
      <c r="GK22" s="129"/>
      <c r="GL22" s="129"/>
      <c r="GM22" s="129"/>
      <c r="GN22" s="129"/>
      <c r="GO22" s="129"/>
      <c r="GP22" s="129"/>
      <c r="GQ22" s="129"/>
      <c r="GR22" s="129"/>
      <c r="GS22" s="129"/>
      <c r="GT22" s="129"/>
      <c r="GU22" s="129"/>
      <c r="GV22" s="129"/>
      <c r="GW22" s="129"/>
      <c r="GX22" s="129"/>
      <c r="GY22" s="129"/>
      <c r="GZ22" s="129"/>
      <c r="HA22" s="507"/>
      <c r="HG22" s="129"/>
      <c r="HH22" s="129"/>
      <c r="HI22" s="129"/>
      <c r="HJ22" s="129"/>
      <c r="HK22" s="129"/>
      <c r="HL22" s="129"/>
      <c r="HM22" s="129"/>
      <c r="HN22" s="129"/>
      <c r="HO22" s="129"/>
      <c r="HP22" s="129"/>
      <c r="HQ22" s="129"/>
      <c r="HR22" s="129"/>
      <c r="HS22" s="129"/>
      <c r="HT22" s="129"/>
      <c r="HU22" s="129"/>
      <c r="HV22" s="129"/>
      <c r="HW22" s="129"/>
      <c r="HX22" s="129"/>
      <c r="HY22" s="129"/>
      <c r="HZ22" s="129"/>
      <c r="IA22" s="129"/>
      <c r="IB22" s="129"/>
      <c r="IC22" s="129"/>
      <c r="ID22" s="129"/>
      <c r="IE22" s="129"/>
      <c r="IF22" s="129"/>
      <c r="IG22" s="129"/>
      <c r="IH22" s="129"/>
      <c r="II22" s="129"/>
      <c r="IJ22" s="129"/>
      <c r="IK22" s="129"/>
      <c r="IL22" s="129"/>
      <c r="IM22" s="129"/>
      <c r="IN22" s="129"/>
      <c r="IO22" s="129"/>
      <c r="IP22" s="129"/>
      <c r="IQ22" s="129"/>
      <c r="IR22" s="129"/>
      <c r="IS22" s="129"/>
      <c r="IT22" s="129"/>
      <c r="IU22" s="129"/>
      <c r="IV22" s="129"/>
      <c r="IW22" s="129"/>
      <c r="IX22" s="129"/>
      <c r="IY22" s="129"/>
      <c r="IZ22" s="129"/>
      <c r="JI22" s="129"/>
      <c r="JJ22" s="129"/>
      <c r="JK22" s="129"/>
      <c r="JL22" s="129"/>
      <c r="JM22" s="129"/>
      <c r="JN22" s="129"/>
      <c r="JO22" s="129"/>
      <c r="JP22" s="129"/>
      <c r="JQ22" s="129"/>
      <c r="JR22" s="129"/>
      <c r="JS22" s="129"/>
      <c r="JT22" s="129"/>
      <c r="JU22" s="129"/>
      <c r="JV22" s="129"/>
      <c r="JW22" s="129"/>
      <c r="JX22" s="129"/>
      <c r="JY22" s="129"/>
      <c r="JZ22" s="129"/>
      <c r="LA22" s="1089"/>
      <c r="MA22" s="129"/>
      <c r="MB22" s="129"/>
      <c r="MC22" s="129"/>
      <c r="MD22" s="129"/>
      <c r="ME22" s="129"/>
      <c r="MF22" s="129"/>
      <c r="MG22" s="129"/>
      <c r="MH22" s="129"/>
      <c r="MI22" s="129"/>
      <c r="MJ22" s="129"/>
      <c r="MK22" s="129"/>
      <c r="ML22" s="129"/>
      <c r="MM22" s="129"/>
      <c r="MN22" s="129"/>
      <c r="MO22" s="129"/>
      <c r="MP22" s="129"/>
      <c r="MQ22" s="129"/>
      <c r="MR22" s="129"/>
      <c r="MS22" s="129"/>
      <c r="MT22" s="129"/>
      <c r="MU22" s="129"/>
      <c r="MV22" s="129"/>
      <c r="MW22" s="129"/>
      <c r="MX22" s="129"/>
      <c r="MY22" s="129"/>
      <c r="MZ22" s="129"/>
      <c r="PA22" s="129"/>
      <c r="PB22" s="129" t="s">
        <v>5493</v>
      </c>
      <c r="PC22" s="129"/>
      <c r="PD22" s="129"/>
      <c r="PE22" s="129"/>
      <c r="PF22" s="129"/>
      <c r="PG22" s="129"/>
      <c r="PH22" s="129"/>
      <c r="PI22" s="129"/>
      <c r="PJ22" s="129"/>
      <c r="PK22" s="129"/>
      <c r="PL22" s="129"/>
      <c r="PM22" s="129"/>
      <c r="PN22" s="129"/>
      <c r="PO22" s="129"/>
      <c r="PP22" s="129"/>
      <c r="PQ22" s="129"/>
      <c r="PR22" s="129"/>
      <c r="PS22" s="129"/>
      <c r="PT22" s="129"/>
      <c r="PU22" s="129"/>
      <c r="PV22" s="129"/>
      <c r="PW22" s="129"/>
      <c r="PX22" s="129"/>
      <c r="PY22" s="129"/>
      <c r="PZ22" s="129"/>
      <c r="SA22" s="735" t="s">
        <v>4865</v>
      </c>
      <c r="SB22" s="1785" t="s">
        <v>5505</v>
      </c>
      <c r="SC22" s="1785"/>
      <c r="SD22" s="1785"/>
      <c r="SE22" s="1785"/>
      <c r="SF22" s="1785"/>
      <c r="SG22" s="296"/>
      <c r="SH22" s="863"/>
    </row>
    <row r="23" spans="2:502" ht="15.6" customHeight="1">
      <c r="B23" s="349"/>
      <c r="C23" s="138"/>
      <c r="D23" s="138"/>
      <c r="E23" s="497"/>
      <c r="F23" s="546"/>
      <c r="AA23" s="222" t="s">
        <v>870</v>
      </c>
      <c r="AB23" s="536" t="s">
        <v>6609</v>
      </c>
      <c r="AC23" s="536" t="s">
        <v>5575</v>
      </c>
      <c r="AD23" s="536" t="s">
        <v>5576</v>
      </c>
      <c r="AE23" s="258" t="s">
        <v>6612</v>
      </c>
      <c r="AF23" s="378"/>
      <c r="AG23" s="378"/>
      <c r="AH23" s="378"/>
      <c r="AI23" s="378"/>
      <c r="AJ23" s="378"/>
      <c r="AK23" s="378"/>
      <c r="AL23" s="378"/>
      <c r="AM23" s="378"/>
      <c r="AN23" s="378"/>
      <c r="AO23" s="378"/>
      <c r="AP23" s="378"/>
      <c r="AQ23" s="378"/>
      <c r="AR23" s="378"/>
      <c r="AS23" s="378"/>
      <c r="AT23" s="378"/>
      <c r="AU23" s="378"/>
      <c r="AV23" s="378"/>
      <c r="AW23" s="378"/>
      <c r="AX23" s="378"/>
      <c r="BA23" s="1089" t="s">
        <v>5750</v>
      </c>
      <c r="DA23" s="501" t="s">
        <v>5434</v>
      </c>
      <c r="DB23" s="1824"/>
      <c r="DC23" s="1824"/>
      <c r="DD23" s="1824"/>
      <c r="DE23" s="129">
        <v>14</v>
      </c>
      <c r="DF23" s="129" t="s">
        <v>5467</v>
      </c>
      <c r="EZ23" s="129"/>
      <c r="FA23" s="129"/>
      <c r="FB23" s="129"/>
      <c r="FC23" s="129"/>
      <c r="FD23" s="129"/>
      <c r="FE23" s="129"/>
      <c r="FF23" s="129"/>
      <c r="FG23" s="129"/>
      <c r="FH23" s="129"/>
      <c r="FI23" s="129"/>
      <c r="FJ23" s="129"/>
      <c r="FK23" s="129"/>
      <c r="FL23" s="129"/>
      <c r="FM23" s="129"/>
      <c r="FN23" s="129"/>
      <c r="FO23" s="129"/>
      <c r="FP23" s="129"/>
      <c r="FQ23" s="129"/>
      <c r="FR23" s="129"/>
      <c r="FS23" s="129"/>
      <c r="FT23" s="129"/>
      <c r="FU23" s="129"/>
      <c r="FV23" s="129"/>
      <c r="FW23" s="129"/>
      <c r="FX23" s="129"/>
      <c r="FY23" s="129"/>
      <c r="FZ23" s="129"/>
      <c r="GA23" s="129"/>
      <c r="GB23" s="129"/>
      <c r="GC23" s="129"/>
      <c r="GD23" s="129"/>
      <c r="GE23" s="129"/>
      <c r="GF23" s="129"/>
      <c r="GG23" s="129"/>
      <c r="GH23" s="129"/>
      <c r="GI23" s="129"/>
      <c r="GJ23" s="129"/>
      <c r="GK23" s="129"/>
      <c r="GL23" s="129"/>
      <c r="GM23" s="129"/>
      <c r="GN23" s="129"/>
      <c r="GO23" s="129"/>
      <c r="GP23" s="129"/>
      <c r="GQ23" s="129"/>
      <c r="GR23" s="129"/>
      <c r="GS23" s="129"/>
      <c r="GT23" s="129"/>
      <c r="GU23" s="129"/>
      <c r="GV23" s="129"/>
      <c r="GW23" s="129"/>
      <c r="GX23" s="129"/>
      <c r="GY23" s="129"/>
      <c r="GZ23" s="129"/>
      <c r="HG23" s="129"/>
      <c r="HH23" s="129"/>
      <c r="HI23" s="129"/>
      <c r="HJ23" s="129"/>
      <c r="HK23" s="129"/>
      <c r="HL23" s="129"/>
      <c r="HM23" s="129"/>
      <c r="HN23" s="129"/>
      <c r="HO23" s="129"/>
      <c r="HP23" s="129"/>
      <c r="HQ23" s="129"/>
      <c r="HR23" s="129"/>
      <c r="HS23" s="129"/>
      <c r="HT23" s="129"/>
      <c r="HU23" s="129"/>
      <c r="HV23" s="129"/>
      <c r="HW23" s="129"/>
      <c r="HX23" s="129"/>
      <c r="HY23" s="129"/>
      <c r="HZ23" s="129"/>
      <c r="IA23" s="129"/>
      <c r="IB23" s="129"/>
      <c r="IC23" s="129"/>
      <c r="ID23" s="129"/>
      <c r="IE23" s="129"/>
      <c r="IF23" s="129"/>
      <c r="IG23" s="129"/>
      <c r="IH23" s="129"/>
      <c r="II23" s="129"/>
      <c r="IJ23" s="129"/>
      <c r="IK23" s="129"/>
      <c r="IL23" s="129"/>
      <c r="IM23" s="129"/>
      <c r="IN23" s="129"/>
      <c r="IO23" s="129"/>
      <c r="IP23" s="129"/>
      <c r="IQ23" s="129"/>
      <c r="IR23" s="129"/>
      <c r="IS23" s="129"/>
      <c r="IT23" s="129"/>
      <c r="IU23" s="129"/>
      <c r="IV23" s="129"/>
      <c r="IW23" s="129"/>
      <c r="IX23" s="129"/>
      <c r="IY23" s="129"/>
      <c r="IZ23" s="129"/>
      <c r="JB23" s="1131" t="s">
        <v>6102</v>
      </c>
      <c r="JC23" s="1131" t="s">
        <v>6108</v>
      </c>
      <c r="JD23" s="129" t="s">
        <v>6128</v>
      </c>
      <c r="JE23" s="129" t="s">
        <v>6124</v>
      </c>
      <c r="JF23" s="129"/>
      <c r="JG23" s="129"/>
      <c r="JH23" s="129"/>
      <c r="JI23" s="129"/>
      <c r="JJ23" s="129"/>
      <c r="JK23" s="129"/>
      <c r="JL23" s="129"/>
      <c r="JM23" s="129"/>
      <c r="JN23" s="129"/>
      <c r="JO23" s="129"/>
      <c r="JP23" s="129"/>
      <c r="JQ23" s="129"/>
      <c r="JR23" s="129"/>
      <c r="JS23" s="129"/>
      <c r="JT23" s="129"/>
      <c r="JU23" s="129"/>
      <c r="JV23" s="129"/>
      <c r="JW23" s="129"/>
      <c r="JX23" s="129"/>
      <c r="JY23" s="129"/>
      <c r="JZ23" s="129"/>
      <c r="MA23" s="129"/>
      <c r="MB23" s="129"/>
      <c r="MC23" s="129"/>
      <c r="MD23" s="129"/>
      <c r="ME23" s="129"/>
      <c r="MF23" s="129"/>
      <c r="MG23" s="129"/>
      <c r="MH23" s="129"/>
      <c r="MI23" s="129"/>
      <c r="MJ23" s="129"/>
      <c r="MK23" s="129"/>
      <c r="ML23" s="129"/>
      <c r="MM23" s="129"/>
      <c r="MN23" s="129"/>
      <c r="MO23" s="129"/>
      <c r="MP23" s="129"/>
      <c r="MQ23" s="129"/>
      <c r="MR23" s="129"/>
      <c r="MS23" s="129"/>
      <c r="MT23" s="129"/>
      <c r="MU23" s="129"/>
      <c r="MV23" s="129"/>
      <c r="MW23" s="129"/>
      <c r="MX23" s="129"/>
      <c r="MY23" s="129"/>
      <c r="MZ23" s="129"/>
      <c r="PA23" s="129"/>
      <c r="PB23" s="129" t="s">
        <v>5495</v>
      </c>
      <c r="PC23" s="129"/>
      <c r="PD23" s="129"/>
      <c r="PE23" s="129"/>
      <c r="PF23" s="129"/>
      <c r="PG23" s="129"/>
      <c r="PH23" s="129"/>
      <c r="PI23" s="129"/>
      <c r="PJ23" s="129"/>
      <c r="PK23" s="129"/>
      <c r="PL23" s="129"/>
      <c r="PM23" s="129"/>
      <c r="PN23" s="129"/>
      <c r="PO23" s="129"/>
      <c r="PP23" s="129"/>
      <c r="PQ23" s="129"/>
      <c r="PR23" s="129"/>
      <c r="PS23" s="129"/>
      <c r="PT23" s="129"/>
      <c r="PU23" s="129"/>
      <c r="PV23" s="129"/>
      <c r="PW23" s="129"/>
      <c r="PX23" s="129"/>
      <c r="PY23" s="129"/>
      <c r="PZ23" s="129"/>
      <c r="SB23" s="1802" t="s">
        <v>5506</v>
      </c>
      <c r="SC23" s="1802"/>
      <c r="SD23" s="1802"/>
      <c r="SE23" s="1802"/>
      <c r="SF23" s="1802"/>
      <c r="SG23" s="863"/>
    </row>
    <row r="24" spans="2:502" ht="15.6" customHeight="1">
      <c r="B24" s="349"/>
      <c r="C24" s="138"/>
      <c r="D24" s="138"/>
      <c r="E24" s="497"/>
      <c r="F24" s="546"/>
      <c r="AA24" s="222" t="s">
        <v>528</v>
      </c>
      <c r="AB24" s="1773"/>
      <c r="AC24" s="1774"/>
      <c r="AD24" s="1774"/>
      <c r="AE24" s="258">
        <v>16</v>
      </c>
      <c r="AF24" s="378"/>
      <c r="AG24" s="378"/>
      <c r="AH24" s="378"/>
      <c r="AI24" s="378"/>
      <c r="AJ24" s="378"/>
      <c r="AK24" s="378"/>
      <c r="AL24" s="378"/>
      <c r="AM24" s="378"/>
      <c r="AN24" s="378"/>
      <c r="AO24" s="378"/>
      <c r="AP24" s="378"/>
      <c r="AQ24" s="378"/>
      <c r="AR24" s="378"/>
      <c r="AS24" s="378"/>
      <c r="AT24" s="378"/>
      <c r="AU24" s="378"/>
      <c r="AV24" s="378"/>
      <c r="AW24" s="378"/>
      <c r="AX24" s="378"/>
      <c r="DA24" s="501" t="s">
        <v>428</v>
      </c>
      <c r="DB24" s="1825"/>
      <c r="DC24" s="1825"/>
      <c r="DD24" s="1825"/>
      <c r="DE24" s="129">
        <v>15</v>
      </c>
      <c r="EZ24" s="129"/>
      <c r="FA24" s="129"/>
      <c r="FB24" s="129"/>
      <c r="FC24" s="129"/>
      <c r="FD24" s="129"/>
      <c r="FE24" s="129"/>
      <c r="FF24" s="129"/>
      <c r="FG24" s="129"/>
      <c r="FH24" s="129"/>
      <c r="FI24" s="129"/>
      <c r="FJ24" s="129"/>
      <c r="FK24" s="129"/>
      <c r="FL24" s="129"/>
      <c r="FM24" s="129"/>
      <c r="FN24" s="129"/>
      <c r="FO24" s="129"/>
      <c r="FP24" s="129"/>
      <c r="FQ24" s="129"/>
      <c r="FR24" s="129"/>
      <c r="FS24" s="129"/>
      <c r="FT24" s="129"/>
      <c r="FU24" s="129"/>
      <c r="FV24" s="129"/>
      <c r="FW24" s="129"/>
      <c r="FX24" s="129"/>
      <c r="FY24" s="129"/>
      <c r="FZ24" s="129"/>
      <c r="GA24" s="129"/>
      <c r="GB24" s="129"/>
      <c r="GC24" s="129"/>
      <c r="GD24" s="129"/>
      <c r="GE24" s="129"/>
      <c r="GF24" s="129"/>
      <c r="GG24" s="129"/>
      <c r="GH24" s="129"/>
      <c r="GI24" s="129"/>
      <c r="GJ24" s="129"/>
      <c r="GK24" s="129"/>
      <c r="GL24" s="129"/>
      <c r="GM24" s="129"/>
      <c r="GN24" s="129"/>
      <c r="GO24" s="129"/>
      <c r="GP24" s="129"/>
      <c r="GQ24" s="129"/>
      <c r="GR24" s="129"/>
      <c r="GS24" s="129"/>
      <c r="GT24" s="129"/>
      <c r="GU24" s="129"/>
      <c r="GV24" s="129"/>
      <c r="GW24" s="129"/>
      <c r="GX24" s="129"/>
      <c r="GY24" s="129"/>
      <c r="GZ24" s="129"/>
      <c r="HG24" s="129"/>
      <c r="HH24" s="129"/>
      <c r="HI24" s="129"/>
      <c r="HJ24" s="129"/>
      <c r="HK24" s="129"/>
      <c r="HL24" s="129"/>
      <c r="HM24" s="129"/>
      <c r="HN24" s="129"/>
      <c r="HO24" s="129"/>
      <c r="HP24" s="129"/>
      <c r="HQ24" s="129"/>
      <c r="HR24" s="129"/>
      <c r="HS24" s="129"/>
      <c r="HT24" s="129"/>
      <c r="HU24" s="129"/>
      <c r="HV24" s="129"/>
      <c r="HW24" s="129"/>
      <c r="HX24" s="129"/>
      <c r="HY24" s="129"/>
      <c r="HZ24" s="129"/>
      <c r="IA24" s="129"/>
      <c r="IB24" s="129"/>
      <c r="IC24" s="129"/>
      <c r="ID24" s="129"/>
      <c r="IE24" s="129"/>
      <c r="IF24" s="129"/>
      <c r="IG24" s="129"/>
      <c r="IH24" s="129"/>
      <c r="II24" s="129"/>
      <c r="IJ24" s="129"/>
      <c r="IK24" s="129"/>
      <c r="IL24" s="129"/>
      <c r="IM24" s="129"/>
      <c r="IN24" s="129"/>
      <c r="IO24" s="129"/>
      <c r="IP24" s="129"/>
      <c r="IQ24" s="129"/>
      <c r="IR24" s="129"/>
      <c r="IS24" s="129"/>
      <c r="IT24" s="129"/>
      <c r="IU24" s="129"/>
      <c r="IV24" s="129"/>
      <c r="IW24" s="129"/>
      <c r="IX24" s="129"/>
      <c r="IY24" s="129"/>
      <c r="IZ24" s="129"/>
      <c r="JA24" s="7"/>
      <c r="JB24" s="138" t="s">
        <v>5462</v>
      </c>
      <c r="JC24" s="662" t="s">
        <v>6103</v>
      </c>
      <c r="JD24" s="377"/>
      <c r="JE24" s="129"/>
      <c r="JF24" s="129"/>
      <c r="JG24" s="129"/>
      <c r="JH24" s="129"/>
      <c r="JI24" s="129"/>
      <c r="JJ24" s="129"/>
      <c r="JK24" s="129"/>
      <c r="JL24" s="129"/>
      <c r="JM24" s="129"/>
      <c r="JN24" s="129"/>
      <c r="JO24" s="129"/>
      <c r="JP24" s="129"/>
      <c r="JQ24" s="129"/>
      <c r="JR24" s="129"/>
      <c r="JS24" s="129"/>
      <c r="JT24" s="129"/>
      <c r="JU24" s="129"/>
      <c r="JV24" s="129"/>
      <c r="JW24" s="129"/>
      <c r="JX24" s="129"/>
      <c r="JY24" s="129"/>
      <c r="JZ24" s="129"/>
      <c r="MA24" s="129"/>
      <c r="MB24" s="129"/>
      <c r="MC24" s="129"/>
      <c r="MD24" s="129"/>
      <c r="ME24" s="129"/>
      <c r="MF24" s="129"/>
      <c r="MG24" s="129"/>
      <c r="MH24" s="129"/>
      <c r="MI24" s="129"/>
      <c r="MJ24" s="129"/>
      <c r="MK24" s="129"/>
      <c r="ML24" s="129"/>
      <c r="MM24" s="129"/>
      <c r="MN24" s="129"/>
      <c r="MO24" s="129"/>
      <c r="MP24" s="129"/>
      <c r="MQ24" s="129"/>
      <c r="MR24" s="129"/>
      <c r="MS24" s="129"/>
      <c r="MT24" s="129"/>
      <c r="MU24" s="129"/>
      <c r="MV24" s="129"/>
      <c r="MW24" s="129"/>
      <c r="MX24" s="129"/>
      <c r="MY24" s="129"/>
      <c r="MZ24" s="129"/>
      <c r="PA24" s="129"/>
      <c r="PB24" s="129" t="s">
        <v>6088</v>
      </c>
      <c r="PC24" s="129"/>
      <c r="PD24" s="129"/>
      <c r="PE24" s="129"/>
      <c r="PF24" s="129"/>
      <c r="PG24" s="129"/>
      <c r="PH24" s="129"/>
      <c r="PI24" s="129"/>
      <c r="PJ24" s="129"/>
      <c r="PK24" s="129"/>
      <c r="PL24" s="129"/>
      <c r="PM24" s="129"/>
      <c r="PN24" s="129"/>
      <c r="PO24" s="129"/>
      <c r="PP24" s="129"/>
      <c r="PQ24" s="129"/>
      <c r="PR24" s="129"/>
      <c r="PS24" s="129"/>
      <c r="PT24" s="129"/>
      <c r="PU24" s="129"/>
      <c r="PV24" s="129"/>
      <c r="PW24" s="129"/>
      <c r="PX24" s="129"/>
      <c r="PY24" s="129"/>
      <c r="PZ24" s="129"/>
      <c r="SB24" s="296" t="s">
        <v>5507</v>
      </c>
      <c r="SC24" s="863"/>
      <c r="SD24" s="863"/>
      <c r="SE24" s="863"/>
      <c r="SF24" s="863"/>
      <c r="SG24" s="863"/>
    </row>
    <row r="25" spans="2:502" ht="16.5" customHeight="1">
      <c r="B25" s="349"/>
      <c r="C25" s="139"/>
      <c r="D25" s="139"/>
      <c r="E25" s="557"/>
      <c r="F25" s="1040"/>
      <c r="AA25" s="222" t="s">
        <v>873</v>
      </c>
      <c r="AB25" s="1773"/>
      <c r="AC25" s="1774"/>
      <c r="AD25" s="1774"/>
      <c r="AE25" s="258">
        <v>17</v>
      </c>
      <c r="AF25" s="378"/>
      <c r="AG25" s="378"/>
      <c r="AH25" s="378"/>
      <c r="AI25" s="378"/>
      <c r="AJ25" s="378"/>
      <c r="AK25" s="378"/>
      <c r="AL25" s="378"/>
      <c r="AM25" s="378"/>
      <c r="AN25" s="378"/>
      <c r="AO25" s="378"/>
      <c r="AP25" s="378"/>
      <c r="AQ25" s="378"/>
      <c r="AR25" s="378"/>
      <c r="AS25" s="378"/>
      <c r="AT25" s="378"/>
      <c r="AU25" s="378"/>
      <c r="AV25" s="378"/>
      <c r="AW25" s="378"/>
      <c r="AX25" s="378"/>
      <c r="EZ25" s="129"/>
      <c r="FA25" s="129"/>
      <c r="FB25" s="129"/>
      <c r="FC25" s="129"/>
      <c r="FD25" s="129"/>
      <c r="FE25" s="129"/>
      <c r="FF25" s="129"/>
      <c r="FG25" s="129"/>
      <c r="FH25" s="129"/>
      <c r="FI25" s="129"/>
      <c r="FJ25" s="129"/>
      <c r="FK25" s="129"/>
      <c r="FL25" s="129"/>
      <c r="FM25" s="129"/>
      <c r="FN25" s="129"/>
      <c r="FO25" s="129"/>
      <c r="FP25" s="129"/>
      <c r="FQ25" s="129"/>
      <c r="FR25" s="129"/>
      <c r="FS25" s="129"/>
      <c r="FT25" s="129"/>
      <c r="FU25" s="129"/>
      <c r="FV25" s="129"/>
      <c r="FW25" s="129"/>
      <c r="FX25" s="129"/>
      <c r="FY25" s="129"/>
      <c r="FZ25" s="129"/>
      <c r="GA25" s="129"/>
      <c r="GB25" s="129"/>
      <c r="GC25" s="129"/>
      <c r="GD25" s="129"/>
      <c r="GE25" s="129"/>
      <c r="GF25" s="129"/>
      <c r="GG25" s="129"/>
      <c r="GH25" s="129"/>
      <c r="GI25" s="129"/>
      <c r="GJ25" s="129"/>
      <c r="GK25" s="129"/>
      <c r="GL25" s="129"/>
      <c r="GM25" s="129"/>
      <c r="GN25" s="129"/>
      <c r="GO25" s="129"/>
      <c r="GP25" s="129"/>
      <c r="GQ25" s="129"/>
      <c r="GR25" s="129"/>
      <c r="GS25" s="129"/>
      <c r="GT25" s="129"/>
      <c r="GU25" s="129"/>
      <c r="GV25" s="129"/>
      <c r="GW25" s="129"/>
      <c r="GX25" s="129"/>
      <c r="GY25" s="129"/>
      <c r="GZ25" s="129"/>
      <c r="HG25" s="129"/>
      <c r="HH25" s="129"/>
      <c r="HI25" s="129"/>
      <c r="HJ25" s="129"/>
      <c r="HK25" s="129"/>
      <c r="HL25" s="129"/>
      <c r="HM25" s="129"/>
      <c r="HN25" s="129"/>
      <c r="HO25" s="129"/>
      <c r="HP25" s="129"/>
      <c r="HQ25" s="129"/>
      <c r="HR25" s="129"/>
      <c r="HS25" s="129"/>
      <c r="HT25" s="129"/>
      <c r="HU25" s="129"/>
      <c r="HV25" s="129"/>
      <c r="HW25" s="129"/>
      <c r="HX25" s="129"/>
      <c r="HY25" s="129"/>
      <c r="HZ25" s="129"/>
      <c r="IA25" s="129"/>
      <c r="IB25" s="129"/>
      <c r="IC25" s="129"/>
      <c r="ID25" s="129"/>
      <c r="IE25" s="129"/>
      <c r="IF25" s="129"/>
      <c r="IG25" s="129"/>
      <c r="IH25" s="129"/>
      <c r="II25" s="129"/>
      <c r="IJ25" s="129"/>
      <c r="IK25" s="129"/>
      <c r="IL25" s="129"/>
      <c r="IM25" s="129"/>
      <c r="IN25" s="129"/>
      <c r="IO25" s="129"/>
      <c r="IP25" s="129"/>
      <c r="IQ25" s="129"/>
      <c r="IR25" s="129"/>
      <c r="IS25" s="129"/>
      <c r="IT25" s="129"/>
      <c r="IU25" s="129"/>
      <c r="IV25" s="129"/>
      <c r="IW25" s="129"/>
      <c r="IX25" s="129"/>
      <c r="IY25" s="129"/>
      <c r="IZ25" s="129"/>
      <c r="JA25" s="129"/>
      <c r="JB25" s="662" t="s">
        <v>542</v>
      </c>
      <c r="JC25" s="662" t="s">
        <v>6104</v>
      </c>
      <c r="JE25" s="129"/>
      <c r="JF25" s="129"/>
      <c r="JG25" s="129"/>
      <c r="JH25" s="129"/>
      <c r="JI25" s="129"/>
      <c r="JJ25" s="129"/>
      <c r="JK25" s="129"/>
      <c r="JL25" s="129"/>
      <c r="JM25" s="129"/>
      <c r="JN25" s="129"/>
      <c r="JO25" s="129"/>
      <c r="JP25" s="129"/>
      <c r="JQ25" s="129"/>
      <c r="JR25" s="129"/>
      <c r="JS25" s="129"/>
      <c r="JT25" s="129"/>
      <c r="JU25" s="129"/>
      <c r="JV25" s="129"/>
      <c r="JW25" s="129"/>
      <c r="JX25" s="129"/>
      <c r="JY25" s="129"/>
      <c r="JZ25" s="129"/>
      <c r="MA25" s="129"/>
      <c r="MB25" s="129"/>
      <c r="MC25" s="129"/>
      <c r="MD25" s="129"/>
      <c r="ME25" s="129"/>
      <c r="MF25" s="129"/>
      <c r="MG25" s="129"/>
      <c r="MH25" s="129"/>
      <c r="MI25" s="129"/>
      <c r="MJ25" s="129"/>
      <c r="MK25" s="129"/>
      <c r="ML25" s="129"/>
      <c r="MM25" s="129"/>
      <c r="MN25" s="129"/>
      <c r="MO25" s="129"/>
      <c r="MP25" s="129"/>
      <c r="MQ25" s="129"/>
      <c r="MR25" s="129"/>
      <c r="MS25" s="129"/>
      <c r="MT25" s="129"/>
      <c r="MU25" s="129"/>
      <c r="MV25" s="129"/>
      <c r="MW25" s="129"/>
      <c r="MX25" s="129"/>
      <c r="MY25" s="129"/>
      <c r="MZ25" s="129"/>
      <c r="PA25" s="129"/>
      <c r="PB25" s="129" t="s">
        <v>5477</v>
      </c>
      <c r="PC25" s="129"/>
      <c r="PD25" s="129"/>
      <c r="PE25" s="129"/>
      <c r="PF25" s="129"/>
      <c r="PG25" s="129"/>
      <c r="PH25" s="129"/>
      <c r="PI25" s="129"/>
      <c r="PJ25" s="129"/>
      <c r="PK25" s="129"/>
      <c r="PL25" s="129"/>
      <c r="PM25" s="129"/>
      <c r="PN25" s="129"/>
      <c r="PO25" s="129"/>
      <c r="PP25" s="129"/>
      <c r="PQ25" s="129"/>
      <c r="PR25" s="129"/>
      <c r="PS25" s="129"/>
      <c r="PT25" s="129"/>
      <c r="PU25" s="129"/>
      <c r="PV25" s="129"/>
      <c r="PW25" s="129"/>
      <c r="PX25" s="129"/>
      <c r="PY25" s="129"/>
      <c r="PZ25" s="129"/>
      <c r="SB25" s="1802" t="s">
        <v>5508</v>
      </c>
      <c r="SC25" s="1802"/>
      <c r="SD25" s="1802"/>
      <c r="SE25" s="1802"/>
      <c r="SF25" s="1802"/>
      <c r="SG25" s="1802"/>
    </row>
    <row r="26" spans="2:502" ht="15.75" customHeight="1">
      <c r="AB26" s="1036"/>
      <c r="AC26" s="1036"/>
      <c r="AD26" s="1036"/>
      <c r="AG26" s="378"/>
      <c r="AH26" s="378"/>
      <c r="AI26" s="378"/>
      <c r="AJ26" s="378"/>
      <c r="AK26" s="378"/>
      <c r="AL26" s="378"/>
      <c r="AM26" s="378"/>
      <c r="AN26" s="378"/>
      <c r="AO26" s="378"/>
      <c r="AP26" s="378"/>
      <c r="AQ26" s="378"/>
      <c r="AR26" s="378"/>
      <c r="AS26" s="378"/>
      <c r="AT26" s="378"/>
      <c r="AU26" s="378"/>
      <c r="AV26" s="378"/>
      <c r="AW26" s="378"/>
      <c r="AX26" s="378"/>
      <c r="DA26" s="735" t="s">
        <v>430</v>
      </c>
      <c r="DB26" s="1826" t="s">
        <v>5767</v>
      </c>
      <c r="DC26" s="1826"/>
      <c r="DD26" s="1826"/>
      <c r="DE26" s="1826"/>
      <c r="EZ26" s="129"/>
      <c r="FA26" s="129"/>
      <c r="FB26" s="129"/>
      <c r="FC26" s="129"/>
      <c r="FD26" s="129"/>
      <c r="FE26" s="129"/>
      <c r="FF26" s="129"/>
      <c r="FG26" s="129"/>
      <c r="FH26" s="129"/>
      <c r="FI26" s="129"/>
      <c r="FJ26" s="129"/>
      <c r="FK26" s="129"/>
      <c r="FL26" s="129"/>
      <c r="FM26" s="129"/>
      <c r="FN26" s="129"/>
      <c r="FO26" s="129"/>
      <c r="FP26" s="129"/>
      <c r="FQ26" s="129"/>
      <c r="FR26" s="129"/>
      <c r="FS26" s="129"/>
      <c r="FT26" s="129"/>
      <c r="FU26" s="129"/>
      <c r="FV26" s="129"/>
      <c r="FW26" s="129"/>
      <c r="FX26" s="129"/>
      <c r="FY26" s="129"/>
      <c r="FZ26" s="129"/>
      <c r="GA26" s="129"/>
      <c r="GB26" s="129"/>
      <c r="GC26" s="129"/>
      <c r="GD26" s="129"/>
      <c r="GE26" s="129"/>
      <c r="GF26" s="129"/>
      <c r="GG26" s="129"/>
      <c r="GH26" s="129"/>
      <c r="GI26" s="129"/>
      <c r="GJ26" s="129"/>
      <c r="GK26" s="129"/>
      <c r="GL26" s="129"/>
      <c r="GM26" s="129"/>
      <c r="GN26" s="129"/>
      <c r="GO26" s="129"/>
      <c r="GP26" s="129"/>
      <c r="GQ26" s="129"/>
      <c r="GR26" s="129"/>
      <c r="GS26" s="129"/>
      <c r="GT26" s="129"/>
      <c r="GU26" s="129"/>
      <c r="GV26" s="129"/>
      <c r="GW26" s="129"/>
      <c r="GX26" s="129"/>
      <c r="GY26" s="129"/>
      <c r="GZ26" s="129"/>
      <c r="HG26" s="129"/>
      <c r="HH26" s="129"/>
      <c r="HI26" s="129"/>
      <c r="HJ26" s="129"/>
      <c r="HK26" s="129"/>
      <c r="HL26" s="129"/>
      <c r="HM26" s="129"/>
      <c r="HN26" s="129"/>
      <c r="HO26" s="129"/>
      <c r="HP26" s="129"/>
      <c r="HQ26" s="129"/>
      <c r="HR26" s="129"/>
      <c r="HS26" s="129"/>
      <c r="HT26" s="129"/>
      <c r="HU26" s="129"/>
      <c r="HV26" s="129"/>
      <c r="HW26" s="129"/>
      <c r="HX26" s="129"/>
      <c r="HY26" s="129"/>
      <c r="HZ26" s="129"/>
      <c r="IA26" s="129"/>
      <c r="IB26" s="129"/>
      <c r="IC26" s="129"/>
      <c r="ID26" s="129"/>
      <c r="IE26" s="129"/>
      <c r="IF26" s="129"/>
      <c r="IG26" s="129"/>
      <c r="IH26" s="129"/>
      <c r="II26" s="129"/>
      <c r="IJ26" s="129"/>
      <c r="IK26" s="129"/>
      <c r="IL26" s="129"/>
      <c r="IM26" s="129"/>
      <c r="IN26" s="129"/>
      <c r="IO26" s="129"/>
      <c r="IP26" s="129"/>
      <c r="IQ26" s="129"/>
      <c r="IR26" s="129"/>
      <c r="IS26" s="129"/>
      <c r="IT26" s="129"/>
      <c r="IU26" s="129"/>
      <c r="IV26" s="129"/>
      <c r="IW26" s="129"/>
      <c r="IX26" s="129"/>
      <c r="IY26" s="129"/>
      <c r="IZ26" s="129"/>
      <c r="JB26" s="662" t="s">
        <v>6098</v>
      </c>
      <c r="JC26" s="138" t="s">
        <v>6105</v>
      </c>
      <c r="JD26" s="377"/>
      <c r="JE26" s="129"/>
      <c r="JF26" s="129"/>
      <c r="JG26" s="129"/>
      <c r="JH26" s="129"/>
      <c r="JI26" s="129"/>
      <c r="JJ26" s="129"/>
      <c r="JK26" s="129"/>
      <c r="JL26" s="129"/>
      <c r="JM26" s="129"/>
      <c r="JN26" s="129"/>
      <c r="JO26" s="129"/>
      <c r="JP26" s="129"/>
      <c r="JQ26" s="129"/>
      <c r="JR26" s="129"/>
      <c r="JS26" s="129"/>
      <c r="JT26" s="129"/>
      <c r="JU26" s="129"/>
      <c r="JV26" s="129"/>
      <c r="JW26" s="129"/>
      <c r="JX26" s="129"/>
      <c r="JY26" s="129"/>
      <c r="JZ26" s="129"/>
      <c r="MA26" s="129"/>
      <c r="MB26" s="129"/>
      <c r="MC26" s="129"/>
      <c r="MD26" s="129"/>
      <c r="ME26" s="129"/>
      <c r="MF26" s="129"/>
      <c r="MG26" s="129"/>
      <c r="MH26" s="129"/>
      <c r="MI26" s="129"/>
      <c r="MJ26" s="129"/>
      <c r="MK26" s="129"/>
      <c r="ML26" s="129"/>
      <c r="MM26" s="129"/>
      <c r="MN26" s="129"/>
      <c r="MO26" s="129"/>
      <c r="MP26" s="129"/>
      <c r="MQ26" s="129"/>
      <c r="MR26" s="129"/>
      <c r="MS26" s="129"/>
      <c r="MT26" s="129"/>
      <c r="MU26" s="129"/>
      <c r="MV26" s="129"/>
      <c r="MW26" s="129"/>
      <c r="MX26" s="129"/>
      <c r="MY26" s="129"/>
      <c r="MZ26" s="129"/>
      <c r="PA26" s="129"/>
      <c r="PB26" s="129"/>
      <c r="PC26" s="129"/>
      <c r="PD26" s="129"/>
      <c r="PE26" s="129"/>
      <c r="PF26" s="129"/>
      <c r="PG26" s="129"/>
      <c r="PH26" s="129"/>
      <c r="PI26" s="129"/>
      <c r="PJ26" s="129"/>
      <c r="PK26" s="129"/>
      <c r="PL26" s="129"/>
      <c r="PM26" s="129"/>
      <c r="PN26" s="129"/>
      <c r="PO26" s="129"/>
      <c r="PP26" s="129"/>
      <c r="PQ26" s="129"/>
      <c r="PR26" s="129"/>
      <c r="PS26" s="129"/>
      <c r="PT26" s="129"/>
      <c r="PU26" s="129"/>
      <c r="PV26" s="129"/>
      <c r="PW26" s="129"/>
      <c r="PX26" s="129"/>
      <c r="PY26" s="129"/>
      <c r="PZ26" s="129"/>
      <c r="SB26" s="863"/>
      <c r="SC26" s="863"/>
      <c r="SD26" s="863"/>
      <c r="SE26" s="863"/>
      <c r="SF26" s="863"/>
      <c r="SG26" s="863"/>
      <c r="SH26" s="863"/>
    </row>
    <row r="27" spans="2:502" ht="30" customHeight="1">
      <c r="B27" s="822"/>
      <c r="C27" t="s">
        <v>5518</v>
      </c>
      <c r="AA27" s="1603" t="s">
        <v>878</v>
      </c>
      <c r="AB27" s="1603"/>
      <c r="AC27" s="1603"/>
      <c r="AD27" s="1603"/>
      <c r="AF27" s="1101" t="s">
        <v>5880</v>
      </c>
      <c r="AG27" s="378"/>
      <c r="AH27" s="378"/>
      <c r="AI27" s="378"/>
      <c r="AJ27" s="378"/>
      <c r="AK27" s="378"/>
      <c r="AL27" s="378"/>
      <c r="AM27" s="378"/>
      <c r="AN27" s="378"/>
      <c r="AO27" s="378"/>
      <c r="AP27" s="378"/>
      <c r="AQ27" s="378"/>
      <c r="AR27" s="378"/>
      <c r="AS27" s="378"/>
      <c r="AT27" s="378"/>
      <c r="AU27" s="378"/>
      <c r="AV27" s="378"/>
      <c r="AW27" s="378"/>
      <c r="AX27" s="378"/>
      <c r="EF27" s="535"/>
      <c r="EG27" s="535"/>
      <c r="EH27" s="535"/>
      <c r="EI27" s="535"/>
      <c r="EJ27" s="535"/>
      <c r="EK27" s="535"/>
      <c r="EL27" s="535"/>
      <c r="EM27" s="535"/>
      <c r="EN27" s="535"/>
      <c r="EO27" s="535"/>
      <c r="EP27" s="535"/>
      <c r="EQ27" s="535"/>
      <c r="ER27" s="535"/>
      <c r="ES27" s="535"/>
      <c r="ET27" s="535"/>
      <c r="EU27" s="535"/>
      <c r="EV27" s="535"/>
      <c r="EW27" s="535"/>
      <c r="EX27" s="535"/>
      <c r="EZ27" s="129"/>
      <c r="FA27" s="129"/>
      <c r="FB27" s="129"/>
      <c r="FC27" s="129"/>
      <c r="FD27" s="129"/>
      <c r="FE27" s="129"/>
      <c r="FF27" s="129"/>
      <c r="FG27" s="129"/>
      <c r="FH27" s="129"/>
      <c r="FI27" s="129"/>
      <c r="FJ27" s="129"/>
      <c r="FK27" s="129"/>
      <c r="FL27" s="129"/>
      <c r="FM27" s="129"/>
      <c r="FN27" s="129"/>
      <c r="FO27" s="129"/>
      <c r="FP27" s="129"/>
      <c r="FQ27" s="129"/>
      <c r="FR27" s="129"/>
      <c r="FS27" s="129"/>
      <c r="FT27" s="129"/>
      <c r="FU27" s="129"/>
      <c r="FV27" s="129"/>
      <c r="FW27" s="129"/>
      <c r="FX27" s="129"/>
      <c r="FY27" s="129"/>
      <c r="FZ27" s="129"/>
      <c r="GA27" s="129"/>
      <c r="GB27" s="129"/>
      <c r="GC27" s="129"/>
      <c r="GD27" s="129"/>
      <c r="GE27" s="129"/>
      <c r="GF27" s="129"/>
      <c r="GG27" s="129"/>
      <c r="GH27" s="129"/>
      <c r="GI27" s="129"/>
      <c r="GJ27" s="129"/>
      <c r="GK27" s="129"/>
      <c r="GL27" s="129"/>
      <c r="GM27" s="129"/>
      <c r="GN27" s="129"/>
      <c r="GO27" s="129"/>
      <c r="GP27" s="129"/>
      <c r="GQ27" s="129"/>
      <c r="GR27" s="129"/>
      <c r="GS27" s="129"/>
      <c r="GT27" s="129"/>
      <c r="GU27" s="129"/>
      <c r="GV27" s="129"/>
      <c r="GW27" s="129"/>
      <c r="GX27" s="129"/>
      <c r="GY27" s="129"/>
      <c r="GZ27" s="129"/>
      <c r="HG27" s="129"/>
      <c r="HH27" s="129"/>
      <c r="HI27" s="129"/>
      <c r="HJ27" s="129"/>
      <c r="HK27" s="129"/>
      <c r="HL27" s="129"/>
      <c r="HM27" s="129"/>
      <c r="HN27" s="129"/>
      <c r="HO27" s="129"/>
      <c r="HP27" s="129"/>
      <c r="HQ27" s="129"/>
      <c r="HR27" s="129"/>
      <c r="HS27" s="129"/>
      <c r="HT27" s="129"/>
      <c r="HU27" s="129"/>
      <c r="HV27" s="129"/>
      <c r="HW27" s="129"/>
      <c r="HX27" s="129"/>
      <c r="HY27" s="129"/>
      <c r="HZ27" s="129"/>
      <c r="IA27" s="129"/>
      <c r="IB27" s="129"/>
      <c r="IC27" s="129"/>
      <c r="ID27" s="129"/>
      <c r="IE27" s="129"/>
      <c r="IF27" s="129"/>
      <c r="IG27" s="129"/>
      <c r="IH27" s="129"/>
      <c r="II27" s="129"/>
      <c r="IJ27" s="129"/>
      <c r="IK27" s="129"/>
      <c r="IL27" s="129"/>
      <c r="IM27" s="129"/>
      <c r="IN27" s="129"/>
      <c r="IO27" s="129"/>
      <c r="IP27" s="129"/>
      <c r="IQ27" s="129"/>
      <c r="IR27" s="129"/>
      <c r="IS27" s="129"/>
      <c r="IT27" s="129"/>
      <c r="IU27" s="129"/>
      <c r="IV27" s="129"/>
      <c r="IW27" s="129"/>
      <c r="IX27" s="129"/>
      <c r="IY27" s="129"/>
      <c r="IZ27" s="129"/>
      <c r="JA27" s="129"/>
      <c r="JB27" s="138" t="s">
        <v>6099</v>
      </c>
      <c r="JC27" s="662" t="s">
        <v>6106</v>
      </c>
      <c r="JE27" s="129"/>
      <c r="JF27" s="129"/>
      <c r="JG27" s="1092"/>
      <c r="JH27" s="1092"/>
      <c r="JI27" s="129"/>
      <c r="JJ27" s="129"/>
      <c r="JK27" s="129"/>
      <c r="JL27" s="129"/>
      <c r="JM27" s="129"/>
      <c r="JN27" s="129"/>
      <c r="JO27" s="129"/>
      <c r="JP27" s="129"/>
      <c r="JQ27" s="129"/>
      <c r="JR27" s="129"/>
      <c r="JS27" s="129"/>
      <c r="JT27" s="129"/>
      <c r="JU27" s="129"/>
      <c r="JV27" s="129"/>
      <c r="JW27" s="129"/>
      <c r="JX27" s="129"/>
      <c r="JY27" s="129"/>
      <c r="JZ27" s="129"/>
      <c r="MA27" s="129"/>
      <c r="MB27" s="129"/>
      <c r="MC27" s="129"/>
      <c r="MD27" s="129"/>
      <c r="ME27" s="129"/>
      <c r="MF27" s="129"/>
      <c r="MG27" s="129"/>
      <c r="MH27" s="129"/>
      <c r="MI27" s="129"/>
      <c r="MJ27" s="129"/>
      <c r="MK27" s="129"/>
      <c r="ML27" s="129"/>
      <c r="MM27" s="129"/>
      <c r="MN27" s="129"/>
      <c r="MO27" s="129"/>
      <c r="MP27" s="129"/>
      <c r="MQ27" s="129"/>
      <c r="MR27" s="129"/>
      <c r="MS27" s="129"/>
      <c r="MT27" s="129"/>
      <c r="MU27" s="129"/>
      <c r="MV27" s="129"/>
      <c r="MW27" s="129"/>
      <c r="MX27" s="129"/>
      <c r="MY27" s="129"/>
      <c r="MZ27" s="129"/>
      <c r="PA27" s="129"/>
      <c r="PB27" s="129"/>
      <c r="PC27" s="129"/>
      <c r="PD27" s="129"/>
      <c r="PE27" s="129"/>
      <c r="PF27" s="129"/>
      <c r="PG27" s="129"/>
      <c r="PH27" s="129"/>
      <c r="PI27" s="129"/>
      <c r="PJ27" s="129"/>
      <c r="PK27" s="129"/>
      <c r="PL27" s="129"/>
      <c r="PM27" s="129"/>
      <c r="PN27" s="129"/>
      <c r="PO27" s="129"/>
      <c r="PP27" s="129"/>
      <c r="PQ27" s="129"/>
      <c r="PR27" s="129"/>
      <c r="PS27" s="129"/>
      <c r="PT27" s="129"/>
      <c r="PU27" s="129"/>
      <c r="PV27" s="129"/>
      <c r="PW27" s="129"/>
      <c r="PX27" s="129"/>
      <c r="PY27" s="129"/>
      <c r="PZ27" s="129"/>
      <c r="SB27" s="863"/>
      <c r="SC27" s="296"/>
      <c r="SD27" s="296"/>
      <c r="SE27" s="296"/>
      <c r="SF27" s="296"/>
      <c r="SG27" s="863"/>
      <c r="SH27" s="296"/>
    </row>
    <row r="28" spans="2:502" ht="30" customHeight="1">
      <c r="B28" s="7" t="s">
        <v>6382</v>
      </c>
      <c r="C28"/>
      <c r="AA28" s="501" t="s">
        <v>5433</v>
      </c>
      <c r="AB28" s="536" t="s">
        <v>4593</v>
      </c>
      <c r="AC28" s="1827"/>
      <c r="AD28" s="1828"/>
      <c r="AE28" s="258">
        <v>18</v>
      </c>
      <c r="AF28" s="1101" t="s">
        <v>5881</v>
      </c>
      <c r="AG28" s="378"/>
      <c r="AH28" s="378"/>
      <c r="AI28" s="378"/>
      <c r="AJ28" s="378"/>
      <c r="AK28" s="378"/>
      <c r="AL28" s="378"/>
      <c r="AM28" s="378"/>
      <c r="AN28" s="378"/>
      <c r="AO28" s="378"/>
      <c r="AP28" s="378"/>
      <c r="AQ28" s="378"/>
      <c r="AR28" s="378"/>
      <c r="AS28" s="378"/>
      <c r="AT28" s="378"/>
      <c r="AU28" s="378"/>
      <c r="AV28" s="378"/>
      <c r="AW28" s="378"/>
      <c r="AX28" s="378"/>
      <c r="DA28" s="735" t="s">
        <v>4865</v>
      </c>
      <c r="DB28" s="129" t="s">
        <v>5491</v>
      </c>
      <c r="EF28" s="378"/>
      <c r="EG28" s="378"/>
      <c r="EH28" s="378"/>
      <c r="EI28" s="378"/>
      <c r="EJ28" s="378"/>
      <c r="EK28" s="378"/>
      <c r="EL28" s="378"/>
      <c r="EM28" s="378"/>
      <c r="EN28" s="378"/>
      <c r="EO28" s="378"/>
      <c r="EP28" s="378"/>
      <c r="EQ28" s="378"/>
      <c r="ER28" s="378"/>
      <c r="ES28" s="378"/>
      <c r="ET28" s="378"/>
      <c r="EU28" s="378"/>
      <c r="EV28" s="378"/>
      <c r="EW28" s="378"/>
      <c r="EX28" s="378"/>
      <c r="EZ28" s="129"/>
      <c r="FA28" s="129"/>
      <c r="FB28" s="129"/>
      <c r="FC28" s="129"/>
      <c r="FD28" s="129"/>
      <c r="FE28" s="129"/>
      <c r="FF28" s="129"/>
      <c r="FG28" s="129"/>
      <c r="FH28" s="129"/>
      <c r="FI28" s="129"/>
      <c r="FJ28" s="129"/>
      <c r="FK28" s="129"/>
      <c r="FL28" s="129"/>
      <c r="FM28" s="129"/>
      <c r="FN28" s="129"/>
      <c r="FO28" s="129"/>
      <c r="FP28" s="129"/>
      <c r="FQ28" s="129"/>
      <c r="FR28" s="129"/>
      <c r="FS28" s="129"/>
      <c r="FT28" s="129"/>
      <c r="FU28" s="129"/>
      <c r="FV28" s="129"/>
      <c r="FW28" s="129"/>
      <c r="FX28" s="129"/>
      <c r="FY28" s="129"/>
      <c r="FZ28" s="129"/>
      <c r="GA28" s="129"/>
      <c r="GB28" s="129"/>
      <c r="GC28" s="129"/>
      <c r="GD28" s="129"/>
      <c r="GE28" s="129"/>
      <c r="GF28" s="129"/>
      <c r="GG28" s="129"/>
      <c r="GH28" s="129"/>
      <c r="GI28" s="129"/>
      <c r="GJ28" s="129"/>
      <c r="GK28" s="129"/>
      <c r="GL28" s="129"/>
      <c r="GM28" s="129"/>
      <c r="GN28" s="129"/>
      <c r="GO28" s="129"/>
      <c r="GP28" s="129"/>
      <c r="GQ28" s="129"/>
      <c r="GR28" s="129"/>
      <c r="GS28" s="129"/>
      <c r="GT28" s="129"/>
      <c r="GU28" s="129"/>
      <c r="GV28" s="129"/>
      <c r="GW28" s="129"/>
      <c r="GX28" s="129"/>
      <c r="GY28" s="129"/>
      <c r="GZ28" s="129"/>
      <c r="HG28" s="129"/>
      <c r="HH28" s="129"/>
      <c r="HI28" s="129"/>
      <c r="HJ28" s="129"/>
      <c r="HK28" s="129"/>
      <c r="HL28" s="129"/>
      <c r="HM28" s="129"/>
      <c r="HN28" s="129"/>
      <c r="HO28" s="129"/>
      <c r="HP28" s="129"/>
      <c r="HQ28" s="129"/>
      <c r="HR28" s="129"/>
      <c r="HS28" s="129"/>
      <c r="HT28" s="129"/>
      <c r="HU28" s="129"/>
      <c r="HV28" s="129"/>
      <c r="HW28" s="129"/>
      <c r="HX28" s="129"/>
      <c r="HY28" s="129"/>
      <c r="HZ28" s="129"/>
      <c r="IA28" s="129"/>
      <c r="IB28" s="129"/>
      <c r="IC28" s="129"/>
      <c r="ID28" s="129"/>
      <c r="IE28" s="129"/>
      <c r="IF28" s="129"/>
      <c r="IG28" s="129"/>
      <c r="IH28" s="129"/>
      <c r="II28" s="129"/>
      <c r="IJ28" s="129"/>
      <c r="IK28" s="129"/>
      <c r="IL28" s="129"/>
      <c r="IM28" s="129"/>
      <c r="IN28" s="129"/>
      <c r="IO28" s="129"/>
      <c r="IP28" s="129"/>
      <c r="IQ28" s="129"/>
      <c r="IR28" s="129"/>
      <c r="IS28" s="129"/>
      <c r="IT28" s="129"/>
      <c r="IU28" s="129"/>
      <c r="IV28" s="129"/>
      <c r="IW28" s="129"/>
      <c r="IX28" s="129"/>
      <c r="IY28" s="129"/>
      <c r="IZ28" s="129"/>
      <c r="JA28" s="129"/>
      <c r="JB28" s="138" t="s">
        <v>6092</v>
      </c>
      <c r="JC28" s="662" t="s">
        <v>4450</v>
      </c>
      <c r="JD28" s="1101" t="s">
        <v>6123</v>
      </c>
      <c r="JE28" s="1092" t="s">
        <v>6129</v>
      </c>
      <c r="JF28" s="1092"/>
      <c r="JG28" s="1092"/>
      <c r="JH28" s="1092"/>
      <c r="JI28" s="129"/>
      <c r="JJ28" s="129"/>
      <c r="JK28" s="129"/>
      <c r="JL28" s="129"/>
      <c r="JM28" s="129"/>
      <c r="JN28" s="129"/>
      <c r="JO28" s="129"/>
      <c r="JP28" s="129"/>
      <c r="JQ28" s="129"/>
      <c r="JR28" s="129"/>
      <c r="JS28" s="129"/>
      <c r="JT28" s="129"/>
      <c r="JU28" s="129"/>
      <c r="JV28" s="129"/>
      <c r="JW28" s="129"/>
      <c r="JX28" s="129"/>
      <c r="JY28" s="129"/>
      <c r="JZ28" s="129"/>
      <c r="MA28" s="129"/>
      <c r="MB28" s="129"/>
      <c r="MC28" s="129"/>
      <c r="MD28" s="129"/>
      <c r="ME28" s="129"/>
      <c r="MF28" s="129"/>
      <c r="MG28" s="129"/>
      <c r="MH28" s="129"/>
      <c r="MI28" s="129"/>
      <c r="MJ28" s="129"/>
      <c r="MK28" s="129"/>
      <c r="ML28" s="129"/>
      <c r="MM28" s="129"/>
      <c r="MN28" s="129"/>
      <c r="MO28" s="129"/>
      <c r="MP28" s="129"/>
      <c r="MQ28" s="129"/>
      <c r="MR28" s="129"/>
      <c r="MS28" s="129"/>
      <c r="MT28" s="129"/>
      <c r="MU28" s="129"/>
      <c r="MV28" s="129"/>
      <c r="MW28" s="129"/>
      <c r="MX28" s="129"/>
      <c r="MY28" s="129"/>
      <c r="MZ28" s="129"/>
      <c r="PA28" s="129"/>
      <c r="PB28" s="129"/>
      <c r="PC28" s="129"/>
      <c r="PD28" s="129"/>
      <c r="PE28" s="129"/>
      <c r="PF28" s="129"/>
      <c r="PG28" s="129"/>
      <c r="PH28" s="129"/>
      <c r="PI28" s="129"/>
      <c r="PJ28" s="129"/>
      <c r="PK28" s="129"/>
      <c r="PL28" s="129"/>
      <c r="PM28" s="129"/>
      <c r="PN28" s="129"/>
      <c r="PO28" s="129"/>
      <c r="PP28" s="129"/>
      <c r="PQ28" s="129"/>
      <c r="PR28" s="129"/>
      <c r="PS28" s="129"/>
      <c r="PT28" s="129"/>
      <c r="PU28" s="129"/>
      <c r="PV28" s="129"/>
      <c r="PW28" s="129"/>
      <c r="PX28" s="129"/>
      <c r="PY28" s="129"/>
      <c r="PZ28" s="129"/>
      <c r="SC28" s="863"/>
      <c r="SD28" s="863"/>
      <c r="SE28" s="863"/>
      <c r="SF28" s="863"/>
      <c r="SG28" s="296"/>
    </row>
    <row r="29" spans="2:502" ht="30" customHeight="1">
      <c r="B29" s="7" t="s">
        <v>5520</v>
      </c>
      <c r="C29"/>
      <c r="AA29" s="501" t="s">
        <v>5434</v>
      </c>
      <c r="AB29" s="1807" t="s">
        <v>5577</v>
      </c>
      <c r="AC29" s="1807"/>
      <c r="AD29" s="1807"/>
      <c r="AE29" s="258">
        <v>19</v>
      </c>
      <c r="AF29" s="1101" t="s">
        <v>5885</v>
      </c>
      <c r="AG29" s="378"/>
      <c r="AH29" s="378"/>
      <c r="AI29" s="378"/>
      <c r="AJ29" s="378"/>
      <c r="AK29" s="378"/>
      <c r="AL29" s="378"/>
      <c r="AM29" s="378"/>
      <c r="AN29" s="378"/>
      <c r="AO29" s="378"/>
      <c r="AP29" s="378"/>
      <c r="AQ29" s="378"/>
      <c r="AR29" s="378"/>
      <c r="AS29" s="378"/>
      <c r="AT29" s="378"/>
      <c r="AU29" s="378"/>
      <c r="AV29" s="378"/>
      <c r="AW29" s="378"/>
      <c r="AX29" s="378"/>
      <c r="EF29" s="378"/>
      <c r="EG29" s="378"/>
      <c r="EH29" s="378"/>
      <c r="EI29" s="378"/>
      <c r="EJ29" s="378"/>
      <c r="EK29" s="378"/>
      <c r="EL29" s="378"/>
      <c r="EM29" s="378"/>
      <c r="EN29" s="378"/>
      <c r="EO29" s="378"/>
      <c r="EP29" s="378"/>
      <c r="EQ29" s="378"/>
      <c r="ER29" s="378"/>
      <c r="ES29" s="378"/>
      <c r="ET29" s="378"/>
      <c r="EU29" s="378"/>
      <c r="EV29" s="378"/>
      <c r="EW29" s="378"/>
      <c r="EX29" s="378"/>
      <c r="EZ29" s="129"/>
      <c r="FA29" s="129"/>
      <c r="FB29" s="129"/>
      <c r="FC29" s="129"/>
      <c r="FD29" s="129"/>
      <c r="FE29" s="129"/>
      <c r="FF29" s="129"/>
      <c r="FG29" s="129"/>
      <c r="FH29" s="129"/>
      <c r="FI29" s="129"/>
      <c r="FJ29" s="129"/>
      <c r="FK29" s="129"/>
      <c r="FL29" s="129"/>
      <c r="FM29" s="129"/>
      <c r="FN29" s="129"/>
      <c r="FO29" s="129"/>
      <c r="FP29" s="129"/>
      <c r="FQ29" s="129"/>
      <c r="FR29" s="129"/>
      <c r="FS29" s="129"/>
      <c r="FT29" s="129"/>
      <c r="FU29" s="129"/>
      <c r="FV29" s="129"/>
      <c r="FW29" s="129"/>
      <c r="FX29" s="129"/>
      <c r="FY29" s="129"/>
      <c r="FZ29" s="129"/>
      <c r="GA29" s="129"/>
      <c r="GB29" s="129"/>
      <c r="GC29" s="129"/>
      <c r="GD29" s="129"/>
      <c r="GE29" s="129"/>
      <c r="GF29" s="129"/>
      <c r="GG29" s="129"/>
      <c r="GH29" s="129"/>
      <c r="GI29" s="129"/>
      <c r="GJ29" s="129"/>
      <c r="GK29" s="129"/>
      <c r="GL29" s="129"/>
      <c r="GM29" s="129"/>
      <c r="GN29" s="129"/>
      <c r="GO29" s="129"/>
      <c r="GP29" s="129"/>
      <c r="GQ29" s="129"/>
      <c r="GR29" s="129"/>
      <c r="GS29" s="129"/>
      <c r="GT29" s="129"/>
      <c r="GU29" s="129"/>
      <c r="GV29" s="129"/>
      <c r="GW29" s="129"/>
      <c r="GX29" s="129"/>
      <c r="GY29" s="129"/>
      <c r="GZ29" s="129"/>
      <c r="HG29" s="129"/>
      <c r="HH29" s="129"/>
      <c r="HI29" s="129"/>
      <c r="HJ29" s="129"/>
      <c r="HK29" s="129"/>
      <c r="HL29" s="129"/>
      <c r="HM29" s="129"/>
      <c r="HN29" s="129"/>
      <c r="HO29" s="129"/>
      <c r="HP29" s="129"/>
      <c r="HQ29" s="129"/>
      <c r="HR29" s="129"/>
      <c r="HS29" s="129"/>
      <c r="HT29" s="129"/>
      <c r="HU29" s="129"/>
      <c r="HV29" s="129"/>
      <c r="HW29" s="129"/>
      <c r="HX29" s="129"/>
      <c r="HY29" s="129"/>
      <c r="HZ29" s="129"/>
      <c r="IA29" s="129"/>
      <c r="IB29" s="129"/>
      <c r="IC29" s="129"/>
      <c r="ID29" s="129"/>
      <c r="IE29" s="129"/>
      <c r="IF29" s="129"/>
      <c r="IG29" s="129"/>
      <c r="IH29" s="129"/>
      <c r="II29" s="129"/>
      <c r="IJ29" s="129"/>
      <c r="IK29" s="129"/>
      <c r="IL29" s="129"/>
      <c r="IM29" s="129"/>
      <c r="IN29" s="129"/>
      <c r="IO29" s="129"/>
      <c r="IP29" s="129"/>
      <c r="IQ29" s="129"/>
      <c r="IR29" s="129"/>
      <c r="IS29" s="129"/>
      <c r="IT29" s="129"/>
      <c r="IU29" s="129"/>
      <c r="IV29" s="129"/>
      <c r="IW29" s="129"/>
      <c r="IX29" s="129"/>
      <c r="IY29" s="129"/>
      <c r="IZ29" s="129"/>
      <c r="JA29" s="129"/>
      <c r="JB29" s="662" t="s">
        <v>6091</v>
      </c>
      <c r="JC29" s="662" t="s">
        <v>6107</v>
      </c>
      <c r="JD29" s="1101" t="s">
        <v>6123</v>
      </c>
      <c r="JE29" s="1092" t="s">
        <v>6125</v>
      </c>
      <c r="JF29" s="1092"/>
      <c r="JG29" s="1092"/>
      <c r="JH29" s="1092"/>
      <c r="JI29" s="129"/>
      <c r="JJ29" s="129"/>
      <c r="JK29" s="129"/>
      <c r="JL29" s="129"/>
      <c r="JM29" s="129"/>
      <c r="JN29" s="129"/>
      <c r="JO29" s="129"/>
      <c r="JP29" s="129"/>
      <c r="JQ29" s="129"/>
      <c r="JR29" s="129"/>
      <c r="JS29" s="129"/>
      <c r="JT29" s="129"/>
      <c r="JU29" s="129"/>
      <c r="JV29" s="129"/>
      <c r="JW29" s="129"/>
      <c r="JX29" s="129"/>
      <c r="JY29" s="129"/>
      <c r="JZ29" s="129"/>
      <c r="MA29" s="129"/>
      <c r="MB29" s="129"/>
      <c r="MC29" s="129"/>
      <c r="MD29" s="129"/>
      <c r="ME29" s="129"/>
      <c r="MF29" s="129"/>
      <c r="MG29" s="129"/>
      <c r="MH29" s="129"/>
      <c r="MI29" s="129"/>
      <c r="MJ29" s="129"/>
      <c r="MK29" s="129"/>
      <c r="ML29" s="129"/>
      <c r="MM29" s="129"/>
      <c r="MN29" s="129"/>
      <c r="MO29" s="129"/>
      <c r="MP29" s="129"/>
      <c r="MQ29" s="129"/>
      <c r="MR29" s="129"/>
      <c r="MS29" s="129"/>
      <c r="MT29" s="129"/>
      <c r="MU29" s="129"/>
      <c r="MV29" s="129"/>
      <c r="MW29" s="129"/>
      <c r="MX29" s="129"/>
      <c r="MY29" s="129"/>
      <c r="MZ29" s="129"/>
      <c r="PA29" s="129"/>
      <c r="PB29" s="129"/>
      <c r="PC29" s="129"/>
      <c r="PD29" s="129"/>
      <c r="PE29" s="129"/>
      <c r="PF29" s="129"/>
      <c r="PG29" s="129"/>
      <c r="PH29" s="129"/>
      <c r="PI29" s="129"/>
      <c r="PJ29" s="129"/>
      <c r="PK29" s="129"/>
      <c r="PL29" s="129"/>
      <c r="PM29" s="129"/>
      <c r="PN29" s="129"/>
      <c r="PO29" s="129"/>
      <c r="PP29" s="129"/>
      <c r="PQ29" s="129"/>
      <c r="PR29" s="129"/>
      <c r="PS29" s="129"/>
      <c r="PT29" s="129"/>
      <c r="PU29" s="129"/>
      <c r="PV29" s="129"/>
      <c r="PW29" s="129"/>
      <c r="PX29" s="129"/>
      <c r="PY29" s="129"/>
      <c r="PZ29" s="129"/>
      <c r="SG29" s="863"/>
    </row>
    <row r="30" spans="2:502" ht="30" customHeight="1">
      <c r="B30" s="7" t="s">
        <v>5521</v>
      </c>
      <c r="C30" s="7"/>
      <c r="AA30" s="501" t="s">
        <v>428</v>
      </c>
      <c r="AB30" s="1821" t="s">
        <v>5578</v>
      </c>
      <c r="AC30" s="1821"/>
      <c r="AD30" s="1821"/>
      <c r="AE30" s="258">
        <v>20</v>
      </c>
      <c r="AF30" s="378"/>
      <c r="AG30" s="378"/>
      <c r="AH30" s="378"/>
      <c r="AI30" s="378"/>
      <c r="AJ30" s="378"/>
      <c r="AK30" s="378"/>
      <c r="AL30" s="378"/>
      <c r="AM30" s="378"/>
      <c r="AN30" s="378"/>
      <c r="AO30" s="378"/>
      <c r="AP30" s="378"/>
      <c r="AQ30" s="378"/>
      <c r="AR30" s="378"/>
      <c r="AS30" s="378"/>
      <c r="AT30" s="378"/>
      <c r="AU30" s="378"/>
      <c r="AV30" s="378"/>
      <c r="AW30" s="378"/>
      <c r="AX30" s="378"/>
      <c r="EF30" s="378"/>
      <c r="EG30" s="378"/>
      <c r="EH30" s="378"/>
      <c r="EI30" s="378"/>
      <c r="EJ30" s="378"/>
      <c r="EK30" s="378"/>
      <c r="EL30" s="378"/>
      <c r="EM30" s="378"/>
      <c r="EN30" s="378"/>
      <c r="EO30" s="378"/>
      <c r="EP30" s="378"/>
      <c r="EQ30" s="378"/>
      <c r="ER30" s="378"/>
      <c r="ES30" s="378"/>
      <c r="ET30" s="378"/>
      <c r="EU30" s="378"/>
      <c r="EV30" s="378"/>
      <c r="EW30" s="378"/>
      <c r="EX30" s="378"/>
      <c r="EZ30" s="129"/>
      <c r="FA30" s="129"/>
      <c r="FB30" s="129"/>
      <c r="FC30" s="129"/>
      <c r="FD30" s="129"/>
      <c r="FE30" s="129"/>
      <c r="FF30" s="129"/>
      <c r="FG30" s="129"/>
      <c r="FH30" s="129"/>
      <c r="FI30" s="129"/>
      <c r="FJ30" s="129"/>
      <c r="FK30" s="129"/>
      <c r="FL30" s="129"/>
      <c r="FM30" s="129"/>
      <c r="FN30" s="129"/>
      <c r="FO30" s="129"/>
      <c r="FP30" s="129"/>
      <c r="FQ30" s="129"/>
      <c r="FR30" s="129"/>
      <c r="FS30" s="129"/>
      <c r="FT30" s="129"/>
      <c r="FU30" s="129"/>
      <c r="FV30" s="129"/>
      <c r="FW30" s="129"/>
      <c r="FX30" s="129"/>
      <c r="FY30" s="129"/>
      <c r="FZ30" s="129"/>
      <c r="GA30" s="129"/>
      <c r="GB30" s="129"/>
      <c r="GC30" s="129"/>
      <c r="GD30" s="129"/>
      <c r="GE30" s="129"/>
      <c r="GF30" s="129"/>
      <c r="GG30" s="129"/>
      <c r="GH30" s="129"/>
      <c r="GI30" s="129"/>
      <c r="GJ30" s="129"/>
      <c r="GK30" s="129"/>
      <c r="GL30" s="129"/>
      <c r="GM30" s="129"/>
      <c r="GN30" s="129"/>
      <c r="GO30" s="129"/>
      <c r="GP30" s="129"/>
      <c r="GQ30" s="129"/>
      <c r="GR30" s="129"/>
      <c r="GS30" s="129"/>
      <c r="GT30" s="129"/>
      <c r="GU30" s="129"/>
      <c r="GV30" s="129"/>
      <c r="GW30" s="129"/>
      <c r="GX30" s="129"/>
      <c r="GY30" s="129"/>
      <c r="GZ30" s="129"/>
      <c r="HG30" s="129"/>
      <c r="HH30" s="129"/>
      <c r="HI30" s="129"/>
      <c r="HJ30" s="129"/>
      <c r="HK30" s="129"/>
      <c r="HL30" s="129"/>
      <c r="HM30" s="129"/>
      <c r="HN30" s="129"/>
      <c r="HO30" s="129"/>
      <c r="HP30" s="129"/>
      <c r="HQ30" s="129"/>
      <c r="HR30" s="129"/>
      <c r="HS30" s="129"/>
      <c r="HT30" s="129"/>
      <c r="HU30" s="129"/>
      <c r="HV30" s="129"/>
      <c r="HW30" s="129"/>
      <c r="HX30" s="129"/>
      <c r="HY30" s="129"/>
      <c r="HZ30" s="129"/>
      <c r="IA30" s="129"/>
      <c r="IB30" s="129"/>
      <c r="IC30" s="129"/>
      <c r="ID30" s="129"/>
      <c r="IE30" s="129"/>
      <c r="IF30" s="129"/>
      <c r="IG30" s="129"/>
      <c r="IH30" s="129"/>
      <c r="II30" s="129"/>
      <c r="IJ30" s="129"/>
      <c r="IK30" s="129"/>
      <c r="IL30" s="129"/>
      <c r="IM30" s="129"/>
      <c r="IN30" s="129"/>
      <c r="IO30" s="129"/>
      <c r="IP30" s="129"/>
      <c r="IQ30" s="129"/>
      <c r="IR30" s="129"/>
      <c r="IS30" s="129"/>
      <c r="IT30" s="129"/>
      <c r="IU30" s="129"/>
      <c r="IV30" s="129"/>
      <c r="IW30" s="129"/>
      <c r="IX30" s="129"/>
      <c r="IY30" s="129"/>
      <c r="IZ30" s="129"/>
      <c r="JA30" s="7"/>
      <c r="JB30" s="662" t="s">
        <v>556</v>
      </c>
      <c r="JC30" s="662" t="s">
        <v>557</v>
      </c>
      <c r="JD30" s="1092" t="s">
        <v>248</v>
      </c>
      <c r="JE30" s="1092" t="s">
        <v>3212</v>
      </c>
      <c r="JF30" s="1092"/>
      <c r="JG30" s="1092" t="s">
        <v>6127</v>
      </c>
      <c r="JI30" s="129"/>
      <c r="JJ30" s="129"/>
      <c r="JK30" s="129"/>
      <c r="JL30" s="129"/>
      <c r="JM30" s="129"/>
      <c r="JN30" s="129"/>
      <c r="JO30" s="129"/>
      <c r="JP30" s="129"/>
      <c r="JQ30" s="129"/>
      <c r="JR30" s="129"/>
      <c r="JS30" s="129"/>
      <c r="JT30" s="129"/>
      <c r="JU30" s="129"/>
      <c r="JV30" s="129"/>
      <c r="JW30" s="129"/>
      <c r="JX30" s="129"/>
      <c r="JY30" s="129"/>
      <c r="JZ30" s="129"/>
      <c r="MA30" s="129"/>
      <c r="MB30" s="129"/>
      <c r="MC30" s="129"/>
      <c r="MD30" s="129"/>
      <c r="ME30" s="129"/>
      <c r="MF30" s="129"/>
      <c r="MG30" s="129"/>
      <c r="MH30" s="129"/>
      <c r="MI30" s="129"/>
      <c r="MJ30" s="129"/>
      <c r="MK30" s="129"/>
      <c r="ML30" s="129"/>
      <c r="MM30" s="129"/>
      <c r="MN30" s="129"/>
      <c r="MO30" s="129"/>
      <c r="MP30" s="129"/>
      <c r="MQ30" s="129"/>
      <c r="MR30" s="129"/>
      <c r="MS30" s="129"/>
      <c r="MT30" s="129"/>
      <c r="MU30" s="129"/>
      <c r="MV30" s="129"/>
      <c r="MW30" s="129"/>
      <c r="MX30" s="129"/>
      <c r="MY30" s="129"/>
      <c r="MZ30" s="129"/>
      <c r="PA30" s="129"/>
      <c r="PB30" s="129"/>
      <c r="PC30" s="129"/>
      <c r="PD30" s="129"/>
      <c r="PE30" s="129"/>
      <c r="PF30" s="129"/>
      <c r="PG30" s="129"/>
      <c r="PH30" s="129"/>
      <c r="PI30" s="129"/>
      <c r="PJ30" s="129"/>
      <c r="PK30" s="129"/>
      <c r="PL30" s="129"/>
      <c r="PM30" s="129"/>
      <c r="PN30" s="129"/>
      <c r="PO30" s="129"/>
      <c r="PP30" s="129"/>
      <c r="PQ30" s="129"/>
      <c r="PR30" s="129"/>
      <c r="PS30" s="129"/>
      <c r="PT30" s="129"/>
      <c r="PU30" s="129"/>
      <c r="PV30" s="129"/>
      <c r="PW30" s="129"/>
      <c r="PX30" s="129"/>
      <c r="PY30" s="129"/>
      <c r="PZ30" s="129"/>
    </row>
    <row r="31" spans="2:502" ht="30" customHeight="1">
      <c r="B31" s="7" t="s">
        <v>5700</v>
      </c>
      <c r="C31" s="7"/>
      <c r="AF31" s="378"/>
      <c r="AG31" s="378"/>
      <c r="AH31" s="378"/>
      <c r="AI31" s="378"/>
      <c r="AJ31" s="378"/>
      <c r="AK31" s="378"/>
      <c r="AL31" s="378"/>
      <c r="AM31" s="378"/>
      <c r="AN31" s="378"/>
      <c r="AO31" s="378"/>
      <c r="AP31" s="378"/>
      <c r="AQ31" s="378"/>
      <c r="AR31" s="378"/>
      <c r="AS31" s="378"/>
      <c r="AT31" s="378"/>
      <c r="AU31" s="378"/>
      <c r="AV31" s="378"/>
      <c r="AW31" s="378"/>
      <c r="AX31" s="378"/>
      <c r="EF31" s="378"/>
      <c r="EG31" s="378"/>
      <c r="EH31" s="378"/>
      <c r="EI31" s="378"/>
      <c r="EJ31" s="378"/>
      <c r="EK31" s="378"/>
      <c r="EL31" s="378"/>
      <c r="EM31" s="378"/>
      <c r="EN31" s="378"/>
      <c r="EO31" s="378"/>
      <c r="EP31" s="378"/>
      <c r="EQ31" s="378"/>
      <c r="ER31" s="378"/>
      <c r="ES31" s="378"/>
      <c r="ET31" s="378"/>
      <c r="EU31" s="378"/>
      <c r="EV31" s="378"/>
      <c r="EW31" s="378"/>
      <c r="EX31" s="378"/>
      <c r="EZ31" s="129"/>
      <c r="FA31" s="129"/>
      <c r="FB31" s="129"/>
      <c r="FC31" s="129"/>
      <c r="FD31" s="129"/>
      <c r="FE31" s="129"/>
      <c r="FF31" s="129"/>
      <c r="FG31" s="129"/>
      <c r="FH31" s="129"/>
      <c r="FI31" s="129"/>
      <c r="FJ31" s="129"/>
      <c r="FK31" s="129"/>
      <c r="FL31" s="129"/>
      <c r="FM31" s="129"/>
      <c r="FN31" s="129"/>
      <c r="FO31" s="129"/>
      <c r="FP31" s="129"/>
      <c r="FQ31" s="129"/>
      <c r="FR31" s="129"/>
      <c r="FS31" s="129"/>
      <c r="FT31" s="129"/>
      <c r="FU31" s="129"/>
      <c r="FV31" s="129"/>
      <c r="FW31" s="129"/>
      <c r="FX31" s="129"/>
      <c r="FY31" s="129"/>
      <c r="FZ31" s="129"/>
      <c r="GA31" s="129"/>
      <c r="GB31" s="129"/>
      <c r="GC31" s="129"/>
      <c r="GD31" s="129"/>
      <c r="GE31" s="129"/>
      <c r="GF31" s="129"/>
      <c r="GG31" s="129"/>
      <c r="GH31" s="129"/>
      <c r="GI31" s="129"/>
      <c r="GJ31" s="129"/>
      <c r="GK31" s="129"/>
      <c r="GL31" s="129"/>
      <c r="GM31" s="129"/>
      <c r="GN31" s="129"/>
      <c r="GO31" s="129"/>
      <c r="GP31" s="129"/>
      <c r="GQ31" s="129"/>
      <c r="GR31" s="129"/>
      <c r="GS31" s="129"/>
      <c r="GT31" s="129"/>
      <c r="GU31" s="129"/>
      <c r="GV31" s="129"/>
      <c r="GW31" s="129"/>
      <c r="GX31" s="129"/>
      <c r="GY31" s="129"/>
      <c r="GZ31" s="129"/>
      <c r="HG31" s="129"/>
      <c r="HH31" s="129"/>
      <c r="HI31" s="129"/>
      <c r="HJ31" s="129"/>
      <c r="HK31" s="129"/>
      <c r="HL31" s="129"/>
      <c r="HM31" s="129"/>
      <c r="HN31" s="129"/>
      <c r="HO31" s="129"/>
      <c r="HP31" s="129"/>
      <c r="HQ31" s="129"/>
      <c r="HR31" s="129"/>
      <c r="HS31" s="129"/>
      <c r="HT31" s="129"/>
      <c r="HU31" s="129"/>
      <c r="HV31" s="129"/>
      <c r="HW31" s="129"/>
      <c r="HX31" s="129"/>
      <c r="HY31" s="129"/>
      <c r="HZ31" s="129"/>
      <c r="IA31" s="129"/>
      <c r="IB31" s="129"/>
      <c r="IC31" s="129"/>
      <c r="ID31" s="129"/>
      <c r="IE31" s="129"/>
      <c r="IF31" s="129"/>
      <c r="IG31" s="129"/>
      <c r="IH31" s="129"/>
      <c r="II31" s="129"/>
      <c r="IJ31" s="129"/>
      <c r="IK31" s="129"/>
      <c r="IL31" s="129"/>
      <c r="IM31" s="129"/>
      <c r="IN31" s="129"/>
      <c r="IO31" s="129"/>
      <c r="IP31" s="129"/>
      <c r="IQ31" s="129"/>
      <c r="IR31" s="129"/>
      <c r="IS31" s="129"/>
      <c r="IT31" s="129"/>
      <c r="IU31" s="129"/>
      <c r="IV31" s="129"/>
      <c r="IW31" s="129"/>
      <c r="IX31" s="129"/>
      <c r="IY31" s="129"/>
      <c r="IZ31" s="129"/>
      <c r="JA31" s="7"/>
      <c r="JB31" s="138" t="s">
        <v>6100</v>
      </c>
      <c r="JC31" s="662" t="s">
        <v>6119</v>
      </c>
      <c r="JD31" s="1092" t="s">
        <v>6122</v>
      </c>
      <c r="JE31" s="1092" t="s">
        <v>6126</v>
      </c>
      <c r="JF31" s="1092"/>
      <c r="JG31" s="1092" t="s">
        <v>6127</v>
      </c>
      <c r="JI31" s="129"/>
      <c r="JJ31" s="129"/>
      <c r="JK31" s="129"/>
      <c r="JL31" s="129"/>
      <c r="JM31" s="129"/>
      <c r="JN31" s="129"/>
      <c r="JO31" s="129"/>
      <c r="JP31" s="129"/>
      <c r="JQ31" s="129"/>
      <c r="JR31" s="129"/>
      <c r="JS31" s="129"/>
      <c r="JT31" s="129"/>
      <c r="JU31" s="129"/>
      <c r="JV31" s="129"/>
      <c r="JW31" s="129"/>
      <c r="JX31" s="129"/>
      <c r="JY31" s="129"/>
      <c r="JZ31" s="129"/>
      <c r="MA31" s="129"/>
      <c r="MB31" s="129"/>
      <c r="MC31" s="129"/>
      <c r="MD31" s="129"/>
      <c r="ME31" s="129"/>
      <c r="MF31" s="129"/>
      <c r="MG31" s="129"/>
      <c r="MH31" s="129"/>
      <c r="MI31" s="129"/>
      <c r="MJ31" s="129"/>
      <c r="MK31" s="129"/>
      <c r="ML31" s="129"/>
      <c r="MM31" s="129"/>
      <c r="MN31" s="129"/>
      <c r="MO31" s="129"/>
      <c r="MP31" s="129"/>
      <c r="MQ31" s="129"/>
      <c r="MR31" s="129"/>
      <c r="MS31" s="129"/>
      <c r="MT31" s="129"/>
      <c r="MU31" s="129"/>
      <c r="MV31" s="129"/>
      <c r="MW31" s="129"/>
      <c r="MX31" s="129"/>
      <c r="MY31" s="129"/>
      <c r="MZ31" s="129"/>
      <c r="PA31" s="129"/>
      <c r="PB31" s="129"/>
      <c r="PC31" s="129"/>
      <c r="PD31" s="129"/>
      <c r="PE31" s="129"/>
      <c r="PF31" s="129"/>
      <c r="PG31" s="129"/>
      <c r="PH31" s="129"/>
      <c r="PI31" s="129"/>
      <c r="PJ31" s="129"/>
      <c r="PK31" s="129"/>
      <c r="PL31" s="129"/>
      <c r="PM31" s="129"/>
      <c r="PN31" s="129"/>
      <c r="PO31" s="129"/>
      <c r="PP31" s="129"/>
      <c r="PQ31" s="129"/>
      <c r="PR31" s="129"/>
      <c r="PS31" s="129"/>
      <c r="PT31" s="129"/>
      <c r="PU31" s="129"/>
      <c r="PV31" s="129"/>
      <c r="PW31" s="129"/>
      <c r="PX31" s="129"/>
      <c r="PY31" s="129"/>
      <c r="PZ31" s="129"/>
    </row>
    <row r="32" spans="2:502" ht="30" customHeight="1">
      <c r="B32" s="7" t="s">
        <v>5686</v>
      </c>
      <c r="C32" s="7"/>
      <c r="AA32" s="735" t="s">
        <v>430</v>
      </c>
      <c r="AB32" s="377" t="s">
        <v>5884</v>
      </c>
      <c r="AF32" s="378"/>
      <c r="AG32" s="378"/>
      <c r="AH32" s="378"/>
      <c r="AI32" s="378"/>
      <c r="AJ32" s="378"/>
      <c r="AK32" s="378"/>
      <c r="AL32" s="378"/>
      <c r="AM32" s="378"/>
      <c r="AN32" s="378"/>
      <c r="AO32" s="378"/>
      <c r="AP32" s="378"/>
      <c r="AQ32" s="378"/>
      <c r="AR32" s="378"/>
      <c r="AS32" s="378"/>
      <c r="AT32" s="378"/>
      <c r="AU32" s="378"/>
      <c r="AV32" s="378"/>
      <c r="AW32" s="378"/>
      <c r="AX32" s="378"/>
      <c r="EF32" s="378"/>
      <c r="EG32" s="378"/>
      <c r="EH32" s="378"/>
      <c r="EI32" s="378"/>
      <c r="EJ32" s="378"/>
      <c r="EK32" s="378"/>
      <c r="EL32" s="378"/>
      <c r="EM32" s="378"/>
      <c r="EN32" s="378"/>
      <c r="EO32" s="378"/>
      <c r="EP32" s="378"/>
      <c r="EQ32" s="378"/>
      <c r="ER32" s="378"/>
      <c r="ES32" s="378"/>
      <c r="ET32" s="378"/>
      <c r="EU32" s="378"/>
      <c r="EV32" s="378"/>
      <c r="EW32" s="378"/>
      <c r="EX32" s="378"/>
      <c r="EZ32" s="129"/>
      <c r="FA32" s="129"/>
      <c r="FB32" s="129"/>
      <c r="FC32" s="129"/>
      <c r="FD32" s="129"/>
      <c r="FE32" s="129"/>
      <c r="FF32" s="129"/>
      <c r="FG32" s="129"/>
      <c r="FH32" s="129"/>
      <c r="FI32" s="129"/>
      <c r="FJ32" s="129"/>
      <c r="FK32" s="129"/>
      <c r="FL32" s="129"/>
      <c r="FM32" s="129"/>
      <c r="FN32" s="129"/>
      <c r="FO32" s="129"/>
      <c r="FP32" s="129"/>
      <c r="FQ32" s="129"/>
      <c r="FR32" s="129"/>
      <c r="FS32" s="129"/>
      <c r="FT32" s="129"/>
      <c r="FU32" s="129"/>
      <c r="FV32" s="129"/>
      <c r="FW32" s="129"/>
      <c r="FX32" s="129"/>
      <c r="FY32" s="129"/>
      <c r="FZ32" s="129"/>
      <c r="GA32" s="129"/>
      <c r="GB32" s="129"/>
      <c r="GC32" s="129"/>
      <c r="GD32" s="129"/>
      <c r="GE32" s="129"/>
      <c r="GF32" s="129"/>
      <c r="GG32" s="129"/>
      <c r="GH32" s="129"/>
      <c r="GI32" s="129"/>
      <c r="GJ32" s="129"/>
      <c r="GK32" s="129"/>
      <c r="GL32" s="129"/>
      <c r="GM32" s="129"/>
      <c r="GN32" s="129"/>
      <c r="GO32" s="129"/>
      <c r="GP32" s="129"/>
      <c r="GQ32" s="129"/>
      <c r="GR32" s="129"/>
      <c r="GS32" s="129"/>
      <c r="GT32" s="129"/>
      <c r="GU32" s="129"/>
      <c r="GV32" s="129"/>
      <c r="GW32" s="129"/>
      <c r="GX32" s="129"/>
      <c r="GY32" s="129"/>
      <c r="GZ32" s="129"/>
      <c r="HG32" s="129"/>
      <c r="HH32" s="129"/>
      <c r="HI32" s="129"/>
      <c r="HJ32" s="129"/>
      <c r="HK32" s="129"/>
      <c r="HL32" s="129"/>
      <c r="HM32" s="129"/>
      <c r="HN32" s="129"/>
      <c r="HO32" s="129"/>
      <c r="HP32" s="129"/>
      <c r="HQ32" s="129"/>
      <c r="HR32" s="129"/>
      <c r="HS32" s="129"/>
      <c r="HT32" s="129"/>
      <c r="HU32" s="129"/>
      <c r="HV32" s="129"/>
      <c r="HW32" s="129"/>
      <c r="HX32" s="129"/>
      <c r="HY32" s="129"/>
      <c r="HZ32" s="129"/>
      <c r="IA32" s="129"/>
      <c r="IB32" s="129"/>
      <c r="IC32" s="129"/>
      <c r="ID32" s="129"/>
      <c r="IE32" s="129"/>
      <c r="IF32" s="129"/>
      <c r="IG32" s="129"/>
      <c r="IH32" s="129"/>
      <c r="II32" s="129"/>
      <c r="IJ32" s="129"/>
      <c r="IK32" s="129"/>
      <c r="IL32" s="129"/>
      <c r="IM32" s="129"/>
      <c r="IN32" s="129"/>
      <c r="IO32" s="129"/>
      <c r="IP32" s="129"/>
      <c r="IQ32" s="129"/>
      <c r="IR32" s="129"/>
      <c r="IS32" s="129"/>
      <c r="IT32" s="129"/>
      <c r="IU32" s="129"/>
      <c r="IV32" s="129"/>
      <c r="IW32" s="129"/>
      <c r="IX32" s="129"/>
      <c r="IY32" s="129"/>
      <c r="IZ32" s="129"/>
      <c r="JB32" s="138" t="s">
        <v>6101</v>
      </c>
      <c r="JC32" s="138" t="s">
        <v>6120</v>
      </c>
      <c r="JD32" s="1092" t="s">
        <v>6122</v>
      </c>
      <c r="JE32" s="1092" t="s">
        <v>6126</v>
      </c>
      <c r="JF32" s="1092"/>
      <c r="JG32" s="129"/>
      <c r="JH32" s="129"/>
      <c r="JI32" s="129"/>
      <c r="JJ32" s="129"/>
      <c r="JK32" s="129"/>
      <c r="JL32" s="129"/>
      <c r="JM32" s="129"/>
      <c r="JN32" s="129"/>
      <c r="JO32" s="129"/>
      <c r="JP32" s="129"/>
      <c r="JQ32" s="129"/>
      <c r="JR32" s="129"/>
      <c r="JS32" s="129"/>
      <c r="JT32" s="129"/>
      <c r="JU32" s="129"/>
      <c r="JV32" s="129"/>
      <c r="JW32" s="129"/>
      <c r="JX32" s="129"/>
      <c r="JY32" s="129"/>
      <c r="JZ32" s="129"/>
      <c r="MA32" s="129"/>
      <c r="MB32" s="129"/>
      <c r="MC32" s="129"/>
      <c r="MD32" s="129"/>
      <c r="ME32" s="129"/>
      <c r="MF32" s="129"/>
      <c r="MG32" s="129"/>
      <c r="MH32" s="129"/>
      <c r="MI32" s="129"/>
      <c r="MJ32" s="129"/>
      <c r="MK32" s="129"/>
      <c r="ML32" s="129"/>
      <c r="MM32" s="129"/>
      <c r="MN32" s="129"/>
      <c r="MO32" s="129"/>
      <c r="MP32" s="129"/>
      <c r="MQ32" s="129"/>
      <c r="MR32" s="129"/>
      <c r="MS32" s="129"/>
      <c r="MT32" s="129"/>
      <c r="MU32" s="129"/>
      <c r="MV32" s="129"/>
      <c r="MW32" s="129"/>
      <c r="MX32" s="129"/>
      <c r="MY32" s="129"/>
      <c r="MZ32" s="129"/>
      <c r="PA32" s="129"/>
      <c r="PB32" s="129"/>
      <c r="PC32" s="129"/>
      <c r="PD32" s="129"/>
      <c r="PE32" s="129"/>
      <c r="PF32" s="129"/>
      <c r="PG32" s="129"/>
      <c r="PH32" s="129"/>
      <c r="PI32" s="129"/>
      <c r="PJ32" s="129"/>
      <c r="PK32" s="129"/>
      <c r="PL32" s="129"/>
      <c r="PM32" s="129"/>
      <c r="PN32" s="129"/>
      <c r="PO32" s="129"/>
      <c r="PP32" s="129"/>
      <c r="PQ32" s="129"/>
      <c r="PR32" s="129"/>
      <c r="PS32" s="129"/>
      <c r="PT32" s="129"/>
      <c r="PU32" s="129"/>
      <c r="PV32" s="129"/>
      <c r="PW32" s="129"/>
      <c r="PX32" s="129"/>
      <c r="PY32" s="129"/>
      <c r="PZ32" s="129"/>
    </row>
    <row r="33" spans="2:442" ht="30" customHeight="1">
      <c r="B33" s="7" t="s">
        <v>5529</v>
      </c>
      <c r="C33" s="7"/>
      <c r="AB33" s="129" t="s">
        <v>6064</v>
      </c>
      <c r="AF33" s="378"/>
      <c r="AG33" s="378"/>
      <c r="AH33" s="378"/>
      <c r="AI33" s="378"/>
      <c r="AJ33" s="378"/>
      <c r="AK33" s="378"/>
      <c r="AL33" s="378"/>
      <c r="AM33" s="378"/>
      <c r="AN33" s="378"/>
      <c r="AO33" s="378"/>
      <c r="AP33" s="378"/>
      <c r="AQ33" s="378"/>
      <c r="AR33" s="378"/>
      <c r="AS33" s="378"/>
      <c r="AT33" s="378"/>
      <c r="AU33" s="378"/>
      <c r="AV33" s="378"/>
      <c r="AW33" s="378"/>
      <c r="AX33" s="378"/>
      <c r="EF33" s="378"/>
      <c r="EG33" s="378"/>
      <c r="EH33" s="378"/>
      <c r="EI33" s="378"/>
      <c r="EJ33" s="378"/>
      <c r="EK33" s="378"/>
      <c r="EL33" s="378"/>
      <c r="EM33" s="378"/>
      <c r="EN33" s="378"/>
      <c r="EO33" s="378"/>
      <c r="EP33" s="378"/>
      <c r="EQ33" s="378"/>
      <c r="ER33" s="378"/>
      <c r="ES33" s="378"/>
      <c r="ET33" s="378"/>
      <c r="EU33" s="378"/>
      <c r="EV33" s="378"/>
      <c r="EW33" s="378"/>
      <c r="EX33" s="378"/>
      <c r="EZ33" s="129"/>
      <c r="FA33" s="129"/>
      <c r="FB33" s="129"/>
      <c r="FC33" s="129"/>
      <c r="FD33" s="129"/>
      <c r="FE33" s="129"/>
      <c r="FF33" s="129"/>
      <c r="FG33" s="129"/>
      <c r="FH33" s="129"/>
      <c r="FI33" s="129"/>
      <c r="FJ33" s="129"/>
      <c r="FK33" s="129"/>
      <c r="FL33" s="129"/>
      <c r="FM33" s="129"/>
      <c r="FN33" s="129"/>
      <c r="FO33" s="129"/>
      <c r="FP33" s="129"/>
      <c r="FQ33" s="129"/>
      <c r="FR33" s="129"/>
      <c r="FS33" s="129"/>
      <c r="FT33" s="129"/>
      <c r="FU33" s="129"/>
      <c r="FV33" s="129"/>
      <c r="FW33" s="129"/>
      <c r="FX33" s="129"/>
      <c r="FY33" s="129"/>
      <c r="FZ33" s="129"/>
      <c r="GA33" s="129"/>
      <c r="GB33" s="129"/>
      <c r="GC33" s="129"/>
      <c r="GD33" s="129"/>
      <c r="GE33" s="129"/>
      <c r="GF33" s="129"/>
      <c r="GG33" s="129"/>
      <c r="GH33" s="129"/>
      <c r="GI33" s="129"/>
      <c r="GJ33" s="129"/>
      <c r="GK33" s="129"/>
      <c r="GL33" s="129"/>
      <c r="GM33" s="129"/>
      <c r="GN33" s="129"/>
      <c r="GO33" s="129"/>
      <c r="GP33" s="129"/>
      <c r="GQ33" s="129"/>
      <c r="GR33" s="129"/>
      <c r="GS33" s="129"/>
      <c r="GT33" s="129"/>
      <c r="GU33" s="129"/>
      <c r="GV33" s="129"/>
      <c r="GW33" s="129"/>
      <c r="GX33" s="129"/>
      <c r="GY33" s="129"/>
      <c r="GZ33" s="129"/>
      <c r="HG33" s="129"/>
      <c r="HH33" s="129"/>
      <c r="HI33" s="129"/>
      <c r="HJ33" s="129"/>
      <c r="HK33" s="129"/>
      <c r="HL33" s="129"/>
      <c r="HM33" s="129"/>
      <c r="HN33" s="129"/>
      <c r="HO33" s="129"/>
      <c r="HP33" s="129"/>
      <c r="HQ33" s="129"/>
      <c r="HR33" s="129"/>
      <c r="HS33" s="129"/>
      <c r="HT33" s="129"/>
      <c r="HU33" s="129"/>
      <c r="HV33" s="129"/>
      <c r="HW33" s="129"/>
      <c r="HX33" s="129"/>
      <c r="HY33" s="129"/>
      <c r="HZ33" s="129"/>
      <c r="IA33" s="129"/>
      <c r="IB33" s="129"/>
      <c r="IC33" s="129"/>
      <c r="ID33" s="129"/>
      <c r="IE33" s="129"/>
      <c r="IF33" s="129"/>
      <c r="IG33" s="129"/>
      <c r="IH33" s="129"/>
      <c r="II33" s="129"/>
      <c r="IJ33" s="129"/>
      <c r="IK33" s="129"/>
      <c r="IL33" s="129"/>
      <c r="IM33" s="129"/>
      <c r="IN33" s="129"/>
      <c r="IO33" s="129"/>
      <c r="IP33" s="129"/>
      <c r="IQ33" s="129"/>
      <c r="IR33" s="129"/>
      <c r="IS33" s="129"/>
      <c r="IT33" s="129"/>
      <c r="IU33" s="129"/>
      <c r="IV33" s="129"/>
      <c r="IW33" s="129"/>
      <c r="IX33" s="129"/>
      <c r="IY33" s="129"/>
      <c r="IZ33" s="129"/>
      <c r="JA33" s="7"/>
      <c r="JB33" s="129"/>
      <c r="JC33" s="129"/>
      <c r="JD33" s="129"/>
      <c r="JE33" s="129"/>
      <c r="JF33" s="129"/>
      <c r="JG33" s="129"/>
      <c r="JH33" s="129"/>
      <c r="JI33" s="129"/>
      <c r="JJ33" s="129"/>
      <c r="JK33" s="129"/>
      <c r="JL33" s="129"/>
      <c r="JM33" s="129"/>
      <c r="JN33" s="129"/>
      <c r="JO33" s="129"/>
      <c r="JP33" s="129"/>
      <c r="JQ33" s="129"/>
      <c r="JR33" s="129"/>
      <c r="JS33" s="129"/>
      <c r="JT33" s="129"/>
      <c r="JU33" s="129"/>
      <c r="JV33" s="129"/>
      <c r="JW33" s="129"/>
      <c r="JX33" s="129"/>
      <c r="JY33" s="129"/>
      <c r="JZ33" s="129"/>
      <c r="MA33" s="129"/>
      <c r="MB33" s="129"/>
      <c r="MC33" s="129"/>
      <c r="MD33" s="129"/>
      <c r="ME33" s="129"/>
      <c r="MF33" s="129"/>
      <c r="MG33" s="129"/>
      <c r="MH33" s="129"/>
      <c r="MI33" s="129"/>
      <c r="MJ33" s="129"/>
      <c r="MK33" s="129"/>
      <c r="ML33" s="129"/>
      <c r="MM33" s="129"/>
      <c r="MN33" s="129"/>
      <c r="MO33" s="129"/>
      <c r="MP33" s="129"/>
      <c r="MQ33" s="129"/>
      <c r="MR33" s="129"/>
      <c r="MS33" s="129"/>
      <c r="MT33" s="129"/>
      <c r="MU33" s="129"/>
      <c r="MV33" s="129"/>
      <c r="MW33" s="129"/>
      <c r="MX33" s="129"/>
      <c r="MY33" s="129"/>
      <c r="MZ33" s="129"/>
      <c r="PA33" s="129"/>
      <c r="PB33" s="129"/>
      <c r="PC33" s="129"/>
      <c r="PD33" s="129"/>
      <c r="PE33" s="129"/>
      <c r="PF33" s="129"/>
      <c r="PG33" s="129"/>
      <c r="PH33" s="129"/>
      <c r="PI33" s="129"/>
      <c r="PJ33" s="129"/>
      <c r="PK33" s="129"/>
      <c r="PL33" s="129"/>
      <c r="PM33" s="129"/>
      <c r="PN33" s="129"/>
      <c r="PO33" s="129"/>
      <c r="PP33" s="129"/>
      <c r="PQ33" s="129"/>
      <c r="PR33" s="129"/>
      <c r="PS33" s="129"/>
      <c r="PT33" s="129"/>
      <c r="PU33" s="129"/>
      <c r="PV33" s="129"/>
      <c r="PW33" s="129"/>
      <c r="PX33" s="129"/>
      <c r="PY33" s="129"/>
      <c r="PZ33" s="129"/>
    </row>
    <row r="34" spans="2:442" ht="14.4">
      <c r="B34"/>
      <c r="C34"/>
      <c r="AF34" s="378"/>
      <c r="AG34" s="378"/>
      <c r="AH34" s="378"/>
      <c r="AI34" s="378"/>
      <c r="AJ34" s="378"/>
      <c r="AK34" s="378"/>
      <c r="AL34" s="378"/>
      <c r="AM34" s="378"/>
      <c r="AN34" s="378"/>
      <c r="AO34" s="378"/>
      <c r="AP34" s="378"/>
      <c r="AQ34" s="378"/>
      <c r="AR34" s="378"/>
      <c r="AS34" s="378"/>
      <c r="AT34" s="378"/>
      <c r="AU34" s="378"/>
      <c r="AV34" s="378"/>
      <c r="AW34" s="378"/>
      <c r="AX34" s="378"/>
      <c r="EF34" s="378"/>
      <c r="EG34" s="378"/>
      <c r="EH34" s="378"/>
      <c r="EI34" s="378"/>
      <c r="EJ34" s="378"/>
      <c r="EK34" s="378"/>
      <c r="EL34" s="378"/>
      <c r="EM34" s="378"/>
      <c r="EN34" s="378"/>
      <c r="EO34" s="378"/>
      <c r="EP34" s="378"/>
      <c r="EQ34" s="378"/>
      <c r="ER34" s="378"/>
      <c r="ES34" s="378"/>
      <c r="ET34" s="378"/>
      <c r="EU34" s="378"/>
      <c r="EV34" s="378"/>
      <c r="EW34" s="378"/>
      <c r="EX34" s="378"/>
      <c r="EZ34" s="129"/>
      <c r="FA34" s="129"/>
      <c r="FB34" s="129"/>
      <c r="FC34" s="129"/>
      <c r="FD34" s="129"/>
      <c r="FE34" s="129"/>
      <c r="FF34" s="129"/>
      <c r="FG34" s="129"/>
      <c r="FH34" s="129"/>
      <c r="FI34" s="129"/>
      <c r="FJ34" s="129"/>
      <c r="FK34" s="129"/>
      <c r="FL34" s="129"/>
      <c r="FM34" s="129"/>
      <c r="FN34" s="129"/>
      <c r="FO34" s="129"/>
      <c r="FP34" s="129"/>
      <c r="FQ34" s="129"/>
      <c r="FR34" s="129"/>
      <c r="FS34" s="129"/>
      <c r="FT34" s="129"/>
      <c r="FU34" s="129"/>
      <c r="FV34" s="129"/>
      <c r="FW34" s="129"/>
      <c r="FX34" s="129"/>
      <c r="FY34" s="129"/>
      <c r="FZ34" s="129"/>
      <c r="GA34" s="129"/>
      <c r="GB34" s="129"/>
      <c r="GC34" s="129"/>
      <c r="GD34" s="129"/>
      <c r="GE34" s="129"/>
      <c r="GF34" s="129"/>
      <c r="GG34" s="129"/>
      <c r="GH34" s="129"/>
      <c r="GI34" s="129"/>
      <c r="GJ34" s="129"/>
      <c r="GK34" s="129"/>
      <c r="GL34" s="129"/>
      <c r="GM34" s="129"/>
      <c r="GN34" s="129"/>
      <c r="GO34" s="129"/>
      <c r="GP34" s="129"/>
      <c r="GQ34" s="129"/>
      <c r="GR34" s="129"/>
      <c r="GS34" s="129"/>
      <c r="GT34" s="129"/>
      <c r="GU34" s="129"/>
      <c r="GV34" s="129"/>
      <c r="GW34" s="129"/>
      <c r="GX34" s="129"/>
      <c r="GY34" s="129"/>
      <c r="GZ34" s="129"/>
      <c r="HG34" s="129"/>
      <c r="HH34" s="129"/>
      <c r="HI34" s="129"/>
      <c r="HJ34" s="129"/>
      <c r="HK34" s="129"/>
      <c r="HL34" s="129"/>
      <c r="HM34" s="129"/>
      <c r="HN34" s="129"/>
      <c r="HO34" s="129"/>
      <c r="HP34" s="129"/>
      <c r="HQ34" s="129"/>
      <c r="HR34" s="129"/>
      <c r="HS34" s="129"/>
      <c r="HT34" s="129"/>
      <c r="HU34" s="129"/>
      <c r="HV34" s="129"/>
      <c r="HW34" s="129"/>
      <c r="HX34" s="129"/>
      <c r="HY34" s="129"/>
      <c r="HZ34" s="129"/>
      <c r="IA34" s="129"/>
      <c r="IB34" s="129"/>
      <c r="IC34" s="129"/>
      <c r="ID34" s="129"/>
      <c r="IE34" s="129"/>
      <c r="IF34" s="129"/>
      <c r="IG34" s="129"/>
      <c r="IH34" s="129"/>
      <c r="II34" s="129"/>
      <c r="IJ34" s="129"/>
      <c r="IK34" s="129"/>
      <c r="IL34" s="129"/>
      <c r="IM34" s="129"/>
      <c r="IN34" s="129"/>
      <c r="IO34" s="129"/>
      <c r="IP34" s="129"/>
      <c r="IQ34" s="129"/>
      <c r="IR34" s="129"/>
      <c r="IS34" s="129"/>
      <c r="IT34" s="129"/>
      <c r="IU34" s="129"/>
      <c r="IV34" s="129"/>
      <c r="IW34" s="129"/>
      <c r="IX34" s="129"/>
      <c r="IY34" s="129"/>
      <c r="IZ34" s="129"/>
      <c r="JA34" s="7"/>
      <c r="JB34" s="129"/>
      <c r="JC34" s="129"/>
      <c r="JD34" s="129"/>
      <c r="JE34" s="129"/>
      <c r="JF34" s="129"/>
      <c r="JG34" s="129"/>
      <c r="JH34" s="129"/>
      <c r="JI34" s="129"/>
      <c r="JJ34" s="129"/>
      <c r="JK34" s="129"/>
      <c r="JL34" s="129"/>
      <c r="JM34" s="129"/>
      <c r="JN34" s="129"/>
      <c r="JO34" s="129"/>
      <c r="JP34" s="129"/>
      <c r="JQ34" s="129"/>
      <c r="JR34" s="129"/>
      <c r="JS34" s="129"/>
      <c r="JT34" s="129"/>
      <c r="JU34" s="129"/>
      <c r="JV34" s="129"/>
      <c r="JW34" s="129"/>
      <c r="JX34" s="129"/>
      <c r="JY34" s="129"/>
      <c r="JZ34" s="129"/>
      <c r="MA34" s="129"/>
      <c r="MB34" s="129"/>
      <c r="MC34" s="129"/>
      <c r="MD34" s="129"/>
      <c r="ME34" s="129"/>
      <c r="MF34" s="129"/>
      <c r="MG34" s="129"/>
      <c r="MH34" s="129"/>
      <c r="MI34" s="129"/>
      <c r="MJ34" s="129"/>
      <c r="MK34" s="129"/>
      <c r="ML34" s="129"/>
      <c r="MM34" s="129"/>
      <c r="MN34" s="129"/>
      <c r="MO34" s="129"/>
      <c r="MP34" s="129"/>
      <c r="MQ34" s="129"/>
      <c r="MR34" s="129"/>
      <c r="MS34" s="129"/>
      <c r="MT34" s="129"/>
      <c r="MU34" s="129"/>
      <c r="MV34" s="129"/>
      <c r="MW34" s="129"/>
      <c r="MX34" s="129"/>
      <c r="MY34" s="129"/>
      <c r="MZ34" s="129"/>
      <c r="PA34" s="129"/>
      <c r="PB34" s="129"/>
      <c r="PC34" s="129"/>
      <c r="PD34" s="129"/>
      <c r="PE34" s="129"/>
      <c r="PF34" s="129"/>
      <c r="PG34" s="129"/>
      <c r="PH34" s="129"/>
      <c r="PI34" s="129"/>
      <c r="PJ34" s="129"/>
      <c r="PK34" s="129"/>
      <c r="PL34" s="129"/>
      <c r="PM34" s="129"/>
      <c r="PN34" s="129"/>
      <c r="PO34" s="129"/>
      <c r="PP34" s="129"/>
      <c r="PQ34" s="129"/>
      <c r="PR34" s="129"/>
      <c r="PS34" s="129"/>
      <c r="PT34" s="129"/>
      <c r="PU34" s="129"/>
      <c r="PV34" s="129"/>
      <c r="PW34" s="129"/>
      <c r="PX34" s="129"/>
      <c r="PY34" s="129"/>
      <c r="PZ34" s="129"/>
    </row>
    <row r="35" spans="2:442" ht="13.8" customHeight="1">
      <c r="B35" s="1077" t="s">
        <v>5683</v>
      </c>
      <c r="C35"/>
      <c r="AA35" s="735" t="s">
        <v>4865</v>
      </c>
      <c r="AB35" s="129" t="s">
        <v>6843</v>
      </c>
      <c r="AF35" s="378"/>
      <c r="AG35" s="378"/>
      <c r="AH35" s="378"/>
      <c r="AI35" s="378"/>
      <c r="AJ35" s="378"/>
      <c r="AK35" s="378"/>
      <c r="AL35" s="378"/>
      <c r="AM35" s="378"/>
      <c r="AN35" s="378"/>
      <c r="AO35" s="378"/>
      <c r="AP35" s="378"/>
      <c r="AQ35" s="378"/>
      <c r="AR35" s="378"/>
      <c r="AS35" s="378"/>
      <c r="AT35" s="378"/>
      <c r="AU35" s="378"/>
      <c r="AV35" s="378"/>
      <c r="AW35" s="378"/>
      <c r="AX35" s="378"/>
      <c r="EF35" s="378"/>
      <c r="EG35" s="378"/>
      <c r="EH35" s="378"/>
      <c r="EI35" s="378"/>
      <c r="EJ35" s="378"/>
      <c r="EK35" s="378"/>
      <c r="EL35" s="378"/>
      <c r="EM35" s="378"/>
      <c r="EN35" s="378"/>
      <c r="EO35" s="378"/>
      <c r="EP35" s="378"/>
      <c r="EQ35" s="378"/>
      <c r="ER35" s="378"/>
      <c r="ES35" s="378"/>
      <c r="ET35" s="378"/>
      <c r="EU35" s="378"/>
      <c r="EV35" s="378"/>
      <c r="EW35" s="378"/>
      <c r="EX35" s="378"/>
      <c r="EZ35" s="129"/>
      <c r="FA35" s="129"/>
      <c r="FB35" s="129"/>
      <c r="FC35" s="129"/>
      <c r="FD35" s="129"/>
      <c r="FE35" s="129"/>
      <c r="FF35" s="129"/>
      <c r="FG35" s="129"/>
      <c r="FH35" s="129"/>
      <c r="FI35" s="129"/>
      <c r="FJ35" s="129"/>
      <c r="FK35" s="129"/>
      <c r="FL35" s="129"/>
      <c r="FM35" s="129"/>
      <c r="FN35" s="129"/>
      <c r="FO35" s="129"/>
      <c r="FP35" s="129"/>
      <c r="FQ35" s="129"/>
      <c r="FR35" s="129"/>
      <c r="FS35" s="129"/>
      <c r="FT35" s="129"/>
      <c r="FU35" s="129"/>
      <c r="FV35" s="129"/>
      <c r="FW35" s="129"/>
      <c r="FX35" s="129"/>
      <c r="FY35" s="129"/>
      <c r="FZ35" s="129"/>
      <c r="GA35" s="129"/>
      <c r="GB35" s="129"/>
      <c r="GC35" s="129"/>
      <c r="GD35" s="129"/>
      <c r="GE35" s="129"/>
      <c r="GF35" s="129"/>
      <c r="GG35" s="129"/>
      <c r="GH35" s="129"/>
      <c r="GI35" s="129"/>
      <c r="GJ35" s="129"/>
      <c r="GK35" s="129"/>
      <c r="GL35" s="129"/>
      <c r="GM35" s="129"/>
      <c r="GN35" s="129"/>
      <c r="GO35" s="129"/>
      <c r="GP35" s="129"/>
      <c r="GQ35" s="129"/>
      <c r="GR35" s="129"/>
      <c r="GS35" s="129"/>
      <c r="GT35" s="129"/>
      <c r="GU35" s="129"/>
      <c r="GV35" s="129"/>
      <c r="GW35" s="129"/>
      <c r="GX35" s="129"/>
      <c r="GY35" s="129"/>
      <c r="GZ35" s="129"/>
      <c r="HG35" s="129"/>
      <c r="HH35" s="129"/>
      <c r="HI35" s="129"/>
      <c r="HJ35" s="129"/>
      <c r="HK35" s="129"/>
      <c r="HL35" s="129"/>
      <c r="HM35" s="129"/>
      <c r="HN35" s="129"/>
      <c r="HO35" s="129"/>
      <c r="HP35" s="129"/>
      <c r="HQ35" s="129"/>
      <c r="HR35" s="129"/>
      <c r="HS35" s="129"/>
      <c r="HT35" s="129"/>
      <c r="HU35" s="129"/>
      <c r="HV35" s="129"/>
      <c r="HW35" s="129"/>
      <c r="HX35" s="129"/>
      <c r="HY35" s="129"/>
      <c r="HZ35" s="129"/>
      <c r="IA35" s="129"/>
      <c r="IB35" s="129"/>
      <c r="IC35" s="129"/>
      <c r="ID35" s="129"/>
      <c r="IE35" s="129"/>
      <c r="IF35" s="129"/>
      <c r="IG35" s="129"/>
      <c r="IH35" s="129"/>
      <c r="II35" s="129"/>
      <c r="IJ35" s="129"/>
      <c r="IK35" s="129"/>
      <c r="IL35" s="129"/>
      <c r="IM35" s="129"/>
      <c r="IN35" s="129"/>
      <c r="IO35" s="129"/>
      <c r="IP35" s="129"/>
      <c r="IQ35" s="129"/>
      <c r="IR35" s="129"/>
      <c r="IS35" s="129"/>
      <c r="IT35" s="129"/>
      <c r="IU35" s="129"/>
      <c r="IV35" s="129"/>
      <c r="IW35" s="129"/>
      <c r="IX35" s="129"/>
      <c r="IY35" s="129"/>
      <c r="IZ35" s="129"/>
      <c r="JA35" s="129"/>
      <c r="JB35" s="129"/>
      <c r="JC35" s="129"/>
      <c r="JD35" s="129"/>
      <c r="JE35" s="129"/>
      <c r="JF35" s="129"/>
      <c r="JG35" s="129"/>
      <c r="JH35" s="129"/>
      <c r="JI35" s="129"/>
      <c r="JJ35" s="129"/>
      <c r="JK35" s="129"/>
      <c r="JL35" s="129"/>
      <c r="JM35" s="129"/>
      <c r="JN35" s="129"/>
      <c r="JO35" s="129"/>
      <c r="JP35" s="129"/>
      <c r="JQ35" s="129"/>
      <c r="JR35" s="129"/>
      <c r="JS35" s="129"/>
      <c r="JT35" s="129"/>
      <c r="JU35" s="129"/>
      <c r="JV35" s="129"/>
      <c r="JW35" s="129"/>
      <c r="JX35" s="129"/>
      <c r="JY35" s="129"/>
      <c r="JZ35" s="129"/>
      <c r="MA35" s="129"/>
      <c r="MB35" s="129"/>
      <c r="MC35" s="129"/>
      <c r="MD35" s="129"/>
      <c r="ME35" s="129"/>
      <c r="MF35" s="129"/>
      <c r="MG35" s="129"/>
      <c r="MH35" s="129"/>
      <c r="MI35" s="129"/>
      <c r="MJ35" s="129"/>
      <c r="MK35" s="129"/>
      <c r="ML35" s="129"/>
      <c r="MM35" s="129"/>
      <c r="MN35" s="129"/>
      <c r="MO35" s="129"/>
      <c r="MP35" s="129"/>
      <c r="MQ35" s="129"/>
      <c r="MR35" s="129"/>
      <c r="MS35" s="129"/>
      <c r="MT35" s="129"/>
      <c r="MU35" s="129"/>
      <c r="MV35" s="129"/>
      <c r="MW35" s="129"/>
      <c r="MX35" s="129"/>
      <c r="MY35" s="129"/>
      <c r="MZ35" s="129"/>
      <c r="PA35" s="129"/>
      <c r="PB35" s="129"/>
      <c r="PC35" s="129"/>
      <c r="PD35" s="129"/>
      <c r="PE35" s="129"/>
      <c r="PF35" s="129"/>
      <c r="PG35" s="129"/>
      <c r="PH35" s="129"/>
      <c r="PI35" s="129"/>
      <c r="PJ35" s="129"/>
      <c r="PK35" s="129"/>
      <c r="PL35" s="129"/>
      <c r="PM35" s="129"/>
      <c r="PN35" s="129"/>
      <c r="PO35" s="129"/>
      <c r="PP35" s="129"/>
      <c r="PQ35" s="129"/>
      <c r="PR35" s="129"/>
      <c r="PS35" s="129"/>
      <c r="PT35" s="129"/>
      <c r="PU35" s="129"/>
      <c r="PV35" s="129"/>
      <c r="PW35" s="129"/>
      <c r="PX35" s="129"/>
      <c r="PY35" s="129"/>
      <c r="PZ35" s="129"/>
    </row>
    <row r="36" spans="2:442" ht="13.8" customHeight="1">
      <c r="B36" s="1077"/>
      <c r="C36"/>
      <c r="AB36" s="129" t="s">
        <v>5886</v>
      </c>
      <c r="AG36" s="378"/>
      <c r="AH36" s="378"/>
      <c r="AI36" s="378"/>
      <c r="AJ36" s="378"/>
      <c r="AK36" s="378"/>
      <c r="AL36" s="378"/>
      <c r="AM36" s="378"/>
      <c r="AN36" s="378"/>
      <c r="AO36" s="378"/>
      <c r="AP36" s="378"/>
      <c r="AQ36" s="378"/>
      <c r="AR36" s="378"/>
      <c r="AS36" s="378"/>
      <c r="AT36" s="378"/>
      <c r="AU36" s="378"/>
      <c r="AV36" s="378"/>
      <c r="AW36" s="378"/>
      <c r="AX36" s="378"/>
      <c r="EF36" s="378"/>
      <c r="EG36" s="378"/>
      <c r="EH36" s="378"/>
      <c r="EI36" s="378"/>
      <c r="EJ36" s="378"/>
      <c r="EK36" s="378"/>
      <c r="EL36" s="378"/>
      <c r="EM36" s="378"/>
      <c r="EN36" s="378"/>
      <c r="EO36" s="378"/>
      <c r="EP36" s="378"/>
      <c r="EQ36" s="378"/>
      <c r="ER36" s="378"/>
      <c r="ES36" s="378"/>
      <c r="ET36" s="378"/>
      <c r="EU36" s="378"/>
      <c r="EV36" s="378"/>
      <c r="EW36" s="378"/>
      <c r="EX36" s="378"/>
      <c r="EZ36" s="129"/>
      <c r="FA36" s="129"/>
      <c r="FB36" s="129"/>
      <c r="FC36" s="129"/>
      <c r="FD36" s="129"/>
      <c r="FE36" s="129"/>
      <c r="FF36" s="129"/>
      <c r="FG36" s="129"/>
      <c r="FH36" s="129"/>
      <c r="FI36" s="129"/>
      <c r="FJ36" s="129"/>
      <c r="FK36" s="129"/>
      <c r="FL36" s="129"/>
      <c r="FM36" s="129"/>
      <c r="FN36" s="129"/>
      <c r="FO36" s="129"/>
      <c r="FP36" s="129"/>
      <c r="FQ36" s="129"/>
      <c r="FR36" s="129"/>
      <c r="FS36" s="129"/>
      <c r="FT36" s="129"/>
      <c r="FU36" s="129"/>
      <c r="FV36" s="129"/>
      <c r="FW36" s="129"/>
      <c r="FX36" s="129"/>
      <c r="FY36" s="129"/>
      <c r="FZ36" s="129"/>
      <c r="GA36" s="129"/>
      <c r="GB36" s="129"/>
      <c r="GC36" s="129"/>
      <c r="GD36" s="129"/>
      <c r="GE36" s="129"/>
      <c r="GF36" s="129"/>
      <c r="GG36" s="129"/>
      <c r="GH36" s="129"/>
      <c r="GI36" s="129"/>
      <c r="GJ36" s="129"/>
      <c r="GK36" s="129"/>
      <c r="GL36" s="129"/>
      <c r="GM36" s="129"/>
      <c r="GN36" s="129"/>
      <c r="GO36" s="129"/>
      <c r="GP36" s="129"/>
      <c r="GQ36" s="129"/>
      <c r="GR36" s="129"/>
      <c r="GS36" s="129"/>
      <c r="GT36" s="129"/>
      <c r="GU36" s="129"/>
      <c r="GV36" s="129"/>
      <c r="GW36" s="129"/>
      <c r="GX36" s="129"/>
      <c r="GY36" s="129"/>
      <c r="GZ36" s="129"/>
      <c r="HG36" s="129"/>
      <c r="HH36" s="129"/>
      <c r="HI36" s="129"/>
      <c r="HJ36" s="129"/>
      <c r="HK36" s="129"/>
      <c r="HL36" s="129"/>
      <c r="HM36" s="129"/>
      <c r="HN36" s="129"/>
      <c r="HO36" s="129"/>
      <c r="HP36" s="129"/>
      <c r="HQ36" s="129"/>
      <c r="HR36" s="129"/>
      <c r="HS36" s="129"/>
      <c r="HT36" s="129"/>
      <c r="HU36" s="129"/>
      <c r="HV36" s="129"/>
      <c r="HW36" s="129"/>
      <c r="HX36" s="129"/>
      <c r="HY36" s="129"/>
      <c r="HZ36" s="129"/>
      <c r="IA36" s="129"/>
      <c r="IB36" s="129"/>
      <c r="IC36" s="129"/>
      <c r="ID36" s="129"/>
      <c r="IE36" s="129"/>
      <c r="IF36" s="129"/>
      <c r="IG36" s="129"/>
      <c r="IH36" s="129"/>
      <c r="II36" s="129"/>
      <c r="IJ36" s="129"/>
      <c r="IK36" s="129"/>
      <c r="IL36" s="129"/>
      <c r="IM36" s="129"/>
      <c r="IN36" s="129"/>
      <c r="IO36" s="129"/>
      <c r="IP36" s="129"/>
      <c r="IQ36" s="129"/>
      <c r="IR36" s="129"/>
      <c r="IS36" s="129"/>
      <c r="IT36" s="129"/>
      <c r="IU36" s="129"/>
      <c r="IV36" s="129"/>
      <c r="IW36" s="129"/>
      <c r="IX36" s="129"/>
      <c r="IY36" s="129"/>
      <c r="IZ36" s="129"/>
      <c r="JA36" s="129"/>
      <c r="JB36" s="129"/>
      <c r="JC36" s="129"/>
      <c r="JD36" s="129"/>
      <c r="JE36" s="129"/>
      <c r="JF36" s="129"/>
      <c r="JG36" s="129"/>
      <c r="JH36" s="129"/>
      <c r="JI36" s="129"/>
      <c r="JJ36" s="129"/>
      <c r="JK36" s="129"/>
      <c r="JL36" s="129"/>
      <c r="JM36" s="129"/>
      <c r="JN36" s="129"/>
      <c r="JO36" s="129"/>
      <c r="JP36" s="129"/>
      <c r="JQ36" s="129"/>
      <c r="JR36" s="129"/>
      <c r="JS36" s="129"/>
      <c r="JT36" s="129"/>
      <c r="JU36" s="129"/>
      <c r="JV36" s="129"/>
      <c r="JW36" s="129"/>
      <c r="JX36" s="129"/>
      <c r="JY36" s="129"/>
      <c r="JZ36" s="129"/>
      <c r="MA36" s="129"/>
      <c r="MB36" s="129"/>
      <c r="MC36" s="129"/>
      <c r="MD36" s="129"/>
      <c r="ME36" s="129"/>
      <c r="MF36" s="129"/>
      <c r="MG36" s="129"/>
      <c r="MH36" s="129"/>
      <c r="MI36" s="129"/>
      <c r="MJ36" s="129"/>
      <c r="MK36" s="129"/>
      <c r="ML36" s="129"/>
      <c r="MM36" s="129"/>
      <c r="MN36" s="129"/>
      <c r="MO36" s="129"/>
      <c r="MP36" s="129"/>
      <c r="MQ36" s="129"/>
      <c r="MR36" s="129"/>
      <c r="MS36" s="129"/>
      <c r="MT36" s="129"/>
      <c r="MU36" s="129"/>
      <c r="MV36" s="129"/>
      <c r="MW36" s="129"/>
      <c r="MX36" s="129"/>
      <c r="MY36" s="129"/>
      <c r="MZ36" s="129"/>
      <c r="PA36" s="129"/>
      <c r="PB36" s="129"/>
      <c r="PC36" s="129"/>
      <c r="PD36" s="129"/>
      <c r="PE36" s="129"/>
      <c r="PF36" s="129"/>
      <c r="PG36" s="129"/>
      <c r="PH36" s="129"/>
      <c r="PI36" s="129"/>
      <c r="PJ36" s="129"/>
      <c r="PK36" s="129"/>
      <c r="PL36" s="129"/>
      <c r="PM36" s="129"/>
      <c r="PN36" s="129"/>
      <c r="PO36" s="129"/>
      <c r="PP36" s="129"/>
      <c r="PQ36" s="129"/>
      <c r="PR36" s="129"/>
      <c r="PS36" s="129"/>
      <c r="PT36" s="129"/>
      <c r="PU36" s="129"/>
      <c r="PV36" s="129"/>
      <c r="PW36" s="129"/>
      <c r="PX36" s="129"/>
      <c r="PY36" s="129"/>
      <c r="PZ36" s="129"/>
    </row>
    <row r="37" spans="2:442" ht="14.4">
      <c r="B37" s="1077" t="s">
        <v>5784</v>
      </c>
      <c r="C37"/>
      <c r="AB37" s="129" t="s">
        <v>5491</v>
      </c>
      <c r="AG37" s="378"/>
      <c r="AH37" s="378"/>
      <c r="AI37" s="378"/>
      <c r="AJ37" s="378"/>
      <c r="AK37" s="378"/>
      <c r="AL37" s="378"/>
      <c r="AM37" s="378"/>
      <c r="AN37" s="378"/>
      <c r="AO37" s="378"/>
      <c r="AP37" s="378"/>
      <c r="AQ37" s="378"/>
      <c r="AR37" s="378"/>
      <c r="AS37" s="378"/>
      <c r="AT37" s="378"/>
      <c r="AU37" s="378"/>
      <c r="AV37" s="378"/>
      <c r="AW37" s="378"/>
      <c r="AX37" s="378"/>
      <c r="EF37" s="378"/>
      <c r="EG37" s="378"/>
      <c r="EH37" s="378"/>
      <c r="EI37" s="378"/>
      <c r="EJ37" s="378"/>
      <c r="EK37" s="378"/>
      <c r="EL37" s="378"/>
      <c r="EM37" s="378"/>
      <c r="EN37" s="378"/>
      <c r="EO37" s="378"/>
      <c r="EP37" s="378"/>
      <c r="EQ37" s="378"/>
      <c r="ER37" s="378"/>
      <c r="ES37" s="378"/>
      <c r="ET37" s="378"/>
      <c r="EU37" s="378"/>
      <c r="EV37" s="378"/>
      <c r="EW37" s="378"/>
      <c r="EX37" s="378"/>
      <c r="EZ37" s="129"/>
      <c r="FA37" s="129"/>
      <c r="FB37" s="129"/>
      <c r="FC37" s="129"/>
      <c r="FD37" s="129"/>
      <c r="FE37" s="129"/>
      <c r="FF37" s="129"/>
      <c r="FG37" s="129"/>
      <c r="FH37" s="129"/>
      <c r="FI37" s="129"/>
      <c r="FJ37" s="129"/>
      <c r="FK37" s="129"/>
      <c r="FL37" s="129"/>
      <c r="FM37" s="129"/>
      <c r="FN37" s="129"/>
      <c r="FO37" s="129"/>
      <c r="FP37" s="129"/>
      <c r="FQ37" s="129"/>
      <c r="FR37" s="129"/>
      <c r="FS37" s="129"/>
      <c r="FT37" s="129"/>
      <c r="FU37" s="129"/>
      <c r="FV37" s="129"/>
      <c r="FW37" s="129"/>
      <c r="FX37" s="129"/>
      <c r="FY37" s="129"/>
      <c r="FZ37" s="129"/>
      <c r="GA37" s="129"/>
      <c r="GB37" s="129"/>
      <c r="GC37" s="129"/>
      <c r="GD37" s="129"/>
      <c r="GE37" s="129"/>
      <c r="GF37" s="129"/>
      <c r="GG37" s="129"/>
      <c r="GH37" s="129"/>
      <c r="GI37" s="129"/>
      <c r="GJ37" s="129"/>
      <c r="GK37" s="129"/>
      <c r="GL37" s="129"/>
      <c r="GM37" s="129"/>
      <c r="GN37" s="129"/>
      <c r="GO37" s="129"/>
      <c r="GP37" s="129"/>
      <c r="GQ37" s="129"/>
      <c r="GR37" s="129"/>
      <c r="GS37" s="129"/>
      <c r="GT37" s="129"/>
      <c r="GU37" s="129"/>
      <c r="GV37" s="129"/>
      <c r="GW37" s="129"/>
      <c r="GX37" s="129"/>
      <c r="GY37" s="129"/>
      <c r="GZ37" s="129"/>
      <c r="HG37" s="129"/>
      <c r="HH37" s="129"/>
      <c r="HI37" s="129"/>
      <c r="HJ37" s="129"/>
      <c r="HK37" s="129"/>
      <c r="HL37" s="129"/>
      <c r="HM37" s="129"/>
      <c r="HN37" s="129"/>
      <c r="HO37" s="129"/>
      <c r="HP37" s="129"/>
      <c r="HQ37" s="129"/>
      <c r="HR37" s="129"/>
      <c r="HS37" s="129"/>
      <c r="HT37" s="129"/>
      <c r="HU37" s="129"/>
      <c r="HV37" s="129"/>
      <c r="HW37" s="129"/>
      <c r="HX37" s="129"/>
      <c r="HY37" s="129"/>
      <c r="HZ37" s="129"/>
      <c r="IA37" s="129"/>
      <c r="IB37" s="129"/>
      <c r="IC37" s="129"/>
      <c r="ID37" s="129"/>
      <c r="IE37" s="129"/>
      <c r="IF37" s="129"/>
      <c r="IG37" s="129"/>
      <c r="IH37" s="129"/>
      <c r="II37" s="129"/>
      <c r="IJ37" s="129"/>
      <c r="IK37" s="129"/>
      <c r="IL37" s="129"/>
      <c r="IM37" s="129"/>
      <c r="IN37" s="129"/>
      <c r="IO37" s="129"/>
      <c r="IP37" s="129"/>
      <c r="IQ37" s="129"/>
      <c r="IR37" s="129"/>
      <c r="IS37" s="129"/>
      <c r="IT37" s="129"/>
      <c r="IU37" s="129"/>
      <c r="IV37" s="129"/>
      <c r="IW37" s="129"/>
      <c r="IX37" s="129"/>
      <c r="IY37" s="129"/>
      <c r="IZ37" s="129"/>
      <c r="JA37" s="129"/>
      <c r="JB37" s="129"/>
      <c r="JC37" s="129"/>
      <c r="JD37" s="129"/>
      <c r="JE37" s="129"/>
      <c r="JF37" s="129"/>
      <c r="JG37" s="129"/>
      <c r="JH37" s="129"/>
      <c r="JI37" s="129"/>
      <c r="JJ37" s="129"/>
      <c r="JK37" s="129"/>
      <c r="JL37" s="129"/>
      <c r="JM37" s="129"/>
      <c r="JN37" s="129"/>
      <c r="JO37" s="129"/>
      <c r="JP37" s="129"/>
      <c r="JQ37" s="129"/>
      <c r="JR37" s="129"/>
      <c r="JS37" s="129"/>
      <c r="JT37" s="129"/>
      <c r="JU37" s="129"/>
      <c r="JV37" s="129"/>
      <c r="JW37" s="129"/>
      <c r="JX37" s="129"/>
      <c r="JY37" s="129"/>
      <c r="JZ37" s="129"/>
      <c r="MA37" s="129"/>
      <c r="MB37" s="129"/>
      <c r="MC37" s="129"/>
      <c r="MD37" s="129"/>
      <c r="ME37" s="129"/>
      <c r="MF37" s="129"/>
      <c r="MG37" s="129"/>
      <c r="MH37" s="129"/>
      <c r="MI37" s="129"/>
      <c r="MJ37" s="129"/>
      <c r="MK37" s="129"/>
      <c r="ML37" s="129"/>
      <c r="MM37" s="129"/>
      <c r="MN37" s="129"/>
      <c r="MO37" s="129"/>
      <c r="MP37" s="129"/>
      <c r="MQ37" s="129"/>
      <c r="MR37" s="129"/>
      <c r="MS37" s="129"/>
      <c r="MT37" s="129"/>
      <c r="MU37" s="129"/>
      <c r="MV37" s="129"/>
      <c r="MW37" s="129"/>
      <c r="MX37" s="129"/>
      <c r="MY37" s="129"/>
      <c r="MZ37" s="129"/>
      <c r="PA37" s="129"/>
      <c r="PB37" s="129"/>
      <c r="PC37" s="129"/>
      <c r="PD37" s="129"/>
      <c r="PE37" s="129"/>
      <c r="PF37" s="129"/>
      <c r="PG37" s="129"/>
      <c r="PH37" s="129"/>
      <c r="PI37" s="129"/>
      <c r="PJ37" s="129"/>
      <c r="PK37" s="129"/>
      <c r="PL37" s="129"/>
      <c r="PM37" s="129"/>
      <c r="PN37" s="129"/>
      <c r="PO37" s="129"/>
      <c r="PP37" s="129"/>
      <c r="PQ37" s="129"/>
      <c r="PR37" s="129"/>
      <c r="PS37" s="129"/>
      <c r="PT37" s="129"/>
      <c r="PU37" s="129"/>
      <c r="PV37" s="129"/>
      <c r="PW37" s="129"/>
      <c r="PX37" s="129"/>
      <c r="PY37" s="129"/>
      <c r="PZ37" s="129"/>
    </row>
    <row r="38" spans="2:442" ht="21" customHeight="1">
      <c r="B38" s="7" t="s">
        <v>5678</v>
      </c>
      <c r="C38"/>
      <c r="AG38" s="378"/>
      <c r="AH38" s="378"/>
      <c r="AI38" s="378"/>
      <c r="AJ38" s="378"/>
      <c r="AK38" s="378"/>
      <c r="AL38" s="378"/>
      <c r="AM38" s="378"/>
      <c r="AN38" s="378"/>
      <c r="AO38" s="378"/>
      <c r="AP38" s="378"/>
      <c r="AQ38" s="378"/>
      <c r="AR38" s="378"/>
      <c r="AS38" s="378"/>
      <c r="AT38" s="378"/>
      <c r="AU38" s="378"/>
      <c r="AV38" s="378"/>
      <c r="AW38" s="378"/>
      <c r="AX38" s="378"/>
      <c r="EF38" s="378"/>
      <c r="EG38" s="378"/>
      <c r="EH38" s="378"/>
      <c r="EI38" s="378"/>
      <c r="EJ38" s="378"/>
      <c r="EK38" s="378"/>
      <c r="EL38" s="378"/>
      <c r="EM38" s="378"/>
      <c r="EN38" s="378"/>
      <c r="EO38" s="378"/>
      <c r="EP38" s="378"/>
      <c r="EQ38" s="378"/>
      <c r="ER38" s="378"/>
      <c r="ES38" s="378"/>
      <c r="ET38" s="378"/>
      <c r="EU38" s="378"/>
      <c r="EV38" s="378"/>
      <c r="EW38" s="378"/>
      <c r="EX38" s="378"/>
      <c r="EZ38" s="129"/>
      <c r="FA38" s="129"/>
      <c r="FB38" s="129"/>
      <c r="FC38" s="129"/>
      <c r="FD38" s="129"/>
      <c r="FE38" s="129"/>
      <c r="FF38" s="129"/>
      <c r="FG38" s="129"/>
      <c r="FH38" s="129"/>
      <c r="FI38" s="129"/>
      <c r="FJ38" s="129"/>
      <c r="FK38" s="129"/>
      <c r="FL38" s="129"/>
      <c r="FM38" s="129"/>
      <c r="FN38" s="129"/>
      <c r="FO38" s="129"/>
      <c r="FP38" s="129"/>
      <c r="FQ38" s="129"/>
      <c r="FR38" s="129"/>
      <c r="FS38" s="129"/>
      <c r="FT38" s="129"/>
      <c r="FU38" s="129"/>
      <c r="FV38" s="129"/>
      <c r="FW38" s="129"/>
      <c r="FX38" s="129"/>
      <c r="FY38" s="129"/>
      <c r="FZ38" s="129"/>
      <c r="GA38" s="129"/>
      <c r="GB38" s="129"/>
      <c r="GC38" s="129"/>
      <c r="GD38" s="129"/>
      <c r="GE38" s="129"/>
      <c r="GF38" s="129"/>
      <c r="GG38" s="129"/>
      <c r="GH38" s="129"/>
      <c r="GI38" s="129"/>
      <c r="GJ38" s="129"/>
      <c r="GK38" s="129"/>
      <c r="GL38" s="129"/>
      <c r="GM38" s="129"/>
      <c r="GN38" s="129"/>
      <c r="GO38" s="129"/>
      <c r="GP38" s="129"/>
      <c r="GQ38" s="129"/>
      <c r="GR38" s="129"/>
      <c r="GS38" s="129"/>
      <c r="GT38" s="129"/>
      <c r="GU38" s="129"/>
      <c r="GV38" s="129"/>
      <c r="GW38" s="129"/>
      <c r="GX38" s="129"/>
      <c r="GY38" s="129"/>
      <c r="GZ38" s="129"/>
      <c r="HG38" s="129"/>
      <c r="HH38" s="129"/>
      <c r="HI38" s="129"/>
      <c r="HJ38" s="129"/>
      <c r="HK38" s="129"/>
      <c r="HL38" s="129"/>
      <c r="HM38" s="129"/>
      <c r="HN38" s="129"/>
      <c r="HO38" s="129"/>
      <c r="HP38" s="129"/>
      <c r="HQ38" s="129"/>
      <c r="HR38" s="129"/>
      <c r="HS38" s="129"/>
      <c r="HT38" s="129"/>
      <c r="HU38" s="129"/>
      <c r="HV38" s="129"/>
      <c r="HW38" s="129"/>
      <c r="HX38" s="129"/>
      <c r="HY38" s="129"/>
      <c r="HZ38" s="129"/>
      <c r="IA38" s="129"/>
      <c r="IB38" s="129"/>
      <c r="IC38" s="129"/>
      <c r="ID38" s="129"/>
      <c r="IE38" s="129"/>
      <c r="IF38" s="129"/>
      <c r="IG38" s="129"/>
      <c r="IH38" s="129"/>
      <c r="II38" s="129"/>
      <c r="IJ38" s="129"/>
      <c r="IK38" s="129"/>
      <c r="IL38" s="129"/>
      <c r="IM38" s="129"/>
      <c r="IN38" s="129"/>
      <c r="IO38" s="129"/>
      <c r="IP38" s="129"/>
      <c r="IQ38" s="129"/>
      <c r="IR38" s="129"/>
      <c r="IS38" s="129"/>
      <c r="IT38" s="129"/>
      <c r="IU38" s="129"/>
      <c r="IV38" s="129"/>
      <c r="IW38" s="129"/>
      <c r="IX38" s="129"/>
      <c r="IY38" s="129"/>
      <c r="IZ38" s="129"/>
      <c r="JA38" s="129"/>
      <c r="JB38" s="129"/>
      <c r="JC38" s="129"/>
      <c r="JD38" s="129"/>
      <c r="JE38" s="129"/>
      <c r="JF38" s="129"/>
      <c r="JG38" s="129"/>
      <c r="JH38" s="129"/>
      <c r="JI38" s="129"/>
      <c r="JJ38" s="129"/>
      <c r="JK38" s="129"/>
      <c r="JL38" s="129"/>
      <c r="JM38" s="129"/>
      <c r="JN38" s="129"/>
      <c r="JO38" s="129"/>
      <c r="JP38" s="129"/>
      <c r="JQ38" s="129"/>
      <c r="JR38" s="129"/>
      <c r="JS38" s="129"/>
      <c r="JT38" s="129"/>
      <c r="JU38" s="129"/>
      <c r="JV38" s="129"/>
      <c r="JW38" s="129"/>
      <c r="JX38" s="129"/>
      <c r="JY38" s="129"/>
      <c r="JZ38" s="129"/>
      <c r="MA38" s="129"/>
      <c r="MB38" s="129"/>
      <c r="MC38" s="129"/>
      <c r="MD38" s="129"/>
      <c r="ME38" s="129"/>
      <c r="MF38" s="129"/>
      <c r="MG38" s="129"/>
      <c r="MH38" s="129"/>
      <c r="MI38" s="129"/>
      <c r="MJ38" s="129"/>
      <c r="MK38" s="129"/>
      <c r="ML38" s="129"/>
      <c r="MM38" s="129"/>
      <c r="MN38" s="129"/>
      <c r="MO38" s="129"/>
      <c r="MP38" s="129"/>
      <c r="MQ38" s="129"/>
      <c r="MR38" s="129"/>
      <c r="MS38" s="129"/>
      <c r="MT38" s="129"/>
      <c r="MU38" s="129"/>
      <c r="MV38" s="129"/>
      <c r="MW38" s="129"/>
      <c r="MX38" s="129"/>
      <c r="MY38" s="129"/>
      <c r="MZ38" s="129"/>
      <c r="PA38" s="129"/>
      <c r="PB38" s="129"/>
      <c r="PC38" s="129"/>
      <c r="PD38" s="129"/>
      <c r="PE38" s="129"/>
      <c r="PF38" s="129"/>
      <c r="PG38" s="129"/>
      <c r="PH38" s="129"/>
      <c r="PI38" s="129"/>
      <c r="PJ38" s="129"/>
      <c r="PK38" s="129"/>
      <c r="PL38" s="129"/>
      <c r="PM38" s="129"/>
      <c r="PN38" s="129"/>
      <c r="PO38" s="129"/>
      <c r="PP38" s="129"/>
      <c r="PQ38" s="129"/>
      <c r="PR38" s="129"/>
      <c r="PS38" s="129"/>
      <c r="PT38" s="129"/>
      <c r="PU38" s="129"/>
      <c r="PV38" s="129"/>
      <c r="PW38" s="129"/>
      <c r="PX38" s="129"/>
      <c r="PY38" s="129"/>
      <c r="PZ38" s="129"/>
    </row>
    <row r="39" spans="2:442" ht="15.6" customHeight="1">
      <c r="B39" s="7" t="s">
        <v>5676</v>
      </c>
      <c r="C39"/>
      <c r="AG39" s="378"/>
      <c r="AH39" s="378"/>
      <c r="AI39" s="378"/>
      <c r="AJ39" s="378"/>
      <c r="AK39" s="378"/>
      <c r="AL39" s="378"/>
      <c r="AM39" s="378"/>
      <c r="AN39" s="378"/>
      <c r="AO39" s="378"/>
      <c r="AP39" s="378"/>
      <c r="AQ39" s="378"/>
      <c r="AR39" s="378"/>
      <c r="AS39" s="378"/>
      <c r="AT39" s="378"/>
      <c r="AU39" s="378"/>
      <c r="AV39" s="378"/>
      <c r="AW39" s="378"/>
      <c r="AX39" s="378"/>
      <c r="EF39" s="378"/>
      <c r="EG39" s="378"/>
      <c r="EH39" s="378"/>
      <c r="EI39" s="378"/>
      <c r="EJ39" s="378"/>
      <c r="EK39" s="378"/>
      <c r="EL39" s="378"/>
      <c r="EM39" s="378"/>
      <c r="EN39" s="378"/>
      <c r="EO39" s="378"/>
      <c r="EP39" s="378"/>
      <c r="EQ39" s="378"/>
      <c r="ER39" s="378"/>
      <c r="ES39" s="378"/>
      <c r="ET39" s="378"/>
      <c r="EU39" s="378"/>
      <c r="EV39" s="378"/>
      <c r="EW39" s="378"/>
      <c r="EX39" s="378"/>
      <c r="EZ39" s="129"/>
      <c r="FA39" s="129"/>
      <c r="FB39" s="129"/>
      <c r="FC39" s="129"/>
      <c r="FD39" s="129"/>
      <c r="FE39" s="129"/>
      <c r="FF39" s="129"/>
      <c r="FG39" s="129"/>
      <c r="FH39" s="129"/>
      <c r="FI39" s="129"/>
      <c r="FJ39" s="129"/>
      <c r="FK39" s="129"/>
      <c r="FL39" s="129"/>
      <c r="FM39" s="129"/>
      <c r="FN39" s="129"/>
      <c r="FO39" s="129"/>
      <c r="FP39" s="129"/>
      <c r="FQ39" s="129"/>
      <c r="FR39" s="129"/>
      <c r="FS39" s="129"/>
      <c r="FT39" s="129"/>
      <c r="FU39" s="129"/>
      <c r="FV39" s="129"/>
      <c r="FW39" s="129"/>
      <c r="FX39" s="129"/>
      <c r="FY39" s="129"/>
      <c r="FZ39" s="129"/>
      <c r="GA39" s="129"/>
      <c r="GB39" s="129"/>
      <c r="GC39" s="129"/>
      <c r="GD39" s="129"/>
      <c r="GE39" s="129"/>
      <c r="GF39" s="129"/>
      <c r="GG39" s="129"/>
      <c r="GH39" s="129"/>
      <c r="GI39" s="129"/>
      <c r="GJ39" s="129"/>
      <c r="GK39" s="129"/>
      <c r="GL39" s="129"/>
      <c r="GM39" s="129"/>
      <c r="GN39" s="129"/>
      <c r="GO39" s="129"/>
      <c r="GP39" s="129"/>
      <c r="GQ39" s="129"/>
      <c r="GR39" s="129"/>
      <c r="GS39" s="129"/>
      <c r="GT39" s="129"/>
      <c r="GU39" s="129"/>
      <c r="GV39" s="129"/>
      <c r="GW39" s="129"/>
      <c r="GX39" s="129"/>
      <c r="GY39" s="129"/>
      <c r="GZ39" s="129"/>
      <c r="HG39" s="129"/>
      <c r="HH39" s="129"/>
      <c r="HI39" s="129"/>
      <c r="HJ39" s="129"/>
      <c r="HK39" s="129"/>
      <c r="HL39" s="129"/>
      <c r="HM39" s="129"/>
      <c r="HN39" s="129"/>
      <c r="HO39" s="129"/>
      <c r="HP39" s="129"/>
      <c r="HQ39" s="129"/>
      <c r="HR39" s="129"/>
      <c r="HS39" s="129"/>
      <c r="HT39" s="129"/>
      <c r="HU39" s="129"/>
      <c r="HV39" s="129"/>
      <c r="HW39" s="129"/>
      <c r="HX39" s="129"/>
      <c r="HY39" s="129"/>
      <c r="HZ39" s="129"/>
      <c r="IA39" s="129"/>
      <c r="IB39" s="129"/>
      <c r="IC39" s="129"/>
      <c r="ID39" s="129"/>
      <c r="IE39" s="129"/>
      <c r="IF39" s="129"/>
      <c r="IG39" s="129"/>
      <c r="IH39" s="129"/>
      <c r="II39" s="129"/>
      <c r="IJ39" s="129"/>
      <c r="IK39" s="129"/>
      <c r="IL39" s="129"/>
      <c r="IM39" s="129"/>
      <c r="IN39" s="129"/>
      <c r="IO39" s="129"/>
      <c r="IP39" s="129"/>
      <c r="IQ39" s="129"/>
      <c r="IR39" s="129"/>
      <c r="IS39" s="129"/>
      <c r="IT39" s="129"/>
      <c r="IU39" s="129"/>
      <c r="IV39" s="129"/>
      <c r="IW39" s="129"/>
      <c r="IX39" s="129"/>
      <c r="IY39" s="129"/>
      <c r="IZ39" s="129"/>
      <c r="JA39" s="129"/>
      <c r="JB39" s="129"/>
      <c r="JC39" s="129"/>
      <c r="JD39" s="129"/>
      <c r="JE39" s="129"/>
      <c r="JF39" s="129"/>
      <c r="JG39" s="129"/>
      <c r="JH39" s="129"/>
      <c r="JI39" s="129"/>
      <c r="JJ39" s="129"/>
      <c r="JK39" s="129"/>
      <c r="JL39" s="129"/>
      <c r="JM39" s="129"/>
      <c r="JN39" s="129"/>
      <c r="JO39" s="129"/>
      <c r="JP39" s="129"/>
      <c r="JQ39" s="129"/>
      <c r="JR39" s="129"/>
      <c r="JS39" s="129"/>
      <c r="JT39" s="129"/>
      <c r="JU39" s="129"/>
      <c r="JV39" s="129"/>
      <c r="JW39" s="129"/>
      <c r="JX39" s="129"/>
      <c r="JY39" s="129"/>
      <c r="JZ39" s="129"/>
      <c r="MA39" s="129"/>
      <c r="MB39" s="129"/>
      <c r="MC39" s="129"/>
      <c r="MD39" s="129"/>
      <c r="ME39" s="129"/>
      <c r="MF39" s="129"/>
      <c r="MG39" s="129"/>
      <c r="MH39" s="129"/>
      <c r="MI39" s="129"/>
      <c r="MJ39" s="129"/>
      <c r="MK39" s="129"/>
      <c r="ML39" s="129"/>
      <c r="MM39" s="129"/>
      <c r="MN39" s="129"/>
      <c r="MO39" s="129"/>
      <c r="MP39" s="129"/>
      <c r="MQ39" s="129"/>
      <c r="MR39" s="129"/>
      <c r="MS39" s="129"/>
      <c r="MT39" s="129"/>
      <c r="MU39" s="129"/>
      <c r="MV39" s="129"/>
      <c r="MW39" s="129"/>
      <c r="MX39" s="129"/>
      <c r="MY39" s="129"/>
      <c r="MZ39" s="129"/>
      <c r="PA39" s="129"/>
      <c r="PB39" s="129"/>
      <c r="PC39" s="129"/>
      <c r="PD39" s="129"/>
      <c r="PE39" s="129"/>
      <c r="PF39" s="129"/>
      <c r="PG39" s="129"/>
      <c r="PH39" s="129"/>
      <c r="PI39" s="129"/>
      <c r="PJ39" s="129"/>
      <c r="PK39" s="129"/>
      <c r="PL39" s="129"/>
      <c r="PM39" s="129"/>
      <c r="PN39" s="129"/>
      <c r="PO39" s="129"/>
      <c r="PP39" s="129"/>
      <c r="PQ39" s="129"/>
      <c r="PR39" s="129"/>
      <c r="PS39" s="129"/>
      <c r="PT39" s="129"/>
      <c r="PU39" s="129"/>
      <c r="PV39" s="129"/>
      <c r="PW39" s="129"/>
      <c r="PX39" s="129"/>
      <c r="PY39" s="129"/>
      <c r="PZ39" s="129"/>
    </row>
    <row r="40" spans="2:442" ht="15.6" customHeight="1">
      <c r="B40"/>
      <c r="C40"/>
      <c r="AG40" s="378"/>
      <c r="AH40" s="378"/>
      <c r="AI40" s="378"/>
      <c r="AJ40" s="378"/>
      <c r="AK40" s="378"/>
      <c r="AL40" s="378"/>
      <c r="AM40" s="378"/>
      <c r="AN40" s="378"/>
      <c r="AO40" s="378"/>
      <c r="AP40" s="378"/>
      <c r="AQ40" s="378"/>
      <c r="AR40" s="378"/>
      <c r="AS40" s="378"/>
      <c r="AT40" s="378"/>
      <c r="AU40" s="378"/>
      <c r="AV40" s="378"/>
      <c r="AW40" s="378"/>
      <c r="AX40" s="378"/>
      <c r="EF40" s="378"/>
      <c r="EG40" s="378"/>
      <c r="EH40" s="378"/>
      <c r="EI40" s="378"/>
      <c r="EJ40" s="378"/>
      <c r="EK40" s="378"/>
      <c r="EL40" s="378"/>
      <c r="EM40" s="378"/>
      <c r="EN40" s="378"/>
      <c r="EO40" s="378"/>
      <c r="EP40" s="378"/>
      <c r="EQ40" s="378"/>
      <c r="ER40" s="378"/>
      <c r="ES40" s="378"/>
      <c r="ET40" s="378"/>
      <c r="EU40" s="378"/>
      <c r="EV40" s="378"/>
      <c r="EW40" s="378"/>
      <c r="EX40" s="378"/>
      <c r="EZ40" s="129"/>
      <c r="FA40" s="129"/>
      <c r="FB40" s="129"/>
      <c r="FC40" s="129"/>
      <c r="FD40" s="129"/>
      <c r="FE40" s="129"/>
      <c r="FF40" s="129"/>
      <c r="FG40" s="129"/>
      <c r="FH40" s="129"/>
      <c r="FI40" s="129"/>
      <c r="FJ40" s="129"/>
      <c r="FK40" s="129"/>
      <c r="FL40" s="129"/>
      <c r="FM40" s="129"/>
      <c r="FN40" s="129"/>
      <c r="FO40" s="129"/>
      <c r="FP40" s="129"/>
      <c r="FQ40" s="129"/>
      <c r="FR40" s="129"/>
      <c r="FS40" s="129"/>
      <c r="FT40" s="129"/>
      <c r="FU40" s="129"/>
      <c r="FV40" s="129"/>
      <c r="FW40" s="129"/>
      <c r="FX40" s="129"/>
      <c r="FY40" s="129"/>
      <c r="FZ40" s="129"/>
      <c r="GA40" s="129"/>
      <c r="GB40" s="129"/>
      <c r="GC40" s="129"/>
      <c r="GD40" s="129"/>
      <c r="GE40" s="129"/>
      <c r="GF40" s="129"/>
      <c r="GG40" s="129"/>
      <c r="GH40" s="129"/>
      <c r="GI40" s="129"/>
      <c r="GJ40" s="129"/>
      <c r="GK40" s="129"/>
      <c r="GL40" s="129"/>
      <c r="GM40" s="129"/>
      <c r="GN40" s="129"/>
      <c r="GO40" s="129"/>
      <c r="GP40" s="129"/>
      <c r="GQ40" s="129"/>
      <c r="GR40" s="129"/>
      <c r="GS40" s="129"/>
      <c r="GT40" s="129"/>
      <c r="GU40" s="129"/>
      <c r="GV40" s="129"/>
      <c r="GW40" s="129"/>
      <c r="GX40" s="129"/>
      <c r="GY40" s="129"/>
      <c r="GZ40" s="129"/>
      <c r="HG40" s="129"/>
      <c r="HH40" s="129"/>
      <c r="HI40" s="129"/>
      <c r="HJ40" s="129"/>
      <c r="HK40" s="129"/>
      <c r="HL40" s="129"/>
      <c r="HM40" s="129"/>
      <c r="HN40" s="129"/>
      <c r="HO40" s="129"/>
      <c r="HP40" s="129"/>
      <c r="HQ40" s="129"/>
      <c r="HR40" s="129"/>
      <c r="HS40" s="129"/>
      <c r="HT40" s="129"/>
      <c r="HU40" s="129"/>
      <c r="HV40" s="129"/>
      <c r="HW40" s="129"/>
      <c r="HX40" s="129"/>
      <c r="HY40" s="129"/>
      <c r="HZ40" s="129"/>
      <c r="IA40" s="129"/>
      <c r="IB40" s="129"/>
      <c r="IC40" s="129"/>
      <c r="ID40" s="129"/>
      <c r="IE40" s="129"/>
      <c r="IF40" s="129"/>
      <c r="IG40" s="129"/>
      <c r="IH40" s="129"/>
      <c r="II40" s="129"/>
      <c r="IJ40" s="129"/>
      <c r="IK40" s="129"/>
      <c r="IL40" s="129"/>
      <c r="IM40" s="129"/>
      <c r="IN40" s="129"/>
      <c r="IO40" s="129"/>
      <c r="IP40" s="129"/>
      <c r="IQ40" s="129"/>
      <c r="IR40" s="129"/>
      <c r="IS40" s="129"/>
      <c r="IT40" s="129"/>
      <c r="IU40" s="129"/>
      <c r="IV40" s="129"/>
      <c r="IW40" s="129"/>
      <c r="IX40" s="129"/>
      <c r="IY40" s="129"/>
      <c r="IZ40" s="129"/>
      <c r="JA40" s="129"/>
      <c r="JB40" s="129"/>
      <c r="JC40" s="129"/>
      <c r="JD40" s="129"/>
      <c r="JE40" s="129"/>
      <c r="JF40" s="129"/>
      <c r="JG40" s="129"/>
      <c r="JH40" s="129"/>
      <c r="JI40" s="129"/>
      <c r="JJ40" s="129"/>
      <c r="JK40" s="129"/>
      <c r="JL40" s="129"/>
      <c r="JM40" s="129"/>
      <c r="JN40" s="129"/>
      <c r="JO40" s="129"/>
      <c r="JP40" s="129"/>
      <c r="JQ40" s="129"/>
      <c r="JR40" s="129"/>
      <c r="JS40" s="129"/>
      <c r="JT40" s="129"/>
      <c r="JU40" s="129"/>
      <c r="JV40" s="129"/>
      <c r="JW40" s="129"/>
      <c r="JX40" s="129"/>
      <c r="JY40" s="129"/>
      <c r="JZ40" s="129"/>
      <c r="MA40" s="129"/>
      <c r="MB40" s="129"/>
      <c r="MC40" s="129"/>
      <c r="MD40" s="129"/>
      <c r="ME40" s="129"/>
      <c r="MF40" s="129"/>
      <c r="MG40" s="129"/>
      <c r="MH40" s="129"/>
      <c r="MI40" s="129"/>
      <c r="MJ40" s="129"/>
      <c r="MK40" s="129"/>
      <c r="ML40" s="129"/>
      <c r="MM40" s="129"/>
      <c r="MN40" s="129"/>
      <c r="MO40" s="129"/>
      <c r="MP40" s="129"/>
      <c r="MQ40" s="129"/>
      <c r="MR40" s="129"/>
      <c r="MS40" s="129"/>
      <c r="MT40" s="129"/>
      <c r="MU40" s="129"/>
      <c r="MV40" s="129"/>
      <c r="MW40" s="129"/>
      <c r="MX40" s="129"/>
      <c r="MY40" s="129"/>
      <c r="MZ40" s="129"/>
      <c r="PA40" s="129"/>
      <c r="PB40" s="129"/>
      <c r="PC40" s="129"/>
      <c r="PD40" s="129"/>
      <c r="PE40" s="129"/>
      <c r="PF40" s="129"/>
      <c r="PG40" s="129"/>
      <c r="PH40" s="129"/>
      <c r="PI40" s="129"/>
      <c r="PJ40" s="129"/>
      <c r="PK40" s="129"/>
      <c r="PL40" s="129"/>
      <c r="PM40" s="129"/>
      <c r="PN40" s="129"/>
      <c r="PO40" s="129"/>
      <c r="PP40" s="129"/>
      <c r="PQ40" s="129"/>
      <c r="PR40" s="129"/>
      <c r="PS40" s="129"/>
      <c r="PT40" s="129"/>
      <c r="PU40" s="129"/>
      <c r="PV40" s="129"/>
      <c r="PW40" s="129"/>
      <c r="PX40" s="129"/>
      <c r="PY40" s="129"/>
      <c r="PZ40" s="129"/>
    </row>
    <row r="41" spans="2:442" ht="14.4">
      <c r="B41" s="1077" t="s">
        <v>5783</v>
      </c>
      <c r="C41"/>
      <c r="AG41" s="378"/>
      <c r="AH41" s="378"/>
      <c r="AI41" s="378"/>
      <c r="AJ41" s="378"/>
      <c r="AK41" s="378"/>
      <c r="AL41" s="378"/>
      <c r="AM41" s="378"/>
      <c r="AN41" s="378"/>
      <c r="AO41" s="378"/>
      <c r="AP41" s="378"/>
      <c r="AQ41" s="378"/>
      <c r="AR41" s="378"/>
      <c r="AS41" s="378"/>
      <c r="AT41" s="378"/>
      <c r="AU41" s="378"/>
      <c r="AV41" s="378"/>
      <c r="AW41" s="378"/>
      <c r="AX41" s="378"/>
      <c r="EF41" s="378"/>
      <c r="EG41" s="378"/>
      <c r="EH41" s="378"/>
      <c r="EI41" s="378"/>
      <c r="EJ41" s="378"/>
      <c r="EK41" s="378"/>
      <c r="EL41" s="378"/>
      <c r="EM41" s="378"/>
      <c r="EN41" s="378"/>
      <c r="EO41" s="378"/>
      <c r="EP41" s="378"/>
      <c r="EQ41" s="378"/>
      <c r="ER41" s="378"/>
      <c r="ES41" s="378"/>
      <c r="ET41" s="378"/>
      <c r="EU41" s="378"/>
      <c r="EV41" s="378"/>
      <c r="EW41" s="378"/>
      <c r="EX41" s="378"/>
      <c r="EZ41" s="129"/>
      <c r="FA41" s="129"/>
      <c r="FB41" s="129"/>
      <c r="FC41" s="129"/>
      <c r="FD41" s="129"/>
      <c r="FE41" s="129"/>
      <c r="FF41" s="129"/>
      <c r="FG41" s="129"/>
      <c r="FH41" s="129"/>
      <c r="FI41" s="129"/>
      <c r="FJ41" s="129"/>
      <c r="FK41" s="129"/>
      <c r="FL41" s="129"/>
      <c r="FM41" s="129"/>
      <c r="FN41" s="129"/>
      <c r="FO41" s="129"/>
      <c r="FP41" s="129"/>
      <c r="FQ41" s="129"/>
      <c r="FR41" s="129"/>
      <c r="FS41" s="129"/>
      <c r="FT41" s="129"/>
      <c r="FU41" s="129"/>
      <c r="FV41" s="129"/>
      <c r="FW41" s="129"/>
      <c r="FX41" s="129"/>
      <c r="FY41" s="129"/>
      <c r="FZ41" s="129"/>
      <c r="GA41" s="129"/>
      <c r="GB41" s="129"/>
      <c r="GC41" s="129"/>
      <c r="GD41" s="129"/>
      <c r="GE41" s="129"/>
      <c r="GF41" s="129"/>
      <c r="GG41" s="129"/>
      <c r="GH41" s="129"/>
      <c r="GI41" s="129"/>
      <c r="GJ41" s="129"/>
      <c r="GK41" s="129"/>
      <c r="GL41" s="129"/>
      <c r="GM41" s="129"/>
      <c r="GN41" s="129"/>
      <c r="GO41" s="129"/>
      <c r="GP41" s="129"/>
      <c r="GQ41" s="129"/>
      <c r="GR41" s="129"/>
      <c r="GS41" s="129"/>
      <c r="GT41" s="129"/>
      <c r="GU41" s="129"/>
      <c r="GV41" s="129"/>
      <c r="GW41" s="129"/>
      <c r="GX41" s="129"/>
      <c r="GY41" s="129"/>
      <c r="GZ41" s="129"/>
      <c r="HG41" s="129"/>
      <c r="HH41" s="129"/>
      <c r="HI41" s="129"/>
      <c r="HJ41" s="129"/>
      <c r="HK41" s="129"/>
      <c r="HL41" s="129"/>
      <c r="HM41" s="129"/>
      <c r="HN41" s="129"/>
      <c r="HO41" s="129"/>
      <c r="HP41" s="129"/>
      <c r="HQ41" s="129"/>
      <c r="HR41" s="129"/>
      <c r="HS41" s="129"/>
      <c r="HT41" s="129"/>
      <c r="HU41" s="129"/>
      <c r="HV41" s="129"/>
      <c r="HW41" s="129"/>
      <c r="HX41" s="129"/>
      <c r="HY41" s="129"/>
      <c r="HZ41" s="129"/>
      <c r="IA41" s="129"/>
      <c r="IB41" s="129"/>
      <c r="IC41" s="129"/>
      <c r="ID41" s="129"/>
      <c r="IE41" s="129"/>
      <c r="IF41" s="129"/>
      <c r="IG41" s="129"/>
      <c r="IH41" s="129"/>
      <c r="II41" s="129"/>
      <c r="IJ41" s="129"/>
      <c r="IK41" s="129"/>
      <c r="IL41" s="129"/>
      <c r="IM41" s="129"/>
      <c r="IN41" s="129"/>
      <c r="IO41" s="129"/>
      <c r="IP41" s="129"/>
      <c r="IQ41" s="129"/>
      <c r="IR41" s="129"/>
      <c r="IS41" s="129"/>
      <c r="IT41" s="129"/>
      <c r="IU41" s="129"/>
      <c r="IV41" s="129"/>
      <c r="IW41" s="129"/>
      <c r="IX41" s="129"/>
      <c r="IY41" s="129"/>
      <c r="IZ41" s="129"/>
      <c r="JA41" s="129"/>
      <c r="JB41" s="129"/>
      <c r="JC41" s="129"/>
      <c r="JD41" s="129"/>
      <c r="JE41" s="129"/>
      <c r="JF41" s="129"/>
      <c r="JG41" s="129"/>
      <c r="JH41" s="129"/>
      <c r="JI41" s="129"/>
      <c r="JJ41" s="129"/>
      <c r="JK41" s="129"/>
      <c r="JL41" s="129"/>
      <c r="JM41" s="129"/>
      <c r="JN41" s="129"/>
      <c r="JO41" s="129"/>
      <c r="JP41" s="129"/>
      <c r="JQ41" s="129"/>
      <c r="JR41" s="129"/>
      <c r="JS41" s="129"/>
      <c r="JT41" s="129"/>
      <c r="JU41" s="129"/>
      <c r="JV41" s="129"/>
      <c r="JW41" s="129"/>
      <c r="JX41" s="129"/>
      <c r="JY41" s="129"/>
      <c r="JZ41" s="129"/>
      <c r="MA41" s="129"/>
      <c r="MB41" s="129"/>
      <c r="MC41" s="129"/>
      <c r="MD41" s="129"/>
      <c r="ME41" s="129"/>
      <c r="MF41" s="129"/>
      <c r="MG41" s="129"/>
      <c r="MH41" s="129"/>
      <c r="MI41" s="129"/>
      <c r="MJ41" s="129"/>
      <c r="MK41" s="129"/>
      <c r="ML41" s="129"/>
      <c r="MM41" s="129"/>
      <c r="MN41" s="129"/>
      <c r="MO41" s="129"/>
      <c r="MP41" s="129"/>
      <c r="MQ41" s="129"/>
      <c r="MR41" s="129"/>
      <c r="MS41" s="129"/>
      <c r="MT41" s="129"/>
      <c r="MU41" s="129"/>
      <c r="MV41" s="129"/>
      <c r="MW41" s="129"/>
      <c r="MX41" s="129"/>
      <c r="MY41" s="129"/>
      <c r="MZ41" s="129"/>
      <c r="PA41" s="129"/>
      <c r="PB41" s="129"/>
      <c r="PC41" s="129"/>
      <c r="PD41" s="129"/>
      <c r="PE41" s="129"/>
      <c r="PF41" s="129"/>
      <c r="PG41" s="129"/>
      <c r="PH41" s="129"/>
      <c r="PI41" s="129"/>
      <c r="PJ41" s="129"/>
      <c r="PK41" s="129"/>
      <c r="PL41" s="129"/>
      <c r="PM41" s="129"/>
      <c r="PN41" s="129"/>
      <c r="PO41" s="129"/>
      <c r="PP41" s="129"/>
      <c r="PQ41" s="129"/>
      <c r="PR41" s="129"/>
      <c r="PS41" s="129"/>
      <c r="PT41" s="129"/>
      <c r="PU41" s="129"/>
      <c r="PV41" s="129"/>
      <c r="PW41" s="129"/>
      <c r="PX41" s="129"/>
      <c r="PY41" s="129"/>
      <c r="PZ41" s="129"/>
    </row>
    <row r="42" spans="2:442" ht="14.4">
      <c r="B42" s="7" t="s">
        <v>5679</v>
      </c>
      <c r="C42"/>
      <c r="AG42" s="378"/>
      <c r="AH42" s="378"/>
      <c r="AI42" s="378"/>
      <c r="AJ42" s="378"/>
      <c r="AK42" s="378"/>
      <c r="AL42" s="378"/>
      <c r="AM42" s="378"/>
      <c r="AN42" s="378"/>
      <c r="AO42" s="378"/>
      <c r="AP42" s="378"/>
      <c r="AQ42" s="378"/>
      <c r="AR42" s="378"/>
      <c r="AS42" s="378"/>
      <c r="AT42" s="378"/>
      <c r="AU42" s="378"/>
      <c r="AV42" s="378"/>
      <c r="AW42" s="378"/>
      <c r="AX42" s="378"/>
      <c r="EF42" s="378"/>
      <c r="EG42" s="378"/>
      <c r="EH42" s="378"/>
      <c r="EI42" s="378"/>
      <c r="EJ42" s="378"/>
      <c r="EK42" s="378"/>
      <c r="EL42" s="378"/>
      <c r="EM42" s="378"/>
      <c r="EN42" s="378"/>
      <c r="EO42" s="378"/>
      <c r="EP42" s="378"/>
      <c r="EQ42" s="378"/>
      <c r="ER42" s="378"/>
      <c r="ES42" s="378"/>
      <c r="ET42" s="378"/>
      <c r="EU42" s="378"/>
      <c r="EV42" s="378"/>
      <c r="EW42" s="378"/>
      <c r="EX42" s="378"/>
      <c r="EZ42" s="129"/>
      <c r="FA42" s="129"/>
      <c r="FB42" s="129"/>
      <c r="FC42" s="129"/>
      <c r="FD42" s="129"/>
      <c r="FE42" s="129"/>
      <c r="FF42" s="129"/>
      <c r="FG42" s="129"/>
      <c r="FH42" s="129"/>
      <c r="FI42" s="129"/>
      <c r="FJ42" s="129"/>
      <c r="FK42" s="129"/>
      <c r="FL42" s="129"/>
      <c r="FM42" s="129"/>
      <c r="FN42" s="129"/>
      <c r="FO42" s="129"/>
      <c r="FP42" s="129"/>
      <c r="FQ42" s="129"/>
      <c r="FR42" s="129"/>
      <c r="FS42" s="129"/>
      <c r="FT42" s="129"/>
      <c r="FU42" s="129"/>
      <c r="FV42" s="129"/>
      <c r="FW42" s="129"/>
      <c r="FX42" s="129"/>
      <c r="FY42" s="129"/>
      <c r="FZ42" s="129"/>
      <c r="GA42" s="129"/>
      <c r="GB42" s="129"/>
      <c r="GC42" s="129"/>
      <c r="GD42" s="129"/>
      <c r="GE42" s="129"/>
      <c r="GF42" s="129"/>
      <c r="GG42" s="129"/>
      <c r="GH42" s="129"/>
      <c r="GI42" s="129"/>
      <c r="GJ42" s="129"/>
      <c r="GK42" s="129"/>
      <c r="GL42" s="129"/>
      <c r="GM42" s="129"/>
      <c r="GN42" s="129"/>
      <c r="GO42" s="129"/>
      <c r="GP42" s="129"/>
      <c r="GQ42" s="129"/>
      <c r="GR42" s="129"/>
      <c r="GS42" s="129"/>
      <c r="GT42" s="129"/>
      <c r="GU42" s="129"/>
      <c r="GV42" s="129"/>
      <c r="GW42" s="129"/>
      <c r="GX42" s="129"/>
      <c r="GY42" s="129"/>
      <c r="GZ42" s="129"/>
      <c r="HG42" s="129"/>
      <c r="HH42" s="129"/>
      <c r="HI42" s="129"/>
      <c r="HJ42" s="129"/>
      <c r="HK42" s="129"/>
      <c r="HL42" s="129"/>
      <c r="HM42" s="129"/>
      <c r="HN42" s="129"/>
      <c r="HO42" s="129"/>
      <c r="HP42" s="129"/>
      <c r="HQ42" s="129"/>
      <c r="HR42" s="129"/>
      <c r="HS42" s="129"/>
      <c r="HT42" s="129"/>
      <c r="HU42" s="129"/>
      <c r="HV42" s="129"/>
      <c r="HW42" s="129"/>
      <c r="HX42" s="129"/>
      <c r="HY42" s="129"/>
      <c r="HZ42" s="129"/>
      <c r="IA42" s="129"/>
      <c r="IB42" s="129"/>
      <c r="IC42" s="129"/>
      <c r="ID42" s="129"/>
      <c r="IE42" s="129"/>
      <c r="IF42" s="129"/>
      <c r="IG42" s="129"/>
      <c r="IH42" s="129"/>
      <c r="II42" s="129"/>
      <c r="IJ42" s="129"/>
      <c r="IK42" s="129"/>
      <c r="IL42" s="129"/>
      <c r="IM42" s="129"/>
      <c r="IN42" s="129"/>
      <c r="IO42" s="129"/>
      <c r="IP42" s="129"/>
      <c r="IQ42" s="129"/>
      <c r="IR42" s="129"/>
      <c r="IS42" s="129"/>
      <c r="IT42" s="129"/>
      <c r="IU42" s="129"/>
      <c r="IV42" s="129"/>
      <c r="IW42" s="129"/>
      <c r="IX42" s="129"/>
      <c r="IY42" s="129"/>
      <c r="IZ42" s="129"/>
      <c r="JA42" s="129"/>
      <c r="JB42" s="129"/>
      <c r="JC42" s="129"/>
      <c r="JD42" s="129"/>
      <c r="JE42" s="129"/>
      <c r="JF42" s="129"/>
      <c r="JG42" s="129"/>
      <c r="JH42" s="129"/>
      <c r="JI42" s="129"/>
      <c r="JJ42" s="129"/>
      <c r="JK42" s="129"/>
      <c r="JL42" s="129"/>
      <c r="JM42" s="129"/>
      <c r="JN42" s="129"/>
      <c r="JO42" s="129"/>
      <c r="JP42" s="129"/>
      <c r="JQ42" s="129"/>
      <c r="JR42" s="129"/>
      <c r="JS42" s="129"/>
      <c r="JT42" s="129"/>
      <c r="JU42" s="129"/>
      <c r="JV42" s="129"/>
      <c r="JW42" s="129"/>
      <c r="JX42" s="129"/>
      <c r="JY42" s="129"/>
      <c r="JZ42" s="129"/>
      <c r="MA42" s="129"/>
      <c r="MB42" s="129"/>
      <c r="MC42" s="129"/>
      <c r="MD42" s="129"/>
      <c r="ME42" s="129"/>
      <c r="MF42" s="129"/>
      <c r="MG42" s="129"/>
      <c r="MH42" s="129"/>
      <c r="MI42" s="129"/>
      <c r="MJ42" s="129"/>
      <c r="MK42" s="129"/>
      <c r="ML42" s="129"/>
      <c r="MM42" s="129"/>
      <c r="MN42" s="129"/>
      <c r="MO42" s="129"/>
      <c r="MP42" s="129"/>
      <c r="MQ42" s="129"/>
      <c r="MR42" s="129"/>
      <c r="MS42" s="129"/>
      <c r="MT42" s="129"/>
      <c r="MU42" s="129"/>
      <c r="MV42" s="129"/>
      <c r="MW42" s="129"/>
      <c r="MX42" s="129"/>
      <c r="MY42" s="129"/>
      <c r="MZ42" s="129"/>
      <c r="PA42" s="129"/>
      <c r="PB42" s="129"/>
      <c r="PC42" s="129"/>
      <c r="PD42" s="129"/>
      <c r="PE42" s="129"/>
      <c r="PF42" s="129"/>
      <c r="PG42" s="129"/>
      <c r="PH42" s="129"/>
      <c r="PI42" s="129"/>
      <c r="PJ42" s="129"/>
      <c r="PK42" s="129"/>
      <c r="PL42" s="129"/>
      <c r="PM42" s="129"/>
      <c r="PN42" s="129"/>
      <c r="PO42" s="129"/>
      <c r="PP42" s="129"/>
      <c r="PQ42" s="129"/>
      <c r="PR42" s="129"/>
      <c r="PS42" s="129"/>
      <c r="PT42" s="129"/>
      <c r="PU42" s="129"/>
      <c r="PV42" s="129"/>
      <c r="PW42" s="129"/>
      <c r="PX42" s="129"/>
      <c r="PY42" s="129"/>
      <c r="PZ42" s="129"/>
    </row>
    <row r="43" spans="2:442" ht="15.6" customHeight="1">
      <c r="B43" s="7" t="s">
        <v>5677</v>
      </c>
      <c r="C43"/>
      <c r="AG43" s="378"/>
      <c r="AH43" s="378"/>
      <c r="AI43" s="378"/>
      <c r="AJ43" s="378"/>
      <c r="AK43" s="378"/>
      <c r="AL43" s="378"/>
      <c r="AM43" s="378"/>
      <c r="AN43" s="378"/>
      <c r="AO43" s="378"/>
      <c r="AP43" s="378"/>
      <c r="AQ43" s="378"/>
      <c r="AR43" s="378"/>
      <c r="AS43" s="378"/>
      <c r="AT43" s="378"/>
      <c r="AU43" s="378"/>
      <c r="AV43" s="378"/>
      <c r="AW43" s="378"/>
      <c r="AX43" s="378"/>
      <c r="EF43" s="378"/>
      <c r="EG43" s="378"/>
      <c r="EH43" s="378"/>
      <c r="EI43" s="378"/>
      <c r="EJ43" s="378"/>
      <c r="EK43" s="378"/>
      <c r="EL43" s="378"/>
      <c r="EM43" s="378"/>
      <c r="EN43" s="378"/>
      <c r="EO43" s="378"/>
      <c r="EP43" s="378"/>
      <c r="EQ43" s="378"/>
      <c r="ER43" s="378"/>
      <c r="ES43" s="378"/>
      <c r="ET43" s="378"/>
      <c r="EU43" s="378"/>
      <c r="EV43" s="378"/>
      <c r="EW43" s="378"/>
      <c r="EX43" s="378"/>
      <c r="EZ43" s="129"/>
      <c r="FA43" s="129"/>
      <c r="FB43" s="129"/>
      <c r="FC43" s="129"/>
      <c r="FD43" s="129"/>
      <c r="FE43" s="129"/>
      <c r="FF43" s="129"/>
      <c r="FG43" s="129"/>
      <c r="FH43" s="129"/>
      <c r="FI43" s="129"/>
      <c r="FJ43" s="129"/>
      <c r="FK43" s="129"/>
      <c r="FL43" s="129"/>
      <c r="FM43" s="129"/>
      <c r="FN43" s="129"/>
      <c r="FO43" s="129"/>
      <c r="FP43" s="129"/>
      <c r="FQ43" s="129"/>
      <c r="FR43" s="129"/>
      <c r="FS43" s="129"/>
      <c r="FT43" s="129"/>
      <c r="FU43" s="129"/>
      <c r="FV43" s="129"/>
      <c r="FW43" s="129"/>
      <c r="FX43" s="129"/>
      <c r="FY43" s="129"/>
      <c r="FZ43" s="129"/>
      <c r="GA43" s="129"/>
      <c r="GB43" s="129"/>
      <c r="GC43" s="129"/>
      <c r="GD43" s="129"/>
      <c r="GE43" s="129"/>
      <c r="GF43" s="129"/>
      <c r="GG43" s="129"/>
      <c r="GH43" s="129"/>
      <c r="GI43" s="129"/>
      <c r="GJ43" s="129"/>
      <c r="GK43" s="129"/>
      <c r="GL43" s="129"/>
      <c r="GM43" s="129"/>
      <c r="GN43" s="129"/>
      <c r="GO43" s="129"/>
      <c r="GP43" s="129"/>
      <c r="GQ43" s="129"/>
      <c r="GR43" s="129"/>
      <c r="GS43" s="129"/>
      <c r="GT43" s="129"/>
      <c r="GU43" s="129"/>
      <c r="GV43" s="129"/>
      <c r="GW43" s="129"/>
      <c r="GX43" s="129"/>
      <c r="GY43" s="129"/>
      <c r="GZ43" s="129"/>
      <c r="HG43" s="129"/>
      <c r="HH43" s="129"/>
      <c r="HI43" s="129"/>
      <c r="HJ43" s="129"/>
      <c r="HK43" s="129"/>
      <c r="HL43" s="129"/>
      <c r="HM43" s="129"/>
      <c r="HN43" s="129"/>
      <c r="HO43" s="129"/>
      <c r="HP43" s="129"/>
      <c r="HQ43" s="129"/>
      <c r="HR43" s="129"/>
      <c r="HS43" s="129"/>
      <c r="HT43" s="129"/>
      <c r="HU43" s="129"/>
      <c r="HV43" s="129"/>
      <c r="HW43" s="129"/>
      <c r="HX43" s="129"/>
      <c r="HY43" s="129"/>
      <c r="HZ43" s="129"/>
      <c r="IA43" s="129"/>
      <c r="IB43" s="129"/>
      <c r="IC43" s="129"/>
      <c r="ID43" s="129"/>
      <c r="IE43" s="129"/>
      <c r="IF43" s="129"/>
      <c r="IG43" s="129"/>
      <c r="IH43" s="129"/>
      <c r="II43" s="129"/>
      <c r="IJ43" s="129"/>
      <c r="IK43" s="129"/>
      <c r="IL43" s="129"/>
      <c r="IM43" s="129"/>
      <c r="IN43" s="129"/>
      <c r="IO43" s="129"/>
      <c r="IP43" s="129"/>
      <c r="IQ43" s="129"/>
      <c r="IR43" s="129"/>
      <c r="IS43" s="129"/>
      <c r="IT43" s="129"/>
      <c r="IU43" s="129"/>
      <c r="IV43" s="129"/>
      <c r="IW43" s="129"/>
      <c r="IX43" s="129"/>
      <c r="IY43" s="129"/>
      <c r="IZ43" s="129"/>
      <c r="JA43" s="129"/>
      <c r="JB43" s="129"/>
      <c r="JC43" s="129"/>
      <c r="JD43" s="129"/>
      <c r="JE43" s="129"/>
      <c r="JF43" s="129"/>
      <c r="JG43" s="129"/>
      <c r="JH43" s="129"/>
      <c r="JI43" s="129"/>
      <c r="JJ43" s="129"/>
      <c r="JK43" s="129"/>
      <c r="JL43" s="129"/>
      <c r="JM43" s="129"/>
      <c r="JN43" s="129"/>
      <c r="JO43" s="129"/>
      <c r="JP43" s="129"/>
      <c r="JQ43" s="129"/>
      <c r="JR43" s="129"/>
      <c r="JS43" s="129"/>
      <c r="JT43" s="129"/>
      <c r="JU43" s="129"/>
      <c r="JV43" s="129"/>
      <c r="JW43" s="129"/>
      <c r="JX43" s="129"/>
      <c r="JY43" s="129"/>
      <c r="JZ43" s="129"/>
      <c r="MA43" s="129"/>
      <c r="MB43" s="129"/>
      <c r="MC43" s="129"/>
      <c r="MD43" s="129"/>
      <c r="ME43" s="129"/>
      <c r="MF43" s="129"/>
      <c r="MG43" s="129"/>
      <c r="MH43" s="129"/>
      <c r="MI43" s="129"/>
      <c r="MJ43" s="129"/>
      <c r="MK43" s="129"/>
      <c r="ML43" s="129"/>
      <c r="MM43" s="129"/>
      <c r="MN43" s="129"/>
      <c r="MO43" s="129"/>
      <c r="MP43" s="129"/>
      <c r="MQ43" s="129"/>
      <c r="MR43" s="129"/>
      <c r="MS43" s="129"/>
      <c r="MT43" s="129"/>
      <c r="MU43" s="129"/>
      <c r="MV43" s="129"/>
      <c r="MW43" s="129"/>
      <c r="MX43" s="129"/>
      <c r="MY43" s="129"/>
      <c r="MZ43" s="129"/>
      <c r="PA43" s="129"/>
      <c r="PB43" s="129"/>
      <c r="PC43" s="129"/>
      <c r="PD43" s="129"/>
      <c r="PE43" s="129"/>
      <c r="PF43" s="129"/>
      <c r="PG43" s="129"/>
      <c r="PH43" s="129"/>
      <c r="PI43" s="129"/>
      <c r="PJ43" s="129"/>
      <c r="PK43" s="129"/>
      <c r="PL43" s="129"/>
      <c r="PM43" s="129"/>
      <c r="PN43" s="129"/>
      <c r="PO43" s="129"/>
      <c r="PP43" s="129"/>
      <c r="PQ43" s="129"/>
      <c r="PR43" s="129"/>
      <c r="PS43" s="129"/>
      <c r="PT43" s="129"/>
      <c r="PU43" s="129"/>
      <c r="PV43" s="129"/>
      <c r="PW43" s="129"/>
      <c r="PX43" s="129"/>
      <c r="PY43" s="129"/>
      <c r="PZ43" s="129"/>
    </row>
    <row r="44" spans="2:442" ht="14.4">
      <c r="B44" s="7" t="s">
        <v>5680</v>
      </c>
      <c r="C44"/>
      <c r="AG44" s="378"/>
      <c r="AH44" s="378"/>
      <c r="AI44" s="378"/>
      <c r="AJ44" s="378"/>
      <c r="AK44" s="378"/>
      <c r="AL44" s="378"/>
      <c r="AM44" s="378"/>
      <c r="AN44" s="378"/>
      <c r="AO44" s="378"/>
      <c r="AP44" s="378"/>
      <c r="AQ44" s="378"/>
      <c r="AR44" s="378"/>
      <c r="AS44" s="378"/>
      <c r="AT44" s="378"/>
      <c r="AU44" s="378"/>
      <c r="AV44" s="378"/>
      <c r="AW44" s="378"/>
      <c r="AX44" s="378"/>
      <c r="EF44" s="378"/>
      <c r="EG44" s="378"/>
      <c r="EH44" s="378"/>
      <c r="EI44" s="378"/>
      <c r="EJ44" s="378"/>
      <c r="EK44" s="378"/>
      <c r="EL44" s="378"/>
      <c r="EM44" s="378"/>
      <c r="EN44" s="378"/>
      <c r="EO44" s="378"/>
      <c r="EP44" s="378"/>
      <c r="EQ44" s="378"/>
      <c r="ER44" s="378"/>
      <c r="ES44" s="378"/>
      <c r="ET44" s="378"/>
      <c r="EU44" s="378"/>
      <c r="EV44" s="378"/>
      <c r="EW44" s="378"/>
      <c r="EX44" s="378"/>
      <c r="EZ44" s="129"/>
      <c r="FA44" s="129"/>
      <c r="FB44" s="129"/>
      <c r="FC44" s="129"/>
      <c r="FD44" s="129"/>
      <c r="FE44" s="129"/>
      <c r="FF44" s="129"/>
      <c r="FG44" s="129"/>
      <c r="FH44" s="129"/>
      <c r="FI44" s="129"/>
      <c r="FJ44" s="129"/>
      <c r="FK44" s="129"/>
      <c r="FL44" s="129"/>
      <c r="FM44" s="129"/>
      <c r="FN44" s="129"/>
      <c r="FO44" s="129"/>
      <c r="FP44" s="129"/>
      <c r="FQ44" s="129"/>
      <c r="FR44" s="129"/>
      <c r="FS44" s="129"/>
      <c r="FT44" s="129"/>
      <c r="FU44" s="129"/>
      <c r="FV44" s="129"/>
      <c r="FW44" s="129"/>
      <c r="FX44" s="129"/>
      <c r="FY44" s="129"/>
      <c r="FZ44" s="129"/>
      <c r="GA44" s="129"/>
      <c r="GB44" s="129"/>
      <c r="GC44" s="129"/>
      <c r="GD44" s="129"/>
      <c r="GE44" s="129"/>
      <c r="GF44" s="129"/>
      <c r="GG44" s="129"/>
      <c r="GH44" s="129"/>
      <c r="GI44" s="129"/>
      <c r="GJ44" s="129"/>
      <c r="GK44" s="129"/>
      <c r="GL44" s="129"/>
      <c r="GM44" s="129"/>
      <c r="GN44" s="129"/>
      <c r="GO44" s="129"/>
      <c r="GP44" s="129"/>
      <c r="GQ44" s="129"/>
      <c r="GR44" s="129"/>
      <c r="GS44" s="129"/>
      <c r="GT44" s="129"/>
      <c r="GU44" s="129"/>
      <c r="GV44" s="129"/>
      <c r="GW44" s="129"/>
      <c r="GX44" s="129"/>
      <c r="GY44" s="129"/>
      <c r="GZ44" s="129"/>
      <c r="HG44" s="129"/>
      <c r="HH44" s="129"/>
      <c r="HI44" s="129"/>
      <c r="HJ44" s="129"/>
      <c r="HK44" s="129"/>
      <c r="HL44" s="129"/>
      <c r="HM44" s="129"/>
      <c r="HN44" s="129"/>
      <c r="HO44" s="129"/>
      <c r="HP44" s="129"/>
      <c r="HQ44" s="129"/>
      <c r="HR44" s="129"/>
      <c r="HS44" s="129"/>
      <c r="HT44" s="129"/>
      <c r="HU44" s="129"/>
      <c r="HV44" s="129"/>
      <c r="HW44" s="129"/>
      <c r="HX44" s="129"/>
      <c r="HY44" s="129"/>
      <c r="HZ44" s="129"/>
      <c r="IA44" s="129"/>
      <c r="IB44" s="129"/>
      <c r="IC44" s="129"/>
      <c r="ID44" s="129"/>
      <c r="IE44" s="129"/>
      <c r="IF44" s="129"/>
      <c r="IG44" s="129"/>
      <c r="IH44" s="129"/>
      <c r="II44" s="129"/>
      <c r="IJ44" s="129"/>
      <c r="IK44" s="129"/>
      <c r="IL44" s="129"/>
      <c r="IM44" s="129"/>
      <c r="IN44" s="129"/>
      <c r="IO44" s="129"/>
      <c r="IP44" s="129"/>
      <c r="IQ44" s="129"/>
      <c r="IR44" s="129"/>
      <c r="IS44" s="129"/>
      <c r="IT44" s="129"/>
      <c r="IU44" s="129"/>
      <c r="IV44" s="129"/>
      <c r="IW44" s="129"/>
      <c r="IX44" s="129"/>
      <c r="IY44" s="129"/>
      <c r="IZ44" s="129"/>
      <c r="JA44" s="129"/>
      <c r="JB44" s="129"/>
      <c r="JC44" s="129"/>
      <c r="JD44" s="129"/>
      <c r="JE44" s="129"/>
      <c r="JF44" s="129"/>
      <c r="JG44" s="129"/>
      <c r="JH44" s="129"/>
      <c r="JI44" s="129"/>
      <c r="JJ44" s="129"/>
      <c r="JK44" s="129"/>
      <c r="JL44" s="129"/>
      <c r="JM44" s="129"/>
      <c r="JN44" s="129"/>
      <c r="JO44" s="129"/>
      <c r="JP44" s="129"/>
      <c r="JQ44" s="129"/>
      <c r="JR44" s="129"/>
      <c r="JS44" s="129"/>
      <c r="JT44" s="129"/>
      <c r="JU44" s="129"/>
      <c r="JV44" s="129"/>
      <c r="JW44" s="129"/>
      <c r="JX44" s="129"/>
      <c r="JY44" s="129"/>
      <c r="JZ44" s="129"/>
      <c r="MA44" s="129"/>
      <c r="MB44" s="129"/>
      <c r="MC44" s="129"/>
      <c r="MD44" s="129"/>
      <c r="ME44" s="129"/>
      <c r="MF44" s="129"/>
      <c r="MG44" s="129"/>
      <c r="MH44" s="129"/>
      <c r="MI44" s="129"/>
      <c r="MJ44" s="129"/>
      <c r="MK44" s="129"/>
      <c r="ML44" s="129"/>
      <c r="MM44" s="129"/>
      <c r="MN44" s="129"/>
      <c r="MO44" s="129"/>
      <c r="MP44" s="129"/>
      <c r="MQ44" s="129"/>
      <c r="MR44" s="129"/>
      <c r="MS44" s="129"/>
      <c r="MT44" s="129"/>
      <c r="MU44" s="129"/>
      <c r="MV44" s="129"/>
      <c r="MW44" s="129"/>
      <c r="MX44" s="129"/>
      <c r="MY44" s="129"/>
      <c r="MZ44" s="129"/>
      <c r="PA44" s="129"/>
      <c r="PB44" s="129"/>
      <c r="PC44" s="129"/>
      <c r="PD44" s="129"/>
      <c r="PE44" s="129"/>
      <c r="PF44" s="129"/>
      <c r="PG44" s="129"/>
      <c r="PH44" s="129"/>
      <c r="PI44" s="129"/>
      <c r="PJ44" s="129"/>
      <c r="PK44" s="129"/>
      <c r="PL44" s="129"/>
      <c r="PM44" s="129"/>
      <c r="PN44" s="129"/>
      <c r="PO44" s="129"/>
      <c r="PP44" s="129"/>
      <c r="PQ44" s="129"/>
      <c r="PR44" s="129"/>
      <c r="PS44" s="129"/>
      <c r="PT44" s="129"/>
      <c r="PU44" s="129"/>
      <c r="PV44" s="129"/>
      <c r="PW44" s="129"/>
      <c r="PX44" s="129"/>
      <c r="PY44" s="129"/>
      <c r="PZ44" s="129"/>
    </row>
    <row r="45" spans="2:442" ht="14.4">
      <c r="B45" s="7" t="s">
        <v>5687</v>
      </c>
      <c r="C45"/>
      <c r="AG45" s="378"/>
      <c r="AH45" s="378"/>
      <c r="AI45" s="378"/>
      <c r="AJ45" s="378"/>
      <c r="AK45" s="378"/>
      <c r="AL45" s="378"/>
      <c r="AM45" s="378"/>
      <c r="AN45" s="378"/>
      <c r="AO45" s="378"/>
      <c r="AP45" s="378"/>
      <c r="AQ45" s="378"/>
      <c r="AR45" s="378"/>
      <c r="AS45" s="378"/>
      <c r="AT45" s="378"/>
      <c r="AU45" s="378"/>
      <c r="AV45" s="378"/>
      <c r="AW45" s="378"/>
      <c r="AX45" s="378"/>
      <c r="EF45" s="378"/>
      <c r="EG45" s="378"/>
      <c r="EH45" s="378"/>
      <c r="EI45" s="378"/>
      <c r="EJ45" s="378"/>
      <c r="EK45" s="378"/>
      <c r="EL45" s="378"/>
      <c r="EM45" s="378"/>
      <c r="EN45" s="378"/>
      <c r="EO45" s="378"/>
      <c r="EP45" s="378"/>
      <c r="EQ45" s="378"/>
      <c r="ER45" s="378"/>
      <c r="ES45" s="378"/>
      <c r="ET45" s="378"/>
      <c r="EU45" s="378"/>
      <c r="EV45" s="378"/>
      <c r="EW45" s="378"/>
      <c r="EX45" s="378"/>
      <c r="EZ45" s="129"/>
      <c r="FA45" s="129"/>
      <c r="FB45" s="129"/>
      <c r="FC45" s="129"/>
      <c r="FD45" s="129"/>
      <c r="FE45" s="129"/>
      <c r="FF45" s="129"/>
      <c r="FG45" s="129"/>
      <c r="FH45" s="129"/>
      <c r="FI45" s="129"/>
      <c r="FJ45" s="129"/>
      <c r="FK45" s="129"/>
      <c r="FL45" s="129"/>
      <c r="FM45" s="129"/>
      <c r="FN45" s="129"/>
      <c r="FO45" s="129"/>
      <c r="FP45" s="129"/>
      <c r="FQ45" s="129"/>
      <c r="FR45" s="129"/>
      <c r="FS45" s="129"/>
      <c r="FT45" s="129"/>
      <c r="FU45" s="129"/>
      <c r="FV45" s="129"/>
      <c r="FW45" s="129"/>
      <c r="FX45" s="129"/>
      <c r="FY45" s="129"/>
      <c r="FZ45" s="129"/>
      <c r="GA45" s="129"/>
      <c r="GB45" s="129"/>
      <c r="GC45" s="129"/>
      <c r="GD45" s="129"/>
      <c r="GE45" s="129"/>
      <c r="GF45" s="129"/>
      <c r="GG45" s="129"/>
      <c r="GH45" s="129"/>
      <c r="GI45" s="129"/>
      <c r="GJ45" s="129"/>
      <c r="GK45" s="129"/>
      <c r="GL45" s="129"/>
      <c r="GM45" s="129"/>
      <c r="GN45" s="129"/>
      <c r="GO45" s="129"/>
      <c r="GP45" s="129"/>
      <c r="GQ45" s="129"/>
      <c r="GR45" s="129"/>
      <c r="GS45" s="129"/>
      <c r="GT45" s="129"/>
      <c r="GU45" s="129"/>
      <c r="GV45" s="129"/>
      <c r="GW45" s="129"/>
      <c r="GX45" s="129"/>
      <c r="GY45" s="129"/>
      <c r="GZ45" s="129"/>
      <c r="HG45" s="129"/>
      <c r="HH45" s="129"/>
      <c r="HI45" s="129"/>
      <c r="HJ45" s="129"/>
      <c r="HK45" s="129"/>
      <c r="HL45" s="129"/>
      <c r="HM45" s="129"/>
      <c r="HN45" s="129"/>
      <c r="HO45" s="129"/>
      <c r="HP45" s="129"/>
      <c r="HQ45" s="129"/>
      <c r="HR45" s="129"/>
      <c r="HS45" s="129"/>
      <c r="HT45" s="129"/>
      <c r="HU45" s="129"/>
      <c r="HV45" s="129"/>
      <c r="HW45" s="129"/>
      <c r="HX45" s="129"/>
      <c r="HY45" s="129"/>
      <c r="HZ45" s="129"/>
      <c r="IA45" s="129"/>
      <c r="IB45" s="129"/>
      <c r="IC45" s="129"/>
      <c r="ID45" s="129"/>
      <c r="IE45" s="129"/>
      <c r="IF45" s="129"/>
      <c r="IG45" s="129"/>
      <c r="IH45" s="129"/>
      <c r="II45" s="129"/>
      <c r="IJ45" s="129"/>
      <c r="IK45" s="129"/>
      <c r="IL45" s="129"/>
      <c r="IM45" s="129"/>
      <c r="IN45" s="129"/>
      <c r="IO45" s="129"/>
      <c r="IP45" s="129"/>
      <c r="IQ45" s="129"/>
      <c r="IR45" s="129"/>
      <c r="IS45" s="129"/>
      <c r="IT45" s="129"/>
      <c r="IU45" s="129"/>
      <c r="IV45" s="129"/>
      <c r="IW45" s="129"/>
      <c r="IX45" s="129"/>
      <c r="IY45" s="129"/>
      <c r="IZ45" s="129"/>
      <c r="JA45" s="129"/>
      <c r="JB45" s="129"/>
      <c r="JC45" s="129"/>
      <c r="JD45" s="129"/>
      <c r="JE45" s="129"/>
      <c r="JF45" s="129"/>
      <c r="JG45" s="129"/>
      <c r="JH45" s="129"/>
      <c r="JI45" s="129"/>
      <c r="JJ45" s="129"/>
      <c r="JK45" s="129"/>
      <c r="JL45" s="129"/>
      <c r="JM45" s="129"/>
      <c r="JN45" s="129"/>
      <c r="JO45" s="129"/>
      <c r="JP45" s="129"/>
      <c r="JQ45" s="129"/>
      <c r="JR45" s="129"/>
      <c r="JS45" s="129"/>
      <c r="JT45" s="129"/>
      <c r="JU45" s="129"/>
      <c r="JV45" s="129"/>
      <c r="JW45" s="129"/>
      <c r="JX45" s="129"/>
      <c r="JY45" s="129"/>
      <c r="JZ45" s="129"/>
      <c r="MA45" s="129"/>
      <c r="MB45" s="129"/>
      <c r="MC45" s="129"/>
      <c r="MD45" s="129"/>
      <c r="ME45" s="129"/>
      <c r="MF45" s="129"/>
      <c r="MG45" s="129"/>
      <c r="MH45" s="129"/>
      <c r="MI45" s="129"/>
      <c r="MJ45" s="129"/>
      <c r="MK45" s="129"/>
      <c r="ML45" s="129"/>
      <c r="MM45" s="129"/>
      <c r="MN45" s="129"/>
      <c r="MO45" s="129"/>
      <c r="MP45" s="129"/>
      <c r="MQ45" s="129"/>
      <c r="MR45" s="129"/>
      <c r="MS45" s="129"/>
      <c r="MT45" s="129"/>
      <c r="MU45" s="129"/>
      <c r="MV45" s="129"/>
      <c r="MW45" s="129"/>
      <c r="MX45" s="129"/>
      <c r="MY45" s="129"/>
      <c r="MZ45" s="129"/>
      <c r="PA45" s="129"/>
      <c r="PB45" s="129"/>
      <c r="PC45" s="129"/>
      <c r="PD45" s="129"/>
      <c r="PE45" s="129"/>
      <c r="PF45" s="129"/>
      <c r="PG45" s="129"/>
      <c r="PH45" s="129"/>
      <c r="PI45" s="129"/>
      <c r="PJ45" s="129"/>
      <c r="PK45" s="129"/>
      <c r="PL45" s="129"/>
      <c r="PM45" s="129"/>
      <c r="PN45" s="129"/>
      <c r="PO45" s="129"/>
      <c r="PP45" s="129"/>
      <c r="PQ45" s="129"/>
      <c r="PR45" s="129"/>
      <c r="PS45" s="129"/>
      <c r="PT45" s="129"/>
      <c r="PU45" s="129"/>
      <c r="PV45" s="129"/>
      <c r="PW45" s="129"/>
      <c r="PX45" s="129"/>
      <c r="PY45" s="129"/>
      <c r="PZ45" s="129"/>
    </row>
    <row r="46" spans="2:442" ht="14.4">
      <c r="B46" s="7" t="s">
        <v>5688</v>
      </c>
      <c r="C46"/>
      <c r="AG46" s="378"/>
      <c r="AH46" s="378"/>
      <c r="AI46" s="378"/>
      <c r="AJ46" s="378"/>
      <c r="AK46" s="378"/>
      <c r="AL46" s="378"/>
      <c r="AM46" s="378"/>
      <c r="AN46" s="378"/>
      <c r="AO46" s="378"/>
      <c r="AP46" s="378"/>
      <c r="AQ46" s="378"/>
      <c r="AR46" s="378"/>
      <c r="AS46" s="378"/>
      <c r="AT46" s="378"/>
      <c r="AU46" s="378"/>
      <c r="AV46" s="378"/>
      <c r="AW46" s="378"/>
      <c r="AX46" s="378"/>
      <c r="EF46" s="378"/>
      <c r="EG46" s="378"/>
      <c r="EH46" s="378"/>
      <c r="EI46" s="378"/>
      <c r="EJ46" s="378"/>
      <c r="EK46" s="378"/>
      <c r="EL46" s="378"/>
      <c r="EM46" s="378"/>
      <c r="EN46" s="378"/>
      <c r="EO46" s="378"/>
      <c r="EP46" s="378"/>
      <c r="EQ46" s="378"/>
      <c r="ER46" s="378"/>
      <c r="ES46" s="378"/>
      <c r="ET46" s="378"/>
      <c r="EU46" s="378"/>
      <c r="EV46" s="378"/>
      <c r="EW46" s="378"/>
      <c r="EX46" s="378"/>
      <c r="EZ46" s="129"/>
      <c r="FA46" s="129"/>
      <c r="FB46" s="129"/>
      <c r="FC46" s="129"/>
      <c r="FD46" s="129"/>
      <c r="FE46" s="129"/>
      <c r="FF46" s="129"/>
      <c r="FG46" s="129"/>
      <c r="FH46" s="129"/>
      <c r="FI46" s="129"/>
      <c r="FJ46" s="129"/>
      <c r="FK46" s="129"/>
      <c r="FL46" s="129"/>
      <c r="FM46" s="129"/>
      <c r="FN46" s="129"/>
      <c r="FO46" s="129"/>
      <c r="FP46" s="129"/>
      <c r="FQ46" s="129"/>
      <c r="FR46" s="129"/>
      <c r="FS46" s="129"/>
      <c r="FT46" s="129"/>
      <c r="FU46" s="129"/>
      <c r="FV46" s="129"/>
      <c r="FW46" s="129"/>
      <c r="FX46" s="129"/>
      <c r="FY46" s="129"/>
      <c r="FZ46" s="129"/>
      <c r="GA46" s="129"/>
      <c r="GB46" s="129"/>
      <c r="GC46" s="129"/>
      <c r="GD46" s="129"/>
      <c r="GE46" s="129"/>
      <c r="GF46" s="129"/>
      <c r="GG46" s="129"/>
      <c r="GH46" s="129"/>
      <c r="GI46" s="129"/>
      <c r="GJ46" s="129"/>
      <c r="GK46" s="129"/>
      <c r="GL46" s="129"/>
      <c r="GM46" s="129"/>
      <c r="GN46" s="129"/>
      <c r="GO46" s="129"/>
      <c r="GP46" s="129"/>
      <c r="GQ46" s="129"/>
      <c r="GR46" s="129"/>
      <c r="GS46" s="129"/>
      <c r="GT46" s="129"/>
      <c r="GU46" s="129"/>
      <c r="GV46" s="129"/>
      <c r="GW46" s="129"/>
      <c r="GX46" s="129"/>
      <c r="GY46" s="129"/>
      <c r="GZ46" s="129"/>
      <c r="HG46" s="129"/>
      <c r="HH46" s="129"/>
      <c r="HI46" s="129"/>
      <c r="HJ46" s="129"/>
      <c r="HK46" s="129"/>
      <c r="HL46" s="129"/>
      <c r="HM46" s="129"/>
      <c r="HN46" s="129"/>
      <c r="HO46" s="129"/>
      <c r="HP46" s="129"/>
      <c r="HQ46" s="129"/>
      <c r="HR46" s="129"/>
      <c r="HS46" s="129"/>
      <c r="HT46" s="129"/>
      <c r="HU46" s="129"/>
      <c r="HV46" s="129"/>
      <c r="HW46" s="129"/>
      <c r="HX46" s="129"/>
      <c r="HY46" s="129"/>
      <c r="HZ46" s="129"/>
      <c r="IA46" s="129"/>
      <c r="IB46" s="129"/>
      <c r="IC46" s="129"/>
      <c r="ID46" s="129"/>
      <c r="IE46" s="129"/>
      <c r="IF46" s="129"/>
      <c r="IG46" s="129"/>
      <c r="IH46" s="129"/>
      <c r="II46" s="129"/>
      <c r="IJ46" s="129"/>
      <c r="IK46" s="129"/>
      <c r="IL46" s="129"/>
      <c r="IM46" s="129"/>
      <c r="IN46" s="129"/>
      <c r="IO46" s="129"/>
      <c r="IP46" s="129"/>
      <c r="IQ46" s="129"/>
      <c r="IR46" s="129"/>
      <c r="IS46" s="129"/>
      <c r="IT46" s="129"/>
      <c r="IU46" s="129"/>
      <c r="IV46" s="129"/>
      <c r="IW46" s="129"/>
      <c r="IX46" s="129"/>
      <c r="IY46" s="129"/>
      <c r="IZ46" s="129"/>
      <c r="JA46" s="129"/>
      <c r="JB46" s="129"/>
      <c r="JC46" s="129"/>
      <c r="JD46" s="129"/>
      <c r="JE46" s="129"/>
      <c r="JF46" s="129"/>
      <c r="JG46" s="129"/>
      <c r="JH46" s="129"/>
      <c r="JI46" s="129"/>
      <c r="JJ46" s="129"/>
      <c r="JK46" s="129"/>
      <c r="JL46" s="129"/>
      <c r="JM46" s="129"/>
      <c r="JN46" s="129"/>
      <c r="JO46" s="129"/>
      <c r="JP46" s="129"/>
      <c r="JQ46" s="129"/>
      <c r="JR46" s="129"/>
      <c r="JS46" s="129"/>
      <c r="JT46" s="129"/>
      <c r="JU46" s="129"/>
      <c r="JV46" s="129"/>
      <c r="JW46" s="129"/>
      <c r="JX46" s="129"/>
      <c r="JY46" s="129"/>
      <c r="JZ46" s="129"/>
      <c r="MA46" s="129"/>
      <c r="MB46" s="129"/>
      <c r="MC46" s="129"/>
      <c r="MD46" s="129"/>
      <c r="ME46" s="129"/>
      <c r="MF46" s="129"/>
      <c r="MG46" s="129"/>
      <c r="MH46" s="129"/>
      <c r="MI46" s="129"/>
      <c r="MJ46" s="129"/>
      <c r="MK46" s="129"/>
      <c r="ML46" s="129"/>
      <c r="MM46" s="129"/>
      <c r="MN46" s="129"/>
      <c r="MO46" s="129"/>
      <c r="MP46" s="129"/>
      <c r="MQ46" s="129"/>
      <c r="MR46" s="129"/>
      <c r="MS46" s="129"/>
      <c r="MT46" s="129"/>
      <c r="MU46" s="129"/>
      <c r="MV46" s="129"/>
      <c r="MW46" s="129"/>
      <c r="MX46" s="129"/>
      <c r="MY46" s="129"/>
      <c r="MZ46" s="129"/>
      <c r="PA46" s="129"/>
      <c r="PB46" s="129"/>
      <c r="PC46" s="129"/>
      <c r="PD46" s="129"/>
      <c r="PE46" s="129"/>
      <c r="PF46" s="129"/>
      <c r="PG46" s="129"/>
      <c r="PH46" s="129"/>
      <c r="PI46" s="129"/>
      <c r="PJ46" s="129"/>
      <c r="PK46" s="129"/>
      <c r="PL46" s="129"/>
      <c r="PM46" s="129"/>
      <c r="PN46" s="129"/>
      <c r="PO46" s="129"/>
      <c r="PP46" s="129"/>
      <c r="PQ46" s="129"/>
      <c r="PR46" s="129"/>
      <c r="PS46" s="129"/>
      <c r="PT46" s="129"/>
      <c r="PU46" s="129"/>
      <c r="PV46" s="129"/>
      <c r="PW46" s="129"/>
      <c r="PX46" s="129"/>
      <c r="PY46" s="129"/>
      <c r="PZ46" s="129"/>
    </row>
    <row r="47" spans="2:442" ht="14.4">
      <c r="B47" s="7" t="s">
        <v>5689</v>
      </c>
      <c r="C47"/>
      <c r="AG47" s="378"/>
      <c r="AH47" s="378"/>
      <c r="AI47" s="378"/>
      <c r="AJ47" s="378"/>
      <c r="AK47" s="378"/>
      <c r="AL47" s="378"/>
      <c r="AM47" s="378"/>
      <c r="AN47" s="378"/>
      <c r="AO47" s="378"/>
      <c r="AP47" s="378"/>
      <c r="AQ47" s="378"/>
      <c r="AR47" s="378"/>
      <c r="AS47" s="378"/>
      <c r="AT47" s="378"/>
      <c r="AU47" s="378"/>
      <c r="AV47" s="378"/>
      <c r="AW47" s="378"/>
      <c r="AX47" s="378"/>
      <c r="EF47" s="378"/>
      <c r="EG47" s="378"/>
      <c r="EH47" s="378"/>
      <c r="EI47" s="378"/>
      <c r="EJ47" s="378"/>
      <c r="EK47" s="378"/>
      <c r="EL47" s="378"/>
      <c r="EM47" s="378"/>
      <c r="EN47" s="378"/>
      <c r="EO47" s="378"/>
      <c r="EP47" s="378"/>
      <c r="EQ47" s="378"/>
      <c r="ER47" s="378"/>
      <c r="ES47" s="378"/>
      <c r="ET47" s="378"/>
      <c r="EU47" s="378"/>
      <c r="EV47" s="378"/>
      <c r="EW47" s="378"/>
      <c r="EX47" s="378"/>
      <c r="EZ47" s="129"/>
      <c r="FA47" s="129"/>
      <c r="FB47" s="129"/>
      <c r="FC47" s="129"/>
      <c r="FD47" s="129"/>
      <c r="FE47" s="129"/>
      <c r="FF47" s="129"/>
      <c r="FG47" s="129"/>
      <c r="FH47" s="129"/>
      <c r="FI47" s="129"/>
      <c r="FJ47" s="129"/>
      <c r="FK47" s="129"/>
      <c r="FL47" s="129"/>
      <c r="FM47" s="129"/>
      <c r="FN47" s="129"/>
      <c r="FO47" s="129"/>
      <c r="FP47" s="129"/>
      <c r="FQ47" s="129"/>
      <c r="FR47" s="129"/>
      <c r="FS47" s="129"/>
      <c r="FT47" s="129"/>
      <c r="FU47" s="129"/>
      <c r="FV47" s="129"/>
      <c r="FW47" s="129"/>
      <c r="FX47" s="129"/>
      <c r="FY47" s="129"/>
      <c r="FZ47" s="129"/>
      <c r="GA47" s="129"/>
      <c r="GB47" s="129"/>
      <c r="GC47" s="129"/>
      <c r="GD47" s="129"/>
      <c r="GE47" s="129"/>
      <c r="GF47" s="129"/>
      <c r="GG47" s="129"/>
      <c r="GH47" s="129"/>
      <c r="GI47" s="129"/>
      <c r="GJ47" s="129"/>
      <c r="GK47" s="129"/>
      <c r="GL47" s="129"/>
      <c r="GM47" s="129"/>
      <c r="GN47" s="129"/>
      <c r="GO47" s="129"/>
      <c r="GP47" s="129"/>
      <c r="GQ47" s="129"/>
      <c r="GR47" s="129"/>
      <c r="GS47" s="129"/>
      <c r="GT47" s="129"/>
      <c r="GU47" s="129"/>
      <c r="GV47" s="129"/>
      <c r="GW47" s="129"/>
      <c r="GX47" s="129"/>
      <c r="GY47" s="129"/>
      <c r="GZ47" s="129"/>
      <c r="HG47" s="129"/>
      <c r="HH47" s="129"/>
      <c r="HI47" s="129"/>
      <c r="HJ47" s="129"/>
      <c r="HK47" s="129"/>
      <c r="HL47" s="129"/>
      <c r="HM47" s="129"/>
      <c r="HN47" s="129"/>
      <c r="HO47" s="129"/>
      <c r="HP47" s="129"/>
      <c r="HQ47" s="129"/>
      <c r="HR47" s="129"/>
      <c r="HS47" s="129"/>
      <c r="HT47" s="129"/>
      <c r="HU47" s="129"/>
      <c r="HV47" s="129"/>
      <c r="HW47" s="129"/>
      <c r="HX47" s="129"/>
      <c r="HY47" s="129"/>
      <c r="HZ47" s="129"/>
      <c r="IA47" s="129"/>
      <c r="IB47" s="129"/>
      <c r="IC47" s="129"/>
      <c r="ID47" s="129"/>
      <c r="IE47" s="129"/>
      <c r="IF47" s="129"/>
      <c r="IG47" s="129"/>
      <c r="IH47" s="129"/>
      <c r="II47" s="129"/>
      <c r="IJ47" s="129"/>
      <c r="IK47" s="129"/>
      <c r="IL47" s="129"/>
      <c r="IM47" s="129"/>
      <c r="IN47" s="129"/>
      <c r="IO47" s="129"/>
      <c r="IP47" s="129"/>
      <c r="IQ47" s="129"/>
      <c r="IR47" s="129"/>
      <c r="IS47" s="129"/>
      <c r="IT47" s="129"/>
      <c r="IU47" s="129"/>
      <c r="IV47" s="129"/>
      <c r="IW47" s="129"/>
      <c r="IX47" s="129"/>
      <c r="IY47" s="129"/>
      <c r="IZ47" s="129"/>
      <c r="JA47" s="129"/>
      <c r="JB47" s="129"/>
      <c r="JC47" s="129"/>
      <c r="JD47" s="129"/>
      <c r="JE47" s="129"/>
      <c r="JF47" s="129"/>
      <c r="JG47" s="129"/>
      <c r="JH47" s="129"/>
      <c r="JI47" s="129"/>
      <c r="JJ47" s="129"/>
      <c r="JK47" s="129"/>
      <c r="JL47" s="129"/>
      <c r="JM47" s="129"/>
      <c r="JN47" s="129"/>
      <c r="JO47" s="129"/>
      <c r="JP47" s="129"/>
      <c r="JQ47" s="129"/>
      <c r="JR47" s="129"/>
      <c r="JS47" s="129"/>
      <c r="JT47" s="129"/>
      <c r="JU47" s="129"/>
      <c r="JV47" s="129"/>
      <c r="JW47" s="129"/>
      <c r="JX47" s="129"/>
      <c r="JY47" s="129"/>
      <c r="JZ47" s="129"/>
      <c r="MA47" s="129"/>
      <c r="MB47" s="129"/>
      <c r="MC47" s="129"/>
      <c r="MD47" s="129"/>
      <c r="ME47" s="129"/>
      <c r="MF47" s="129"/>
      <c r="MG47" s="129"/>
      <c r="MH47" s="129"/>
      <c r="MI47" s="129"/>
      <c r="MJ47" s="129"/>
      <c r="MK47" s="129"/>
      <c r="ML47" s="129"/>
      <c r="MM47" s="129"/>
      <c r="MN47" s="129"/>
      <c r="MO47" s="129"/>
      <c r="MP47" s="129"/>
      <c r="MQ47" s="129"/>
      <c r="MR47" s="129"/>
      <c r="MS47" s="129"/>
      <c r="MT47" s="129"/>
      <c r="MU47" s="129"/>
      <c r="MV47" s="129"/>
      <c r="MW47" s="129"/>
      <c r="MX47" s="129"/>
      <c r="MY47" s="129"/>
      <c r="MZ47" s="129"/>
      <c r="PA47" s="129"/>
      <c r="PB47" s="129"/>
      <c r="PC47" s="129"/>
      <c r="PD47" s="129"/>
      <c r="PE47" s="129"/>
      <c r="PF47" s="129"/>
      <c r="PG47" s="129"/>
      <c r="PH47" s="129"/>
      <c r="PI47" s="129"/>
      <c r="PJ47" s="129"/>
      <c r="PK47" s="129"/>
      <c r="PL47" s="129"/>
      <c r="PM47" s="129"/>
      <c r="PN47" s="129"/>
      <c r="PO47" s="129"/>
      <c r="PP47" s="129"/>
      <c r="PQ47" s="129"/>
      <c r="PR47" s="129"/>
      <c r="PS47" s="129"/>
      <c r="PT47" s="129"/>
      <c r="PU47" s="129"/>
      <c r="PV47" s="129"/>
      <c r="PW47" s="129"/>
      <c r="PX47" s="129"/>
      <c r="PY47" s="129"/>
      <c r="PZ47" s="129"/>
    </row>
    <row r="48" spans="2:442" ht="14.4">
      <c r="B48" s="7" t="s">
        <v>5690</v>
      </c>
      <c r="C48"/>
      <c r="AG48" s="378"/>
      <c r="AH48" s="378"/>
      <c r="AI48" s="378"/>
      <c r="AJ48" s="378"/>
      <c r="AK48" s="378"/>
      <c r="AL48" s="378"/>
      <c r="AM48" s="378"/>
      <c r="AN48" s="378"/>
      <c r="AO48" s="378"/>
      <c r="AP48" s="378"/>
      <c r="AQ48" s="378"/>
      <c r="AR48" s="378"/>
      <c r="AS48" s="378"/>
      <c r="AT48" s="378"/>
      <c r="AU48" s="378"/>
      <c r="AV48" s="378"/>
      <c r="AW48" s="378"/>
      <c r="AX48" s="378"/>
      <c r="EF48" s="378"/>
      <c r="EG48" s="378"/>
      <c r="EH48" s="378"/>
      <c r="EI48" s="378"/>
      <c r="EJ48" s="378"/>
      <c r="EK48" s="378"/>
      <c r="EL48" s="378"/>
      <c r="EM48" s="378"/>
      <c r="EN48" s="378"/>
      <c r="EO48" s="378"/>
      <c r="EP48" s="378"/>
      <c r="EQ48" s="378"/>
      <c r="ER48" s="378"/>
      <c r="ES48" s="378"/>
      <c r="ET48" s="378"/>
      <c r="EU48" s="378"/>
      <c r="EV48" s="378"/>
      <c r="EW48" s="378"/>
      <c r="EX48" s="378"/>
      <c r="EZ48" s="129"/>
      <c r="FA48" s="129"/>
      <c r="FB48" s="129"/>
      <c r="FC48" s="129"/>
      <c r="FD48" s="129"/>
      <c r="FE48" s="129"/>
      <c r="FF48" s="129"/>
      <c r="FG48" s="129"/>
      <c r="FH48" s="129"/>
      <c r="FI48" s="129"/>
      <c r="FJ48" s="129"/>
      <c r="FK48" s="129"/>
      <c r="FL48" s="129"/>
      <c r="FM48" s="129"/>
      <c r="FN48" s="129"/>
      <c r="FO48" s="129"/>
      <c r="FP48" s="129"/>
      <c r="FQ48" s="129"/>
      <c r="FR48" s="129"/>
      <c r="FS48" s="129"/>
      <c r="FT48" s="129"/>
      <c r="FU48" s="129"/>
      <c r="FV48" s="129"/>
      <c r="FW48" s="129"/>
      <c r="FX48" s="129"/>
      <c r="FY48" s="129"/>
      <c r="FZ48" s="129"/>
      <c r="GA48" s="129"/>
      <c r="GB48" s="129"/>
      <c r="GC48" s="129"/>
      <c r="GD48" s="129"/>
      <c r="GE48" s="129"/>
      <c r="GF48" s="129"/>
      <c r="GG48" s="129"/>
      <c r="GH48" s="129"/>
      <c r="GI48" s="129"/>
      <c r="GJ48" s="129"/>
      <c r="GK48" s="129"/>
      <c r="GL48" s="129"/>
      <c r="GM48" s="129"/>
      <c r="GN48" s="129"/>
      <c r="GO48" s="129"/>
      <c r="GP48" s="129"/>
      <c r="GQ48" s="129"/>
      <c r="GR48" s="129"/>
      <c r="GS48" s="129"/>
      <c r="GT48" s="129"/>
      <c r="GU48" s="129"/>
      <c r="GV48" s="129"/>
      <c r="GW48" s="129"/>
      <c r="GX48" s="129"/>
      <c r="GY48" s="129"/>
      <c r="GZ48" s="129"/>
      <c r="HG48" s="129"/>
      <c r="HH48" s="129"/>
      <c r="HI48" s="129"/>
      <c r="HJ48" s="129"/>
      <c r="HK48" s="129"/>
      <c r="HL48" s="129"/>
      <c r="HM48" s="129"/>
      <c r="HN48" s="129"/>
      <c r="HO48" s="129"/>
      <c r="HP48" s="129"/>
      <c r="HQ48" s="129"/>
      <c r="HR48" s="129"/>
      <c r="HS48" s="129"/>
      <c r="HT48" s="129"/>
      <c r="HU48" s="129"/>
      <c r="HV48" s="129"/>
      <c r="HW48" s="129"/>
      <c r="HX48" s="129"/>
      <c r="HY48" s="129"/>
      <c r="HZ48" s="129"/>
      <c r="IA48" s="129"/>
      <c r="IB48" s="129"/>
      <c r="IC48" s="129"/>
      <c r="ID48" s="129"/>
      <c r="IE48" s="129"/>
      <c r="IF48" s="129"/>
      <c r="IG48" s="129"/>
      <c r="IH48" s="129"/>
      <c r="II48" s="129"/>
      <c r="IJ48" s="129"/>
      <c r="IK48" s="129"/>
      <c r="IL48" s="129"/>
      <c r="IM48" s="129"/>
      <c r="IN48" s="129"/>
      <c r="IO48" s="129"/>
      <c r="IP48" s="129"/>
      <c r="IQ48" s="129"/>
      <c r="IR48" s="129"/>
      <c r="IS48" s="129"/>
      <c r="IT48" s="129"/>
      <c r="IU48" s="129"/>
      <c r="IV48" s="129"/>
      <c r="IW48" s="129"/>
      <c r="IX48" s="129"/>
      <c r="IY48" s="129"/>
      <c r="IZ48" s="129"/>
      <c r="JA48" s="129"/>
      <c r="JI48" s="129"/>
      <c r="JJ48" s="129"/>
      <c r="JK48" s="129"/>
      <c r="JL48" s="129"/>
      <c r="JM48" s="129"/>
      <c r="JN48" s="129"/>
      <c r="JO48" s="129"/>
      <c r="JP48" s="129"/>
      <c r="JQ48" s="129"/>
      <c r="JR48" s="129"/>
      <c r="JS48" s="129"/>
      <c r="JT48" s="129"/>
      <c r="JU48" s="129"/>
      <c r="JV48" s="129"/>
      <c r="JW48" s="129"/>
      <c r="JX48" s="129"/>
      <c r="JY48" s="129"/>
      <c r="JZ48" s="129"/>
      <c r="MA48" s="129"/>
      <c r="MB48" s="129"/>
      <c r="MC48" s="129"/>
      <c r="MD48" s="129"/>
      <c r="ME48" s="129"/>
      <c r="MF48" s="129"/>
      <c r="MG48" s="129"/>
      <c r="MH48" s="129"/>
      <c r="MI48" s="129"/>
      <c r="MJ48" s="129"/>
      <c r="MK48" s="129"/>
      <c r="ML48" s="129"/>
      <c r="MM48" s="129"/>
      <c r="MN48" s="129"/>
      <c r="MO48" s="129"/>
      <c r="MP48" s="129"/>
      <c r="MQ48" s="129"/>
      <c r="MR48" s="129"/>
      <c r="MS48" s="129"/>
      <c r="MT48" s="129"/>
      <c r="MU48" s="129"/>
      <c r="MV48" s="129"/>
      <c r="MW48" s="129"/>
      <c r="MX48" s="129"/>
      <c r="MY48" s="129"/>
      <c r="MZ48" s="129"/>
      <c r="PA48" s="129"/>
      <c r="PB48" s="129"/>
      <c r="PC48" s="129"/>
      <c r="PD48" s="129"/>
      <c r="PE48" s="129"/>
      <c r="PF48" s="129"/>
      <c r="PG48" s="129"/>
      <c r="PH48" s="129"/>
      <c r="PI48" s="129"/>
      <c r="PJ48" s="129"/>
      <c r="PK48" s="129"/>
      <c r="PL48" s="129"/>
      <c r="PM48" s="129"/>
      <c r="PN48" s="129"/>
      <c r="PO48" s="129"/>
      <c r="PP48" s="129"/>
      <c r="PQ48" s="129"/>
      <c r="PR48" s="129"/>
      <c r="PS48" s="129"/>
      <c r="PT48" s="129"/>
      <c r="PU48" s="129"/>
      <c r="PV48" s="129"/>
      <c r="PW48" s="129"/>
      <c r="PX48" s="129"/>
      <c r="PY48" s="129"/>
      <c r="PZ48" s="129"/>
    </row>
    <row r="49" spans="2:442" ht="14.4">
      <c r="B49" s="7" t="s">
        <v>5691</v>
      </c>
      <c r="C49"/>
      <c r="AG49" s="378"/>
      <c r="AH49" s="378"/>
      <c r="AI49" s="378"/>
      <c r="AJ49" s="378"/>
      <c r="AK49" s="378"/>
      <c r="AL49" s="378"/>
      <c r="AM49" s="378"/>
      <c r="AN49" s="378"/>
      <c r="AO49" s="378"/>
      <c r="AP49" s="378"/>
      <c r="AQ49" s="378"/>
      <c r="AR49" s="378"/>
      <c r="AS49" s="378"/>
      <c r="AT49" s="378"/>
      <c r="AU49" s="378"/>
      <c r="AV49" s="378"/>
      <c r="AW49" s="378"/>
      <c r="AX49" s="378"/>
      <c r="EF49" s="378"/>
      <c r="EG49" s="378"/>
      <c r="EH49" s="378"/>
      <c r="EI49" s="378"/>
      <c r="EJ49" s="378"/>
      <c r="EK49" s="378"/>
      <c r="EL49" s="378"/>
      <c r="EM49" s="378"/>
      <c r="EN49" s="378"/>
      <c r="EO49" s="378"/>
      <c r="EP49" s="378"/>
      <c r="EQ49" s="378"/>
      <c r="ER49" s="378"/>
      <c r="ES49" s="378"/>
      <c r="ET49" s="378"/>
      <c r="EU49" s="378"/>
      <c r="EV49" s="378"/>
      <c r="EW49" s="378"/>
      <c r="EX49" s="378"/>
      <c r="EZ49" s="129"/>
      <c r="FA49" s="129"/>
      <c r="FB49" s="129"/>
      <c r="FC49" s="129"/>
      <c r="FD49" s="129"/>
      <c r="FE49" s="129"/>
      <c r="FF49" s="129"/>
      <c r="FG49" s="129"/>
      <c r="FH49" s="129"/>
      <c r="FI49" s="129"/>
      <c r="FJ49" s="129"/>
      <c r="FK49" s="129"/>
      <c r="FL49" s="129"/>
      <c r="FM49" s="129"/>
      <c r="FN49" s="129"/>
      <c r="FO49" s="129"/>
      <c r="FP49" s="129"/>
      <c r="FQ49" s="129"/>
      <c r="FR49" s="129"/>
      <c r="FS49" s="129"/>
      <c r="FT49" s="129"/>
      <c r="FU49" s="129"/>
      <c r="FV49" s="129"/>
      <c r="FW49" s="129"/>
      <c r="FX49" s="129"/>
      <c r="FY49" s="129"/>
      <c r="FZ49" s="129"/>
      <c r="GA49" s="129"/>
      <c r="GB49" s="129"/>
      <c r="GC49" s="129"/>
      <c r="GD49" s="129"/>
      <c r="GE49" s="129"/>
      <c r="GF49" s="129"/>
      <c r="GG49" s="129"/>
      <c r="GH49" s="129"/>
      <c r="GI49" s="129"/>
      <c r="GJ49" s="129"/>
      <c r="GK49" s="129"/>
      <c r="GL49" s="129"/>
      <c r="GM49" s="129"/>
      <c r="GN49" s="129"/>
      <c r="GO49" s="129"/>
      <c r="GP49" s="129"/>
      <c r="GQ49" s="129"/>
      <c r="GR49" s="129"/>
      <c r="GS49" s="129"/>
      <c r="GT49" s="129"/>
      <c r="GU49" s="129"/>
      <c r="GV49" s="129"/>
      <c r="GW49" s="129"/>
      <c r="GX49" s="129"/>
      <c r="GY49" s="129"/>
      <c r="GZ49" s="129"/>
      <c r="HG49" s="129"/>
      <c r="HH49" s="129"/>
      <c r="HI49" s="129"/>
      <c r="HJ49" s="129"/>
      <c r="HK49" s="129"/>
      <c r="HL49" s="129"/>
      <c r="HM49" s="129"/>
      <c r="HN49" s="129"/>
      <c r="HO49" s="129"/>
      <c r="HP49" s="129"/>
      <c r="HQ49" s="129"/>
      <c r="HR49" s="129"/>
      <c r="HS49" s="129"/>
      <c r="HT49" s="129"/>
      <c r="HU49" s="129"/>
      <c r="HV49" s="129"/>
      <c r="HW49" s="129"/>
      <c r="HX49" s="129"/>
      <c r="HY49" s="129"/>
      <c r="HZ49" s="129"/>
      <c r="IA49" s="129"/>
      <c r="IB49" s="129"/>
      <c r="IC49" s="129"/>
      <c r="ID49" s="129"/>
      <c r="IE49" s="129"/>
      <c r="IF49" s="129"/>
      <c r="IG49" s="129"/>
      <c r="IH49" s="129"/>
      <c r="II49" s="129"/>
      <c r="IJ49" s="129"/>
      <c r="IK49" s="129"/>
      <c r="IL49" s="129"/>
      <c r="IM49" s="129"/>
      <c r="IN49" s="129"/>
      <c r="IO49" s="129"/>
      <c r="IP49" s="129"/>
      <c r="IQ49" s="129"/>
      <c r="IR49" s="129"/>
      <c r="IS49" s="129"/>
      <c r="IT49" s="129"/>
      <c r="IU49" s="129"/>
      <c r="IV49" s="129"/>
      <c r="IW49" s="129"/>
      <c r="IX49" s="129"/>
      <c r="IY49" s="129"/>
      <c r="IZ49" s="129"/>
      <c r="JA49" s="129"/>
      <c r="JI49" s="129"/>
      <c r="JJ49" s="129"/>
      <c r="JK49" s="129"/>
      <c r="JL49" s="129"/>
      <c r="JM49" s="129"/>
      <c r="JN49" s="129"/>
      <c r="JO49" s="129"/>
      <c r="JP49" s="129"/>
      <c r="JQ49" s="129"/>
      <c r="JR49" s="129"/>
      <c r="JS49" s="129"/>
      <c r="JT49" s="129"/>
      <c r="JU49" s="129"/>
      <c r="JV49" s="129"/>
      <c r="JW49" s="129"/>
      <c r="JX49" s="129"/>
      <c r="JY49" s="129"/>
      <c r="JZ49" s="129"/>
      <c r="MA49" s="129"/>
      <c r="MB49" s="129"/>
      <c r="MC49" s="129"/>
      <c r="MD49" s="129"/>
      <c r="ME49" s="129"/>
      <c r="MF49" s="129"/>
      <c r="MG49" s="129"/>
      <c r="MH49" s="129"/>
      <c r="MI49" s="129"/>
      <c r="MJ49" s="129"/>
      <c r="MK49" s="129"/>
      <c r="ML49" s="129"/>
      <c r="MM49" s="129"/>
      <c r="MN49" s="129"/>
      <c r="MO49" s="129"/>
      <c r="MP49" s="129"/>
      <c r="MQ49" s="129"/>
      <c r="MR49" s="129"/>
      <c r="MS49" s="129"/>
      <c r="MT49" s="129"/>
      <c r="MU49" s="129"/>
      <c r="MV49" s="129"/>
      <c r="MW49" s="129"/>
      <c r="MX49" s="129"/>
      <c r="MY49" s="129"/>
      <c r="MZ49" s="129"/>
      <c r="PA49" s="129"/>
      <c r="PB49" s="129"/>
      <c r="PC49" s="129"/>
      <c r="PD49" s="129"/>
      <c r="PE49" s="129"/>
      <c r="PF49" s="129"/>
      <c r="PG49" s="129"/>
      <c r="PH49" s="129"/>
      <c r="PI49" s="129"/>
      <c r="PJ49" s="129"/>
      <c r="PK49" s="129"/>
      <c r="PL49" s="129"/>
      <c r="PM49" s="129"/>
      <c r="PN49" s="129"/>
      <c r="PO49" s="129"/>
      <c r="PP49" s="129"/>
      <c r="PQ49" s="129"/>
      <c r="PR49" s="129"/>
      <c r="PS49" s="129"/>
      <c r="PT49" s="129"/>
      <c r="PU49" s="129"/>
      <c r="PV49" s="129"/>
      <c r="PW49" s="129"/>
      <c r="PX49" s="129"/>
      <c r="PY49" s="129"/>
      <c r="PZ49" s="129"/>
    </row>
    <row r="50" spans="2:442" ht="14.4">
      <c r="B50"/>
      <c r="C50"/>
      <c r="EF50" s="378"/>
      <c r="EG50" s="378"/>
      <c r="EH50" s="378"/>
      <c r="EI50" s="378"/>
      <c r="EJ50" s="378"/>
      <c r="EK50" s="378"/>
      <c r="EL50" s="378"/>
      <c r="EM50" s="378"/>
      <c r="EN50" s="378"/>
      <c r="EO50" s="378"/>
      <c r="EP50" s="378"/>
      <c r="EQ50" s="378"/>
      <c r="ER50" s="378"/>
      <c r="ES50" s="378"/>
      <c r="ET50" s="378"/>
      <c r="EU50" s="378"/>
      <c r="EV50" s="378"/>
      <c r="EW50" s="378"/>
      <c r="EX50" s="378"/>
      <c r="EZ50" s="129"/>
      <c r="FA50" s="129"/>
      <c r="FB50" s="129"/>
      <c r="FC50" s="129"/>
      <c r="FD50" s="129"/>
      <c r="FE50" s="129"/>
      <c r="FF50" s="129"/>
      <c r="FG50" s="129"/>
      <c r="FH50" s="129"/>
      <c r="FI50" s="129"/>
      <c r="FJ50" s="129"/>
      <c r="FK50" s="129"/>
      <c r="FL50" s="129"/>
      <c r="FM50" s="129"/>
      <c r="FN50" s="129"/>
      <c r="FO50" s="129"/>
      <c r="FP50" s="129"/>
      <c r="FQ50" s="129"/>
      <c r="FR50" s="129"/>
      <c r="FS50" s="129"/>
      <c r="FT50" s="129"/>
      <c r="FU50" s="129"/>
      <c r="FV50" s="129"/>
      <c r="FW50" s="129"/>
      <c r="FX50" s="129"/>
      <c r="FY50" s="129"/>
      <c r="FZ50" s="129"/>
      <c r="GA50" s="129"/>
      <c r="GB50" s="129"/>
      <c r="GC50" s="129"/>
      <c r="GD50" s="129"/>
      <c r="GE50" s="129"/>
      <c r="GF50" s="129"/>
      <c r="GG50" s="129"/>
      <c r="GH50" s="129"/>
      <c r="GI50" s="129"/>
      <c r="GJ50" s="129"/>
      <c r="GK50" s="129"/>
      <c r="GL50" s="129"/>
      <c r="GM50" s="129"/>
      <c r="GN50" s="129"/>
      <c r="GO50" s="129"/>
      <c r="GP50" s="129"/>
      <c r="GQ50" s="129"/>
      <c r="GR50" s="129"/>
      <c r="GS50" s="129"/>
      <c r="GT50" s="129"/>
      <c r="GU50" s="129"/>
      <c r="GV50" s="129"/>
      <c r="GW50" s="129"/>
      <c r="GX50" s="129"/>
      <c r="GY50" s="129"/>
      <c r="GZ50" s="129"/>
      <c r="HG50" s="129"/>
      <c r="HH50" s="129"/>
      <c r="HI50" s="129"/>
      <c r="HJ50" s="129"/>
      <c r="HK50" s="129"/>
      <c r="HL50" s="129"/>
      <c r="HM50" s="129"/>
      <c r="HN50" s="129"/>
      <c r="HO50" s="129"/>
      <c r="HP50" s="129"/>
      <c r="HQ50" s="129"/>
      <c r="HR50" s="129"/>
      <c r="HS50" s="129"/>
      <c r="HT50" s="129"/>
      <c r="HU50" s="129"/>
      <c r="HV50" s="129"/>
      <c r="HW50" s="129"/>
      <c r="HX50" s="129"/>
      <c r="HY50" s="129"/>
      <c r="HZ50" s="129"/>
      <c r="IA50" s="129"/>
      <c r="IB50" s="129"/>
      <c r="IC50" s="129"/>
      <c r="ID50" s="129"/>
      <c r="IE50" s="129"/>
      <c r="IF50" s="129"/>
      <c r="IG50" s="129"/>
      <c r="IH50" s="129"/>
      <c r="II50" s="129"/>
      <c r="IJ50" s="129"/>
      <c r="IK50" s="129"/>
      <c r="IL50" s="129"/>
      <c r="IM50" s="129"/>
      <c r="IN50" s="129"/>
      <c r="IO50" s="129"/>
      <c r="IP50" s="129"/>
      <c r="IQ50" s="129"/>
      <c r="IR50" s="129"/>
      <c r="IS50" s="129"/>
      <c r="IT50" s="129"/>
      <c r="IU50" s="129"/>
      <c r="IV50" s="129"/>
      <c r="IW50" s="129"/>
      <c r="IX50" s="129"/>
      <c r="IY50" s="129"/>
      <c r="IZ50" s="129"/>
      <c r="JI50" s="129"/>
      <c r="JJ50" s="129"/>
      <c r="JK50" s="129"/>
      <c r="JL50" s="129"/>
      <c r="JM50" s="129"/>
      <c r="JN50" s="129"/>
      <c r="JO50" s="129"/>
      <c r="JP50" s="129"/>
      <c r="JQ50" s="129"/>
      <c r="JR50" s="129"/>
      <c r="JS50" s="129"/>
      <c r="JT50" s="129"/>
      <c r="JU50" s="129"/>
      <c r="JV50" s="129"/>
      <c r="JW50" s="129"/>
      <c r="JX50" s="129"/>
      <c r="JY50" s="129"/>
      <c r="JZ50" s="129"/>
      <c r="MA50" s="129"/>
      <c r="MB50" s="129"/>
      <c r="MC50" s="129"/>
      <c r="MD50" s="129"/>
      <c r="ME50" s="129"/>
      <c r="MF50" s="129"/>
      <c r="MG50" s="129"/>
      <c r="MH50" s="129"/>
      <c r="MI50" s="129"/>
      <c r="MJ50" s="129"/>
      <c r="MK50" s="129"/>
      <c r="ML50" s="129"/>
      <c r="MM50" s="129"/>
      <c r="MN50" s="129"/>
      <c r="MO50" s="129"/>
      <c r="MP50" s="129"/>
      <c r="MQ50" s="129"/>
      <c r="MR50" s="129"/>
      <c r="MS50" s="129"/>
      <c r="MT50" s="129"/>
      <c r="MU50" s="129"/>
      <c r="MV50" s="129"/>
      <c r="MW50" s="129"/>
      <c r="MX50" s="129"/>
      <c r="MY50" s="129"/>
      <c r="MZ50" s="129"/>
      <c r="PA50" s="129"/>
      <c r="PB50" s="129"/>
      <c r="PC50" s="129"/>
      <c r="PD50" s="129"/>
      <c r="PE50" s="129"/>
      <c r="PF50" s="129"/>
      <c r="PG50" s="129"/>
      <c r="PH50" s="129"/>
      <c r="PI50" s="129"/>
      <c r="PJ50" s="129"/>
      <c r="PK50" s="129"/>
      <c r="PL50" s="129"/>
      <c r="PM50" s="129"/>
      <c r="PN50" s="129"/>
      <c r="PO50" s="129"/>
      <c r="PP50" s="129"/>
      <c r="PQ50" s="129"/>
      <c r="PR50" s="129"/>
      <c r="PS50" s="129"/>
      <c r="PT50" s="129"/>
      <c r="PU50" s="129"/>
      <c r="PV50" s="129"/>
      <c r="PW50" s="129"/>
      <c r="PX50" s="129"/>
      <c r="PY50" s="129"/>
      <c r="PZ50" s="129"/>
    </row>
    <row r="51" spans="2:442" ht="14.4">
      <c r="B51" s="1077" t="s">
        <v>5785</v>
      </c>
      <c r="C51"/>
      <c r="EF51" s="378"/>
      <c r="EG51" s="378"/>
      <c r="EH51" s="378"/>
      <c r="EI51" s="378"/>
      <c r="EJ51" s="378"/>
      <c r="EK51" s="378"/>
      <c r="EL51" s="378"/>
      <c r="EM51" s="378"/>
      <c r="EN51" s="378"/>
      <c r="EO51" s="378"/>
      <c r="EP51" s="378"/>
      <c r="EQ51" s="378"/>
      <c r="ER51" s="378"/>
      <c r="ES51" s="378"/>
      <c r="ET51" s="378"/>
      <c r="EU51" s="378"/>
      <c r="EV51" s="378"/>
      <c r="EW51" s="378"/>
      <c r="EX51" s="378"/>
      <c r="EZ51" s="129"/>
      <c r="FA51" s="129"/>
      <c r="FB51" s="129"/>
      <c r="FC51" s="129"/>
      <c r="FD51" s="129"/>
      <c r="FE51" s="129"/>
      <c r="FF51" s="129"/>
      <c r="FG51" s="129"/>
      <c r="FH51" s="129"/>
      <c r="FI51" s="129"/>
      <c r="FJ51" s="129"/>
      <c r="FK51" s="129"/>
      <c r="FL51" s="129"/>
      <c r="FM51" s="129"/>
      <c r="FN51" s="129"/>
      <c r="FO51" s="129"/>
      <c r="FP51" s="129"/>
      <c r="FQ51" s="129"/>
      <c r="FR51" s="129"/>
      <c r="FS51" s="129"/>
      <c r="FT51" s="129"/>
      <c r="FU51" s="129"/>
      <c r="FV51" s="129"/>
      <c r="FW51" s="129"/>
      <c r="FX51" s="129"/>
      <c r="FY51" s="129"/>
      <c r="FZ51" s="129"/>
      <c r="GA51" s="129"/>
      <c r="GB51" s="129"/>
      <c r="GC51" s="129"/>
      <c r="GD51" s="129"/>
      <c r="GE51" s="129"/>
      <c r="GF51" s="129"/>
      <c r="GG51" s="129"/>
      <c r="GH51" s="129"/>
      <c r="GI51" s="129"/>
      <c r="GJ51" s="129"/>
      <c r="GK51" s="129"/>
      <c r="GL51" s="129"/>
      <c r="GM51" s="129"/>
      <c r="GN51" s="129"/>
      <c r="GO51" s="129"/>
      <c r="GP51" s="129"/>
      <c r="GQ51" s="129"/>
      <c r="GR51" s="129"/>
      <c r="GS51" s="129"/>
      <c r="GT51" s="129"/>
      <c r="GU51" s="129"/>
      <c r="GV51" s="129"/>
      <c r="GW51" s="129"/>
      <c r="GX51" s="129"/>
      <c r="GY51" s="129"/>
      <c r="GZ51" s="129"/>
      <c r="HG51" s="129"/>
      <c r="HH51" s="129"/>
      <c r="HI51" s="129"/>
      <c r="HJ51" s="129"/>
      <c r="HK51" s="129"/>
      <c r="HL51" s="129"/>
      <c r="HM51" s="129"/>
      <c r="HN51" s="129"/>
      <c r="HO51" s="129"/>
      <c r="HP51" s="129"/>
      <c r="HQ51" s="129"/>
      <c r="HR51" s="129"/>
      <c r="HS51" s="129"/>
      <c r="HT51" s="129"/>
      <c r="HU51" s="129"/>
      <c r="HV51" s="129"/>
      <c r="HW51" s="129"/>
      <c r="HX51" s="129"/>
      <c r="HY51" s="129"/>
      <c r="HZ51" s="129"/>
      <c r="IA51" s="129"/>
      <c r="IB51" s="129"/>
      <c r="IC51" s="129"/>
      <c r="ID51" s="129"/>
      <c r="IE51" s="129"/>
      <c r="IF51" s="129"/>
      <c r="IG51" s="129"/>
      <c r="IH51" s="129"/>
      <c r="II51" s="129"/>
      <c r="IJ51" s="129"/>
      <c r="IK51" s="129"/>
      <c r="IL51" s="129"/>
      <c r="IM51" s="129"/>
      <c r="IN51" s="129"/>
      <c r="IO51" s="129"/>
      <c r="IP51" s="129"/>
      <c r="IQ51" s="129"/>
      <c r="IR51" s="129"/>
      <c r="IS51" s="129"/>
      <c r="IT51" s="129"/>
      <c r="IU51" s="129"/>
      <c r="IV51" s="129"/>
      <c r="IW51" s="129"/>
      <c r="IX51" s="129"/>
      <c r="IY51" s="129"/>
      <c r="IZ51" s="129"/>
      <c r="JI51" s="129"/>
      <c r="JJ51" s="129"/>
      <c r="JK51" s="129"/>
      <c r="JL51" s="129"/>
      <c r="JM51" s="129"/>
      <c r="JN51" s="129"/>
      <c r="JO51" s="129"/>
      <c r="JP51" s="129"/>
      <c r="JQ51" s="129"/>
      <c r="JR51" s="129"/>
      <c r="JS51" s="129"/>
      <c r="JT51" s="129"/>
      <c r="JU51" s="129"/>
      <c r="JV51" s="129"/>
      <c r="JW51" s="129"/>
      <c r="JX51" s="129"/>
      <c r="JY51" s="129"/>
      <c r="JZ51" s="129"/>
      <c r="MA51" s="129"/>
      <c r="MB51" s="129"/>
      <c r="MC51" s="129"/>
      <c r="MD51" s="129"/>
      <c r="ME51" s="129"/>
      <c r="MF51" s="129"/>
      <c r="MG51" s="129"/>
      <c r="MH51" s="129"/>
      <c r="MI51" s="129"/>
      <c r="MJ51" s="129"/>
      <c r="MK51" s="129"/>
      <c r="ML51" s="129"/>
      <c r="MM51" s="129"/>
      <c r="MN51" s="129"/>
      <c r="MO51" s="129"/>
      <c r="MP51" s="129"/>
      <c r="MQ51" s="129"/>
      <c r="MR51" s="129"/>
      <c r="MS51" s="129"/>
      <c r="MT51" s="129"/>
      <c r="MU51" s="129"/>
      <c r="MV51" s="129"/>
      <c r="MW51" s="129"/>
      <c r="MX51" s="129"/>
      <c r="MY51" s="129"/>
      <c r="MZ51" s="129"/>
      <c r="PA51" s="129"/>
      <c r="PB51" s="129"/>
      <c r="PC51" s="129"/>
      <c r="PD51" s="129"/>
      <c r="PE51" s="129"/>
      <c r="PF51" s="129"/>
      <c r="PG51" s="129"/>
      <c r="PH51" s="129"/>
      <c r="PI51" s="129"/>
      <c r="PJ51" s="129"/>
      <c r="PK51" s="129"/>
      <c r="PL51" s="129"/>
      <c r="PM51" s="129"/>
      <c r="PN51" s="129"/>
      <c r="PO51" s="129"/>
      <c r="PP51" s="129"/>
      <c r="PQ51" s="129"/>
      <c r="PR51" s="129"/>
      <c r="PS51" s="129"/>
      <c r="PT51" s="129"/>
      <c r="PU51" s="129"/>
      <c r="PV51" s="129"/>
      <c r="PW51" s="129"/>
      <c r="PX51" s="129"/>
      <c r="PY51" s="129"/>
      <c r="PZ51" s="129"/>
    </row>
    <row r="52" spans="2:442" ht="14.4">
      <c r="B52" s="7" t="s">
        <v>5679</v>
      </c>
      <c r="C52"/>
      <c r="EF52" s="378"/>
      <c r="EG52" s="378"/>
      <c r="EH52" s="378"/>
      <c r="EI52" s="378"/>
      <c r="EJ52" s="378"/>
      <c r="EK52" s="378"/>
      <c r="EL52" s="378"/>
      <c r="EM52" s="378"/>
      <c r="EN52" s="378"/>
      <c r="EO52" s="378"/>
      <c r="EP52" s="378"/>
      <c r="EQ52" s="378"/>
      <c r="ER52" s="378"/>
      <c r="ES52" s="378"/>
      <c r="ET52" s="378"/>
      <c r="EU52" s="378"/>
      <c r="EV52" s="378"/>
      <c r="EW52" s="378"/>
      <c r="EX52" s="378"/>
      <c r="EZ52" s="129"/>
      <c r="FA52" s="129"/>
      <c r="FB52" s="129"/>
      <c r="FC52" s="129"/>
      <c r="FD52" s="129"/>
      <c r="FE52" s="129"/>
      <c r="FF52" s="129"/>
      <c r="FG52" s="129"/>
      <c r="FH52" s="129"/>
      <c r="FI52" s="129"/>
      <c r="FJ52" s="129"/>
      <c r="FK52" s="129"/>
      <c r="FL52" s="129"/>
      <c r="FM52" s="129"/>
      <c r="FN52" s="129"/>
      <c r="FO52" s="129"/>
      <c r="FP52" s="129"/>
      <c r="FQ52" s="129"/>
      <c r="FR52" s="129"/>
      <c r="FS52" s="129"/>
      <c r="FT52" s="129"/>
      <c r="FU52" s="129"/>
      <c r="FV52" s="129"/>
      <c r="FW52" s="129"/>
      <c r="FX52" s="129"/>
      <c r="FY52" s="129"/>
      <c r="FZ52" s="129"/>
      <c r="GA52" s="129"/>
      <c r="GB52" s="129"/>
      <c r="GC52" s="129"/>
      <c r="GD52" s="129"/>
      <c r="GE52" s="129"/>
      <c r="GF52" s="129"/>
      <c r="GG52" s="129"/>
      <c r="GH52" s="129"/>
      <c r="GI52" s="129"/>
      <c r="GJ52" s="129"/>
      <c r="GK52" s="129"/>
      <c r="GL52" s="129"/>
      <c r="GM52" s="129"/>
      <c r="GN52" s="129"/>
      <c r="GO52" s="129"/>
      <c r="GP52" s="129"/>
      <c r="GQ52" s="129"/>
      <c r="GR52" s="129"/>
      <c r="GS52" s="129"/>
      <c r="GT52" s="129"/>
      <c r="GU52" s="129"/>
      <c r="GV52" s="129"/>
      <c r="GW52" s="129"/>
      <c r="GX52" s="129"/>
      <c r="GY52" s="129"/>
      <c r="GZ52" s="129"/>
      <c r="HG52" s="129"/>
      <c r="HH52" s="129"/>
      <c r="HI52" s="129"/>
      <c r="HJ52" s="129"/>
      <c r="HK52" s="129"/>
      <c r="HL52" s="129"/>
      <c r="HM52" s="129"/>
      <c r="HN52" s="129"/>
      <c r="HO52" s="129"/>
      <c r="HP52" s="129"/>
      <c r="HQ52" s="129"/>
      <c r="HR52" s="129"/>
      <c r="HS52" s="129"/>
      <c r="HT52" s="129"/>
      <c r="HU52" s="129"/>
      <c r="HV52" s="129"/>
      <c r="HW52" s="129"/>
      <c r="HX52" s="129"/>
      <c r="HY52" s="129"/>
      <c r="HZ52" s="129"/>
      <c r="IA52" s="129"/>
      <c r="IB52" s="129"/>
      <c r="IC52" s="129"/>
      <c r="ID52" s="129"/>
      <c r="IE52" s="129"/>
      <c r="IF52" s="129"/>
      <c r="IG52" s="129"/>
      <c r="IH52" s="129"/>
      <c r="II52" s="129"/>
      <c r="IJ52" s="129"/>
      <c r="IK52" s="129"/>
      <c r="IL52" s="129"/>
      <c r="IM52" s="129"/>
      <c r="IN52" s="129"/>
      <c r="IO52" s="129"/>
      <c r="IP52" s="129"/>
      <c r="IQ52" s="129"/>
      <c r="IR52" s="129"/>
      <c r="IS52" s="129"/>
      <c r="IT52" s="129"/>
      <c r="IU52" s="129"/>
      <c r="IV52" s="129"/>
      <c r="IW52" s="129"/>
      <c r="IX52" s="129"/>
      <c r="IY52" s="129"/>
      <c r="IZ52" s="129"/>
      <c r="JI52" s="129"/>
      <c r="JJ52" s="129"/>
      <c r="JK52" s="129"/>
      <c r="JL52" s="129"/>
      <c r="JM52" s="129"/>
      <c r="JN52" s="129"/>
      <c r="JO52" s="129"/>
      <c r="JP52" s="129"/>
      <c r="JQ52" s="129"/>
      <c r="JR52" s="129"/>
      <c r="JS52" s="129"/>
      <c r="JT52" s="129"/>
      <c r="JU52" s="129"/>
      <c r="JV52" s="129"/>
      <c r="JW52" s="129"/>
      <c r="JX52" s="129"/>
      <c r="JY52" s="129"/>
      <c r="JZ52" s="129"/>
      <c r="MA52" s="129"/>
      <c r="MB52" s="129"/>
      <c r="MC52" s="129"/>
      <c r="MD52" s="129"/>
      <c r="ME52" s="129"/>
      <c r="MF52" s="129"/>
      <c r="MG52" s="129"/>
      <c r="MH52" s="129"/>
      <c r="MI52" s="129"/>
      <c r="MJ52" s="129"/>
      <c r="MK52" s="129"/>
      <c r="ML52" s="129"/>
      <c r="MM52" s="129"/>
      <c r="MN52" s="129"/>
      <c r="MO52" s="129"/>
      <c r="MP52" s="129"/>
      <c r="MQ52" s="129"/>
      <c r="MR52" s="129"/>
      <c r="MS52" s="129"/>
      <c r="MT52" s="129"/>
      <c r="MU52" s="129"/>
      <c r="MV52" s="129"/>
      <c r="MW52" s="129"/>
      <c r="MX52" s="129"/>
      <c r="MY52" s="129"/>
      <c r="MZ52" s="129"/>
      <c r="PA52" s="129"/>
      <c r="PB52" s="129"/>
      <c r="PC52" s="129"/>
      <c r="PD52" s="129"/>
      <c r="PE52" s="129"/>
      <c r="PF52" s="129"/>
      <c r="PG52" s="129"/>
      <c r="PH52" s="129"/>
      <c r="PI52" s="129"/>
      <c r="PJ52" s="129"/>
      <c r="PK52" s="129"/>
      <c r="PL52" s="129"/>
      <c r="PM52" s="129"/>
      <c r="PN52" s="129"/>
      <c r="PO52" s="129"/>
      <c r="PP52" s="129"/>
      <c r="PQ52" s="129"/>
      <c r="PR52" s="129"/>
      <c r="PS52" s="129"/>
      <c r="PT52" s="129"/>
      <c r="PU52" s="129"/>
      <c r="PV52" s="129"/>
      <c r="PW52" s="129"/>
      <c r="PX52" s="129"/>
      <c r="PY52" s="129"/>
      <c r="PZ52" s="129"/>
    </row>
    <row r="53" spans="2:442" ht="14.4">
      <c r="B53" s="7" t="s">
        <v>5677</v>
      </c>
      <c r="C53"/>
      <c r="EF53" s="378"/>
      <c r="EG53" s="378"/>
      <c r="EH53" s="378"/>
      <c r="EI53" s="378"/>
      <c r="EJ53" s="378"/>
      <c r="EK53" s="378"/>
      <c r="EL53" s="378"/>
      <c r="EM53" s="378"/>
      <c r="EN53" s="378"/>
      <c r="EO53" s="378"/>
      <c r="EP53" s="378"/>
      <c r="EQ53" s="378"/>
      <c r="ER53" s="378"/>
      <c r="ES53" s="378"/>
      <c r="ET53" s="378"/>
      <c r="EU53" s="378"/>
      <c r="EV53" s="378"/>
      <c r="EW53" s="378"/>
      <c r="EX53" s="378"/>
      <c r="EZ53" s="129"/>
      <c r="FA53" s="129"/>
      <c r="FB53" s="129"/>
      <c r="FC53" s="129"/>
      <c r="FD53" s="129"/>
      <c r="FE53" s="129"/>
      <c r="FF53" s="129"/>
      <c r="FG53" s="129"/>
      <c r="FH53" s="129"/>
      <c r="FI53" s="129"/>
      <c r="FJ53" s="129"/>
      <c r="FK53" s="129"/>
      <c r="FL53" s="129"/>
      <c r="FM53" s="129"/>
      <c r="FN53" s="129"/>
      <c r="FO53" s="129"/>
      <c r="FP53" s="129"/>
      <c r="FQ53" s="129"/>
      <c r="FR53" s="129"/>
      <c r="FS53" s="129"/>
      <c r="FT53" s="129"/>
      <c r="FU53" s="129"/>
      <c r="FV53" s="129"/>
      <c r="FW53" s="129"/>
      <c r="FX53" s="129"/>
      <c r="FY53" s="129"/>
      <c r="FZ53" s="129"/>
      <c r="GA53" s="129"/>
      <c r="GB53" s="129"/>
      <c r="GC53" s="129"/>
      <c r="GD53" s="129"/>
      <c r="GE53" s="129"/>
      <c r="GF53" s="129"/>
      <c r="GG53" s="129"/>
      <c r="GH53" s="129"/>
      <c r="GI53" s="129"/>
      <c r="GJ53" s="129"/>
      <c r="GK53" s="129"/>
      <c r="GL53" s="129"/>
      <c r="GM53" s="129"/>
      <c r="GN53" s="129"/>
      <c r="GO53" s="129"/>
      <c r="GP53" s="129"/>
      <c r="GQ53" s="129"/>
      <c r="GR53" s="129"/>
      <c r="GS53" s="129"/>
      <c r="GT53" s="129"/>
      <c r="GU53" s="129"/>
      <c r="GV53" s="129"/>
      <c r="GW53" s="129"/>
      <c r="GX53" s="129"/>
      <c r="GY53" s="129"/>
      <c r="GZ53" s="129"/>
      <c r="HG53" s="129"/>
      <c r="HH53" s="129"/>
      <c r="HI53" s="129"/>
      <c r="HJ53" s="129"/>
      <c r="HK53" s="129"/>
      <c r="HL53" s="129"/>
      <c r="HM53" s="129"/>
      <c r="HN53" s="129"/>
      <c r="HO53" s="129"/>
      <c r="HP53" s="129"/>
      <c r="HQ53" s="129"/>
      <c r="HR53" s="129"/>
      <c r="HS53" s="129"/>
      <c r="HT53" s="129"/>
      <c r="HU53" s="129"/>
      <c r="HV53" s="129"/>
      <c r="HW53" s="129"/>
      <c r="HX53" s="129"/>
      <c r="HY53" s="129"/>
      <c r="HZ53" s="129"/>
      <c r="IA53" s="129"/>
      <c r="IB53" s="129"/>
      <c r="IC53" s="129"/>
      <c r="ID53" s="129"/>
      <c r="IE53" s="129"/>
      <c r="IF53" s="129"/>
      <c r="IG53" s="129"/>
      <c r="IH53" s="129"/>
      <c r="II53" s="129"/>
      <c r="IJ53" s="129"/>
      <c r="IK53" s="129"/>
      <c r="IL53" s="129"/>
      <c r="IM53" s="129"/>
      <c r="IN53" s="129"/>
      <c r="IO53" s="129"/>
      <c r="IP53" s="129"/>
      <c r="IQ53" s="129"/>
      <c r="IR53" s="129"/>
      <c r="IS53" s="129"/>
      <c r="IT53" s="129"/>
      <c r="IU53" s="129"/>
      <c r="IV53" s="129"/>
      <c r="IW53" s="129"/>
      <c r="IX53" s="129"/>
      <c r="IY53" s="129"/>
      <c r="IZ53" s="129"/>
      <c r="JI53" s="129"/>
      <c r="JJ53" s="129"/>
      <c r="JK53" s="129"/>
      <c r="JL53" s="129"/>
      <c r="JM53" s="129"/>
      <c r="JN53" s="129"/>
      <c r="JO53" s="129"/>
      <c r="JP53" s="129"/>
      <c r="JQ53" s="129"/>
      <c r="JR53" s="129"/>
      <c r="JS53" s="129"/>
      <c r="JT53" s="129"/>
      <c r="JU53" s="129"/>
      <c r="JV53" s="129"/>
      <c r="JW53" s="129"/>
      <c r="JX53" s="129"/>
      <c r="JY53" s="129"/>
      <c r="JZ53" s="129"/>
      <c r="MA53" s="129"/>
      <c r="MB53" s="129"/>
      <c r="MC53" s="129"/>
      <c r="MD53" s="129"/>
      <c r="ME53" s="129"/>
      <c r="MF53" s="129"/>
      <c r="MG53" s="129"/>
      <c r="MH53" s="129"/>
      <c r="MI53" s="129"/>
      <c r="MJ53" s="129"/>
      <c r="MK53" s="129"/>
      <c r="ML53" s="129"/>
      <c r="MM53" s="129"/>
      <c r="MN53" s="129"/>
      <c r="MO53" s="129"/>
      <c r="MP53" s="129"/>
      <c r="MQ53" s="129"/>
      <c r="MR53" s="129"/>
      <c r="MS53" s="129"/>
      <c r="MT53" s="129"/>
      <c r="MU53" s="129"/>
      <c r="MV53" s="129"/>
      <c r="MW53" s="129"/>
      <c r="MX53" s="129"/>
      <c r="MY53" s="129"/>
      <c r="MZ53" s="129"/>
      <c r="PA53" s="129"/>
      <c r="PB53" s="129"/>
      <c r="PC53" s="129"/>
      <c r="PD53" s="129"/>
      <c r="PE53" s="129"/>
      <c r="PF53" s="129"/>
      <c r="PG53" s="129"/>
      <c r="PH53" s="129"/>
      <c r="PI53" s="129"/>
      <c r="PJ53" s="129"/>
      <c r="PK53" s="129"/>
      <c r="PL53" s="129"/>
      <c r="PM53" s="129"/>
      <c r="PN53" s="129"/>
      <c r="PO53" s="129"/>
      <c r="PP53" s="129"/>
      <c r="PQ53" s="129"/>
      <c r="PR53" s="129"/>
      <c r="PS53" s="129"/>
      <c r="PT53" s="129"/>
      <c r="PU53" s="129"/>
      <c r="PV53" s="129"/>
      <c r="PW53" s="129"/>
      <c r="PX53" s="129"/>
      <c r="PY53" s="129"/>
      <c r="PZ53" s="129"/>
    </row>
    <row r="54" spans="2:442" ht="14.4">
      <c r="B54" s="7" t="s">
        <v>5693</v>
      </c>
      <c r="C54"/>
      <c r="EF54" s="378"/>
      <c r="EG54" s="378"/>
      <c r="EH54" s="378"/>
      <c r="EI54" s="378"/>
      <c r="EJ54" s="378"/>
      <c r="EK54" s="378"/>
      <c r="EL54" s="378"/>
      <c r="EM54" s="378"/>
      <c r="EN54" s="378"/>
      <c r="EO54" s="378"/>
      <c r="EP54" s="378"/>
      <c r="EQ54" s="378"/>
      <c r="ER54" s="378"/>
      <c r="ES54" s="378"/>
      <c r="ET54" s="378"/>
      <c r="EU54" s="378"/>
      <c r="EV54" s="378"/>
      <c r="EW54" s="378"/>
      <c r="EX54" s="378"/>
      <c r="EZ54" s="129"/>
      <c r="FA54" s="129"/>
      <c r="FB54" s="129"/>
      <c r="FC54" s="129"/>
      <c r="FD54" s="129"/>
      <c r="FE54" s="129"/>
      <c r="FF54" s="129"/>
      <c r="FG54" s="129"/>
      <c r="FH54" s="129"/>
      <c r="FI54" s="129"/>
      <c r="FJ54" s="129"/>
      <c r="FK54" s="129"/>
      <c r="FL54" s="129"/>
      <c r="FM54" s="129"/>
      <c r="FN54" s="129"/>
      <c r="FO54" s="129"/>
      <c r="FP54" s="129"/>
      <c r="FQ54" s="129"/>
      <c r="FR54" s="129"/>
      <c r="FS54" s="129"/>
      <c r="FT54" s="129"/>
      <c r="FU54" s="129"/>
      <c r="FV54" s="129"/>
      <c r="FW54" s="129"/>
      <c r="FX54" s="129"/>
      <c r="FY54" s="129"/>
      <c r="FZ54" s="129"/>
      <c r="GA54" s="129"/>
      <c r="GB54" s="129"/>
      <c r="GC54" s="129"/>
      <c r="GD54" s="129"/>
      <c r="GE54" s="129"/>
      <c r="GF54" s="129"/>
      <c r="GG54" s="129"/>
      <c r="GH54" s="129"/>
      <c r="GI54" s="129"/>
      <c r="GJ54" s="129"/>
      <c r="GK54" s="129"/>
      <c r="GL54" s="129"/>
      <c r="GM54" s="129"/>
      <c r="GN54" s="129"/>
      <c r="GO54" s="129"/>
      <c r="GP54" s="129"/>
      <c r="GQ54" s="129"/>
      <c r="GR54" s="129"/>
      <c r="GS54" s="129"/>
      <c r="GT54" s="129"/>
      <c r="GU54" s="129"/>
      <c r="GV54" s="129"/>
      <c r="GW54" s="129"/>
      <c r="GX54" s="129"/>
      <c r="GY54" s="129"/>
      <c r="GZ54" s="129"/>
      <c r="HG54" s="129"/>
      <c r="HH54" s="129"/>
      <c r="HI54" s="129"/>
      <c r="HJ54" s="129"/>
      <c r="HK54" s="129"/>
      <c r="HL54" s="129"/>
      <c r="HM54" s="129"/>
      <c r="HN54" s="129"/>
      <c r="HO54" s="129"/>
      <c r="HP54" s="129"/>
      <c r="HQ54" s="129"/>
      <c r="HR54" s="129"/>
      <c r="HS54" s="129"/>
      <c r="HT54" s="129"/>
      <c r="HU54" s="129"/>
      <c r="HV54" s="129"/>
      <c r="HW54" s="129"/>
      <c r="HX54" s="129"/>
      <c r="HY54" s="129"/>
      <c r="HZ54" s="129"/>
      <c r="IA54" s="129"/>
      <c r="IB54" s="129"/>
      <c r="IC54" s="129"/>
      <c r="ID54" s="129"/>
      <c r="IE54" s="129"/>
      <c r="IF54" s="129"/>
      <c r="IG54" s="129"/>
      <c r="IH54" s="129"/>
      <c r="II54" s="129"/>
      <c r="IJ54" s="129"/>
      <c r="IK54" s="129"/>
      <c r="IL54" s="129"/>
      <c r="IM54" s="129"/>
      <c r="IN54" s="129"/>
      <c r="IO54" s="129"/>
      <c r="IP54" s="129"/>
      <c r="IQ54" s="129"/>
      <c r="IR54" s="129"/>
      <c r="IS54" s="129"/>
      <c r="IT54" s="129"/>
      <c r="IU54" s="129"/>
      <c r="IV54" s="129"/>
      <c r="IW54" s="129"/>
      <c r="IX54" s="129"/>
      <c r="IY54" s="129"/>
      <c r="IZ54" s="129"/>
      <c r="JI54" s="129"/>
      <c r="JJ54" s="129"/>
      <c r="JK54" s="129"/>
      <c r="JL54" s="129"/>
      <c r="JM54" s="129"/>
      <c r="JN54" s="129"/>
      <c r="JO54" s="129"/>
      <c r="JP54" s="129"/>
      <c r="JQ54" s="129"/>
      <c r="JR54" s="129"/>
      <c r="JS54" s="129"/>
      <c r="JT54" s="129"/>
      <c r="JU54" s="129"/>
      <c r="JV54" s="129"/>
      <c r="JW54" s="129"/>
      <c r="JX54" s="129"/>
      <c r="JY54" s="129"/>
      <c r="JZ54" s="129"/>
      <c r="MA54" s="129"/>
      <c r="MB54" s="129"/>
      <c r="MC54" s="129"/>
      <c r="MD54" s="129"/>
      <c r="ME54" s="129"/>
      <c r="MF54" s="129"/>
      <c r="MG54" s="129"/>
      <c r="MH54" s="129"/>
      <c r="MI54" s="129"/>
      <c r="MJ54" s="129"/>
      <c r="MK54" s="129"/>
      <c r="ML54" s="129"/>
      <c r="MM54" s="129"/>
      <c r="MN54" s="129"/>
      <c r="MO54" s="129"/>
      <c r="MP54" s="129"/>
      <c r="MQ54" s="129"/>
      <c r="MR54" s="129"/>
      <c r="MS54" s="129"/>
      <c r="MT54" s="129"/>
      <c r="MU54" s="129"/>
      <c r="MV54" s="129"/>
      <c r="MW54" s="129"/>
      <c r="MX54" s="129"/>
      <c r="MY54" s="129"/>
      <c r="MZ54" s="129"/>
      <c r="PA54" s="129"/>
      <c r="PB54" s="129"/>
      <c r="PC54" s="129"/>
      <c r="PD54" s="129"/>
      <c r="PE54" s="129"/>
      <c r="PF54" s="129"/>
      <c r="PG54" s="129"/>
      <c r="PH54" s="129"/>
      <c r="PI54" s="129"/>
      <c r="PJ54" s="129"/>
      <c r="PK54" s="129"/>
      <c r="PL54" s="129"/>
      <c r="PM54" s="129"/>
      <c r="PN54" s="129"/>
      <c r="PO54" s="129"/>
      <c r="PP54" s="129"/>
      <c r="PQ54" s="129"/>
      <c r="PR54" s="129"/>
      <c r="PS54" s="129"/>
      <c r="PT54" s="129"/>
      <c r="PU54" s="129"/>
      <c r="PV54" s="129"/>
      <c r="PW54" s="129"/>
      <c r="PX54" s="129"/>
      <c r="PY54" s="129"/>
      <c r="PZ54" s="129"/>
    </row>
    <row r="55" spans="2:442" ht="14.4">
      <c r="B55" s="7" t="s">
        <v>5682</v>
      </c>
      <c r="C55"/>
      <c r="EF55" s="378"/>
      <c r="EG55" s="378"/>
      <c r="EH55" s="378"/>
      <c r="EI55" s="378"/>
      <c r="EJ55" s="378"/>
      <c r="EK55" s="378"/>
      <c r="EL55" s="378"/>
      <c r="EM55" s="378"/>
      <c r="EN55" s="378"/>
      <c r="EO55" s="378"/>
      <c r="EP55" s="378"/>
      <c r="EQ55" s="378"/>
      <c r="ER55" s="378"/>
      <c r="ES55" s="378"/>
      <c r="ET55" s="378"/>
      <c r="EU55" s="378"/>
      <c r="EV55" s="378"/>
      <c r="EW55" s="378"/>
      <c r="EX55" s="378"/>
      <c r="EZ55" s="129"/>
      <c r="FA55" s="129"/>
      <c r="FB55" s="129"/>
      <c r="FC55" s="129"/>
      <c r="FD55" s="129"/>
      <c r="FE55" s="129"/>
      <c r="FF55" s="129"/>
      <c r="FG55" s="129"/>
      <c r="FH55" s="129"/>
      <c r="FI55" s="129"/>
      <c r="FJ55" s="129"/>
      <c r="FK55" s="129"/>
      <c r="FL55" s="129"/>
      <c r="FM55" s="129"/>
      <c r="FN55" s="129"/>
      <c r="FO55" s="129"/>
      <c r="FP55" s="129"/>
      <c r="FQ55" s="129"/>
      <c r="FR55" s="129"/>
      <c r="FS55" s="129"/>
      <c r="FT55" s="129"/>
      <c r="FU55" s="129"/>
      <c r="FV55" s="129"/>
      <c r="FW55" s="129"/>
      <c r="FX55" s="129"/>
      <c r="FY55" s="129"/>
      <c r="FZ55" s="129"/>
      <c r="GA55" s="129"/>
      <c r="GB55" s="129"/>
      <c r="GC55" s="129"/>
      <c r="GD55" s="129"/>
      <c r="GE55" s="129"/>
      <c r="GF55" s="129"/>
      <c r="GG55" s="129"/>
      <c r="GH55" s="129"/>
      <c r="GI55" s="129"/>
      <c r="GJ55" s="129"/>
      <c r="GK55" s="129"/>
      <c r="GL55" s="129"/>
      <c r="GM55" s="129"/>
      <c r="GN55" s="129"/>
      <c r="GO55" s="129"/>
      <c r="GP55" s="129"/>
      <c r="GQ55" s="129"/>
      <c r="GR55" s="129"/>
      <c r="GS55" s="129"/>
      <c r="GT55" s="129"/>
      <c r="GU55" s="129"/>
      <c r="GV55" s="129"/>
      <c r="GW55" s="129"/>
      <c r="GX55" s="129"/>
      <c r="GY55" s="129"/>
      <c r="GZ55" s="129"/>
      <c r="HG55" s="129"/>
      <c r="HH55" s="129"/>
      <c r="HI55" s="129"/>
      <c r="HJ55" s="129"/>
      <c r="HK55" s="129"/>
      <c r="HL55" s="129"/>
      <c r="HM55" s="129"/>
      <c r="HN55" s="129"/>
      <c r="HO55" s="129"/>
      <c r="HP55" s="129"/>
      <c r="HQ55" s="129"/>
      <c r="HR55" s="129"/>
      <c r="HS55" s="129"/>
      <c r="HT55" s="129"/>
      <c r="HU55" s="129"/>
      <c r="HV55" s="129"/>
      <c r="HW55" s="129"/>
      <c r="HX55" s="129"/>
      <c r="HY55" s="129"/>
      <c r="HZ55" s="129"/>
      <c r="IA55" s="129"/>
      <c r="IB55" s="129"/>
      <c r="IC55" s="129"/>
      <c r="ID55" s="129"/>
      <c r="IE55" s="129"/>
      <c r="IF55" s="129"/>
      <c r="IG55" s="129"/>
      <c r="IH55" s="129"/>
      <c r="II55" s="129"/>
      <c r="IJ55" s="129"/>
      <c r="IK55" s="129"/>
      <c r="IL55" s="129"/>
      <c r="IM55" s="129"/>
      <c r="IN55" s="129"/>
      <c r="IO55" s="129"/>
      <c r="IP55" s="129"/>
      <c r="IQ55" s="129"/>
      <c r="IR55" s="129"/>
      <c r="IS55" s="129"/>
      <c r="IT55" s="129"/>
      <c r="IU55" s="129"/>
      <c r="IV55" s="129"/>
      <c r="IW55" s="129"/>
      <c r="IX55" s="129"/>
      <c r="IY55" s="129"/>
      <c r="IZ55" s="129"/>
      <c r="JI55" s="129"/>
      <c r="JJ55" s="129"/>
      <c r="JK55" s="129"/>
      <c r="JL55" s="129"/>
      <c r="JM55" s="129"/>
      <c r="JN55" s="129"/>
      <c r="JO55" s="129"/>
      <c r="JP55" s="129"/>
      <c r="JQ55" s="129"/>
      <c r="JR55" s="129"/>
      <c r="JS55" s="129"/>
      <c r="JT55" s="129"/>
      <c r="JU55" s="129"/>
      <c r="JV55" s="129"/>
      <c r="JW55" s="129"/>
      <c r="JX55" s="129"/>
      <c r="JY55" s="129"/>
      <c r="JZ55" s="129"/>
      <c r="MA55" s="129"/>
      <c r="MB55" s="129"/>
      <c r="MC55" s="129"/>
      <c r="MD55" s="129"/>
      <c r="ME55" s="129"/>
      <c r="MF55" s="129"/>
      <c r="MG55" s="129"/>
      <c r="MH55" s="129"/>
      <c r="MI55" s="129"/>
      <c r="MJ55" s="129"/>
      <c r="MK55" s="129"/>
      <c r="ML55" s="129"/>
      <c r="MM55" s="129"/>
      <c r="MN55" s="129"/>
      <c r="MO55" s="129"/>
      <c r="MP55" s="129"/>
      <c r="MQ55" s="129"/>
      <c r="MR55" s="129"/>
      <c r="MS55" s="129"/>
      <c r="MT55" s="129"/>
      <c r="MU55" s="129"/>
      <c r="MV55" s="129"/>
      <c r="MW55" s="129"/>
      <c r="MX55" s="129"/>
      <c r="MY55" s="129"/>
      <c r="MZ55" s="129"/>
      <c r="PA55" s="129"/>
      <c r="PB55" s="129"/>
      <c r="PC55" s="129"/>
      <c r="PD55" s="129"/>
      <c r="PE55" s="129"/>
      <c r="PF55" s="129"/>
      <c r="PG55" s="129"/>
      <c r="PH55" s="129"/>
      <c r="PI55" s="129"/>
      <c r="PJ55" s="129"/>
      <c r="PK55" s="129"/>
      <c r="PL55" s="129"/>
      <c r="PM55" s="129"/>
      <c r="PN55" s="129"/>
      <c r="PO55" s="129"/>
      <c r="PP55" s="129"/>
      <c r="PQ55" s="129"/>
      <c r="PR55" s="129"/>
      <c r="PS55" s="129"/>
      <c r="PT55" s="129"/>
      <c r="PU55" s="129"/>
      <c r="PV55" s="129"/>
      <c r="PW55" s="129"/>
      <c r="PX55" s="129"/>
      <c r="PY55" s="129"/>
      <c r="PZ55" s="129"/>
    </row>
    <row r="56" spans="2:442" ht="14.4">
      <c r="B56" s="7" t="s">
        <v>5677</v>
      </c>
      <c r="C56"/>
      <c r="EF56" s="378"/>
      <c r="EG56" s="378"/>
      <c r="EH56" s="378"/>
      <c r="EI56" s="378"/>
      <c r="EJ56" s="378"/>
      <c r="EK56" s="378"/>
      <c r="EL56" s="378"/>
      <c r="EM56" s="378"/>
      <c r="EN56" s="378"/>
      <c r="EO56" s="378"/>
      <c r="EP56" s="378"/>
      <c r="EQ56" s="378"/>
      <c r="ER56" s="378"/>
      <c r="ES56" s="378"/>
      <c r="ET56" s="378"/>
      <c r="EU56" s="378"/>
      <c r="EV56" s="378"/>
      <c r="EW56" s="378"/>
      <c r="EX56" s="378"/>
      <c r="EZ56" s="129"/>
      <c r="FA56" s="129"/>
      <c r="FB56" s="129"/>
      <c r="FC56" s="129"/>
      <c r="FD56" s="129"/>
      <c r="FE56" s="129"/>
      <c r="FF56" s="129"/>
      <c r="FG56" s="129"/>
      <c r="FH56" s="129"/>
      <c r="FI56" s="129"/>
      <c r="FJ56" s="129"/>
      <c r="FK56" s="129"/>
      <c r="FL56" s="129"/>
      <c r="FM56" s="129"/>
      <c r="FN56" s="129"/>
      <c r="FO56" s="129"/>
      <c r="FP56" s="129"/>
      <c r="FQ56" s="129"/>
      <c r="FR56" s="129"/>
      <c r="FS56" s="129"/>
      <c r="FT56" s="129"/>
      <c r="FU56" s="129"/>
      <c r="FV56" s="129"/>
      <c r="FW56" s="129"/>
      <c r="FX56" s="129"/>
      <c r="FY56" s="129"/>
      <c r="FZ56" s="129"/>
      <c r="GA56" s="129"/>
      <c r="GB56" s="129"/>
      <c r="GC56" s="129"/>
      <c r="GD56" s="129"/>
      <c r="GE56" s="129"/>
      <c r="GF56" s="129"/>
      <c r="GG56" s="129"/>
      <c r="GH56" s="129"/>
      <c r="GI56" s="129"/>
      <c r="GJ56" s="129"/>
      <c r="GK56" s="129"/>
      <c r="GL56" s="129"/>
      <c r="GM56" s="129"/>
      <c r="GN56" s="129"/>
      <c r="GO56" s="129"/>
      <c r="GP56" s="129"/>
      <c r="GQ56" s="129"/>
      <c r="GR56" s="129"/>
      <c r="GS56" s="129"/>
      <c r="GT56" s="129"/>
      <c r="GU56" s="129"/>
      <c r="GV56" s="129"/>
      <c r="GW56" s="129"/>
      <c r="GX56" s="129"/>
      <c r="GY56" s="129"/>
      <c r="GZ56" s="129"/>
      <c r="HG56" s="129"/>
      <c r="HH56" s="129"/>
      <c r="HI56" s="129"/>
      <c r="HJ56" s="129"/>
      <c r="HK56" s="129"/>
      <c r="HL56" s="129"/>
      <c r="HM56" s="129"/>
      <c r="HN56" s="129"/>
      <c r="HO56" s="129"/>
      <c r="HP56" s="129"/>
      <c r="HQ56" s="129"/>
      <c r="HR56" s="129"/>
      <c r="HS56" s="129"/>
      <c r="HT56" s="129"/>
      <c r="HU56" s="129"/>
      <c r="HV56" s="129"/>
      <c r="HW56" s="129"/>
      <c r="HX56" s="129"/>
      <c r="HY56" s="129"/>
      <c r="HZ56" s="129"/>
      <c r="IA56" s="129"/>
      <c r="IB56" s="129"/>
      <c r="IC56" s="129"/>
      <c r="ID56" s="129"/>
      <c r="IE56" s="129"/>
      <c r="IF56" s="129"/>
      <c r="IG56" s="129"/>
      <c r="IH56" s="129"/>
      <c r="II56" s="129"/>
      <c r="IJ56" s="129"/>
      <c r="IK56" s="129"/>
      <c r="IL56" s="129"/>
      <c r="IM56" s="129"/>
      <c r="IN56" s="129"/>
      <c r="IO56" s="129"/>
      <c r="IP56" s="129"/>
      <c r="IQ56" s="129"/>
      <c r="IR56" s="129"/>
      <c r="IS56" s="129"/>
      <c r="IT56" s="129"/>
      <c r="IU56" s="129"/>
      <c r="IV56" s="129"/>
      <c r="IW56" s="129"/>
      <c r="IX56" s="129"/>
      <c r="IY56" s="129"/>
      <c r="IZ56" s="129"/>
      <c r="JI56" s="129"/>
      <c r="JJ56" s="129"/>
      <c r="JK56" s="129"/>
      <c r="JL56" s="129"/>
      <c r="JM56" s="129"/>
      <c r="JN56" s="129"/>
      <c r="JO56" s="129"/>
      <c r="JP56" s="129"/>
      <c r="JQ56" s="129"/>
      <c r="JR56" s="129"/>
      <c r="JS56" s="129"/>
      <c r="JT56" s="129"/>
      <c r="JU56" s="129"/>
      <c r="JV56" s="129"/>
      <c r="JW56" s="129"/>
      <c r="JX56" s="129"/>
      <c r="JY56" s="129"/>
      <c r="JZ56" s="129"/>
      <c r="MG56" s="129"/>
      <c r="MH56" s="129"/>
      <c r="MI56" s="129"/>
      <c r="MJ56" s="129"/>
      <c r="MK56" s="129"/>
      <c r="ML56" s="129"/>
      <c r="MM56" s="129"/>
      <c r="MN56" s="129"/>
      <c r="MO56" s="129"/>
      <c r="MP56" s="129"/>
      <c r="MQ56" s="129"/>
      <c r="MR56" s="129"/>
      <c r="MS56" s="129"/>
      <c r="MT56" s="129"/>
      <c r="MU56" s="129"/>
      <c r="MV56" s="129"/>
      <c r="MW56" s="129"/>
      <c r="MX56" s="129"/>
      <c r="MY56" s="129"/>
      <c r="MZ56" s="129"/>
      <c r="PA56" s="129"/>
      <c r="PB56" s="129"/>
      <c r="PC56" s="129"/>
      <c r="PD56" s="129"/>
      <c r="PE56" s="129"/>
      <c r="PF56" s="129"/>
      <c r="PG56" s="129"/>
      <c r="PH56" s="129"/>
      <c r="PI56" s="129"/>
      <c r="PJ56" s="129"/>
      <c r="PK56" s="129"/>
      <c r="PL56" s="129"/>
      <c r="PM56" s="129"/>
      <c r="PN56" s="129"/>
      <c r="PO56" s="129"/>
      <c r="PP56" s="129"/>
      <c r="PQ56" s="129"/>
      <c r="PR56" s="129"/>
      <c r="PS56" s="129"/>
      <c r="PT56" s="129"/>
      <c r="PU56" s="129"/>
      <c r="PV56" s="129"/>
      <c r="PW56" s="129"/>
      <c r="PX56" s="129"/>
      <c r="PY56" s="129"/>
      <c r="PZ56" s="129"/>
    </row>
    <row r="57" spans="2:442" ht="14.4">
      <c r="B57" s="7" t="s">
        <v>5694</v>
      </c>
      <c r="C57"/>
      <c r="EF57" s="378"/>
      <c r="EG57" s="378"/>
      <c r="EH57" s="378"/>
      <c r="EI57" s="378"/>
      <c r="EJ57" s="378"/>
      <c r="EK57" s="378"/>
      <c r="EL57" s="378"/>
      <c r="EM57" s="378"/>
      <c r="EN57" s="378"/>
      <c r="EO57" s="378"/>
      <c r="EP57" s="378"/>
      <c r="EQ57" s="378"/>
      <c r="ER57" s="378"/>
      <c r="ES57" s="378"/>
      <c r="ET57" s="378"/>
      <c r="EU57" s="378"/>
      <c r="EV57" s="378"/>
      <c r="EW57" s="378"/>
      <c r="EX57" s="378"/>
      <c r="EZ57" s="129"/>
      <c r="FA57" s="129"/>
      <c r="FB57" s="129"/>
      <c r="FC57" s="129"/>
      <c r="FD57" s="129"/>
      <c r="FE57" s="129"/>
      <c r="FF57" s="129"/>
      <c r="FG57" s="129"/>
      <c r="FH57" s="129"/>
      <c r="FI57" s="129"/>
      <c r="FJ57" s="129"/>
      <c r="FK57" s="129"/>
      <c r="FL57" s="129"/>
      <c r="FM57" s="129"/>
      <c r="FN57" s="129"/>
      <c r="FO57" s="129"/>
      <c r="FP57" s="129"/>
      <c r="FQ57" s="129"/>
      <c r="FR57" s="129"/>
      <c r="FS57" s="129"/>
      <c r="FT57" s="129"/>
      <c r="FU57" s="129"/>
      <c r="FV57" s="129"/>
      <c r="FW57" s="129"/>
      <c r="FX57" s="129"/>
      <c r="FY57" s="129"/>
      <c r="FZ57" s="129"/>
      <c r="GA57" s="129"/>
      <c r="GB57" s="129"/>
      <c r="GC57" s="129"/>
      <c r="GD57" s="129"/>
      <c r="GE57" s="129"/>
      <c r="GF57" s="129"/>
      <c r="GG57" s="129"/>
      <c r="GH57" s="129"/>
      <c r="GI57" s="129"/>
      <c r="GJ57" s="129"/>
      <c r="GK57" s="129"/>
      <c r="GL57" s="129"/>
      <c r="GM57" s="129"/>
      <c r="GN57" s="129"/>
      <c r="GO57" s="129"/>
      <c r="GP57" s="129"/>
      <c r="GQ57" s="129"/>
      <c r="GR57" s="129"/>
      <c r="GS57" s="129"/>
      <c r="GT57" s="129"/>
      <c r="GU57" s="129"/>
      <c r="GV57" s="129"/>
      <c r="GW57" s="129"/>
      <c r="GX57" s="129"/>
      <c r="GY57" s="129"/>
      <c r="GZ57" s="129"/>
      <c r="HG57" s="129"/>
      <c r="HH57" s="129"/>
      <c r="HI57" s="129"/>
      <c r="HJ57" s="129"/>
      <c r="HK57" s="129"/>
      <c r="HL57" s="129"/>
      <c r="HM57" s="129"/>
      <c r="HN57" s="129"/>
      <c r="HO57" s="129"/>
      <c r="HP57" s="129"/>
      <c r="HQ57" s="129"/>
      <c r="HR57" s="129"/>
      <c r="HS57" s="129"/>
      <c r="HT57" s="129"/>
      <c r="HU57" s="129"/>
      <c r="HV57" s="129"/>
      <c r="HW57" s="129"/>
      <c r="HX57" s="129"/>
      <c r="HY57" s="129"/>
      <c r="HZ57" s="129"/>
      <c r="IA57" s="129"/>
      <c r="IB57" s="129"/>
      <c r="IC57" s="129"/>
      <c r="ID57" s="129"/>
      <c r="IE57" s="129"/>
      <c r="IF57" s="129"/>
      <c r="IG57" s="129"/>
      <c r="IH57" s="129"/>
      <c r="II57" s="129"/>
      <c r="IJ57" s="129"/>
      <c r="IK57" s="129"/>
      <c r="IL57" s="129"/>
      <c r="IM57" s="129"/>
      <c r="IN57" s="129"/>
      <c r="IO57" s="129"/>
      <c r="IP57" s="129"/>
      <c r="IQ57" s="129"/>
      <c r="IR57" s="129"/>
      <c r="IS57" s="129"/>
      <c r="IT57" s="129"/>
      <c r="IU57" s="129"/>
      <c r="IV57" s="129"/>
      <c r="IW57" s="129"/>
      <c r="IX57" s="129"/>
      <c r="IY57" s="129"/>
      <c r="IZ57" s="129"/>
      <c r="JI57" s="129"/>
      <c r="JJ57" s="129"/>
      <c r="JK57" s="129"/>
      <c r="JL57" s="129"/>
      <c r="JM57" s="129"/>
      <c r="JN57" s="129"/>
      <c r="JO57" s="129"/>
      <c r="JP57" s="129"/>
      <c r="JQ57" s="129"/>
      <c r="JR57" s="129"/>
      <c r="JS57" s="129"/>
      <c r="JT57" s="129"/>
      <c r="JU57" s="129"/>
      <c r="JV57" s="129"/>
      <c r="JW57" s="129"/>
      <c r="JX57" s="129"/>
      <c r="JY57" s="129"/>
      <c r="JZ57" s="129"/>
      <c r="MG57" s="129"/>
      <c r="MH57" s="129"/>
      <c r="MI57" s="129"/>
      <c r="MJ57" s="129"/>
      <c r="MK57" s="129"/>
      <c r="ML57" s="129"/>
      <c r="MM57" s="129"/>
      <c r="MN57" s="129"/>
      <c r="MO57" s="129"/>
      <c r="MP57" s="129"/>
      <c r="MQ57" s="129"/>
      <c r="MR57" s="129"/>
      <c r="MS57" s="129"/>
      <c r="MT57" s="129"/>
      <c r="MU57" s="129"/>
      <c r="MV57" s="129"/>
      <c r="MW57" s="129"/>
      <c r="MX57" s="129"/>
      <c r="MY57" s="129"/>
      <c r="MZ57" s="129"/>
      <c r="PA57" s="129"/>
      <c r="PB57" s="129"/>
      <c r="PC57" s="129"/>
      <c r="PD57" s="129"/>
      <c r="PE57" s="129"/>
      <c r="PF57" s="129"/>
      <c r="PG57" s="129"/>
      <c r="PH57" s="129"/>
      <c r="PI57" s="129"/>
      <c r="PJ57" s="129"/>
      <c r="PK57" s="129"/>
      <c r="PL57" s="129"/>
      <c r="PM57" s="129"/>
      <c r="PN57" s="129"/>
      <c r="PO57" s="129"/>
      <c r="PP57" s="129"/>
      <c r="PQ57" s="129"/>
      <c r="PR57" s="129"/>
      <c r="PS57" s="129"/>
      <c r="PT57" s="129"/>
      <c r="PU57" s="129"/>
      <c r="PV57" s="129"/>
      <c r="PW57" s="129"/>
      <c r="PX57" s="129"/>
      <c r="PY57" s="129"/>
      <c r="PZ57" s="129"/>
    </row>
    <row r="58" spans="2:442" ht="14.4">
      <c r="B58" s="7" t="s">
        <v>5680</v>
      </c>
      <c r="C58"/>
      <c r="EF58" s="378"/>
      <c r="EG58" s="378"/>
      <c r="EH58" s="378"/>
      <c r="EI58" s="378"/>
      <c r="EJ58" s="378"/>
      <c r="EK58" s="378"/>
      <c r="EL58" s="378"/>
      <c r="EM58" s="378"/>
      <c r="EN58" s="378"/>
      <c r="EO58" s="378"/>
      <c r="EP58" s="378"/>
      <c r="EQ58" s="378"/>
      <c r="ER58" s="378"/>
      <c r="ES58" s="378"/>
      <c r="ET58" s="378"/>
      <c r="EU58" s="378"/>
      <c r="EV58" s="378"/>
      <c r="EW58" s="378"/>
      <c r="EX58" s="378"/>
      <c r="EZ58" s="129"/>
      <c r="FA58" s="129"/>
      <c r="FB58" s="129"/>
      <c r="FC58" s="129"/>
      <c r="FD58" s="129"/>
      <c r="FE58" s="129"/>
      <c r="FF58" s="129"/>
      <c r="FG58" s="129"/>
      <c r="FH58" s="129"/>
      <c r="FI58" s="129"/>
      <c r="FJ58" s="129"/>
      <c r="FK58" s="129"/>
      <c r="FL58" s="129"/>
      <c r="FM58" s="129"/>
      <c r="FN58" s="129"/>
      <c r="FO58" s="129"/>
      <c r="FP58" s="129"/>
      <c r="FQ58" s="129"/>
      <c r="FR58" s="129"/>
      <c r="FS58" s="129"/>
      <c r="FT58" s="129"/>
      <c r="FU58" s="129"/>
      <c r="FV58" s="129"/>
      <c r="FW58" s="129"/>
      <c r="FX58" s="129"/>
      <c r="FY58" s="129"/>
      <c r="FZ58" s="129"/>
      <c r="GA58" s="129"/>
      <c r="GB58" s="129"/>
      <c r="GC58" s="129"/>
      <c r="GD58" s="129"/>
      <c r="GE58" s="129"/>
      <c r="GF58" s="129"/>
      <c r="GG58" s="129"/>
      <c r="GH58" s="129"/>
      <c r="GI58" s="129"/>
      <c r="GJ58" s="129"/>
      <c r="GK58" s="129"/>
      <c r="GL58" s="129"/>
      <c r="GM58" s="129"/>
      <c r="GN58" s="129"/>
      <c r="GO58" s="129"/>
      <c r="GP58" s="129"/>
      <c r="GQ58" s="129"/>
      <c r="GR58" s="129"/>
      <c r="GS58" s="129"/>
      <c r="GT58" s="129"/>
      <c r="GU58" s="129"/>
      <c r="GV58" s="129"/>
      <c r="GW58" s="129"/>
      <c r="GX58" s="129"/>
      <c r="GY58" s="129"/>
      <c r="GZ58" s="129"/>
      <c r="HG58" s="129"/>
      <c r="HH58" s="129"/>
      <c r="HI58" s="129"/>
      <c r="HJ58" s="129"/>
      <c r="HK58" s="129"/>
      <c r="HL58" s="129"/>
      <c r="HM58" s="129"/>
      <c r="HN58" s="129"/>
      <c r="HO58" s="129"/>
      <c r="HP58" s="129"/>
      <c r="HQ58" s="129"/>
      <c r="HR58" s="129"/>
      <c r="HS58" s="129"/>
      <c r="HT58" s="129"/>
      <c r="HU58" s="129"/>
      <c r="HV58" s="129"/>
      <c r="HW58" s="129"/>
      <c r="HX58" s="129"/>
      <c r="HY58" s="129"/>
      <c r="HZ58" s="129"/>
      <c r="IA58" s="129"/>
      <c r="IB58" s="129"/>
      <c r="IC58" s="129"/>
      <c r="ID58" s="129"/>
      <c r="IE58" s="129"/>
      <c r="IF58" s="129"/>
      <c r="IG58" s="129"/>
      <c r="IH58" s="129"/>
      <c r="II58" s="129"/>
      <c r="IJ58" s="129"/>
      <c r="IK58" s="129"/>
      <c r="IL58" s="129"/>
      <c r="IM58" s="129"/>
      <c r="IN58" s="129"/>
      <c r="IO58" s="129"/>
      <c r="IP58" s="129"/>
      <c r="IQ58" s="129"/>
      <c r="IR58" s="129"/>
      <c r="IS58" s="129"/>
      <c r="IT58" s="129"/>
      <c r="IU58" s="129"/>
      <c r="IV58" s="129"/>
      <c r="IW58" s="129"/>
      <c r="IX58" s="129"/>
      <c r="IY58" s="129"/>
      <c r="IZ58" s="129"/>
      <c r="JI58" s="129"/>
      <c r="JJ58" s="129"/>
      <c r="JK58" s="129"/>
      <c r="JL58" s="129"/>
      <c r="JM58" s="129"/>
      <c r="JN58" s="129"/>
      <c r="JO58" s="129"/>
      <c r="JP58" s="129"/>
      <c r="JQ58" s="129"/>
      <c r="JR58" s="129"/>
      <c r="JS58" s="129"/>
      <c r="JT58" s="129"/>
      <c r="JU58" s="129"/>
      <c r="JV58" s="129"/>
      <c r="JW58" s="129"/>
      <c r="JX58" s="129"/>
      <c r="JY58" s="129"/>
      <c r="JZ58" s="129"/>
      <c r="MG58" s="129"/>
      <c r="MH58" s="129"/>
      <c r="MI58" s="129"/>
      <c r="MJ58" s="129"/>
      <c r="MK58" s="129"/>
      <c r="ML58" s="129"/>
      <c r="MM58" s="129"/>
      <c r="MN58" s="129"/>
      <c r="MO58" s="129"/>
      <c r="MP58" s="129"/>
      <c r="MQ58" s="129"/>
      <c r="MR58" s="129"/>
      <c r="MS58" s="129"/>
      <c r="MT58" s="129"/>
      <c r="MU58" s="129"/>
      <c r="MV58" s="129"/>
      <c r="MW58" s="129"/>
      <c r="MX58" s="129"/>
      <c r="MY58" s="129"/>
      <c r="MZ58" s="129"/>
      <c r="PA58" s="129"/>
      <c r="PB58" s="129"/>
      <c r="PC58" s="129"/>
      <c r="PD58" s="129"/>
      <c r="PE58" s="129"/>
      <c r="PF58" s="129"/>
      <c r="PG58" s="129"/>
      <c r="PH58" s="129"/>
      <c r="PI58" s="129"/>
      <c r="PJ58" s="129"/>
      <c r="PK58" s="129"/>
      <c r="PL58" s="129"/>
      <c r="PM58" s="129"/>
      <c r="PN58" s="129"/>
      <c r="PO58" s="129"/>
      <c r="PP58" s="129"/>
      <c r="PQ58" s="129"/>
      <c r="PR58" s="129"/>
      <c r="PS58" s="129"/>
      <c r="PT58" s="129"/>
      <c r="PU58" s="129"/>
      <c r="PV58" s="129"/>
      <c r="PW58" s="129"/>
      <c r="PX58" s="129"/>
      <c r="PY58" s="129"/>
      <c r="PZ58" s="129"/>
    </row>
    <row r="59" spans="2:442" ht="14.4">
      <c r="B59" s="7" t="s">
        <v>5692</v>
      </c>
      <c r="C59"/>
      <c r="EF59" s="378"/>
      <c r="EG59" s="378"/>
      <c r="EH59" s="378"/>
      <c r="EI59" s="378"/>
      <c r="EJ59" s="378"/>
      <c r="EK59" s="378"/>
      <c r="EL59" s="378"/>
      <c r="EM59" s="378"/>
      <c r="EN59" s="378"/>
      <c r="EO59" s="378"/>
      <c r="EP59" s="378"/>
      <c r="EQ59" s="378"/>
      <c r="ER59" s="378"/>
      <c r="ES59" s="378"/>
      <c r="ET59" s="378"/>
      <c r="EU59" s="378"/>
      <c r="EV59" s="378"/>
      <c r="EW59" s="378"/>
      <c r="EX59" s="378"/>
      <c r="EZ59" s="129"/>
      <c r="FA59" s="129"/>
      <c r="FB59" s="129"/>
      <c r="FC59" s="129"/>
      <c r="FD59" s="129"/>
      <c r="FE59" s="129"/>
      <c r="FF59" s="129"/>
      <c r="FG59" s="129"/>
      <c r="FH59" s="129"/>
      <c r="FI59" s="129"/>
      <c r="FJ59" s="129"/>
      <c r="FK59" s="129"/>
      <c r="FL59" s="129"/>
      <c r="FM59" s="129"/>
      <c r="FN59" s="129"/>
      <c r="FO59" s="129"/>
      <c r="FP59" s="129"/>
      <c r="FQ59" s="129"/>
      <c r="FR59" s="129"/>
      <c r="FS59" s="129"/>
      <c r="FT59" s="129"/>
      <c r="FU59" s="129"/>
      <c r="FV59" s="129"/>
      <c r="FW59" s="129"/>
      <c r="FX59" s="129"/>
      <c r="FY59" s="129"/>
      <c r="FZ59" s="129"/>
      <c r="GA59" s="129"/>
      <c r="GB59" s="129"/>
      <c r="GC59" s="129"/>
      <c r="GD59" s="129"/>
      <c r="GE59" s="129"/>
      <c r="GF59" s="129"/>
      <c r="GG59" s="129"/>
      <c r="GH59" s="129"/>
      <c r="GI59" s="129"/>
      <c r="GJ59" s="129"/>
      <c r="GK59" s="129"/>
      <c r="GL59" s="129"/>
      <c r="GM59" s="129"/>
      <c r="GN59" s="129"/>
      <c r="GO59" s="129"/>
      <c r="GP59" s="129"/>
      <c r="GQ59" s="129"/>
      <c r="GR59" s="129"/>
      <c r="GS59" s="129"/>
      <c r="GT59" s="129"/>
      <c r="GU59" s="129"/>
      <c r="GV59" s="129"/>
      <c r="GW59" s="129"/>
      <c r="GX59" s="129"/>
      <c r="GY59" s="129"/>
      <c r="GZ59" s="129"/>
      <c r="HG59" s="129"/>
      <c r="HH59" s="129"/>
      <c r="HI59" s="129"/>
      <c r="HJ59" s="129"/>
      <c r="HK59" s="129"/>
      <c r="HL59" s="129"/>
      <c r="HM59" s="129"/>
      <c r="HN59" s="129"/>
      <c r="HO59" s="129"/>
      <c r="HP59" s="129"/>
      <c r="HQ59" s="129"/>
      <c r="HR59" s="129"/>
      <c r="HS59" s="129"/>
      <c r="HT59" s="129"/>
      <c r="HU59" s="129"/>
      <c r="HV59" s="129"/>
      <c r="HW59" s="129"/>
      <c r="HX59" s="129"/>
      <c r="HY59" s="129"/>
      <c r="HZ59" s="129"/>
      <c r="IA59" s="129"/>
      <c r="IB59" s="129"/>
      <c r="IC59" s="129"/>
      <c r="ID59" s="129"/>
      <c r="IE59" s="129"/>
      <c r="IF59" s="129"/>
      <c r="IG59" s="129"/>
      <c r="IH59" s="129"/>
      <c r="II59" s="129"/>
      <c r="IJ59" s="129"/>
      <c r="IK59" s="129"/>
      <c r="IL59" s="129"/>
      <c r="IM59" s="129"/>
      <c r="IN59" s="129"/>
      <c r="IO59" s="129"/>
      <c r="IP59" s="129"/>
      <c r="IQ59" s="129"/>
      <c r="IR59" s="129"/>
      <c r="IS59" s="129"/>
      <c r="IT59" s="129"/>
      <c r="IU59" s="129"/>
      <c r="IV59" s="129"/>
      <c r="IW59" s="129"/>
      <c r="IX59" s="129"/>
      <c r="IY59" s="129"/>
      <c r="IZ59" s="129"/>
      <c r="JI59" s="129"/>
      <c r="JJ59" s="129"/>
      <c r="JK59" s="129"/>
      <c r="JL59" s="129"/>
      <c r="JM59" s="129"/>
      <c r="JN59" s="129"/>
      <c r="JO59" s="129"/>
      <c r="JP59" s="129"/>
      <c r="JQ59" s="129"/>
      <c r="JR59" s="129"/>
      <c r="JS59" s="129"/>
      <c r="JT59" s="129"/>
      <c r="JU59" s="129"/>
      <c r="JV59" s="129"/>
      <c r="JW59" s="129"/>
      <c r="JX59" s="129"/>
      <c r="JY59" s="129"/>
      <c r="JZ59" s="129"/>
      <c r="MG59" s="129"/>
      <c r="MH59" s="129"/>
      <c r="MI59" s="129"/>
      <c r="MJ59" s="129"/>
      <c r="MK59" s="129"/>
      <c r="ML59" s="129"/>
      <c r="MM59" s="129"/>
      <c r="MN59" s="129"/>
      <c r="MO59" s="129"/>
      <c r="MP59" s="129"/>
      <c r="MQ59" s="129"/>
      <c r="MR59" s="129"/>
      <c r="MS59" s="129"/>
      <c r="MT59" s="129"/>
      <c r="MU59" s="129"/>
      <c r="MV59" s="129"/>
      <c r="MW59" s="129"/>
      <c r="MX59" s="129"/>
      <c r="MY59" s="129"/>
      <c r="MZ59" s="129"/>
      <c r="PA59" s="129"/>
      <c r="PB59" s="129"/>
      <c r="PC59" s="129"/>
      <c r="PD59" s="129"/>
      <c r="PE59" s="129"/>
      <c r="PF59" s="129"/>
      <c r="PG59" s="129"/>
      <c r="PH59" s="129"/>
      <c r="PI59" s="129"/>
      <c r="PJ59" s="129"/>
      <c r="PK59" s="129"/>
      <c r="PL59" s="129"/>
      <c r="PM59" s="129"/>
      <c r="PN59" s="129"/>
      <c r="PO59" s="129"/>
      <c r="PP59" s="129"/>
      <c r="PQ59" s="129"/>
      <c r="PR59" s="129"/>
      <c r="PS59" s="129"/>
      <c r="PT59" s="129"/>
      <c r="PU59" s="129"/>
      <c r="PV59" s="129"/>
      <c r="PW59" s="129"/>
      <c r="PX59" s="129"/>
      <c r="PY59" s="129"/>
      <c r="PZ59" s="129"/>
    </row>
    <row r="60" spans="2:442" ht="14.4">
      <c r="B60" s="7" t="s">
        <v>5695</v>
      </c>
      <c r="C60"/>
      <c r="EF60" s="378"/>
      <c r="EG60" s="378"/>
      <c r="EH60" s="378"/>
      <c r="EI60" s="378"/>
      <c r="EJ60" s="378"/>
      <c r="EK60" s="378"/>
      <c r="EL60" s="378"/>
      <c r="EM60" s="378"/>
      <c r="EN60" s="378"/>
      <c r="EO60" s="378"/>
      <c r="EP60" s="378"/>
      <c r="EQ60" s="378"/>
      <c r="ER60" s="378"/>
      <c r="ES60" s="378"/>
      <c r="ET60" s="378"/>
      <c r="EU60" s="378"/>
      <c r="EV60" s="378"/>
      <c r="EW60" s="378"/>
      <c r="EX60" s="378"/>
      <c r="EZ60" s="129"/>
      <c r="FA60" s="129"/>
      <c r="FB60" s="129"/>
      <c r="FC60" s="129"/>
      <c r="FD60" s="129"/>
      <c r="FE60" s="129"/>
      <c r="FF60" s="129"/>
      <c r="FG60" s="129"/>
      <c r="FH60" s="129"/>
      <c r="FI60" s="129"/>
      <c r="FJ60" s="129"/>
      <c r="FK60" s="129"/>
      <c r="FL60" s="129"/>
      <c r="FM60" s="129"/>
      <c r="FN60" s="129"/>
      <c r="FO60" s="129"/>
      <c r="FP60" s="129"/>
      <c r="FQ60" s="129"/>
      <c r="FR60" s="129"/>
      <c r="FS60" s="129"/>
      <c r="FT60" s="129"/>
      <c r="FU60" s="129"/>
      <c r="FV60" s="129"/>
      <c r="FW60" s="129"/>
      <c r="FX60" s="129"/>
      <c r="FY60" s="129"/>
      <c r="FZ60" s="129"/>
      <c r="GA60" s="129"/>
      <c r="GB60" s="129"/>
      <c r="GC60" s="129"/>
      <c r="GD60" s="129"/>
      <c r="GE60" s="129"/>
      <c r="GF60" s="129"/>
      <c r="GG60" s="129"/>
      <c r="GH60" s="129"/>
      <c r="GI60" s="129"/>
      <c r="GJ60" s="129"/>
      <c r="GK60" s="129"/>
      <c r="GL60" s="129"/>
      <c r="GM60" s="129"/>
      <c r="GN60" s="129"/>
      <c r="GO60" s="129"/>
      <c r="GP60" s="129"/>
      <c r="GQ60" s="129"/>
      <c r="GR60" s="129"/>
      <c r="GS60" s="129"/>
      <c r="GT60" s="129"/>
      <c r="GU60" s="129"/>
      <c r="GV60" s="129"/>
      <c r="GW60" s="129"/>
      <c r="GX60" s="129"/>
      <c r="GY60" s="129"/>
      <c r="GZ60" s="129"/>
      <c r="HG60" s="129"/>
      <c r="HH60" s="129"/>
      <c r="HI60" s="129"/>
      <c r="HJ60" s="129"/>
      <c r="HK60" s="129"/>
      <c r="HL60" s="129"/>
      <c r="HM60" s="129"/>
      <c r="HN60" s="129"/>
      <c r="HO60" s="129"/>
      <c r="HP60" s="129"/>
      <c r="HQ60" s="129"/>
      <c r="HR60" s="129"/>
      <c r="HS60" s="129"/>
      <c r="HT60" s="129"/>
      <c r="HU60" s="129"/>
      <c r="HV60" s="129"/>
      <c r="HW60" s="129"/>
      <c r="HX60" s="129"/>
      <c r="HY60" s="129"/>
      <c r="HZ60" s="129"/>
      <c r="IA60" s="129"/>
      <c r="IB60" s="129"/>
      <c r="IC60" s="129"/>
      <c r="ID60" s="129"/>
      <c r="IE60" s="129"/>
      <c r="IF60" s="129"/>
      <c r="IG60" s="129"/>
      <c r="IH60" s="129"/>
      <c r="II60" s="129"/>
      <c r="IJ60" s="129"/>
      <c r="IK60" s="129"/>
      <c r="IL60" s="129"/>
      <c r="IM60" s="129"/>
      <c r="IN60" s="129"/>
      <c r="IO60" s="129"/>
      <c r="IP60" s="129"/>
      <c r="IQ60" s="129"/>
      <c r="IR60" s="129"/>
      <c r="IS60" s="129"/>
      <c r="IT60" s="129"/>
      <c r="IU60" s="129"/>
      <c r="IV60" s="129"/>
      <c r="IW60" s="129"/>
      <c r="IX60" s="129"/>
      <c r="IY60" s="129"/>
      <c r="IZ60" s="129"/>
      <c r="JI60" s="129"/>
      <c r="JJ60" s="129"/>
      <c r="JK60" s="129"/>
      <c r="JL60" s="129"/>
      <c r="JM60" s="129"/>
      <c r="JN60" s="129"/>
      <c r="JO60" s="129"/>
      <c r="JP60" s="129"/>
      <c r="JQ60" s="129"/>
      <c r="JR60" s="129"/>
      <c r="JS60" s="129"/>
      <c r="JT60" s="129"/>
      <c r="JU60" s="129"/>
      <c r="JV60" s="129"/>
      <c r="JW60" s="129"/>
      <c r="JX60" s="129"/>
      <c r="JY60" s="129"/>
      <c r="JZ60" s="129"/>
      <c r="MG60" s="129"/>
      <c r="MH60" s="129"/>
      <c r="MI60" s="129"/>
      <c r="MJ60" s="129"/>
      <c r="MK60" s="129"/>
      <c r="ML60" s="129"/>
      <c r="MM60" s="129"/>
      <c r="MN60" s="129"/>
      <c r="MO60" s="129"/>
      <c r="MP60" s="129"/>
      <c r="MQ60" s="129"/>
      <c r="MR60" s="129"/>
      <c r="MS60" s="129"/>
      <c r="MT60" s="129"/>
      <c r="MU60" s="129"/>
      <c r="MV60" s="129"/>
      <c r="MW60" s="129"/>
      <c r="MX60" s="129"/>
      <c r="MY60" s="129"/>
      <c r="MZ60" s="129"/>
      <c r="PA60" s="129"/>
      <c r="PB60" s="129"/>
      <c r="PC60" s="129"/>
      <c r="PD60" s="129"/>
      <c r="PE60" s="129"/>
      <c r="PF60" s="129"/>
      <c r="PG60" s="129"/>
      <c r="PH60" s="129"/>
      <c r="PI60" s="129"/>
      <c r="PJ60" s="129"/>
      <c r="PK60" s="129"/>
      <c r="PL60" s="129"/>
      <c r="PM60" s="129"/>
      <c r="PN60" s="129"/>
      <c r="PO60" s="129"/>
      <c r="PP60" s="129"/>
      <c r="PQ60" s="129"/>
      <c r="PR60" s="129"/>
      <c r="PS60" s="129"/>
      <c r="PT60" s="129"/>
      <c r="PU60" s="129"/>
      <c r="PV60" s="129"/>
      <c r="PW60" s="129"/>
      <c r="PX60" s="129"/>
      <c r="PY60" s="129"/>
      <c r="PZ60" s="129"/>
    </row>
    <row r="61" spans="2:442" ht="14.4">
      <c r="B61"/>
      <c r="C61"/>
      <c r="EF61" s="378"/>
      <c r="EG61" s="378"/>
      <c r="EH61" s="378"/>
      <c r="EI61" s="378"/>
      <c r="EJ61" s="378"/>
      <c r="EK61" s="378"/>
      <c r="EL61" s="378"/>
      <c r="EM61" s="378"/>
      <c r="EN61" s="378"/>
      <c r="EO61" s="378"/>
      <c r="EP61" s="378"/>
      <c r="EQ61" s="378"/>
      <c r="ER61" s="378"/>
      <c r="ES61" s="378"/>
      <c r="ET61" s="378"/>
      <c r="EU61" s="378"/>
      <c r="EV61" s="378"/>
      <c r="EW61" s="378"/>
      <c r="EX61" s="378"/>
      <c r="EZ61" s="129"/>
      <c r="FA61" s="129"/>
      <c r="FB61" s="129"/>
      <c r="FC61" s="129"/>
      <c r="FD61" s="129"/>
      <c r="FE61" s="129"/>
      <c r="FF61" s="129"/>
      <c r="FG61" s="129"/>
      <c r="FH61" s="129"/>
      <c r="FI61" s="129"/>
      <c r="FJ61" s="129"/>
      <c r="FK61" s="129"/>
      <c r="FL61" s="129"/>
      <c r="FM61" s="129"/>
      <c r="FN61" s="129"/>
      <c r="FO61" s="129"/>
      <c r="FP61" s="129"/>
      <c r="FQ61" s="129"/>
      <c r="FR61" s="129"/>
      <c r="FS61" s="129"/>
      <c r="FT61" s="129"/>
      <c r="FU61" s="129"/>
      <c r="FV61" s="129"/>
      <c r="FW61" s="129"/>
      <c r="FX61" s="129"/>
      <c r="FY61" s="129"/>
      <c r="FZ61" s="129"/>
      <c r="GA61" s="129"/>
      <c r="GB61" s="129"/>
      <c r="GC61" s="129"/>
      <c r="GD61" s="129"/>
      <c r="GE61" s="129"/>
      <c r="GF61" s="129"/>
      <c r="GG61" s="129"/>
      <c r="GH61" s="129"/>
      <c r="GI61" s="129"/>
      <c r="GJ61" s="129"/>
      <c r="GK61" s="129"/>
      <c r="GL61" s="129"/>
      <c r="GM61" s="129"/>
      <c r="GN61" s="129"/>
      <c r="GO61" s="129"/>
      <c r="GP61" s="129"/>
      <c r="GQ61" s="129"/>
      <c r="GR61" s="129"/>
      <c r="GS61" s="129"/>
      <c r="GT61" s="129"/>
      <c r="GU61" s="129"/>
      <c r="GV61" s="129"/>
      <c r="GW61" s="129"/>
      <c r="GX61" s="129"/>
      <c r="GY61" s="129"/>
      <c r="GZ61" s="129"/>
      <c r="HG61" s="129"/>
      <c r="HH61" s="129"/>
      <c r="HI61" s="129"/>
      <c r="HJ61" s="129"/>
      <c r="HK61" s="129"/>
      <c r="HL61" s="129"/>
      <c r="HM61" s="129"/>
      <c r="HN61" s="129"/>
      <c r="HO61" s="129"/>
      <c r="HP61" s="129"/>
      <c r="HQ61" s="129"/>
      <c r="HR61" s="129"/>
      <c r="HS61" s="129"/>
      <c r="HT61" s="129"/>
      <c r="HU61" s="129"/>
      <c r="HV61" s="129"/>
      <c r="HW61" s="129"/>
      <c r="HX61" s="129"/>
      <c r="HY61" s="129"/>
      <c r="HZ61" s="129"/>
      <c r="IA61" s="129"/>
      <c r="IB61" s="129"/>
      <c r="IC61" s="129"/>
      <c r="ID61" s="129"/>
      <c r="IE61" s="129"/>
      <c r="IF61" s="129"/>
      <c r="IG61" s="129"/>
      <c r="IH61" s="129"/>
      <c r="II61" s="129"/>
      <c r="IJ61" s="129"/>
      <c r="IK61" s="129"/>
      <c r="IL61" s="129"/>
      <c r="IM61" s="129"/>
      <c r="IN61" s="129"/>
      <c r="IO61" s="129"/>
      <c r="IP61" s="129"/>
      <c r="IQ61" s="129"/>
      <c r="IR61" s="129"/>
      <c r="IS61" s="129"/>
      <c r="IT61" s="129"/>
      <c r="IU61" s="129"/>
      <c r="IV61" s="129"/>
      <c r="IW61" s="129"/>
      <c r="IX61" s="129"/>
      <c r="IY61" s="129"/>
      <c r="IZ61" s="129"/>
      <c r="JI61" s="129"/>
      <c r="JJ61" s="129"/>
      <c r="JK61" s="129"/>
      <c r="JL61" s="129"/>
      <c r="JM61" s="129"/>
      <c r="JN61" s="129"/>
      <c r="JO61" s="129"/>
      <c r="JP61" s="129"/>
      <c r="JQ61" s="129"/>
      <c r="JR61" s="129"/>
      <c r="JS61" s="129"/>
      <c r="JT61" s="129"/>
      <c r="JU61" s="129"/>
      <c r="JV61" s="129"/>
      <c r="JW61" s="129"/>
      <c r="JX61" s="129"/>
      <c r="JY61" s="129"/>
      <c r="JZ61" s="129"/>
      <c r="MG61" s="129"/>
      <c r="MH61" s="129"/>
      <c r="MI61" s="129"/>
      <c r="MJ61" s="129"/>
      <c r="MK61" s="129"/>
      <c r="ML61" s="129"/>
      <c r="MM61" s="129"/>
      <c r="MN61" s="129"/>
      <c r="MO61" s="129"/>
      <c r="MP61" s="129"/>
      <c r="MQ61" s="129"/>
      <c r="MR61" s="129"/>
      <c r="MS61" s="129"/>
      <c r="MT61" s="129"/>
      <c r="MU61" s="129"/>
      <c r="MV61" s="129"/>
      <c r="MW61" s="129"/>
      <c r="MX61" s="129"/>
      <c r="MY61" s="129"/>
      <c r="MZ61" s="129"/>
      <c r="PA61" s="129"/>
      <c r="PB61" s="129"/>
      <c r="PC61" s="129"/>
      <c r="PD61" s="129"/>
      <c r="PE61" s="129"/>
      <c r="PF61" s="129"/>
      <c r="PG61" s="129"/>
      <c r="PH61" s="129"/>
      <c r="PI61" s="129"/>
      <c r="PJ61" s="129"/>
      <c r="PK61" s="129"/>
      <c r="PL61" s="129"/>
      <c r="PM61" s="129"/>
      <c r="PN61" s="129"/>
      <c r="PO61" s="129"/>
      <c r="PP61" s="129"/>
      <c r="PQ61" s="129"/>
      <c r="PR61" s="129"/>
      <c r="PS61" s="129"/>
      <c r="PT61" s="129"/>
      <c r="PU61" s="129"/>
      <c r="PV61" s="129"/>
      <c r="PW61" s="129"/>
      <c r="PX61" s="129"/>
      <c r="PY61" s="129"/>
      <c r="PZ61" s="129"/>
    </row>
    <row r="62" spans="2:442" ht="14.4">
      <c r="B62" s="1077" t="s">
        <v>3214</v>
      </c>
      <c r="C62"/>
      <c r="EF62" s="378"/>
      <c r="EG62" s="378"/>
      <c r="EH62" s="378"/>
      <c r="EI62" s="378"/>
      <c r="EJ62" s="378"/>
      <c r="EK62" s="378"/>
      <c r="EL62" s="378"/>
      <c r="EM62" s="378"/>
      <c r="EN62" s="378"/>
      <c r="EO62" s="378"/>
      <c r="EP62" s="378"/>
      <c r="EQ62" s="378"/>
      <c r="ER62" s="378"/>
      <c r="ES62" s="378"/>
      <c r="ET62" s="378"/>
      <c r="EU62" s="378"/>
      <c r="EV62" s="378"/>
      <c r="EW62" s="378"/>
      <c r="EX62" s="378"/>
      <c r="EZ62" s="129"/>
      <c r="FA62" s="129"/>
      <c r="FB62" s="129"/>
      <c r="FC62" s="129"/>
      <c r="FD62" s="129"/>
      <c r="FE62" s="129"/>
      <c r="FF62" s="129"/>
      <c r="FG62" s="129"/>
      <c r="FH62" s="129"/>
      <c r="FI62" s="129"/>
      <c r="FJ62" s="129"/>
      <c r="FK62" s="129"/>
      <c r="FL62" s="129"/>
      <c r="FM62" s="129"/>
      <c r="FN62" s="129"/>
      <c r="FO62" s="129"/>
      <c r="FP62" s="129"/>
      <c r="FQ62" s="129"/>
      <c r="FR62" s="129"/>
      <c r="FS62" s="129"/>
      <c r="FT62" s="129"/>
      <c r="FU62" s="129"/>
      <c r="FV62" s="129"/>
      <c r="FW62" s="129"/>
      <c r="FX62" s="129"/>
      <c r="FY62" s="129"/>
      <c r="FZ62" s="129"/>
      <c r="GA62" s="129"/>
      <c r="GB62" s="129"/>
      <c r="GC62" s="129"/>
      <c r="GD62" s="129"/>
      <c r="GE62" s="129"/>
      <c r="GF62" s="129"/>
      <c r="GG62" s="129"/>
      <c r="GH62" s="129"/>
      <c r="GI62" s="129"/>
      <c r="GJ62" s="129"/>
      <c r="GK62" s="129"/>
      <c r="GL62" s="129"/>
      <c r="GM62" s="129"/>
      <c r="GN62" s="129"/>
      <c r="GO62" s="129"/>
      <c r="GP62" s="129"/>
      <c r="GQ62" s="129"/>
      <c r="GR62" s="129"/>
      <c r="GS62" s="129"/>
      <c r="GT62" s="129"/>
      <c r="GU62" s="129"/>
      <c r="GV62" s="129"/>
      <c r="GW62" s="129"/>
      <c r="GX62" s="129"/>
      <c r="GY62" s="129"/>
      <c r="GZ62" s="129"/>
      <c r="HG62" s="129"/>
      <c r="HH62" s="129"/>
      <c r="HI62" s="129"/>
      <c r="HJ62" s="129"/>
      <c r="HK62" s="129"/>
      <c r="HL62" s="129"/>
      <c r="HM62" s="129"/>
      <c r="HN62" s="129"/>
      <c r="HO62" s="129"/>
      <c r="HP62" s="129"/>
      <c r="HQ62" s="129"/>
      <c r="HR62" s="129"/>
      <c r="HS62" s="129"/>
      <c r="HT62" s="129"/>
      <c r="HU62" s="129"/>
      <c r="HV62" s="129"/>
      <c r="HW62" s="129"/>
      <c r="HX62" s="129"/>
      <c r="HY62" s="129"/>
      <c r="HZ62" s="129"/>
      <c r="IA62" s="129"/>
      <c r="IB62" s="129"/>
      <c r="IC62" s="129"/>
      <c r="ID62" s="129"/>
      <c r="IE62" s="129"/>
      <c r="IF62" s="129"/>
      <c r="IG62" s="129"/>
      <c r="IH62" s="129"/>
      <c r="II62" s="129"/>
      <c r="IJ62" s="129"/>
      <c r="IK62" s="129"/>
      <c r="IL62" s="129"/>
      <c r="IM62" s="129"/>
      <c r="IN62" s="129"/>
      <c r="IO62" s="129"/>
      <c r="IP62" s="129"/>
      <c r="IQ62" s="129"/>
      <c r="IR62" s="129"/>
      <c r="IS62" s="129"/>
      <c r="IT62" s="129"/>
      <c r="IU62" s="129"/>
      <c r="IV62" s="129"/>
      <c r="IW62" s="129"/>
      <c r="IX62" s="129"/>
      <c r="IY62" s="129"/>
      <c r="IZ62" s="129"/>
      <c r="JI62" s="129"/>
      <c r="JJ62" s="129"/>
      <c r="JK62" s="129"/>
      <c r="JL62" s="129"/>
      <c r="JM62" s="129"/>
      <c r="JN62" s="129"/>
      <c r="JO62" s="129"/>
      <c r="JP62" s="129"/>
      <c r="JQ62" s="129"/>
      <c r="JR62" s="129"/>
      <c r="JS62" s="129"/>
      <c r="JT62" s="129"/>
      <c r="JU62" s="129"/>
      <c r="JV62" s="129"/>
      <c r="JW62" s="129"/>
      <c r="JX62" s="129"/>
      <c r="JY62" s="129"/>
      <c r="JZ62" s="129"/>
      <c r="MG62" s="129"/>
      <c r="MH62" s="129"/>
      <c r="MI62" s="129"/>
      <c r="MJ62" s="129"/>
      <c r="MK62" s="129"/>
      <c r="ML62" s="129"/>
      <c r="MM62" s="129"/>
      <c r="MN62" s="129"/>
      <c r="MO62" s="129"/>
      <c r="MP62" s="129"/>
      <c r="MQ62" s="129"/>
      <c r="MR62" s="129"/>
      <c r="MS62" s="129"/>
      <c r="MT62" s="129"/>
      <c r="MU62" s="129"/>
      <c r="MV62" s="129"/>
      <c r="MW62" s="129"/>
      <c r="MX62" s="129"/>
      <c r="MY62" s="129"/>
      <c r="MZ62" s="129"/>
      <c r="PA62" s="129"/>
      <c r="PB62" s="129"/>
      <c r="PC62" s="129"/>
      <c r="PD62" s="129"/>
      <c r="PE62" s="129"/>
      <c r="PF62" s="129"/>
      <c r="PG62" s="129"/>
      <c r="PH62" s="129"/>
      <c r="PI62" s="129"/>
      <c r="PJ62" s="129"/>
      <c r="PK62" s="129"/>
      <c r="PL62" s="129"/>
      <c r="PM62" s="129"/>
      <c r="PN62" s="129"/>
      <c r="PO62" s="129"/>
      <c r="PP62" s="129"/>
      <c r="PQ62" s="129"/>
      <c r="PR62" s="129"/>
      <c r="PS62" s="129"/>
      <c r="PT62" s="129"/>
      <c r="PU62" s="129"/>
      <c r="PV62" s="129"/>
      <c r="PW62" s="129"/>
      <c r="PX62" s="129"/>
      <c r="PY62" s="129"/>
      <c r="PZ62" s="129"/>
    </row>
    <row r="63" spans="2:442" ht="14.4">
      <c r="B63" s="7" t="s">
        <v>5684</v>
      </c>
      <c r="C63"/>
      <c r="EF63" s="378"/>
      <c r="EG63" s="378"/>
      <c r="EH63" s="378"/>
      <c r="EI63" s="378"/>
      <c r="EJ63" s="378"/>
      <c r="EK63" s="378"/>
      <c r="EL63" s="378"/>
      <c r="EM63" s="378"/>
      <c r="EN63" s="378"/>
      <c r="EO63" s="378"/>
      <c r="EP63" s="378"/>
      <c r="EQ63" s="378"/>
      <c r="ER63" s="378"/>
      <c r="ES63" s="378"/>
      <c r="ET63" s="378"/>
      <c r="EU63" s="378"/>
      <c r="EV63" s="378"/>
      <c r="EW63" s="378"/>
      <c r="EX63" s="378"/>
      <c r="EZ63" s="129"/>
      <c r="FA63" s="129"/>
      <c r="FB63" s="129"/>
      <c r="FC63" s="129"/>
      <c r="FD63" s="129"/>
      <c r="FE63" s="129"/>
      <c r="FF63" s="129"/>
      <c r="FG63" s="129"/>
      <c r="FH63" s="129"/>
      <c r="FI63" s="129"/>
      <c r="FJ63" s="129"/>
      <c r="FK63" s="129"/>
      <c r="FL63" s="129"/>
      <c r="FM63" s="129"/>
      <c r="FN63" s="129"/>
      <c r="FO63" s="129"/>
      <c r="FP63" s="129"/>
      <c r="FQ63" s="129"/>
      <c r="FR63" s="129"/>
      <c r="FS63" s="129"/>
      <c r="FT63" s="129"/>
      <c r="FU63" s="129"/>
      <c r="FV63" s="129"/>
      <c r="FW63" s="129"/>
      <c r="FX63" s="129"/>
      <c r="FY63" s="129"/>
      <c r="FZ63" s="129"/>
      <c r="GG63" s="129"/>
      <c r="GH63" s="129"/>
      <c r="GI63" s="129"/>
      <c r="GJ63" s="129"/>
      <c r="GK63" s="129"/>
      <c r="GL63" s="129"/>
      <c r="GM63" s="129"/>
      <c r="GN63" s="129"/>
      <c r="GO63" s="129"/>
      <c r="GP63" s="129"/>
      <c r="GQ63" s="129"/>
      <c r="GR63" s="129"/>
      <c r="GS63" s="129"/>
      <c r="GT63" s="129"/>
      <c r="GU63" s="129"/>
      <c r="GV63" s="129"/>
      <c r="GW63" s="129"/>
      <c r="GX63" s="129"/>
      <c r="GY63" s="129"/>
      <c r="GZ63" s="129"/>
      <c r="HG63" s="129"/>
      <c r="HH63" s="129"/>
      <c r="HI63" s="129"/>
      <c r="HJ63" s="129"/>
      <c r="HK63" s="129"/>
      <c r="HL63" s="129"/>
      <c r="HM63" s="129"/>
      <c r="HN63" s="129"/>
      <c r="HO63" s="129"/>
      <c r="HP63" s="129"/>
      <c r="HQ63" s="129"/>
      <c r="HR63" s="129"/>
      <c r="HS63" s="129"/>
      <c r="HT63" s="129"/>
      <c r="HU63" s="129"/>
      <c r="HV63" s="129"/>
      <c r="HW63" s="129"/>
      <c r="HX63" s="129"/>
      <c r="HY63" s="129"/>
      <c r="HZ63" s="129"/>
      <c r="II63" s="129"/>
      <c r="IJ63" s="129"/>
      <c r="IK63" s="129"/>
      <c r="IL63" s="129"/>
      <c r="IM63" s="129"/>
      <c r="IN63" s="129"/>
      <c r="IO63" s="129"/>
      <c r="IP63" s="129"/>
      <c r="IQ63" s="129"/>
      <c r="IR63" s="129"/>
      <c r="IS63" s="129"/>
      <c r="IT63" s="129"/>
      <c r="IU63" s="129"/>
      <c r="IV63" s="129"/>
      <c r="IW63" s="129"/>
      <c r="IX63" s="129"/>
      <c r="IY63" s="129"/>
      <c r="IZ63" s="129"/>
      <c r="JI63" s="129"/>
      <c r="JJ63" s="129"/>
      <c r="JK63" s="129"/>
      <c r="JL63" s="129"/>
      <c r="JM63" s="129"/>
      <c r="JN63" s="129"/>
      <c r="JO63" s="129"/>
      <c r="JP63" s="129"/>
      <c r="JQ63" s="129"/>
      <c r="JR63" s="129"/>
      <c r="JS63" s="129"/>
      <c r="JT63" s="129"/>
      <c r="JU63" s="129"/>
      <c r="JV63" s="129"/>
      <c r="JW63" s="129"/>
      <c r="JX63" s="129"/>
      <c r="JY63" s="129"/>
      <c r="JZ63" s="129"/>
      <c r="MG63" s="129"/>
      <c r="MH63" s="129"/>
      <c r="MI63" s="129"/>
      <c r="MJ63" s="129"/>
      <c r="MK63" s="129"/>
      <c r="ML63" s="129"/>
      <c r="MM63" s="129"/>
      <c r="MN63" s="129"/>
      <c r="MO63" s="129"/>
      <c r="MP63" s="129"/>
      <c r="MQ63" s="129"/>
      <c r="MR63" s="129"/>
      <c r="MS63" s="129"/>
      <c r="MT63" s="129"/>
      <c r="MU63" s="129"/>
      <c r="MV63" s="129"/>
      <c r="MW63" s="129"/>
      <c r="MX63" s="129"/>
      <c r="MY63" s="129"/>
      <c r="MZ63" s="129"/>
      <c r="PG63" s="129"/>
      <c r="PH63" s="129"/>
      <c r="PI63" s="129"/>
      <c r="PJ63" s="129"/>
      <c r="PK63" s="129"/>
      <c r="PL63" s="129"/>
      <c r="PM63" s="129"/>
      <c r="PN63" s="129"/>
      <c r="PO63" s="129"/>
      <c r="PP63" s="129"/>
      <c r="PQ63" s="129"/>
      <c r="PR63" s="129"/>
      <c r="PS63" s="129"/>
      <c r="PT63" s="129"/>
      <c r="PU63" s="129"/>
      <c r="PV63" s="129"/>
      <c r="PW63" s="129"/>
      <c r="PX63" s="129"/>
      <c r="PY63" s="129"/>
      <c r="PZ63" s="129"/>
    </row>
    <row r="64" spans="2:442" ht="14.4">
      <c r="B64" s="7" t="s">
        <v>5703</v>
      </c>
      <c r="C64"/>
    </row>
    <row r="65" spans="1:7" ht="14.4">
      <c r="B65" t="s">
        <v>5701</v>
      </c>
      <c r="C65"/>
    </row>
    <row r="66" spans="1:7" ht="14.4">
      <c r="B66" t="s">
        <v>5704</v>
      </c>
      <c r="C66"/>
    </row>
    <row r="67" spans="1:7" ht="14.4">
      <c r="A67" s="129" t="s">
        <v>453</v>
      </c>
      <c r="B67" t="s">
        <v>5702</v>
      </c>
      <c r="C67"/>
      <c r="G67" s="129" t="s">
        <v>822</v>
      </c>
    </row>
    <row r="68" spans="1:7" ht="14.4">
      <c r="B68" t="s">
        <v>5705</v>
      </c>
      <c r="C68"/>
    </row>
    <row r="70" spans="1:7">
      <c r="B70" s="409" t="s">
        <v>5706</v>
      </c>
    </row>
    <row r="71" spans="1:7">
      <c r="B71" s="409" t="s">
        <v>5717</v>
      </c>
    </row>
    <row r="72" spans="1:7">
      <c r="B72" s="409"/>
    </row>
    <row r="73" spans="1:7">
      <c r="B73" s="1080" t="s">
        <v>5707</v>
      </c>
      <c r="G73" s="129" t="s">
        <v>822</v>
      </c>
    </row>
    <row r="74" spans="1:7">
      <c r="B74" s="409" t="s">
        <v>5708</v>
      </c>
      <c r="C74" s="409" t="s">
        <v>5709</v>
      </c>
      <c r="D74" s="409" t="s">
        <v>5710</v>
      </c>
      <c r="E74" s="129" t="s">
        <v>233</v>
      </c>
      <c r="F74" s="129" t="s">
        <v>5722</v>
      </c>
    </row>
    <row r="75" spans="1:7" ht="18">
      <c r="B75" s="409" t="s">
        <v>5781</v>
      </c>
      <c r="E75" s="1079" t="s">
        <v>5716</v>
      </c>
      <c r="F75" s="1079"/>
    </row>
    <row r="76" spans="1:7">
      <c r="B76" s="409" t="s">
        <v>5786</v>
      </c>
    </row>
    <row r="77" spans="1:7">
      <c r="B77" s="129" t="s">
        <v>5782</v>
      </c>
    </row>
    <row r="79" spans="1:7">
      <c r="B79" s="1080" t="s">
        <v>5712</v>
      </c>
    </row>
    <row r="80" spans="1:7">
      <c r="B80" s="409" t="s">
        <v>5708</v>
      </c>
      <c r="C80" s="409" t="s">
        <v>5709</v>
      </c>
      <c r="D80" s="409" t="s">
        <v>5710</v>
      </c>
      <c r="E80" s="129" t="s">
        <v>233</v>
      </c>
      <c r="F80" s="129" t="s">
        <v>5711</v>
      </c>
    </row>
    <row r="81" spans="2:6" ht="18">
      <c r="B81" s="409" t="s">
        <v>5780</v>
      </c>
      <c r="E81" s="1079" t="s">
        <v>5716</v>
      </c>
      <c r="F81" s="1079"/>
    </row>
    <row r="82" spans="2:6">
      <c r="B82" s="409" t="s">
        <v>5779</v>
      </c>
    </row>
    <row r="84" spans="2:6" ht="18">
      <c r="B84" s="245" t="s">
        <v>5887</v>
      </c>
      <c r="C84" s="129" t="s">
        <v>5894</v>
      </c>
    </row>
    <row r="85" spans="2:6">
      <c r="B85" s="129" t="s">
        <v>5888</v>
      </c>
      <c r="C85" s="129" t="s">
        <v>5890</v>
      </c>
    </row>
    <row r="86" spans="2:6">
      <c r="B86" s="129" t="s">
        <v>5889</v>
      </c>
      <c r="C86" s="129" t="s">
        <v>5893</v>
      </c>
    </row>
    <row r="87" spans="2:6">
      <c r="B87" s="129" t="s">
        <v>5891</v>
      </c>
      <c r="C87" s="129" t="s">
        <v>5892</v>
      </c>
    </row>
    <row r="88" spans="2:6">
      <c r="B88" s="409"/>
    </row>
    <row r="89" spans="2:6" ht="18">
      <c r="B89" s="1104" t="s">
        <v>5897</v>
      </c>
    </row>
    <row r="90" spans="2:6">
      <c r="B90" s="409" t="s">
        <v>5898</v>
      </c>
    </row>
    <row r="91" spans="2:6">
      <c r="B91" s="409" t="s">
        <v>5903</v>
      </c>
    </row>
    <row r="93" spans="2:6" ht="18">
      <c r="B93" s="1104" t="s">
        <v>5902</v>
      </c>
    </row>
    <row r="94" spans="2:6">
      <c r="B94" s="409" t="s">
        <v>5903</v>
      </c>
    </row>
    <row r="96" spans="2:6" ht="18">
      <c r="B96" s="1104" t="s">
        <v>818</v>
      </c>
    </row>
    <row r="97" spans="2:442">
      <c r="B97" s="409" t="s">
        <v>5918</v>
      </c>
    </row>
    <row r="98" spans="2:442">
      <c r="B98" s="409" t="s">
        <v>5917</v>
      </c>
      <c r="C98" s="129" t="s">
        <v>5919</v>
      </c>
      <c r="HF98" s="378"/>
    </row>
    <row r="99" spans="2:442">
      <c r="B99" s="409" t="s">
        <v>5916</v>
      </c>
      <c r="C99" s="129" t="s">
        <v>5923</v>
      </c>
    </row>
    <row r="100" spans="2:442">
      <c r="B100" s="409" t="s">
        <v>5920</v>
      </c>
      <c r="C100" s="129" t="s">
        <v>5924</v>
      </c>
      <c r="EY100" s="378"/>
      <c r="GZ100" s="129"/>
      <c r="JZ100" s="129"/>
      <c r="MZ100" s="129"/>
      <c r="PZ100" s="129"/>
    </row>
    <row r="101" spans="2:442">
      <c r="B101" s="409" t="s">
        <v>5921</v>
      </c>
      <c r="C101" s="129" t="s">
        <v>5925</v>
      </c>
    </row>
    <row r="102" spans="2:442">
      <c r="B102" s="409"/>
      <c r="C102" s="129" t="s">
        <v>5922</v>
      </c>
    </row>
    <row r="104" spans="2:442" ht="18">
      <c r="B104" s="1104" t="s">
        <v>6278</v>
      </c>
      <c r="C104"/>
    </row>
    <row r="105" spans="2:442" ht="18">
      <c r="B105" t="s">
        <v>6274</v>
      </c>
      <c r="C105"/>
      <c r="D105" s="237"/>
      <c r="E105" s="237"/>
      <c r="F105" s="237"/>
    </row>
    <row r="106" spans="2:442" ht="14.4">
      <c r="B106" s="114"/>
      <c r="C106" t="s">
        <v>6275</v>
      </c>
    </row>
    <row r="107" spans="2:442" ht="14.4">
      <c r="B107" s="221"/>
      <c r="C107" t="s">
        <v>6276</v>
      </c>
    </row>
    <row r="108" spans="2:442" ht="14.4">
      <c r="B108" s="5"/>
      <c r="C108" t="s">
        <v>6277</v>
      </c>
    </row>
    <row r="109" spans="2:442">
      <c r="B109" s="1252"/>
      <c r="C109" s="129" t="s">
        <v>6681</v>
      </c>
    </row>
    <row r="111" spans="2:442" ht="18">
      <c r="B111" s="1104" t="s">
        <v>404</v>
      </c>
    </row>
    <row r="112" spans="2:442">
      <c r="B112" s="409" t="s">
        <v>1248</v>
      </c>
      <c r="C112" s="129" t="s">
        <v>260</v>
      </c>
    </row>
    <row r="113" spans="2:3">
      <c r="B113" s="409" t="s">
        <v>1249</v>
      </c>
      <c r="C113" s="129" t="s">
        <v>36</v>
      </c>
    </row>
    <row r="114" spans="2:3">
      <c r="B114" s="409" t="s">
        <v>696</v>
      </c>
      <c r="C114" s="129" t="s">
        <v>6682</v>
      </c>
    </row>
    <row r="115" spans="2:3">
      <c r="B115" s="409" t="s">
        <v>6432</v>
      </c>
      <c r="C115" s="129" t="s">
        <v>6683</v>
      </c>
    </row>
    <row r="116" spans="2:3">
      <c r="B116" s="409" t="s">
        <v>6684</v>
      </c>
      <c r="C116" s="129" t="s">
        <v>5789</v>
      </c>
    </row>
    <row r="117" spans="2:3">
      <c r="B117" s="409" t="s">
        <v>6685</v>
      </c>
      <c r="C117" s="129" t="s">
        <v>6686</v>
      </c>
    </row>
    <row r="118" spans="2:3">
      <c r="B118" s="409" t="s">
        <v>6433</v>
      </c>
      <c r="C118" s="129" t="s">
        <v>6687</v>
      </c>
    </row>
    <row r="119" spans="2:3">
      <c r="B119" s="409" t="s">
        <v>6434</v>
      </c>
      <c r="C119" s="129" t="s">
        <v>5811</v>
      </c>
    </row>
    <row r="120" spans="2:3">
      <c r="B120" s="409" t="s">
        <v>1383</v>
      </c>
      <c r="C120" s="129" t="s">
        <v>6688</v>
      </c>
    </row>
    <row r="121" spans="2:3">
      <c r="B121" s="409" t="s">
        <v>6689</v>
      </c>
      <c r="C121" s="129" t="s">
        <v>248</v>
      </c>
    </row>
    <row r="122" spans="2:3">
      <c r="B122" s="409" t="s">
        <v>2636</v>
      </c>
      <c r="C122" s="129" t="s">
        <v>112</v>
      </c>
    </row>
    <row r="123" spans="2:3">
      <c r="B123" s="409" t="s">
        <v>2514</v>
      </c>
      <c r="C123" s="129" t="s">
        <v>6690</v>
      </c>
    </row>
    <row r="126" spans="2:3" ht="18">
      <c r="B126" s="334" t="s">
        <v>6489</v>
      </c>
      <c r="C126"/>
    </row>
    <row r="127" spans="2:3" ht="14.4">
      <c r="B127" t="s">
        <v>6490</v>
      </c>
      <c r="C127"/>
    </row>
    <row r="128" spans="2:3" ht="14.4">
      <c r="B128" t="s">
        <v>6491</v>
      </c>
      <c r="C128"/>
    </row>
    <row r="129" spans="2:3" ht="14.4">
      <c r="B129" t="s">
        <v>6495</v>
      </c>
      <c r="C129"/>
    </row>
    <row r="130" spans="2:3" ht="14.4">
      <c r="B130" t="s">
        <v>6492</v>
      </c>
      <c r="C130"/>
    </row>
    <row r="131" spans="2:3" ht="14.4">
      <c r="B131" t="s">
        <v>6496</v>
      </c>
      <c r="C131"/>
    </row>
    <row r="132" spans="2:3" ht="14.4">
      <c r="B132" t="s">
        <v>6493</v>
      </c>
      <c r="C132"/>
    </row>
    <row r="133" spans="2:3" ht="14.4">
      <c r="B133" t="s">
        <v>6494</v>
      </c>
      <c r="C133"/>
    </row>
  </sheetData>
  <sortState xmlns:xlrd2="http://schemas.microsoft.com/office/spreadsheetml/2017/richdata2" ref="B5:G10">
    <sortCondition ref="B5:B10"/>
  </sortState>
  <mergeCells count="89">
    <mergeCell ref="AB30:AD30"/>
    <mergeCell ref="AB29:AD29"/>
    <mergeCell ref="AB24:AD24"/>
    <mergeCell ref="AB25:AD25"/>
    <mergeCell ref="JH10:JH11"/>
    <mergeCell ref="DB23:DD23"/>
    <mergeCell ref="DB24:DD24"/>
    <mergeCell ref="DB26:DE26"/>
    <mergeCell ref="AC28:AD28"/>
    <mergeCell ref="AA27:AD27"/>
    <mergeCell ref="GB19:GF19"/>
    <mergeCell ref="DB20:DD20"/>
    <mergeCell ref="DA21:DD21"/>
    <mergeCell ref="GB18:GF18"/>
    <mergeCell ref="JB21:JG21"/>
    <mergeCell ref="JB20:JG20"/>
    <mergeCell ref="SI7:SL7"/>
    <mergeCell ref="SB5:SD5"/>
    <mergeCell ref="SB6:SD6"/>
    <mergeCell ref="SA3:SD3"/>
    <mergeCell ref="SB4:SD4"/>
    <mergeCell ref="SB7:SD7"/>
    <mergeCell ref="SA9:SG9"/>
    <mergeCell ref="SB23:SF23"/>
    <mergeCell ref="IA3:IB3"/>
    <mergeCell ref="MA3:MB3"/>
    <mergeCell ref="SE4:SE7"/>
    <mergeCell ref="NA3:NB3"/>
    <mergeCell ref="OA3:OB3"/>
    <mergeCell ref="KA3:KB3"/>
    <mergeCell ref="LA3:LB3"/>
    <mergeCell ref="JA6:JB6"/>
    <mergeCell ref="JA3:JB3"/>
    <mergeCell ref="JC6:JD6"/>
    <mergeCell ref="JE5:JF9"/>
    <mergeCell ref="JB14:JF14"/>
    <mergeCell ref="PA3:PB3"/>
    <mergeCell ref="MC6:MD6"/>
    <mergeCell ref="SB25:SG25"/>
    <mergeCell ref="SA16:SF16"/>
    <mergeCell ref="SC10:SE10"/>
    <mergeCell ref="SC11:SE11"/>
    <mergeCell ref="SC12:SE12"/>
    <mergeCell ref="SC13:SE13"/>
    <mergeCell ref="SC14:SE14"/>
    <mergeCell ref="SB18:SF18"/>
    <mergeCell ref="SB22:SF22"/>
    <mergeCell ref="A1:E1"/>
    <mergeCell ref="DA9:DD9"/>
    <mergeCell ref="AA3:AB3"/>
    <mergeCell ref="AA14:AD14"/>
    <mergeCell ref="DB6:DC6"/>
    <mergeCell ref="DB7:DC7"/>
    <mergeCell ref="DB4:DC4"/>
    <mergeCell ref="DA3:DB3"/>
    <mergeCell ref="AB5:AD5"/>
    <mergeCell ref="AC6:AD9"/>
    <mergeCell ref="BA3:BB3"/>
    <mergeCell ref="CA3:CB3"/>
    <mergeCell ref="MB12:ME12"/>
    <mergeCell ref="MB13:ME13"/>
    <mergeCell ref="MB14:ME14"/>
    <mergeCell ref="MB15:ME15"/>
    <mergeCell ref="MB16:ME16"/>
    <mergeCell ref="MB17:ME17"/>
    <mergeCell ref="GB12:GD12"/>
    <mergeCell ref="GB13:GD13"/>
    <mergeCell ref="DB19:DD19"/>
    <mergeCell ref="HA3:HB3"/>
    <mergeCell ref="DD4:DD5"/>
    <mergeCell ref="DD6:DD7"/>
    <mergeCell ref="DB5:DC5"/>
    <mergeCell ref="FA3:FB3"/>
    <mergeCell ref="GA3:GB3"/>
    <mergeCell ref="GC4:GD8"/>
    <mergeCell ref="MC5:MD5"/>
    <mergeCell ref="JB5:JC5"/>
    <mergeCell ref="JB17:JG17"/>
    <mergeCell ref="JB18:JG18"/>
    <mergeCell ref="JB19:JG19"/>
    <mergeCell ref="PB16:PF16"/>
    <mergeCell ref="QA3:QB3"/>
    <mergeCell ref="RA3:RB3"/>
    <mergeCell ref="PA8:PA13"/>
    <mergeCell ref="PB8:PB13"/>
    <mergeCell ref="PE8:PE13"/>
    <mergeCell ref="PF8:PF10"/>
    <mergeCell ref="PF11:PF13"/>
    <mergeCell ref="PC5:PD6"/>
  </mergeCells>
  <phoneticPr fontId="8" type="noConversion"/>
  <hyperlinks>
    <hyperlink ref="F4" location="$AE$1" display="Display" xr:uid="{20B86D89-246A-4A25-9181-36ABFEE7844C}"/>
    <hyperlink ref="EE1" location="C8" display="Contents" xr:uid="{43F86DE7-2EC0-4DF6-84BD-ED3D1D2BD953}"/>
    <hyperlink ref="AE1" location="C4" display="Contents" xr:uid="{FCC5E791-30E3-481B-ABFD-B03D6DA0F4FD}"/>
    <hyperlink ref="SE1" location="Stakeholder!C22" display="Contents" xr:uid="{0CCB2547-F8BE-4817-A4F3-D6DB3ACA0D30}"/>
    <hyperlink ref="HE1" location="C11" display="Contents" xr:uid="{500680B6-998E-492A-86C7-F9BD157B4E06}"/>
    <hyperlink ref="NE1" location="Stakeholder!C17" display="Contents" xr:uid="{D117779E-D46D-421F-85AA-AAFC3C545F5D}"/>
    <hyperlink ref="F5:F24" location="Stakeholder!AF1" display="Display" xr:uid="{B57A5927-E1DE-48CB-A289-A016562A957B}"/>
    <hyperlink ref="BE1" location="C5" display="Contents" xr:uid="{6352EFB6-1195-461B-AF50-8BFC51DF4307}"/>
    <hyperlink ref="CE1" location="C6" display="Contents" xr:uid="{71979AAA-9CC9-4245-9439-4370AC31B07C}"/>
    <hyperlink ref="FE1" location="C9" display="Contents" xr:uid="{906E1224-79A6-47D5-B6E4-7032433428FA}"/>
    <hyperlink ref="GE1" location="C10" display="Contents" xr:uid="{59FF8E72-8CF7-46CC-9C8F-7FA0F1668A73}"/>
    <hyperlink ref="IE1" location="C12" display="Contents" xr:uid="{CF591CDA-CE29-4B04-82EE-2E8EC4F488A6}"/>
    <hyperlink ref="ME1" location="Stakeholder!C16" display="Contents" xr:uid="{48ADC8CD-2E15-4C72-8F6A-33D671D210D1}"/>
    <hyperlink ref="OE1" location="Stakeholder!C18" display="Contents" xr:uid="{14A47BDC-50C6-4BA3-BC8D-F6555E0288C1}"/>
    <hyperlink ref="F5" location="$BE$1" display="Display" xr:uid="{9DCDDDD5-4A4F-47E9-BC11-51C48C3E8839}"/>
    <hyperlink ref="F6" location="$CE$1" display="Display" xr:uid="{271E281C-58CA-4B10-BECD-D2AFD8917653}"/>
    <hyperlink ref="F7" location="$DE$1" display="Display" xr:uid="{D9B82DD2-154A-4082-B0FC-3DC5344E8704}"/>
    <hyperlink ref="DE1" location="C7" display="Contents" xr:uid="{0C8E094D-206B-4054-9A95-767B9D5EB60A}"/>
    <hyperlink ref="F8" location="$EE$1" display="Display" xr:uid="{8C42E370-A1EB-409C-8FD1-FFBF68C9EFF6}"/>
    <hyperlink ref="F9" location="$FE$1" display="Display" xr:uid="{CDFC3730-F432-43B4-B175-A1B01E596296}"/>
    <hyperlink ref="F10" location="$GE$1" display="Display" xr:uid="{B909DA4F-8981-4A89-9E7C-A6A71863D0ED}"/>
    <hyperlink ref="F11" location="$HE$1" display="Display" xr:uid="{5CCAA09D-46DF-4AE8-8918-7F0C787E3903}"/>
    <hyperlink ref="F12" location="$IE$1" display="Display" xr:uid="{F44DA531-7F1A-49A2-AF23-C50DC6587424}"/>
    <hyperlink ref="F19" location="Stakeholder!PE1" display="Display" xr:uid="{AB81E3EE-B098-4338-BD71-6022F44CBC10}"/>
    <hyperlink ref="F20" location="Stakeholder!QE1" display="Display" xr:uid="{AB956919-5550-4757-A13F-5584EBAE11F5}"/>
    <hyperlink ref="F21" location="Stakeholder!RE1" display="Display" xr:uid="{3A3116B8-F9A5-4083-97FB-259FCFE91A60}"/>
    <hyperlink ref="F22" location="Stakeholder!SE1" display="Display" xr:uid="{FC1BA22A-C5B8-484D-B305-ED43A92F0AC9}"/>
    <hyperlink ref="F13:F15" location="Stakeholder!AF1" display="Display" xr:uid="{24F86ECE-DA97-4AC8-83F0-2F81646502A9}"/>
    <hyperlink ref="F13" location="Stakeholder!JE1" display="Display" xr:uid="{6863D165-2F12-46AF-8326-84A6BE0AC156}"/>
    <hyperlink ref="F14" location="Stakeholder!KE1" display="Display" xr:uid="{3915841E-1C8C-4E17-92D9-CF4B394D4B19}"/>
    <hyperlink ref="F15" location="Stakeholder!LE1" display="Display" xr:uid="{00CAC5E4-0BF5-49C2-8576-5DCD9B9D387C}"/>
    <hyperlink ref="F16:F18" location="Stakeholder!AF1" display="Display" xr:uid="{FE234E1F-F91C-466E-8457-4A015C42A4DD}"/>
    <hyperlink ref="F16" location="Stakeholder!ME1" display="Display" xr:uid="{66914625-C710-4B53-93DC-82C888F91C27}"/>
    <hyperlink ref="F17" location="Stakeholder!NE1" display="Display" xr:uid="{03E2AE2F-42C4-48EB-BC21-F3B168A2B71D}"/>
    <hyperlink ref="F18" location="Stakeholder!OE1" display="Display" xr:uid="{F7BD2F2F-9032-447F-BF31-D34F156C7607}"/>
    <hyperlink ref="QE1" location="Stakeholder!C20" display="Contents" xr:uid="{0B58B33A-D125-4A36-97AA-BFE870586BB6}"/>
    <hyperlink ref="PE1" location="Stakeholder!C19" display="Contents" xr:uid="{B0007126-8348-4E6E-8996-2549980DD03F}"/>
    <hyperlink ref="RE1" location="Stakeholder!C21" display="Contents" xr:uid="{31665183-1172-484D-8BEE-95259ADA1773}"/>
    <hyperlink ref="KE1" location="Stakeholder!C14" display="Contents" xr:uid="{137CC33E-8252-4460-B8EC-8A1009220782}"/>
    <hyperlink ref="JG1" location="Stakeholder!C13" display="Contents" xr:uid="{D34B8EAD-C336-4603-B7A6-85033253E04F}"/>
    <hyperlink ref="LE1" location="Stakeholder!C15" display="Contents" xr:uid="{C5F82389-89BB-43E6-83AD-FFE4A40D2D60}"/>
  </hyperlinks>
  <pageMargins left="0.7" right="0.7" top="0.75" bottom="0.75" header="0.3" footer="0.3"/>
  <pageSetup orientation="portrait"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CCF7A-E515-4A97-9478-5EA4B4C04F22}">
  <sheetPr codeName="Sheet4">
    <tabColor rgb="FF92D050"/>
  </sheetPr>
  <dimension ref="A1:EE106"/>
  <sheetViews>
    <sheetView tabSelected="1" topLeftCell="CY37" workbookViewId="0">
      <selection activeCell="DE44" sqref="DE44"/>
    </sheetView>
  </sheetViews>
  <sheetFormatPr defaultColWidth="8.88671875" defaultRowHeight="13.8"/>
  <cols>
    <col min="1" max="1" width="8.88671875" style="129"/>
    <col min="2" max="2" width="7.44140625" style="129" customWidth="1"/>
    <col min="3" max="3" width="30.21875" style="129" bestFit="1" customWidth="1"/>
    <col min="4" max="4" width="12.6640625" style="129" customWidth="1"/>
    <col min="5" max="5" width="65.88671875" style="129" customWidth="1"/>
    <col min="6" max="6" width="15.21875" style="129" customWidth="1"/>
    <col min="7" max="7" width="8.88671875" style="129" bestFit="1" customWidth="1"/>
    <col min="8" max="8" width="14.109375" style="129" customWidth="1"/>
    <col min="9" max="9" width="8.88671875" style="129"/>
    <col min="10" max="10" width="62.109375" style="129" customWidth="1"/>
    <col min="11" max="26" width="8.88671875" style="129"/>
    <col min="27" max="27" width="30" style="129" customWidth="1"/>
    <col min="28" max="28" width="29" style="129" customWidth="1"/>
    <col min="29" max="34" width="20.33203125" style="129" customWidth="1"/>
    <col min="35" max="51" width="9.44140625" style="129" customWidth="1"/>
    <col min="52" max="52" width="8.88671875" style="129"/>
    <col min="53" max="58" width="31" style="129" customWidth="1"/>
    <col min="59" max="65" width="9.109375" style="129" customWidth="1"/>
    <col min="66" max="66" width="2.109375" style="129" customWidth="1"/>
    <col min="67" max="76" width="9.109375" style="129" customWidth="1"/>
    <col min="77" max="77" width="8.5546875" style="129" customWidth="1"/>
    <col min="78" max="78" width="8.88671875" style="129"/>
    <col min="79" max="79" width="35.88671875" style="129" customWidth="1"/>
    <col min="80" max="80" width="42" style="129" customWidth="1"/>
    <col min="81" max="81" width="33.44140625" style="129" customWidth="1"/>
    <col min="82" max="82" width="17.21875" style="129" customWidth="1"/>
    <col min="83" max="83" width="21.5546875" style="129" customWidth="1"/>
    <col min="84" max="85" width="46.6640625" style="129" customWidth="1"/>
    <col min="86" max="104" width="3.88671875" style="129" customWidth="1"/>
    <col min="105" max="105" width="28.5546875" style="129" customWidth="1"/>
    <col min="106" max="106" width="41.77734375" style="129" customWidth="1"/>
    <col min="107" max="108" width="20.77734375" style="129" customWidth="1"/>
    <col min="109" max="109" width="39.33203125" style="129" customWidth="1"/>
    <col min="110" max="110" width="44.109375" style="129" customWidth="1"/>
    <col min="111" max="130" width="3.88671875" style="129" customWidth="1"/>
    <col min="131" max="131" width="30.5546875" style="129" customWidth="1"/>
    <col min="132" max="132" width="60.44140625" style="129" customWidth="1"/>
    <col min="133" max="133" width="43" style="129" customWidth="1"/>
    <col min="134" max="134" width="11.109375" style="129" customWidth="1"/>
    <col min="135" max="135" width="50.5546875" style="129" customWidth="1"/>
    <col min="136" max="16384" width="8.88671875" style="129"/>
  </cols>
  <sheetData>
    <row r="1" spans="1:135" ht="18">
      <c r="A1" s="1855" t="s">
        <v>6931</v>
      </c>
      <c r="B1" s="1855"/>
      <c r="C1" s="1855"/>
      <c r="D1" s="1855"/>
      <c r="E1" s="1855"/>
      <c r="AA1" s="237" t="s">
        <v>1193</v>
      </c>
      <c r="AB1" s="237"/>
      <c r="AE1" s="198" t="s">
        <v>336</v>
      </c>
      <c r="BA1" s="44" t="s">
        <v>43</v>
      </c>
      <c r="BE1" s="198" t="s">
        <v>336</v>
      </c>
      <c r="CA1" s="140" t="s">
        <v>7670</v>
      </c>
      <c r="CB1" s="522"/>
      <c r="CC1" s="522"/>
      <c r="CD1" s="408"/>
      <c r="CE1" s="408"/>
      <c r="CF1" s="198" t="s">
        <v>336</v>
      </c>
      <c r="CG1" s="237"/>
      <c r="CH1" s="237"/>
      <c r="CI1" s="237"/>
      <c r="CJ1" s="237"/>
      <c r="CK1" s="237"/>
      <c r="CL1" s="237"/>
      <c r="CM1" s="237"/>
      <c r="CN1" s="237"/>
      <c r="CO1" s="237"/>
      <c r="CP1" s="237"/>
      <c r="CQ1" s="237"/>
      <c r="CR1" s="237"/>
      <c r="CS1" s="237"/>
      <c r="CT1" s="237"/>
      <c r="CU1" s="237"/>
      <c r="CV1" s="237"/>
      <c r="CW1" s="237"/>
      <c r="CX1" s="237"/>
      <c r="CY1" s="237"/>
      <c r="CZ1" s="237"/>
      <c r="DA1" s="140" t="s">
        <v>7584</v>
      </c>
      <c r="DB1" s="522"/>
      <c r="DC1" s="408"/>
      <c r="DD1" s="408"/>
      <c r="DE1" s="198" t="s">
        <v>336</v>
      </c>
      <c r="DF1" s="237"/>
      <c r="DG1" s="237"/>
      <c r="DH1" s="237"/>
      <c r="DI1" s="237"/>
      <c r="DJ1" s="237"/>
      <c r="DK1" s="237"/>
      <c r="DL1" s="237"/>
      <c r="DM1" s="237"/>
      <c r="DN1" s="237"/>
      <c r="DO1" s="237"/>
      <c r="DP1" s="237"/>
      <c r="DQ1" s="237"/>
      <c r="DR1" s="237"/>
      <c r="DS1" s="237"/>
      <c r="DT1" s="237"/>
      <c r="DU1" s="237"/>
      <c r="DV1" s="237"/>
      <c r="DW1" s="237"/>
      <c r="DX1" s="237"/>
      <c r="DY1" s="237"/>
      <c r="DZ1" s="237"/>
      <c r="EA1" s="237" t="s">
        <v>59</v>
      </c>
      <c r="EB1" s="522" t="s">
        <v>1119</v>
      </c>
      <c r="EE1" s="198" t="s">
        <v>336</v>
      </c>
    </row>
    <row r="2" spans="1:135" ht="21" customHeight="1">
      <c r="B2" s="574"/>
      <c r="C2" s="574"/>
      <c r="D2" s="574"/>
      <c r="E2" s="574"/>
      <c r="F2" s="574"/>
      <c r="G2" s="1858" t="s">
        <v>6961</v>
      </c>
      <c r="H2" s="1858"/>
      <c r="I2" s="1858"/>
      <c r="BI2" s="1877" t="s">
        <v>7653</v>
      </c>
      <c r="BJ2" s="1877"/>
      <c r="BK2" s="1877"/>
      <c r="BL2" s="1878" t="s">
        <v>7654</v>
      </c>
      <c r="BM2" s="1878"/>
      <c r="BN2" s="1878"/>
      <c r="BO2" s="1878"/>
      <c r="BP2" s="1878"/>
    </row>
    <row r="3" spans="1:135" ht="18">
      <c r="B3" s="1342" t="s">
        <v>345</v>
      </c>
      <c r="C3" s="1343" t="s">
        <v>122</v>
      </c>
      <c r="D3" s="1343" t="s">
        <v>346</v>
      </c>
      <c r="E3" s="465" t="s">
        <v>347</v>
      </c>
      <c r="F3" s="1344" t="s">
        <v>233</v>
      </c>
      <c r="G3" s="426" t="s">
        <v>6615</v>
      </c>
      <c r="H3" s="426" t="s">
        <v>6616</v>
      </c>
      <c r="I3" s="426" t="s">
        <v>6617</v>
      </c>
      <c r="J3" s="426" t="s">
        <v>234</v>
      </c>
      <c r="AA3" s="1756" t="s">
        <v>236</v>
      </c>
      <c r="AB3" s="1757"/>
      <c r="AC3" s="520"/>
      <c r="AD3" s="520" t="s">
        <v>232</v>
      </c>
      <c r="AE3" s="1346" t="s">
        <v>6957</v>
      </c>
      <c r="AF3" s="495"/>
      <c r="AG3" s="237"/>
      <c r="AH3" s="237"/>
      <c r="AI3" s="237"/>
      <c r="AJ3" s="237"/>
      <c r="AK3" s="237"/>
      <c r="AL3" s="237"/>
      <c r="AM3" s="237"/>
      <c r="AN3" s="237"/>
      <c r="AO3" s="237"/>
      <c r="AP3" s="237"/>
      <c r="AQ3" s="237"/>
      <c r="AR3" s="237"/>
      <c r="AS3" s="237"/>
      <c r="AT3" s="237"/>
      <c r="AU3" s="237"/>
      <c r="AV3" s="237"/>
      <c r="AW3" s="237"/>
      <c r="AX3" s="237"/>
      <c r="AY3" s="237"/>
      <c r="BA3" s="1756" t="s">
        <v>43</v>
      </c>
      <c r="BB3" s="1757"/>
      <c r="BC3" s="520" t="s">
        <v>1121</v>
      </c>
      <c r="BD3" s="1346" t="s">
        <v>6958</v>
      </c>
      <c r="BG3" s="237"/>
      <c r="BH3" s="237"/>
      <c r="BI3" s="237"/>
      <c r="BJ3" s="237"/>
      <c r="BK3" s="237"/>
      <c r="BL3" s="237"/>
      <c r="BM3" s="237"/>
      <c r="BN3" s="237"/>
      <c r="BO3" s="237"/>
      <c r="BP3" s="237"/>
      <c r="BQ3" s="237"/>
      <c r="BR3" s="237"/>
      <c r="BS3" s="237"/>
      <c r="BT3" s="237"/>
      <c r="BU3" s="237"/>
      <c r="BV3" s="237"/>
      <c r="BW3" s="237"/>
      <c r="BX3" s="237"/>
      <c r="BY3" s="237"/>
      <c r="CA3" s="1811" t="s">
        <v>7670</v>
      </c>
      <c r="CB3" s="2598"/>
      <c r="CC3" s="2597"/>
      <c r="CD3" s="733" t="s">
        <v>232</v>
      </c>
      <c r="CE3" s="1875" t="s">
        <v>6959</v>
      </c>
      <c r="CF3" s="1875"/>
      <c r="CG3" s="237"/>
      <c r="CH3" s="237"/>
      <c r="CI3" s="237"/>
      <c r="CJ3" s="237"/>
      <c r="CK3" s="237"/>
      <c r="CL3" s="237"/>
      <c r="CM3" s="237"/>
      <c r="CN3" s="237"/>
      <c r="CO3" s="237"/>
      <c r="CP3" s="237"/>
      <c r="CQ3" s="237"/>
      <c r="CR3" s="237"/>
      <c r="CS3" s="237"/>
      <c r="CT3" s="237"/>
      <c r="CU3" s="237"/>
      <c r="CV3" s="237"/>
      <c r="CW3" s="237"/>
      <c r="CX3" s="237"/>
      <c r="CY3" s="237"/>
      <c r="CZ3" s="237"/>
      <c r="DA3" s="1756" t="s">
        <v>44</v>
      </c>
      <c r="DB3" s="1819"/>
      <c r="DC3" s="1757"/>
      <c r="DD3" s="733" t="s">
        <v>232</v>
      </c>
      <c r="DE3" s="1875" t="s">
        <v>6960</v>
      </c>
      <c r="DF3" s="1875"/>
      <c r="DG3" s="237"/>
      <c r="DH3" s="237"/>
      <c r="DI3" s="237"/>
      <c r="DJ3" s="237"/>
      <c r="DK3" s="237"/>
      <c r="DL3" s="237"/>
      <c r="DM3" s="237"/>
      <c r="DN3" s="237"/>
      <c r="DO3" s="237"/>
      <c r="DP3" s="237"/>
      <c r="DQ3" s="237"/>
      <c r="DR3" s="237"/>
      <c r="DS3" s="237"/>
      <c r="DT3" s="237"/>
      <c r="DU3" s="237"/>
      <c r="DV3" s="237"/>
      <c r="DW3" s="237"/>
      <c r="DX3" s="237"/>
      <c r="DY3" s="237"/>
      <c r="DZ3" s="237"/>
      <c r="EA3" s="1756" t="s">
        <v>59</v>
      </c>
      <c r="EB3" s="1757"/>
      <c r="EC3" s="521"/>
      <c r="ED3" s="521" t="s">
        <v>232</v>
      </c>
      <c r="EE3" s="520" t="s">
        <v>238</v>
      </c>
    </row>
    <row r="4" spans="1:135" ht="18.600000000000001" customHeight="1" thickBot="1">
      <c r="A4" s="63"/>
      <c r="B4" s="63">
        <v>1</v>
      </c>
      <c r="C4" s="377" t="s">
        <v>6956</v>
      </c>
      <c r="D4" s="377" t="s">
        <v>6957</v>
      </c>
      <c r="E4" s="296" t="s">
        <v>237</v>
      </c>
      <c r="F4" s="414" t="s">
        <v>233</v>
      </c>
      <c r="AA4" s="558" t="s">
        <v>350</v>
      </c>
      <c r="AB4" s="563" t="s">
        <v>351</v>
      </c>
      <c r="AC4" s="563"/>
      <c r="AD4" s="563" t="s">
        <v>1122</v>
      </c>
      <c r="AE4" s="1861" t="s">
        <v>348</v>
      </c>
      <c r="AF4" s="1861"/>
      <c r="AG4" s="53"/>
      <c r="AH4" s="53"/>
      <c r="AI4" s="53"/>
      <c r="AJ4" s="53"/>
      <c r="AK4" s="53"/>
      <c r="AL4" s="53"/>
      <c r="AM4" s="53"/>
      <c r="AN4" s="53"/>
      <c r="AO4" s="53"/>
      <c r="AP4" s="53"/>
      <c r="AQ4" s="53"/>
      <c r="AR4" s="53"/>
      <c r="AS4" s="53"/>
      <c r="AT4" s="53"/>
      <c r="AU4" s="53"/>
      <c r="AV4" s="53"/>
      <c r="AW4" s="53"/>
      <c r="AX4" s="53"/>
      <c r="AY4" s="53"/>
      <c r="BA4" s="556" t="s">
        <v>350</v>
      </c>
      <c r="BB4" s="556" t="s">
        <v>351</v>
      </c>
      <c r="BC4" s="135"/>
      <c r="BD4" s="578" t="s">
        <v>1122</v>
      </c>
      <c r="BE4" s="1861" t="s">
        <v>348</v>
      </c>
      <c r="BF4" s="1861"/>
      <c r="BG4" s="135"/>
      <c r="BH4" s="135"/>
      <c r="BI4" s="135" t="s">
        <v>1193</v>
      </c>
      <c r="BJ4" s="135"/>
      <c r="BK4" s="135"/>
      <c r="BL4" s="135"/>
      <c r="BM4" s="135"/>
      <c r="BN4" s="135"/>
      <c r="BO4" s="135" t="s">
        <v>7649</v>
      </c>
      <c r="BP4" s="135"/>
      <c r="BQ4" s="135"/>
      <c r="BR4" s="135"/>
      <c r="BS4" s="135"/>
      <c r="BT4" s="135"/>
      <c r="BU4" s="135"/>
      <c r="BV4" s="135"/>
      <c r="BW4" s="135"/>
      <c r="BX4" s="135"/>
      <c r="BY4" s="135"/>
      <c r="CA4" s="1487" t="s">
        <v>350</v>
      </c>
      <c r="CB4" s="1487" t="s">
        <v>351</v>
      </c>
      <c r="CC4" s="1487"/>
      <c r="CD4" s="1487" t="s">
        <v>7710</v>
      </c>
      <c r="CE4" s="2599" t="s">
        <v>348</v>
      </c>
      <c r="CF4" s="1876"/>
      <c r="CG4" s="53"/>
      <c r="CH4" s="53"/>
      <c r="CI4" s="53"/>
      <c r="CJ4" s="53"/>
      <c r="CK4" s="53"/>
      <c r="CL4" s="53"/>
      <c r="CM4" s="53"/>
      <c r="CN4" s="53"/>
      <c r="CO4" s="53"/>
      <c r="CP4" s="53"/>
      <c r="CQ4" s="53"/>
      <c r="CR4" s="53"/>
      <c r="CS4" s="53"/>
      <c r="CT4" s="53"/>
      <c r="CU4" s="53"/>
      <c r="CV4" s="53"/>
      <c r="CW4" s="53"/>
      <c r="CX4" s="53"/>
      <c r="CY4" s="53"/>
      <c r="CZ4" s="53"/>
      <c r="DA4" s="570" t="s">
        <v>350</v>
      </c>
      <c r="DB4" s="570" t="s">
        <v>351</v>
      </c>
      <c r="DC4" s="570"/>
      <c r="DD4" s="571" t="s">
        <v>352</v>
      </c>
      <c r="DE4" s="1876" t="s">
        <v>348</v>
      </c>
      <c r="DF4" s="1876"/>
      <c r="DG4" s="53"/>
      <c r="DH4" s="53"/>
      <c r="DI4" s="53"/>
      <c r="DJ4" s="53"/>
      <c r="DK4" s="53"/>
      <c r="DL4" s="53"/>
      <c r="DM4" s="53"/>
      <c r="DN4" s="53"/>
      <c r="DO4" s="53"/>
      <c r="DP4" s="53"/>
      <c r="DQ4" s="53"/>
      <c r="DR4" s="53"/>
      <c r="DS4" s="53"/>
      <c r="DT4" s="53"/>
      <c r="DU4" s="53"/>
      <c r="DV4" s="53"/>
      <c r="DW4" s="53"/>
      <c r="DX4" s="53"/>
      <c r="DY4" s="53"/>
      <c r="DZ4" s="53"/>
      <c r="EA4" s="559" t="s">
        <v>350</v>
      </c>
      <c r="EB4" s="559" t="s">
        <v>351</v>
      </c>
      <c r="EC4" s="559" t="s">
        <v>1123</v>
      </c>
      <c r="ED4" s="566" t="s">
        <v>352</v>
      </c>
      <c r="EE4" s="560" t="s">
        <v>348</v>
      </c>
    </row>
    <row r="5" spans="1:135" ht="30" customHeight="1">
      <c r="A5" s="63"/>
      <c r="B5" s="63">
        <v>2</v>
      </c>
      <c r="C5" s="377" t="s">
        <v>43</v>
      </c>
      <c r="D5" s="377" t="s">
        <v>6958</v>
      </c>
      <c r="E5" s="296" t="s">
        <v>235</v>
      </c>
      <c r="F5" s="414" t="s">
        <v>233</v>
      </c>
      <c r="AA5" s="145" t="s">
        <v>3</v>
      </c>
      <c r="AB5" s="561" t="s">
        <v>6965</v>
      </c>
      <c r="AC5" s="1836" t="s">
        <v>7418</v>
      </c>
      <c r="AD5" s="564">
        <v>1</v>
      </c>
      <c r="AE5" s="1550" t="s">
        <v>6963</v>
      </c>
      <c r="AF5" s="1551"/>
      <c r="BA5" s="552" t="s">
        <v>1193</v>
      </c>
      <c r="BB5" s="1440" t="s">
        <v>6978</v>
      </c>
      <c r="BD5" s="564">
        <v>1</v>
      </c>
      <c r="BE5" s="1550" t="s">
        <v>7430</v>
      </c>
      <c r="BF5" s="1551"/>
      <c r="BG5" s="133"/>
      <c r="BH5" s="133"/>
      <c r="BI5" s="1872"/>
      <c r="BJ5" s="1872"/>
      <c r="BK5" s="1872"/>
      <c r="BL5" s="1872"/>
      <c r="BM5" s="1872"/>
      <c r="BN5" s="133"/>
      <c r="BO5" s="1872"/>
      <c r="BP5" s="1872"/>
      <c r="BQ5" s="1872"/>
      <c r="BR5" s="1872"/>
      <c r="BS5" s="1872"/>
      <c r="BT5" s="133"/>
      <c r="BU5" s="133"/>
      <c r="BV5" s="133"/>
      <c r="BW5" s="133"/>
      <c r="BX5" s="133"/>
      <c r="BY5" s="133"/>
      <c r="CA5" s="2602" t="s">
        <v>1193</v>
      </c>
      <c r="CB5" s="1485" t="s">
        <v>7412</v>
      </c>
      <c r="CD5" s="1486">
        <v>1</v>
      </c>
      <c r="CE5" s="2600" t="s">
        <v>7672</v>
      </c>
      <c r="CF5" s="1787"/>
      <c r="CG5" s="2596"/>
      <c r="CH5" s="133"/>
      <c r="CI5" s="133"/>
      <c r="CJ5" s="133"/>
      <c r="CK5" s="133"/>
      <c r="CL5" s="133"/>
      <c r="CM5" s="133"/>
      <c r="CN5" s="133"/>
      <c r="CO5" s="133"/>
      <c r="CP5" s="133"/>
      <c r="CQ5" s="133"/>
      <c r="CR5" s="133"/>
      <c r="CS5" s="133"/>
      <c r="CT5" s="133"/>
      <c r="CU5" s="133"/>
      <c r="CV5" s="133"/>
      <c r="CW5" s="133"/>
      <c r="CX5" s="133"/>
      <c r="CY5" s="133"/>
      <c r="CZ5" s="133"/>
      <c r="DA5" s="436" t="s">
        <v>7673</v>
      </c>
      <c r="DB5" s="130" t="s">
        <v>7671</v>
      </c>
      <c r="DC5" s="1829" t="s">
        <v>7683</v>
      </c>
      <c r="DD5" s="734">
        <v>1</v>
      </c>
      <c r="DE5" s="1785" t="s">
        <v>7672</v>
      </c>
      <c r="DF5" s="1785"/>
      <c r="DG5" s="133"/>
      <c r="DH5" s="133"/>
      <c r="DI5" s="133"/>
      <c r="DJ5" s="133"/>
      <c r="DK5" s="133"/>
      <c r="DL5" s="133"/>
      <c r="DM5" s="133"/>
      <c r="DN5" s="133"/>
      <c r="DO5" s="133"/>
      <c r="DP5" s="133"/>
      <c r="DQ5" s="133"/>
      <c r="DR5" s="133"/>
      <c r="DS5" s="133"/>
      <c r="DT5" s="133"/>
      <c r="DU5" s="133"/>
      <c r="DV5" s="133"/>
      <c r="DW5" s="133"/>
      <c r="DX5" s="133"/>
      <c r="DY5" s="133"/>
      <c r="DZ5" s="133"/>
      <c r="EA5" s="555" t="s">
        <v>1124</v>
      </c>
      <c r="EB5" s="128" t="s">
        <v>354</v>
      </c>
      <c r="EC5" s="142"/>
      <c r="ED5" s="580" t="s">
        <v>1125</v>
      </c>
      <c r="EE5" s="53"/>
    </row>
    <row r="6" spans="1:135" ht="30" customHeight="1" thickBot="1">
      <c r="A6" s="63"/>
      <c r="B6" s="63">
        <v>3</v>
      </c>
      <c r="C6" s="377" t="s">
        <v>7670</v>
      </c>
      <c r="D6" s="377" t="s">
        <v>6959</v>
      </c>
      <c r="E6" s="1368" t="s">
        <v>7568</v>
      </c>
      <c r="F6" s="414" t="s">
        <v>233</v>
      </c>
      <c r="J6" s="415" t="s">
        <v>7569</v>
      </c>
      <c r="AA6" s="552" t="s">
        <v>4</v>
      </c>
      <c r="AB6" s="561" t="s">
        <v>6965</v>
      </c>
      <c r="AC6" s="1841"/>
      <c r="AD6" s="564">
        <v>2</v>
      </c>
      <c r="AE6" s="1550" t="s">
        <v>6964</v>
      </c>
      <c r="AF6" s="1551"/>
      <c r="BA6" s="145" t="s">
        <v>7575</v>
      </c>
      <c r="BB6" s="1862" t="s">
        <v>7432</v>
      </c>
      <c r="BC6" s="1862"/>
      <c r="BD6" s="564">
        <v>2</v>
      </c>
      <c r="BE6" s="1543" t="s">
        <v>7655</v>
      </c>
      <c r="BF6" s="1544"/>
      <c r="BG6" s="133"/>
      <c r="BH6" s="133"/>
      <c r="BI6" s="133"/>
      <c r="BJ6" s="133"/>
      <c r="BK6" s="133"/>
      <c r="BL6" s="133"/>
      <c r="BM6" s="133"/>
      <c r="BN6" s="133"/>
      <c r="BO6" s="133"/>
      <c r="BP6" s="133"/>
      <c r="BQ6" s="133"/>
      <c r="BR6" s="133"/>
      <c r="BS6" s="133"/>
      <c r="BT6" s="133"/>
      <c r="BU6" s="133"/>
      <c r="BV6" s="133"/>
      <c r="BW6" s="133"/>
      <c r="BX6" s="133"/>
      <c r="BY6" s="133"/>
      <c r="CA6" s="2603" t="s">
        <v>1196</v>
      </c>
      <c r="CB6" s="561" t="s">
        <v>7685</v>
      </c>
      <c r="CD6" s="1483">
        <v>2</v>
      </c>
      <c r="CE6" s="2600" t="s">
        <v>7675</v>
      </c>
      <c r="CF6" s="1787"/>
      <c r="CG6" s="2596"/>
      <c r="CH6" s="133"/>
      <c r="CI6" s="133"/>
      <c r="CJ6" s="133"/>
      <c r="CK6" s="133"/>
      <c r="CL6" s="133"/>
      <c r="CM6" s="133"/>
      <c r="CN6" s="133"/>
      <c r="CO6" s="133"/>
      <c r="CP6" s="133"/>
      <c r="CQ6" s="133"/>
      <c r="CR6" s="133"/>
      <c r="CS6" s="133"/>
      <c r="CT6" s="133"/>
      <c r="CU6" s="133"/>
      <c r="CV6" s="133"/>
      <c r="CW6" s="133"/>
      <c r="CX6" s="133"/>
      <c r="CY6" s="133"/>
      <c r="CZ6" s="133"/>
      <c r="DA6" s="436" t="s">
        <v>7674</v>
      </c>
      <c r="DB6" s="130" t="s">
        <v>7671</v>
      </c>
      <c r="DC6" s="1830"/>
      <c r="DD6" s="734">
        <v>2</v>
      </c>
      <c r="DE6" s="1785" t="s">
        <v>7675</v>
      </c>
      <c r="DF6" s="1785"/>
      <c r="DG6" s="133"/>
      <c r="DH6" s="133"/>
      <c r="DI6" s="133"/>
      <c r="DJ6" s="133"/>
      <c r="DK6" s="133"/>
      <c r="DL6" s="133"/>
      <c r="DM6" s="133"/>
      <c r="DN6" s="133"/>
      <c r="DO6" s="133"/>
      <c r="DP6" s="133"/>
      <c r="DQ6" s="133"/>
      <c r="DR6" s="133"/>
      <c r="DS6" s="133"/>
      <c r="DT6" s="133"/>
      <c r="DU6" s="133"/>
      <c r="DV6" s="133"/>
      <c r="DW6" s="133"/>
      <c r="DX6" s="133"/>
      <c r="DY6" s="133"/>
      <c r="DZ6" s="133"/>
      <c r="EA6" s="552" t="s">
        <v>1126</v>
      </c>
      <c r="EB6" s="128" t="s">
        <v>354</v>
      </c>
      <c r="EC6" s="142"/>
      <c r="ED6" s="580" t="s">
        <v>1127</v>
      </c>
      <c r="EE6" s="53"/>
    </row>
    <row r="7" spans="1:135" ht="30" customHeight="1" thickBot="1">
      <c r="A7" s="63"/>
      <c r="B7" s="63">
        <v>4</v>
      </c>
      <c r="C7" s="377" t="s">
        <v>6962</v>
      </c>
      <c r="D7" s="377" t="s">
        <v>6960</v>
      </c>
      <c r="E7" s="613" t="s">
        <v>7565</v>
      </c>
      <c r="F7" s="414" t="s">
        <v>233</v>
      </c>
      <c r="AA7" s="1847" t="s">
        <v>7575</v>
      </c>
      <c r="AB7" s="1848"/>
      <c r="AC7" s="1839"/>
      <c r="AD7" s="1840"/>
      <c r="AE7" s="1379"/>
      <c r="AF7" s="1380"/>
      <c r="BA7" s="145" t="s">
        <v>428</v>
      </c>
      <c r="BB7" s="1862" t="s">
        <v>7432</v>
      </c>
      <c r="BC7" s="1862"/>
      <c r="BD7" s="564">
        <v>3</v>
      </c>
      <c r="BE7" s="1550" t="s">
        <v>7431</v>
      </c>
      <c r="BF7" s="1551"/>
      <c r="BG7" s="133"/>
      <c r="BH7" s="133"/>
      <c r="BI7" s="1467" t="s">
        <v>7646</v>
      </c>
      <c r="BJ7" s="135"/>
      <c r="BK7" s="135"/>
      <c r="BL7" s="135"/>
      <c r="BM7" s="135"/>
      <c r="BN7" s="133"/>
      <c r="BO7" s="135" t="s">
        <v>7650</v>
      </c>
      <c r="BP7" s="135"/>
      <c r="BQ7" s="135"/>
      <c r="BR7" s="135"/>
      <c r="BS7" s="135"/>
      <c r="BT7" s="133"/>
      <c r="BU7" s="133"/>
      <c r="BV7" s="133"/>
      <c r="BW7" s="133"/>
      <c r="BX7" s="133"/>
      <c r="BY7" s="133"/>
      <c r="CA7" s="1859" t="s">
        <v>7687</v>
      </c>
      <c r="CB7" s="1860"/>
      <c r="CC7" s="1484"/>
      <c r="CD7" s="572"/>
      <c r="CE7" s="1787"/>
      <c r="CF7" s="1787"/>
      <c r="CG7" s="133"/>
      <c r="CH7" s="133"/>
      <c r="CI7" s="133"/>
      <c r="CJ7" s="133"/>
      <c r="CK7" s="133"/>
      <c r="CL7" s="133"/>
      <c r="CM7" s="133"/>
      <c r="CN7" s="133"/>
      <c r="CO7" s="133"/>
      <c r="CP7" s="133"/>
      <c r="CQ7" s="133"/>
      <c r="CR7" s="133"/>
      <c r="CS7" s="133"/>
      <c r="CT7" s="133"/>
      <c r="CU7" s="133"/>
      <c r="CV7" s="133"/>
      <c r="CW7" s="133"/>
      <c r="CX7" s="133"/>
      <c r="CY7" s="133"/>
      <c r="CZ7" s="133"/>
      <c r="DA7" s="2589" t="s">
        <v>3</v>
      </c>
      <c r="DB7" s="2590"/>
      <c r="DC7" s="2591"/>
      <c r="DD7" s="572"/>
      <c r="DF7" s="133"/>
      <c r="DG7" s="133"/>
      <c r="DH7" s="133"/>
      <c r="DI7" s="133"/>
      <c r="DJ7" s="133"/>
      <c r="DK7" s="133"/>
      <c r="DL7" s="133"/>
      <c r="DM7" s="133"/>
      <c r="DN7" s="133"/>
      <c r="DO7" s="133"/>
      <c r="DP7" s="133"/>
      <c r="DQ7" s="133"/>
      <c r="DR7" s="133"/>
      <c r="DS7" s="133"/>
      <c r="DT7" s="133"/>
      <c r="DU7" s="133"/>
      <c r="DV7" s="133"/>
      <c r="DW7" s="133"/>
      <c r="DX7" s="133"/>
      <c r="DY7" s="133"/>
      <c r="DZ7" s="133"/>
      <c r="EA7" s="567" t="s">
        <v>935</v>
      </c>
      <c r="EB7" s="561" t="s">
        <v>365</v>
      </c>
      <c r="EC7" s="1473" t="s">
        <v>1130</v>
      </c>
      <c r="ED7" s="580" t="s">
        <v>1129</v>
      </c>
      <c r="EE7" s="350"/>
    </row>
    <row r="8" spans="1:135" ht="30" customHeight="1">
      <c r="A8" s="63"/>
      <c r="B8" s="63">
        <v>5</v>
      </c>
      <c r="C8" s="1345"/>
      <c r="D8" s="377"/>
      <c r="E8" s="1345"/>
      <c r="F8" s="575"/>
      <c r="AA8" s="145" t="s">
        <v>268</v>
      </c>
      <c r="AB8" s="561" t="s">
        <v>7413</v>
      </c>
      <c r="AC8" s="1037"/>
      <c r="AD8" s="564">
        <v>3</v>
      </c>
      <c r="AE8" s="1550" t="s">
        <v>7566</v>
      </c>
      <c r="AF8" s="1551"/>
      <c r="BA8" s="1856" t="s">
        <v>43</v>
      </c>
      <c r="BB8" s="1857"/>
      <c r="BC8" s="1836" t="s">
        <v>6979</v>
      </c>
      <c r="BD8" s="564"/>
      <c r="BE8" s="1845"/>
      <c r="BF8" s="1846"/>
      <c r="BG8" s="133"/>
      <c r="BH8" s="133"/>
      <c r="BI8" s="1871"/>
      <c r="BJ8" s="1871"/>
      <c r="BK8" s="1871"/>
      <c r="BL8" s="1871"/>
      <c r="BM8" s="1871"/>
      <c r="BN8" s="133"/>
      <c r="BO8" s="1872"/>
      <c r="BP8" s="1872"/>
      <c r="BQ8" s="1872"/>
      <c r="BR8" s="1872"/>
      <c r="BS8" s="1872"/>
      <c r="BT8" s="133"/>
      <c r="BU8" s="133"/>
      <c r="BV8" s="133"/>
      <c r="BW8" s="133"/>
      <c r="BX8" s="133"/>
      <c r="BY8" s="133"/>
      <c r="CA8" s="436" t="s">
        <v>3</v>
      </c>
      <c r="CB8" s="713" t="s">
        <v>7684</v>
      </c>
      <c r="CC8" s="1836" t="s">
        <v>7686</v>
      </c>
      <c r="CD8" s="1483" t="s">
        <v>392</v>
      </c>
      <c r="CE8" s="2600" t="s">
        <v>7676</v>
      </c>
      <c r="CF8" s="1787"/>
      <c r="CG8" s="377"/>
      <c r="CH8" s="133"/>
      <c r="CI8" s="133"/>
      <c r="CJ8" s="133"/>
      <c r="CK8" s="133"/>
      <c r="CL8" s="133"/>
      <c r="CM8" s="133"/>
      <c r="CN8" s="133"/>
      <c r="CO8" s="133"/>
      <c r="CP8" s="133"/>
      <c r="CQ8" s="133"/>
      <c r="CR8" s="133"/>
      <c r="CS8" s="133"/>
      <c r="CT8" s="133"/>
      <c r="CU8" s="133"/>
      <c r="CV8" s="133"/>
      <c r="CW8" s="133"/>
      <c r="CX8" s="133"/>
      <c r="CY8" s="133"/>
      <c r="CZ8" s="133"/>
      <c r="DA8" s="989" t="s">
        <v>9344</v>
      </c>
      <c r="DB8" s="2092" t="s">
        <v>9345</v>
      </c>
      <c r="DC8" s="2092"/>
      <c r="DD8" s="734" t="s">
        <v>392</v>
      </c>
      <c r="DE8" s="1787" t="s">
        <v>9352</v>
      </c>
      <c r="DF8" s="1787"/>
      <c r="DG8" s="133"/>
      <c r="DH8" s="133"/>
      <c r="DI8" s="133"/>
      <c r="DJ8" s="133"/>
      <c r="DK8" s="133"/>
      <c r="DL8" s="133"/>
      <c r="DM8" s="133"/>
      <c r="DN8" s="133"/>
      <c r="DO8" s="133"/>
      <c r="DP8" s="133"/>
      <c r="DQ8" s="133"/>
      <c r="DR8" s="133"/>
      <c r="DS8" s="133"/>
      <c r="DT8" s="133"/>
      <c r="DU8" s="133"/>
      <c r="DV8" s="133"/>
      <c r="DW8" s="133"/>
      <c r="DX8" s="133"/>
      <c r="DY8" s="133"/>
      <c r="DZ8" s="133"/>
      <c r="EA8" s="567" t="s">
        <v>457</v>
      </c>
      <c r="EB8" s="561" t="s">
        <v>1132</v>
      </c>
      <c r="EC8" s="1474"/>
      <c r="ED8" s="580" t="s">
        <v>1128</v>
      </c>
      <c r="EE8" s="350"/>
    </row>
    <row r="9" spans="1:135" ht="30" customHeight="1">
      <c r="A9" s="63"/>
      <c r="B9" s="63"/>
      <c r="C9" s="455"/>
      <c r="D9" s="377"/>
      <c r="E9" s="377"/>
      <c r="F9" s="575"/>
      <c r="AA9" s="145" t="s">
        <v>7419</v>
      </c>
      <c r="AB9" s="561" t="s">
        <v>7413</v>
      </c>
      <c r="AC9" s="1037"/>
      <c r="AD9" s="564">
        <v>4</v>
      </c>
      <c r="AE9" s="1550" t="s">
        <v>7566</v>
      </c>
      <c r="AF9" s="1551"/>
      <c r="BA9" s="552" t="s">
        <v>3</v>
      </c>
      <c r="BB9" s="1348" t="s">
        <v>396</v>
      </c>
      <c r="BC9" s="1837"/>
      <c r="BD9" s="564">
        <v>4</v>
      </c>
      <c r="BE9" s="1550" t="s">
        <v>7586</v>
      </c>
      <c r="BF9" s="1551"/>
      <c r="BG9" s="133"/>
      <c r="BH9" s="133"/>
      <c r="BI9" s="133"/>
      <c r="BJ9" s="133"/>
      <c r="BK9" s="133"/>
      <c r="BL9" s="133"/>
      <c r="BM9" s="133"/>
      <c r="BN9" s="133"/>
      <c r="BO9" s="133"/>
      <c r="BP9" s="133"/>
      <c r="BQ9" s="133"/>
      <c r="BR9" s="133"/>
      <c r="BS9" s="133"/>
      <c r="BT9" s="133"/>
      <c r="BU9" s="133"/>
      <c r="BV9" s="133"/>
      <c r="BW9" s="133"/>
      <c r="BX9" s="133"/>
      <c r="BY9" s="133"/>
      <c r="CA9" s="436" t="s">
        <v>4</v>
      </c>
      <c r="CB9" s="713" t="s">
        <v>7684</v>
      </c>
      <c r="CC9" s="1837"/>
      <c r="CD9" s="1483" t="s">
        <v>414</v>
      </c>
      <c r="CE9" s="2600" t="s">
        <v>7677</v>
      </c>
      <c r="CF9" s="1787"/>
      <c r="CG9" s="377"/>
      <c r="CH9" s="133"/>
      <c r="CI9" s="133"/>
      <c r="CJ9" s="133"/>
      <c r="CK9" s="133"/>
      <c r="CL9" s="133"/>
      <c r="CM9" s="133"/>
      <c r="CN9" s="133"/>
      <c r="CO9" s="133"/>
      <c r="CP9" s="133"/>
      <c r="CQ9" s="133"/>
      <c r="CR9" s="133"/>
      <c r="CS9" s="133"/>
      <c r="CT9" s="133"/>
      <c r="CU9" s="133"/>
      <c r="CV9" s="133"/>
      <c r="CW9" s="133"/>
      <c r="CX9" s="133"/>
      <c r="CY9" s="133"/>
      <c r="CZ9" s="133"/>
      <c r="DA9" s="989" t="s">
        <v>9346</v>
      </c>
      <c r="DB9" s="2092" t="s">
        <v>9345</v>
      </c>
      <c r="DC9" s="2092"/>
      <c r="DD9" s="734" t="s">
        <v>414</v>
      </c>
      <c r="DE9" s="1787" t="s">
        <v>9353</v>
      </c>
      <c r="DF9" s="1787"/>
      <c r="DG9" s="133"/>
      <c r="DH9" s="133"/>
      <c r="DI9" s="133"/>
      <c r="DJ9" s="133"/>
      <c r="DK9" s="133"/>
      <c r="DL9" s="133"/>
      <c r="DM9" s="133"/>
      <c r="DN9" s="133"/>
      <c r="DO9" s="133"/>
      <c r="DP9" s="133"/>
      <c r="DQ9" s="133"/>
      <c r="DR9" s="133"/>
      <c r="DS9" s="133"/>
      <c r="DT9" s="133"/>
      <c r="DU9" s="133"/>
      <c r="DV9" s="133"/>
      <c r="DW9" s="133"/>
      <c r="DX9" s="133"/>
      <c r="DY9" s="133"/>
      <c r="DZ9" s="133"/>
      <c r="EA9" s="567"/>
      <c r="EB9" s="627"/>
      <c r="EC9" s="1474"/>
      <c r="ED9" s="580"/>
      <c r="EE9" s="350"/>
    </row>
    <row r="10" spans="1:135" ht="28.2" customHeight="1">
      <c r="A10" s="63"/>
      <c r="B10" s="63">
        <v>6</v>
      </c>
      <c r="C10" s="377"/>
      <c r="D10" s="377"/>
      <c r="E10" s="377"/>
      <c r="F10" s="575"/>
      <c r="AA10" s="145" t="s">
        <v>7420</v>
      </c>
      <c r="AB10" s="561" t="s">
        <v>7413</v>
      </c>
      <c r="AC10" s="1037"/>
      <c r="AD10" s="564">
        <v>5</v>
      </c>
      <c r="AE10" s="1550" t="s">
        <v>7566</v>
      </c>
      <c r="AF10" s="1551"/>
      <c r="BA10" s="552" t="s">
        <v>416</v>
      </c>
      <c r="BB10" s="1348" t="s">
        <v>396</v>
      </c>
      <c r="BC10" s="1837"/>
      <c r="BD10" s="564">
        <v>5</v>
      </c>
      <c r="BE10" s="1550" t="s">
        <v>7587</v>
      </c>
      <c r="BF10" s="1551"/>
      <c r="BG10" s="133"/>
      <c r="BH10" s="133"/>
      <c r="BI10" s="1467" t="s">
        <v>428</v>
      </c>
      <c r="BJ10" s="1468" t="s">
        <v>7647</v>
      </c>
      <c r="BK10" s="135"/>
      <c r="BL10" s="135"/>
      <c r="BM10" s="135"/>
      <c r="BN10" s="133"/>
      <c r="BO10" s="135" t="s">
        <v>1043</v>
      </c>
      <c r="BP10" s="135"/>
      <c r="BQ10" s="135"/>
      <c r="BR10" s="135"/>
      <c r="BS10" s="135"/>
      <c r="BT10" s="133"/>
      <c r="BU10" s="133"/>
      <c r="BV10" s="133"/>
      <c r="BW10" s="133"/>
      <c r="BX10" s="133"/>
      <c r="BY10" s="133"/>
      <c r="CA10" s="2604" t="s">
        <v>6798</v>
      </c>
      <c r="CB10" s="2592" t="s">
        <v>9350</v>
      </c>
      <c r="CC10" s="1837"/>
      <c r="CD10" s="1483" t="s">
        <v>817</v>
      </c>
      <c r="CE10" s="1970" t="s">
        <v>9363</v>
      </c>
      <c r="CF10" s="1755"/>
      <c r="CG10" s="1368"/>
      <c r="CH10" s="133"/>
      <c r="CI10" s="133"/>
      <c r="CJ10" s="133"/>
      <c r="CK10" s="133"/>
      <c r="CL10" s="133"/>
      <c r="CM10" s="133"/>
      <c r="CN10" s="133"/>
      <c r="CO10" s="133"/>
      <c r="CP10" s="133"/>
      <c r="CQ10" s="133"/>
      <c r="CR10" s="133"/>
      <c r="CS10" s="133"/>
      <c r="CT10" s="133"/>
      <c r="CU10" s="133"/>
      <c r="CV10" s="133"/>
      <c r="CW10" s="133"/>
      <c r="CX10" s="133"/>
      <c r="CY10" s="133"/>
      <c r="CZ10" s="133"/>
      <c r="DA10" s="2587" t="s">
        <v>4</v>
      </c>
      <c r="DB10" s="1636"/>
      <c r="DC10" s="1735"/>
      <c r="DD10" s="2588"/>
      <c r="DE10" s="1368"/>
      <c r="DF10" s="1368"/>
      <c r="DG10" s="133"/>
      <c r="DH10" s="133"/>
      <c r="DI10" s="133"/>
      <c r="DJ10" s="133"/>
      <c r="DK10" s="133"/>
      <c r="DL10" s="133"/>
      <c r="DM10" s="133"/>
      <c r="DN10" s="133"/>
      <c r="DO10" s="133"/>
      <c r="DP10" s="133"/>
      <c r="DQ10" s="133"/>
      <c r="DR10" s="133"/>
      <c r="DS10" s="133"/>
      <c r="DT10" s="133"/>
      <c r="DU10" s="133"/>
      <c r="DV10" s="133"/>
      <c r="DW10" s="133"/>
      <c r="DX10" s="133"/>
      <c r="DY10" s="133"/>
      <c r="DZ10" s="133"/>
      <c r="EA10" s="1869" t="s">
        <v>1135</v>
      </c>
      <c r="EB10" s="1870"/>
      <c r="EC10" s="1474"/>
      <c r="ED10" s="580" t="s">
        <v>1136</v>
      </c>
      <c r="EE10" s="350"/>
    </row>
    <row r="11" spans="1:135" ht="28.2" customHeight="1" thickBot="1">
      <c r="A11" s="63"/>
      <c r="B11" s="63"/>
      <c r="C11" s="455"/>
      <c r="D11" s="377"/>
      <c r="E11" s="377"/>
      <c r="F11" s="575"/>
      <c r="AA11" s="1847" t="s">
        <v>7576</v>
      </c>
      <c r="AB11" s="1848"/>
      <c r="AC11" s="1433"/>
      <c r="AD11" s="564"/>
      <c r="AE11" s="1206"/>
      <c r="AF11" s="1061"/>
      <c r="BA11" s="552" t="s">
        <v>7585</v>
      </c>
      <c r="BB11" s="1441" t="s">
        <v>7657</v>
      </c>
      <c r="BC11" s="1841"/>
      <c r="BD11" s="564">
        <v>6</v>
      </c>
      <c r="BE11" s="1543" t="s">
        <v>7656</v>
      </c>
      <c r="BF11" s="1544"/>
      <c r="BG11" s="133"/>
      <c r="BH11" s="133"/>
      <c r="BI11" s="1871"/>
      <c r="BJ11" s="1871"/>
      <c r="BK11" s="1871"/>
      <c r="BL11" s="1871"/>
      <c r="BM11" s="1871"/>
      <c r="BN11" s="133"/>
      <c r="BO11" s="1873" t="s">
        <v>435</v>
      </c>
      <c r="BP11" s="1873"/>
      <c r="BQ11" s="1873"/>
      <c r="BR11" s="133"/>
      <c r="BS11" s="133"/>
      <c r="BT11" s="133"/>
      <c r="BU11" s="133"/>
      <c r="BV11" s="133"/>
      <c r="BW11" s="133"/>
      <c r="BX11" s="133"/>
      <c r="BY11" s="133"/>
      <c r="CA11" s="436" t="s">
        <v>1140</v>
      </c>
      <c r="CB11" s="718" t="s">
        <v>7688</v>
      </c>
      <c r="CC11" s="1837"/>
      <c r="CD11" s="1483">
        <v>4</v>
      </c>
      <c r="CE11" s="2601" t="s">
        <v>7690</v>
      </c>
      <c r="CF11" s="1786"/>
      <c r="CG11" s="1368"/>
      <c r="CH11" s="133"/>
      <c r="CI11" s="133"/>
      <c r="CJ11" s="133"/>
      <c r="CK11" s="133"/>
      <c r="CL11" s="133"/>
      <c r="CM11" s="133"/>
      <c r="CN11" s="133"/>
      <c r="CO11" s="133"/>
      <c r="CP11" s="133"/>
      <c r="CQ11" s="133"/>
      <c r="CR11" s="133"/>
      <c r="CS11" s="133"/>
      <c r="CT11" s="133"/>
      <c r="CU11" s="133"/>
      <c r="CV11" s="133"/>
      <c r="CW11" s="133"/>
      <c r="CX11" s="133"/>
      <c r="CY11" s="133"/>
      <c r="CZ11" s="133"/>
      <c r="DA11" s="2604" t="s">
        <v>9347</v>
      </c>
      <c r="DB11" s="2092" t="s">
        <v>9345</v>
      </c>
      <c r="DC11" s="2092"/>
      <c r="DD11" s="2588" t="s">
        <v>817</v>
      </c>
      <c r="DE11" s="1368"/>
      <c r="DF11" s="1368"/>
      <c r="DG11" s="133"/>
      <c r="DH11" s="133"/>
      <c r="DI11" s="133"/>
      <c r="DJ11" s="133"/>
      <c r="DK11" s="133"/>
      <c r="DL11" s="133"/>
      <c r="DM11" s="133"/>
      <c r="DN11" s="133"/>
      <c r="DO11" s="133"/>
      <c r="DP11" s="133"/>
      <c r="DQ11" s="133"/>
      <c r="DR11" s="133"/>
      <c r="DS11" s="133"/>
      <c r="DT11" s="133"/>
      <c r="DU11" s="133"/>
      <c r="DV11" s="133"/>
      <c r="DW11" s="133"/>
      <c r="DX11" s="133"/>
      <c r="DY11" s="133"/>
      <c r="DZ11" s="133"/>
      <c r="EA11" s="1431"/>
      <c r="EB11" s="1432"/>
      <c r="EC11" s="1474"/>
      <c r="ED11" s="580"/>
      <c r="EE11" s="350"/>
    </row>
    <row r="12" spans="1:135" ht="30" customHeight="1">
      <c r="A12" s="63"/>
      <c r="B12" s="63">
        <v>7</v>
      </c>
      <c r="C12" s="377"/>
      <c r="D12" s="377"/>
      <c r="E12" s="377"/>
      <c r="F12" s="575"/>
      <c r="AA12" s="552" t="s">
        <v>7573</v>
      </c>
      <c r="AB12" s="713" t="s">
        <v>7413</v>
      </c>
      <c r="AC12" s="1433"/>
      <c r="AD12" s="564">
        <v>6</v>
      </c>
      <c r="AE12" s="1543" t="s">
        <v>7567</v>
      </c>
      <c r="AF12" s="1544"/>
      <c r="AG12" s="377"/>
      <c r="BA12" s="167" t="s">
        <v>428</v>
      </c>
      <c r="BB12" s="1849" t="s">
        <v>1139</v>
      </c>
      <c r="BC12" s="1850"/>
      <c r="BD12" s="554">
        <v>7</v>
      </c>
      <c r="BE12" s="1845" t="s">
        <v>435</v>
      </c>
      <c r="BF12" s="1846"/>
      <c r="CA12" s="436" t="s">
        <v>1142</v>
      </c>
      <c r="CB12" s="713" t="s">
        <v>1143</v>
      </c>
      <c r="CC12" s="1837"/>
      <c r="CD12" s="1483">
        <v>5</v>
      </c>
      <c r="CE12" s="2601" t="s">
        <v>7689</v>
      </c>
      <c r="CF12" s="1786"/>
      <c r="DA12" s="2604" t="s">
        <v>9348</v>
      </c>
      <c r="DB12" s="2092" t="s">
        <v>9345</v>
      </c>
      <c r="DC12" s="2092"/>
      <c r="DD12" s="2588" t="s">
        <v>9355</v>
      </c>
      <c r="DE12" s="1368"/>
      <c r="DF12" s="1368"/>
      <c r="EA12" s="567" t="s">
        <v>3</v>
      </c>
      <c r="EB12" s="553" t="s">
        <v>1137</v>
      </c>
      <c r="EC12" s="1474"/>
      <c r="ED12" s="580"/>
      <c r="EE12" s="350"/>
    </row>
    <row r="13" spans="1:135" ht="30" customHeight="1">
      <c r="A13" s="63"/>
      <c r="AA13" s="145" t="s">
        <v>7414</v>
      </c>
      <c r="AB13" s="713" t="s">
        <v>7413</v>
      </c>
      <c r="AC13" s="1433"/>
      <c r="AD13" s="564">
        <v>7</v>
      </c>
      <c r="AE13" s="1543" t="s">
        <v>7567</v>
      </c>
      <c r="AF13" s="1544"/>
      <c r="BI13" s="1467" t="s">
        <v>1255</v>
      </c>
      <c r="BJ13" s="1468"/>
      <c r="BK13" s="135"/>
      <c r="BL13" s="1469" t="s">
        <v>7648</v>
      </c>
      <c r="BM13" s="135"/>
      <c r="BO13" s="135" t="s">
        <v>1043</v>
      </c>
      <c r="BP13" s="135"/>
      <c r="BQ13" s="135"/>
      <c r="BR13" s="135"/>
      <c r="CA13" s="2605" t="s">
        <v>9349</v>
      </c>
      <c r="CB13" s="2606"/>
      <c r="CC13" s="1837"/>
      <c r="CD13" s="1483"/>
      <c r="DA13" s="2604" t="s">
        <v>6798</v>
      </c>
      <c r="DB13" s="1515" t="s">
        <v>9350</v>
      </c>
      <c r="DC13" s="1619"/>
      <c r="DD13" s="2588" t="s">
        <v>9377</v>
      </c>
      <c r="DE13" s="1787" t="s">
        <v>9354</v>
      </c>
      <c r="DF13" s="1787"/>
      <c r="EA13" s="567" t="s">
        <v>4</v>
      </c>
      <c r="EB13" s="553" t="s">
        <v>1137</v>
      </c>
      <c r="EC13" s="1474"/>
      <c r="ED13" s="580"/>
      <c r="EE13" s="350"/>
    </row>
    <row r="14" spans="1:135" ht="30" customHeight="1">
      <c r="A14" s="63"/>
      <c r="AA14" s="567"/>
      <c r="AB14" s="497"/>
      <c r="AC14" s="1433"/>
      <c r="AD14" s="1434"/>
      <c r="AE14" s="1206"/>
      <c r="AF14" s="1061"/>
      <c r="BA14" s="106" t="s">
        <v>450</v>
      </c>
      <c r="BB14" s="1844" t="s">
        <v>6980</v>
      </c>
      <c r="BC14" s="1844"/>
      <c r="BD14" s="1844"/>
      <c r="BE14" s="1844"/>
      <c r="BF14" s="1844"/>
      <c r="BI14" s="1871"/>
      <c r="BJ14" s="1871"/>
      <c r="BK14" s="1871"/>
      <c r="BL14" s="1871"/>
      <c r="BM14" s="1871"/>
      <c r="BO14" s="1874" t="s">
        <v>7651</v>
      </c>
      <c r="BP14" s="1874"/>
      <c r="BQ14" s="1874"/>
      <c r="BR14" s="1874"/>
      <c r="BS14" s="1874"/>
      <c r="BT14" s="1874"/>
      <c r="CA14" s="2604" t="s">
        <v>4837</v>
      </c>
      <c r="CB14" s="2604" t="s">
        <v>948</v>
      </c>
      <c r="CC14" s="1837"/>
      <c r="CD14" s="1483"/>
      <c r="CF14" s="1368"/>
      <c r="CG14" s="1368"/>
      <c r="DA14" s="2605" t="s">
        <v>9349</v>
      </c>
      <c r="DB14" s="2606"/>
      <c r="DC14" s="1173" t="s">
        <v>9351</v>
      </c>
      <c r="DD14" s="2588"/>
      <c r="DF14" s="1368"/>
      <c r="EA14" s="567" t="s">
        <v>1141</v>
      </c>
      <c r="EB14" s="553" t="s">
        <v>354</v>
      </c>
      <c r="EC14" s="1471"/>
      <c r="ED14" s="581"/>
      <c r="EE14" s="139"/>
    </row>
    <row r="15" spans="1:135" ht="30" customHeight="1">
      <c r="A15" s="63"/>
      <c r="B15" s="1341" t="s">
        <v>195</v>
      </c>
      <c r="AA15" s="562" t="s">
        <v>428</v>
      </c>
      <c r="AB15" s="1842" t="s">
        <v>1138</v>
      </c>
      <c r="AC15" s="1843"/>
      <c r="AD15" s="564">
        <v>8</v>
      </c>
      <c r="AE15" s="1550" t="s">
        <v>435</v>
      </c>
      <c r="AF15" s="1551"/>
      <c r="BB15" s="296"/>
      <c r="BC15" s="296"/>
      <c r="BD15" s="296"/>
      <c r="BE15" s="296"/>
      <c r="BF15" s="296"/>
      <c r="BO15" s="1874"/>
      <c r="BP15" s="1874"/>
      <c r="BQ15" s="1874"/>
      <c r="BR15" s="1874"/>
      <c r="BS15" s="1874"/>
      <c r="BT15" s="1874"/>
      <c r="CA15" s="713" t="s">
        <v>9358</v>
      </c>
      <c r="CB15" s="713" t="s">
        <v>9358</v>
      </c>
      <c r="CC15" s="1837"/>
      <c r="CD15" s="1483" t="s">
        <v>9364</v>
      </c>
      <c r="CE15" s="1970" t="s">
        <v>9368</v>
      </c>
      <c r="CF15" s="1755"/>
      <c r="CG15" s="378"/>
      <c r="DA15" s="2604" t="s">
        <v>4837</v>
      </c>
      <c r="DB15" s="713" t="s">
        <v>9358</v>
      </c>
      <c r="DC15" s="713" t="s">
        <v>9359</v>
      </c>
      <c r="DD15" s="2588" t="s">
        <v>9356</v>
      </c>
      <c r="DE15" s="1787" t="s">
        <v>9375</v>
      </c>
      <c r="DF15" s="1787"/>
      <c r="EA15" s="567" t="s">
        <v>1062</v>
      </c>
      <c r="EB15" s="553" t="s">
        <v>354</v>
      </c>
      <c r="EC15" s="1471"/>
      <c r="ED15" s="581"/>
      <c r="EE15" s="139"/>
    </row>
    <row r="16" spans="1:135" ht="30" customHeight="1" thickBot="1">
      <c r="A16" s="63"/>
      <c r="B16" s="133" t="s">
        <v>6935</v>
      </c>
      <c r="BA16" s="106" t="s">
        <v>4865</v>
      </c>
      <c r="BB16" s="1787" t="s">
        <v>7588</v>
      </c>
      <c r="BC16" s="1787"/>
      <c r="BD16" s="1787"/>
      <c r="BE16" s="1787"/>
      <c r="BF16" s="1787"/>
      <c r="CA16" s="713" t="s">
        <v>9359</v>
      </c>
      <c r="CB16" s="713" t="s">
        <v>9360</v>
      </c>
      <c r="CC16" s="1841"/>
      <c r="CD16" s="1483" t="s">
        <v>9365</v>
      </c>
      <c r="CE16" s="1970" t="s">
        <v>9369</v>
      </c>
      <c r="CF16" s="1755"/>
      <c r="CG16" s="378"/>
      <c r="DA16" s="2604" t="s">
        <v>948</v>
      </c>
      <c r="DB16" s="713" t="s">
        <v>9358</v>
      </c>
      <c r="DC16" s="713" t="s">
        <v>9360</v>
      </c>
      <c r="DD16" s="2588" t="s">
        <v>9357</v>
      </c>
      <c r="DE16" s="1787" t="s">
        <v>9378</v>
      </c>
      <c r="DF16" s="1787"/>
      <c r="EA16" s="567" t="s">
        <v>1144</v>
      </c>
      <c r="EB16" s="561" t="s">
        <v>1145</v>
      </c>
      <c r="EC16" s="1471"/>
      <c r="ED16" s="581"/>
      <c r="EE16" s="139"/>
    </row>
    <row r="17" spans="1:135" ht="30" customHeight="1" thickBot="1">
      <c r="A17" s="63"/>
      <c r="Z17" s="1347"/>
      <c r="AA17" s="106" t="s">
        <v>450</v>
      </c>
      <c r="AB17" s="1755" t="s">
        <v>7583</v>
      </c>
      <c r="AC17" s="1755"/>
      <c r="AD17" s="1755"/>
      <c r="AE17" s="1755"/>
      <c r="AF17" s="1755"/>
      <c r="BB17" s="1787" t="s">
        <v>7433</v>
      </c>
      <c r="BC17" s="1787"/>
      <c r="BD17" s="1787"/>
      <c r="BE17" s="1787"/>
      <c r="BF17" s="1787"/>
      <c r="CA17" s="1831" t="s">
        <v>7678</v>
      </c>
      <c r="CB17" s="1832"/>
      <c r="CC17" s="1832"/>
      <c r="DD17" s="133"/>
      <c r="DE17" s="1787" t="s">
        <v>9376</v>
      </c>
      <c r="DF17" s="1787"/>
      <c r="EA17" s="567" t="s">
        <v>1146</v>
      </c>
      <c r="EB17" s="561" t="s">
        <v>1145</v>
      </c>
      <c r="EC17" s="1471"/>
      <c r="ED17" s="581"/>
      <c r="EE17" s="139"/>
    </row>
    <row r="18" spans="1:135" ht="30" customHeight="1" thickBot="1">
      <c r="B18" s="1341" t="s">
        <v>315</v>
      </c>
      <c r="Z18" s="1347"/>
      <c r="AA18" s="1438"/>
      <c r="AB18" s="1368" t="s">
        <v>7426</v>
      </c>
      <c r="AC18" s="1787" t="s">
        <v>7427</v>
      </c>
      <c r="AD18" s="1787"/>
      <c r="AE18" s="1755" t="s">
        <v>7570</v>
      </c>
      <c r="AF18" s="1755"/>
      <c r="BB18" s="296"/>
      <c r="BC18" s="296"/>
      <c r="BD18" s="296"/>
      <c r="CA18" s="730" t="s">
        <v>1062</v>
      </c>
      <c r="CB18" s="130" t="s">
        <v>7699</v>
      </c>
      <c r="CC18" s="497"/>
      <c r="CD18" s="2595">
        <v>7</v>
      </c>
      <c r="CE18" s="1970" t="s">
        <v>9366</v>
      </c>
      <c r="CF18" s="1755"/>
      <c r="CG18" s="415"/>
      <c r="DA18" s="436" t="s">
        <v>1062</v>
      </c>
      <c r="DB18" s="130" t="s">
        <v>7716</v>
      </c>
      <c r="DC18" s="1480" t="s">
        <v>7679</v>
      </c>
      <c r="DD18" s="1476">
        <v>5</v>
      </c>
      <c r="DE18" s="1755" t="s">
        <v>7717</v>
      </c>
      <c r="DF18" s="1755"/>
      <c r="EA18" s="567" t="s">
        <v>1149</v>
      </c>
      <c r="EB18" s="561" t="s">
        <v>1145</v>
      </c>
      <c r="EC18" s="1471"/>
      <c r="ED18" s="581"/>
      <c r="EE18" s="139"/>
    </row>
    <row r="19" spans="1:135" ht="30" customHeight="1" thickBot="1">
      <c r="B19" s="129" t="s">
        <v>6952</v>
      </c>
      <c r="Z19" s="1347"/>
      <c r="AA19" s="377"/>
      <c r="AB19" s="1787" t="s">
        <v>7571</v>
      </c>
      <c r="AC19" s="1787"/>
      <c r="AD19" s="1787"/>
      <c r="AE19" s="1787"/>
      <c r="AF19" s="1787"/>
      <c r="BB19" s="1867" t="s">
        <v>1296</v>
      </c>
      <c r="BC19" s="1868"/>
      <c r="CA19" s="2593" t="s">
        <v>420</v>
      </c>
      <c r="CB19" s="2594" t="s">
        <v>9362</v>
      </c>
      <c r="CC19" s="2608" t="s">
        <v>9371</v>
      </c>
      <c r="CD19" s="2595"/>
      <c r="CF19" s="2584"/>
      <c r="CG19" s="687"/>
      <c r="DA19" s="436" t="s">
        <v>1148</v>
      </c>
      <c r="DB19" s="130" t="s">
        <v>7716</v>
      </c>
      <c r="DC19" s="1488" t="s">
        <v>7715</v>
      </c>
      <c r="DD19" s="1477" t="s">
        <v>7680</v>
      </c>
      <c r="DE19" s="1838" t="s">
        <v>7718</v>
      </c>
      <c r="DF19" s="1747"/>
      <c r="EA19" s="567" t="s">
        <v>1154</v>
      </c>
      <c r="EB19" s="561" t="s">
        <v>1145</v>
      </c>
      <c r="EC19" s="1471"/>
      <c r="ED19" s="581"/>
      <c r="EE19" s="139"/>
    </row>
    <row r="20" spans="1:135" ht="30" customHeight="1">
      <c r="B20" s="1341" t="s">
        <v>6933</v>
      </c>
      <c r="Z20" s="1347"/>
      <c r="AB20" s="1787" t="s">
        <v>7574</v>
      </c>
      <c r="AC20" s="1787"/>
      <c r="AD20" s="1787"/>
      <c r="AE20" s="1787"/>
      <c r="AF20" s="1787"/>
      <c r="BA20" s="1349" t="s">
        <v>1193</v>
      </c>
      <c r="BB20" s="1350" t="s">
        <v>3</v>
      </c>
      <c r="BC20" s="1350" t="s">
        <v>4</v>
      </c>
      <c r="BD20" s="1350" t="s">
        <v>1056</v>
      </c>
      <c r="BE20" s="1350" t="s">
        <v>428</v>
      </c>
      <c r="CA20" s="130" t="s">
        <v>9361</v>
      </c>
      <c r="CB20" s="130" t="s">
        <v>7700</v>
      </c>
      <c r="CC20" s="130" t="s">
        <v>7711</v>
      </c>
      <c r="CD20" s="2595" t="s">
        <v>7693</v>
      </c>
      <c r="CE20" s="1970" t="s">
        <v>9367</v>
      </c>
      <c r="CF20" s="2607"/>
      <c r="CG20" s="687"/>
      <c r="DA20" s="436" t="s">
        <v>1153</v>
      </c>
      <c r="DB20" s="130" t="s">
        <v>7716</v>
      </c>
      <c r="DC20" s="1488" t="s">
        <v>7715</v>
      </c>
      <c r="DD20" s="1477" t="s">
        <v>7681</v>
      </c>
      <c r="DE20" s="1838"/>
      <c r="DF20" s="1747"/>
      <c r="EA20" s="567" t="s">
        <v>1155</v>
      </c>
      <c r="EB20" s="561" t="s">
        <v>1145</v>
      </c>
      <c r="EC20" s="1471"/>
      <c r="ED20" s="582"/>
      <c r="EE20" s="139"/>
    </row>
    <row r="21" spans="1:135" ht="30" customHeight="1" thickBot="1">
      <c r="B21" s="129" t="s">
        <v>6939</v>
      </c>
      <c r="Z21" s="1347"/>
      <c r="AB21" s="1787" t="s">
        <v>7422</v>
      </c>
      <c r="AC21" s="1787"/>
      <c r="AD21" s="1787"/>
      <c r="AE21" s="1787"/>
      <c r="AF21" s="1787"/>
      <c r="BA21" s="671" t="s">
        <v>1150</v>
      </c>
      <c r="BB21" s="672" t="s">
        <v>1151</v>
      </c>
      <c r="BC21" s="672" t="s">
        <v>6985</v>
      </c>
      <c r="BD21" s="672" t="s">
        <v>1221</v>
      </c>
      <c r="BE21" s="672"/>
      <c r="CA21" s="130" t="s">
        <v>9361</v>
      </c>
      <c r="CB21" s="130" t="s">
        <v>7700</v>
      </c>
      <c r="CC21" s="130" t="s">
        <v>7712</v>
      </c>
      <c r="CD21" s="2595" t="s">
        <v>7694</v>
      </c>
      <c r="CE21" s="1970"/>
      <c r="CF21" s="2607"/>
      <c r="CG21" s="687"/>
      <c r="DA21" s="436" t="s">
        <v>4829</v>
      </c>
      <c r="DB21" s="130" t="s">
        <v>7716</v>
      </c>
      <c r="DC21" s="1488" t="s">
        <v>7715</v>
      </c>
      <c r="DD21" s="1478" t="s">
        <v>7682</v>
      </c>
      <c r="DE21" s="1838"/>
      <c r="DF21" s="1747"/>
      <c r="EA21" s="567" t="s">
        <v>1157</v>
      </c>
      <c r="EB21" s="561" t="s">
        <v>1145</v>
      </c>
      <c r="EC21" s="1471"/>
      <c r="ED21" s="581"/>
      <c r="EE21" s="139"/>
    </row>
    <row r="22" spans="1:135" ht="30" customHeight="1">
      <c r="B22" s="129" t="s">
        <v>6934</v>
      </c>
      <c r="Z22" s="1347"/>
      <c r="AB22" s="1787" t="s">
        <v>7423</v>
      </c>
      <c r="AC22" s="1787"/>
      <c r="AD22" s="1787"/>
      <c r="AE22" s="1787"/>
      <c r="AF22" s="1787"/>
      <c r="BA22" s="669" t="s">
        <v>1156</v>
      </c>
      <c r="BB22" s="317" t="s">
        <v>1174</v>
      </c>
      <c r="BC22" s="317" t="s">
        <v>4820</v>
      </c>
      <c r="BD22" s="317" t="s">
        <v>1175</v>
      </c>
      <c r="BE22" s="317" t="s">
        <v>6997</v>
      </c>
      <c r="CA22" s="130" t="s">
        <v>9361</v>
      </c>
      <c r="CB22" s="130" t="s">
        <v>7700</v>
      </c>
      <c r="CC22" s="130" t="s">
        <v>7713</v>
      </c>
      <c r="CD22" s="1479" t="s">
        <v>7695</v>
      </c>
      <c r="CE22" s="1970"/>
      <c r="CF22" s="2607"/>
      <c r="CG22" s="687"/>
      <c r="DA22" s="436" t="s">
        <v>428</v>
      </c>
      <c r="DB22" s="1865" t="s">
        <v>4709</v>
      </c>
      <c r="DC22" s="1866"/>
      <c r="DD22" s="736">
        <v>8</v>
      </c>
      <c r="DE22" s="129" t="s">
        <v>4709</v>
      </c>
      <c r="EA22" s="567" t="s">
        <v>1160</v>
      </c>
      <c r="EB22" s="561" t="s">
        <v>1145</v>
      </c>
      <c r="EC22" s="1471"/>
      <c r="ED22" s="581"/>
      <c r="EE22" s="139"/>
    </row>
    <row r="23" spans="1:135" ht="30" customHeight="1" thickBot="1">
      <c r="Z23" s="1347"/>
      <c r="AB23" s="1787" t="s">
        <v>7424</v>
      </c>
      <c r="AC23" s="1787"/>
      <c r="AD23" s="1787"/>
      <c r="AE23" s="1787"/>
      <c r="AF23" s="1787"/>
      <c r="BA23" s="671" t="s">
        <v>1156</v>
      </c>
      <c r="BB23" s="672" t="s">
        <v>6981</v>
      </c>
      <c r="BC23" s="672" t="s">
        <v>6986</v>
      </c>
      <c r="BD23" s="672" t="s">
        <v>1222</v>
      </c>
      <c r="BE23" s="672"/>
      <c r="CA23" s="130" t="s">
        <v>9361</v>
      </c>
      <c r="CB23" s="130" t="s">
        <v>7700</v>
      </c>
      <c r="CC23" s="130" t="s">
        <v>7714</v>
      </c>
      <c r="CD23" s="2595" t="s">
        <v>7696</v>
      </c>
      <c r="CE23" s="1970"/>
      <c r="CF23" s="2607"/>
      <c r="CG23" s="687"/>
      <c r="EA23" s="567" t="s">
        <v>1163</v>
      </c>
      <c r="EB23" s="561" t="s">
        <v>1145</v>
      </c>
      <c r="EC23" s="1472"/>
      <c r="ED23" s="581"/>
      <c r="EE23" s="139"/>
    </row>
    <row r="24" spans="1:135" ht="30" customHeight="1">
      <c r="B24" s="1341" t="s">
        <v>3709</v>
      </c>
      <c r="Z24" s="1347"/>
      <c r="AB24" s="1368"/>
      <c r="AC24" s="1368"/>
      <c r="AD24" s="1368"/>
      <c r="AE24" s="1368"/>
      <c r="AF24" s="1368"/>
      <c r="BA24" s="669" t="s">
        <v>1156</v>
      </c>
      <c r="BB24" s="317" t="s">
        <v>4810</v>
      </c>
      <c r="BC24" s="317" t="s">
        <v>4815</v>
      </c>
      <c r="BD24" s="317" t="s">
        <v>469</v>
      </c>
      <c r="BE24" s="317"/>
      <c r="CA24" s="222" t="s">
        <v>428</v>
      </c>
      <c r="CB24" s="1865" t="s">
        <v>4717</v>
      </c>
      <c r="CC24" s="1865"/>
      <c r="CD24" s="2595">
        <v>12</v>
      </c>
      <c r="CE24" s="2600" t="s">
        <v>4709</v>
      </c>
      <c r="CF24" s="1787"/>
      <c r="DA24" s="214" t="s">
        <v>430</v>
      </c>
      <c r="DB24" s="377" t="s">
        <v>7719</v>
      </c>
      <c r="DC24" s="377"/>
      <c r="DD24" s="377"/>
      <c r="DE24" s="377"/>
      <c r="EA24" s="567" t="s">
        <v>1166</v>
      </c>
      <c r="EB24" s="561" t="s">
        <v>1145</v>
      </c>
      <c r="EC24" s="579"/>
      <c r="ED24" s="583"/>
      <c r="EE24" s="139"/>
    </row>
    <row r="25" spans="1:135" ht="30" customHeight="1">
      <c r="B25" s="129" t="s">
        <v>6940</v>
      </c>
      <c r="Z25" s="1347"/>
      <c r="AA25" s="106" t="s">
        <v>4865</v>
      </c>
      <c r="AB25" s="1787" t="s">
        <v>7425</v>
      </c>
      <c r="AC25" s="1787"/>
      <c r="AD25" s="1787"/>
      <c r="AE25" s="1787"/>
      <c r="AF25" s="1787"/>
      <c r="BA25" s="671" t="s">
        <v>1156</v>
      </c>
      <c r="BB25" s="672" t="s">
        <v>1214</v>
      </c>
      <c r="BC25" s="672" t="s">
        <v>6987</v>
      </c>
      <c r="BD25" s="672" t="s">
        <v>1175</v>
      </c>
      <c r="BE25" s="672"/>
      <c r="CD25" s="2537"/>
      <c r="EA25" s="567" t="s">
        <v>1168</v>
      </c>
      <c r="EB25" s="561" t="s">
        <v>1145</v>
      </c>
      <c r="EC25" s="557"/>
      <c r="ED25" s="584"/>
      <c r="EE25" s="139"/>
    </row>
    <row r="26" spans="1:135" ht="30" customHeight="1">
      <c r="B26" s="129" t="s">
        <v>6936</v>
      </c>
      <c r="Z26" s="1347"/>
      <c r="AB26" s="1787" t="s">
        <v>7415</v>
      </c>
      <c r="AC26" s="1787"/>
      <c r="AD26" s="1787"/>
      <c r="AE26" s="1787"/>
      <c r="AF26" s="1787"/>
      <c r="BA26" s="669" t="s">
        <v>1158</v>
      </c>
      <c r="BB26" s="317" t="s">
        <v>2706</v>
      </c>
      <c r="BC26" s="317" t="s">
        <v>6988</v>
      </c>
      <c r="BD26" s="317" t="s">
        <v>1152</v>
      </c>
      <c r="BE26" s="317"/>
      <c r="CA26" s="2609" t="s">
        <v>430</v>
      </c>
      <c r="CB26" s="296" t="s">
        <v>7697</v>
      </c>
      <c r="CC26" s="296"/>
      <c r="CD26" s="296"/>
      <c r="CE26" s="296"/>
      <c r="CF26" s="296"/>
      <c r="EA26" s="567" t="s">
        <v>1170</v>
      </c>
      <c r="EB26" s="561" t="s">
        <v>1145</v>
      </c>
      <c r="EC26" s="557"/>
      <c r="ED26" s="584"/>
      <c r="EE26" s="139"/>
    </row>
    <row r="27" spans="1:135" ht="30" customHeight="1">
      <c r="Z27" s="1347"/>
      <c r="AB27" s="1787" t="s">
        <v>7416</v>
      </c>
      <c r="AC27" s="1787"/>
      <c r="AD27" s="1787"/>
      <c r="AE27" s="1787"/>
      <c r="AF27" s="1787"/>
      <c r="BA27" s="671" t="s">
        <v>1161</v>
      </c>
      <c r="BB27" s="672" t="s">
        <v>7437</v>
      </c>
      <c r="BC27" s="672" t="s">
        <v>7436</v>
      </c>
      <c r="BD27" s="672" t="s">
        <v>1221</v>
      </c>
      <c r="BE27" s="672"/>
      <c r="CA27" s="597" t="s">
        <v>7692</v>
      </c>
      <c r="CB27" s="1755" t="s">
        <v>9370</v>
      </c>
      <c r="CC27" s="1755"/>
      <c r="CD27" s="1755"/>
      <c r="CE27" s="1755"/>
      <c r="CF27" s="1755"/>
      <c r="DA27" s="1879" t="s">
        <v>7698</v>
      </c>
      <c r="DB27" s="1879"/>
      <c r="DC27" s="1879"/>
      <c r="DD27" s="1879"/>
      <c r="EA27" s="567" t="s">
        <v>1172</v>
      </c>
      <c r="EB27" s="561" t="s">
        <v>1145</v>
      </c>
      <c r="EC27" s="557"/>
      <c r="ED27" s="584"/>
      <c r="EE27" s="139"/>
    </row>
    <row r="28" spans="1:135" ht="30" customHeight="1">
      <c r="B28" s="1341" t="s">
        <v>1534</v>
      </c>
      <c r="Z28" s="1347"/>
      <c r="AB28" s="1787" t="s">
        <v>7581</v>
      </c>
      <c r="AC28" s="1787"/>
      <c r="AD28" s="1787"/>
      <c r="AE28" s="1787"/>
      <c r="AF28" s="1787"/>
      <c r="BA28" s="669" t="s">
        <v>1164</v>
      </c>
      <c r="BB28" s="317" t="s">
        <v>2914</v>
      </c>
      <c r="BC28" s="317" t="s">
        <v>6989</v>
      </c>
      <c r="BD28" s="317" t="s">
        <v>7434</v>
      </c>
      <c r="BE28" s="317"/>
      <c r="CA28" s="597"/>
      <c r="CB28" s="1755"/>
      <c r="CC28" s="1755"/>
      <c r="CD28" s="1755"/>
      <c r="CE28" s="1755"/>
      <c r="CF28" s="1755"/>
      <c r="DA28" s="569" t="s">
        <v>1193</v>
      </c>
      <c r="DB28" s="129" t="s">
        <v>1171</v>
      </c>
      <c r="DC28" s="1481" t="s">
        <v>7704</v>
      </c>
      <c r="EA28" s="567" t="s">
        <v>1176</v>
      </c>
      <c r="EB28" s="561" t="s">
        <v>1145</v>
      </c>
      <c r="EC28" s="557"/>
      <c r="ED28" s="584"/>
      <c r="EE28" s="139"/>
    </row>
    <row r="29" spans="1:135" ht="30" customHeight="1">
      <c r="B29" s="129" t="s">
        <v>6937</v>
      </c>
      <c r="Z29" s="1347"/>
      <c r="AA29" s="1439" t="s">
        <v>7417</v>
      </c>
      <c r="AB29" s="1787" t="s">
        <v>7428</v>
      </c>
      <c r="AC29" s="1787"/>
      <c r="AD29" s="1787"/>
      <c r="AE29" s="1787"/>
      <c r="AF29" s="1787"/>
      <c r="BA29" s="671" t="s">
        <v>1169</v>
      </c>
      <c r="BB29" s="672" t="s">
        <v>1216</v>
      </c>
      <c r="BC29" s="672" t="s">
        <v>6990</v>
      </c>
      <c r="BD29" s="672" t="s">
        <v>1221</v>
      </c>
      <c r="BE29" s="672"/>
      <c r="CA29" s="597"/>
      <c r="CB29" s="1755" t="s">
        <v>9374</v>
      </c>
      <c r="CC29" s="1755"/>
      <c r="CD29" s="1755"/>
      <c r="CE29" s="1755"/>
      <c r="CF29" s="1755"/>
      <c r="DA29" s="569" t="s">
        <v>1196</v>
      </c>
      <c r="DB29" s="129" t="s">
        <v>4753</v>
      </c>
      <c r="EA29" s="567" t="s">
        <v>1179</v>
      </c>
      <c r="EB29" s="561" t="s">
        <v>1145</v>
      </c>
      <c r="EC29" s="557"/>
      <c r="ED29" s="584"/>
      <c r="EE29" s="139"/>
    </row>
    <row r="30" spans="1:135" ht="30" customHeight="1">
      <c r="Z30" s="1347"/>
      <c r="AA30" s="1430" t="s">
        <v>7417</v>
      </c>
      <c r="AB30" s="1755" t="s">
        <v>7582</v>
      </c>
      <c r="AC30" s="1755"/>
      <c r="AD30" s="1755"/>
      <c r="AE30" s="1755"/>
      <c r="AF30" s="1755"/>
      <c r="BA30" s="669" t="s">
        <v>1171</v>
      </c>
      <c r="BB30" s="317" t="s">
        <v>4753</v>
      </c>
      <c r="BC30" s="317" t="s">
        <v>6991</v>
      </c>
      <c r="BD30" s="317" t="s">
        <v>469</v>
      </c>
      <c r="BE30" s="317"/>
      <c r="CA30" s="2609" t="s">
        <v>9373</v>
      </c>
      <c r="CB30" s="2461"/>
      <c r="CC30" s="2461"/>
      <c r="CD30" s="2461"/>
      <c r="CE30" s="2461"/>
      <c r="CF30" s="2461"/>
      <c r="DA30" s="569" t="s">
        <v>3</v>
      </c>
      <c r="DB30" s="129" t="s">
        <v>7720</v>
      </c>
      <c r="DD30" s="522"/>
      <c r="EA30" s="567" t="s">
        <v>1180</v>
      </c>
      <c r="EB30" s="561" t="s">
        <v>1145</v>
      </c>
      <c r="EC30" s="557"/>
      <c r="ED30" s="584"/>
      <c r="EE30" s="139"/>
    </row>
    <row r="31" spans="1:135" ht="30" customHeight="1">
      <c r="B31" s="1341" t="s">
        <v>248</v>
      </c>
      <c r="Z31" s="1347"/>
      <c r="AA31" s="1430"/>
      <c r="AB31" s="613"/>
      <c r="AC31" s="613"/>
      <c r="AD31" s="613"/>
      <c r="AE31" s="613"/>
      <c r="AF31" s="613"/>
      <c r="BA31" s="671" t="s">
        <v>1173</v>
      </c>
      <c r="BB31" s="672" t="s">
        <v>6982</v>
      </c>
      <c r="BC31" s="672" t="s">
        <v>6992</v>
      </c>
      <c r="BD31" s="672" t="s">
        <v>546</v>
      </c>
      <c r="BE31" s="672"/>
      <c r="CA31" s="296"/>
      <c r="CB31" s="613"/>
      <c r="CC31" s="613"/>
      <c r="CD31" s="613"/>
      <c r="CE31" s="613"/>
      <c r="CF31" s="613"/>
      <c r="DA31" s="129" t="s">
        <v>4</v>
      </c>
      <c r="DB31" s="129" t="s">
        <v>7721</v>
      </c>
      <c r="EA31" s="567" t="s">
        <v>1182</v>
      </c>
      <c r="EB31" s="561" t="s">
        <v>1145</v>
      </c>
      <c r="EC31" s="557"/>
      <c r="ED31" s="584"/>
      <c r="EE31" s="139"/>
    </row>
    <row r="32" spans="1:135" ht="30" customHeight="1">
      <c r="B32" s="129" t="s">
        <v>6938</v>
      </c>
      <c r="Z32" s="1347"/>
      <c r="AA32" s="1853" t="s">
        <v>1193</v>
      </c>
      <c r="AB32" s="1854"/>
      <c r="AC32" s="1851" t="s">
        <v>7429</v>
      </c>
      <c r="AD32" s="1852"/>
      <c r="AE32" s="1852"/>
      <c r="BA32" s="669" t="s">
        <v>1177</v>
      </c>
      <c r="BB32" s="317" t="s">
        <v>4602</v>
      </c>
      <c r="BC32" s="317" t="s">
        <v>4602</v>
      </c>
      <c r="BD32" s="317" t="s">
        <v>7435</v>
      </c>
      <c r="BE32" s="317"/>
      <c r="CA32" s="1879" t="s">
        <v>7698</v>
      </c>
      <c r="CB32" s="1879"/>
      <c r="CC32" s="1879"/>
      <c r="CD32" s="1879"/>
      <c r="CE32" s="613"/>
      <c r="CF32" s="613"/>
      <c r="DA32" s="129" t="s">
        <v>1062</v>
      </c>
      <c r="DB32" s="129" t="s">
        <v>469</v>
      </c>
      <c r="EA32" s="567" t="s">
        <v>1184</v>
      </c>
      <c r="EB32" s="561" t="s">
        <v>1145</v>
      </c>
      <c r="EC32" s="557"/>
      <c r="ED32" s="584"/>
      <c r="EE32" s="139"/>
    </row>
    <row r="33" spans="2:135" ht="30" customHeight="1">
      <c r="B33" s="129" t="s">
        <v>6946</v>
      </c>
      <c r="Z33" s="1347"/>
      <c r="AA33" s="1435" t="s">
        <v>3</v>
      </c>
      <c r="AB33" s="1435" t="s">
        <v>4</v>
      </c>
      <c r="AC33" s="1436" t="s">
        <v>268</v>
      </c>
      <c r="AD33" s="1436" t="s">
        <v>6966</v>
      </c>
      <c r="AE33" s="1436" t="s">
        <v>7421</v>
      </c>
      <c r="AF33" s="1436" t="s">
        <v>7572</v>
      </c>
      <c r="AG33" s="1436" t="s">
        <v>6798</v>
      </c>
      <c r="AH33" s="1437" t="s">
        <v>428</v>
      </c>
      <c r="BA33" s="671" t="s">
        <v>763</v>
      </c>
      <c r="BB33" s="672" t="s">
        <v>1178</v>
      </c>
      <c r="BC33" s="672" t="s">
        <v>6993</v>
      </c>
      <c r="BD33" s="672" t="s">
        <v>1221</v>
      </c>
      <c r="BE33" s="672"/>
      <c r="CA33" s="569" t="s">
        <v>1193</v>
      </c>
      <c r="CB33" s="129" t="s">
        <v>1194</v>
      </c>
      <c r="CC33" s="1481" t="s">
        <v>7704</v>
      </c>
      <c r="DA33" s="1470" t="s">
        <v>62</v>
      </c>
      <c r="DB33" s="1470" t="s">
        <v>1147</v>
      </c>
      <c r="DC33" s="1470" t="s">
        <v>704</v>
      </c>
      <c r="EA33" s="567" t="s">
        <v>1186</v>
      </c>
      <c r="EB33" s="561" t="s">
        <v>1145</v>
      </c>
      <c r="EC33" s="576"/>
      <c r="ED33" s="585"/>
      <c r="EE33" s="139"/>
    </row>
    <row r="34" spans="2:135" ht="30" customHeight="1">
      <c r="B34" s="129" t="s">
        <v>6947</v>
      </c>
      <c r="Z34" s="1347"/>
      <c r="AA34" s="129" t="s">
        <v>1150</v>
      </c>
      <c r="AB34" s="129" t="s">
        <v>6967</v>
      </c>
      <c r="AE34" s="129" t="s">
        <v>599</v>
      </c>
      <c r="AG34" s="129" t="s">
        <v>574</v>
      </c>
      <c r="BA34" s="669" t="s">
        <v>1181</v>
      </c>
      <c r="BB34" s="317" t="s">
        <v>6983</v>
      </c>
      <c r="BC34" s="317" t="s">
        <v>6994</v>
      </c>
      <c r="BD34" s="317" t="s">
        <v>1221</v>
      </c>
      <c r="BE34" s="317"/>
      <c r="CA34" s="569" t="s">
        <v>1196</v>
      </c>
      <c r="CB34" s="129" t="s">
        <v>1197</v>
      </c>
      <c r="DA34" s="138" t="s">
        <v>7701</v>
      </c>
      <c r="DB34" s="138" t="s">
        <v>487</v>
      </c>
      <c r="DC34" s="138">
        <v>10.75</v>
      </c>
      <c r="EA34" s="567" t="s">
        <v>1187</v>
      </c>
      <c r="EB34" s="561" t="s">
        <v>1145</v>
      </c>
      <c r="EC34" s="557"/>
      <c r="ED34" s="584"/>
      <c r="EE34" s="139"/>
    </row>
    <row r="35" spans="2:135" ht="30" customHeight="1">
      <c r="Z35" s="1347"/>
      <c r="AA35" s="129" t="s">
        <v>1156</v>
      </c>
      <c r="AB35" s="129" t="s">
        <v>6968</v>
      </c>
      <c r="AD35" s="129" t="s">
        <v>574</v>
      </c>
      <c r="AF35" s="129" t="s">
        <v>574</v>
      </c>
      <c r="AH35" s="378" t="s">
        <v>6977</v>
      </c>
      <c r="BA35" s="671" t="s">
        <v>1183</v>
      </c>
      <c r="BB35" s="672" t="s">
        <v>1219</v>
      </c>
      <c r="BC35" s="672" t="s">
        <v>6995</v>
      </c>
      <c r="BD35" s="672" t="s">
        <v>1221</v>
      </c>
      <c r="BE35" s="672"/>
      <c r="CA35" s="569" t="s">
        <v>3</v>
      </c>
      <c r="CB35" s="129" t="s">
        <v>1198</v>
      </c>
      <c r="CD35" s="522"/>
      <c r="DA35" s="138" t="s">
        <v>7702</v>
      </c>
      <c r="DB35" s="138" t="s">
        <v>469</v>
      </c>
      <c r="DC35" s="138">
        <v>1</v>
      </c>
      <c r="EA35" s="567" t="s">
        <v>1188</v>
      </c>
      <c r="EB35" s="561" t="s">
        <v>1145</v>
      </c>
      <c r="EC35" s="557"/>
      <c r="ED35" s="584"/>
      <c r="EE35" s="139"/>
    </row>
    <row r="36" spans="2:135" ht="30" customHeight="1">
      <c r="B36" s="1341" t="s">
        <v>6941</v>
      </c>
      <c r="Z36" s="1347"/>
      <c r="AA36" s="129" t="s">
        <v>1158</v>
      </c>
      <c r="AB36" s="129" t="s">
        <v>760</v>
      </c>
      <c r="AC36" s="296" t="s">
        <v>574</v>
      </c>
      <c r="BA36" s="669" t="s">
        <v>1185</v>
      </c>
      <c r="BB36" s="317" t="s">
        <v>6984</v>
      </c>
      <c r="BC36" s="317" t="s">
        <v>6996</v>
      </c>
      <c r="BD36" s="317" t="s">
        <v>1221</v>
      </c>
      <c r="BE36" s="317"/>
      <c r="CA36" s="129" t="s">
        <v>4</v>
      </c>
      <c r="CB36" s="129" t="s">
        <v>1198</v>
      </c>
      <c r="DA36" s="138" t="s">
        <v>7703</v>
      </c>
      <c r="DB36" s="138"/>
      <c r="DC36" s="138"/>
      <c r="EA36" s="567" t="s">
        <v>1189</v>
      </c>
      <c r="EB36" s="561" t="s">
        <v>1145</v>
      </c>
      <c r="EC36" s="557"/>
      <c r="ED36" s="584"/>
      <c r="EE36" s="139"/>
    </row>
    <row r="37" spans="2:135" ht="30" customHeight="1">
      <c r="B37" s="129" t="s">
        <v>6948</v>
      </c>
      <c r="Z37" s="1347"/>
      <c r="AA37" s="129" t="s">
        <v>1161</v>
      </c>
      <c r="AB37" s="129" t="s">
        <v>6969</v>
      </c>
      <c r="AD37" s="129" t="s">
        <v>574</v>
      </c>
      <c r="AG37" s="129" t="s">
        <v>574</v>
      </c>
      <c r="BA37" s="671" t="s">
        <v>7658</v>
      </c>
      <c r="BB37" s="672" t="s">
        <v>6682</v>
      </c>
      <c r="BC37" s="672"/>
      <c r="BD37" s="672" t="s">
        <v>1221</v>
      </c>
      <c r="BE37" s="672"/>
      <c r="CA37" s="129" t="s">
        <v>1140</v>
      </c>
      <c r="CB37" s="296">
        <v>7</v>
      </c>
      <c r="CC37" s="296"/>
      <c r="EA37" s="577" t="s">
        <v>1191</v>
      </c>
      <c r="EB37" s="561" t="s">
        <v>1145</v>
      </c>
      <c r="EC37" s="557"/>
      <c r="ED37" s="584"/>
      <c r="EE37" s="139"/>
    </row>
    <row r="38" spans="2:135" ht="30" customHeight="1">
      <c r="B38" s="129" t="s">
        <v>6949</v>
      </c>
      <c r="Z38" s="1347"/>
      <c r="AA38" s="129" t="s">
        <v>1164</v>
      </c>
      <c r="AB38" s="129" t="s">
        <v>5871</v>
      </c>
      <c r="AD38" s="129" t="s">
        <v>574</v>
      </c>
      <c r="AG38" s="129" t="s">
        <v>574</v>
      </c>
      <c r="BA38" s="671" t="s">
        <v>7659</v>
      </c>
      <c r="BB38" s="129" t="s">
        <v>7660</v>
      </c>
      <c r="BD38" s="317" t="s">
        <v>1221</v>
      </c>
      <c r="CA38" s="129" t="s">
        <v>1203</v>
      </c>
      <c r="CB38" s="573">
        <v>0.08</v>
      </c>
      <c r="CC38" s="573"/>
      <c r="DA38" s="569" t="s">
        <v>1193</v>
      </c>
      <c r="DB38" s="129" t="s">
        <v>1171</v>
      </c>
      <c r="DC38" s="1481" t="s">
        <v>7705</v>
      </c>
      <c r="EA38" s="567" t="s">
        <v>1192</v>
      </c>
      <c r="EB38" s="561" t="s">
        <v>1145</v>
      </c>
      <c r="EC38" s="557"/>
      <c r="ED38" s="584"/>
      <c r="EE38" s="139"/>
    </row>
    <row r="39" spans="2:135" ht="30" customHeight="1">
      <c r="B39" s="129" t="s">
        <v>6942</v>
      </c>
      <c r="Z39" s="1347"/>
      <c r="AA39" s="129" t="s">
        <v>1167</v>
      </c>
      <c r="AB39" s="129" t="s">
        <v>6970</v>
      </c>
      <c r="AD39" s="129" t="s">
        <v>574</v>
      </c>
      <c r="AG39" s="129" t="s">
        <v>574</v>
      </c>
      <c r="CA39" s="129" t="s">
        <v>1062</v>
      </c>
      <c r="CB39" s="129" t="s">
        <v>7691</v>
      </c>
      <c r="DA39" s="569" t="s">
        <v>1196</v>
      </c>
      <c r="DB39" s="129" t="s">
        <v>4753</v>
      </c>
      <c r="EA39" s="567" t="s">
        <v>1195</v>
      </c>
      <c r="EB39" s="561" t="s">
        <v>1145</v>
      </c>
      <c r="EC39" s="557"/>
      <c r="ED39" s="584"/>
      <c r="EE39" s="139"/>
    </row>
    <row r="40" spans="2:135" ht="30" customHeight="1">
      <c r="Z40" s="1347"/>
      <c r="AA40" s="129" t="s">
        <v>1169</v>
      </c>
      <c r="AB40" s="129" t="s">
        <v>6971</v>
      </c>
      <c r="AD40" s="129" t="s">
        <v>574</v>
      </c>
      <c r="AG40" s="129" t="s">
        <v>574</v>
      </c>
      <c r="CA40" s="129" t="s">
        <v>7707</v>
      </c>
      <c r="CB40" s="129" t="s">
        <v>1147</v>
      </c>
      <c r="CC40" s="129" t="s">
        <v>420</v>
      </c>
      <c r="CD40" s="129" t="s">
        <v>9372</v>
      </c>
      <c r="CE40" s="129" t="s">
        <v>1207</v>
      </c>
      <c r="DA40" s="569" t="s">
        <v>3</v>
      </c>
      <c r="DB40" s="129" t="s">
        <v>7722</v>
      </c>
      <c r="DD40" s="522"/>
      <c r="DE40" s="1489" t="s">
        <v>7724</v>
      </c>
      <c r="EA40" s="567" t="s">
        <v>73</v>
      </c>
      <c r="EB40" s="561" t="s">
        <v>1145</v>
      </c>
      <c r="EC40" s="557"/>
      <c r="ED40" s="584"/>
      <c r="EE40" s="139"/>
    </row>
    <row r="41" spans="2:135" ht="30" customHeight="1">
      <c r="B41" s="1341" t="s">
        <v>6945</v>
      </c>
      <c r="Z41" s="1347"/>
      <c r="AA41" s="129" t="s">
        <v>1171</v>
      </c>
      <c r="AB41" s="129" t="s">
        <v>5866</v>
      </c>
      <c r="AD41" s="129" t="s">
        <v>574</v>
      </c>
      <c r="AG41" s="129" t="s">
        <v>574</v>
      </c>
      <c r="CA41" s="129" t="s">
        <v>574</v>
      </c>
      <c r="CB41" s="129" t="s">
        <v>1206</v>
      </c>
      <c r="CC41" s="129">
        <v>1022.97</v>
      </c>
      <c r="CD41" s="129" t="s">
        <v>1175</v>
      </c>
      <c r="DA41" s="129" t="s">
        <v>4</v>
      </c>
      <c r="DB41" s="129" t="s">
        <v>7723</v>
      </c>
      <c r="EA41" s="567" t="s">
        <v>1199</v>
      </c>
      <c r="EB41" s="561" t="s">
        <v>1145</v>
      </c>
      <c r="EC41" s="557"/>
      <c r="ED41" s="584"/>
      <c r="EE41" s="139"/>
    </row>
    <row r="42" spans="2:135" ht="30" customHeight="1">
      <c r="B42" s="129" t="s">
        <v>6943</v>
      </c>
      <c r="Z42" s="1347"/>
      <c r="AA42" s="129" t="s">
        <v>1173</v>
      </c>
      <c r="AB42" s="129" t="s">
        <v>6972</v>
      </c>
      <c r="AD42" s="129" t="s">
        <v>574</v>
      </c>
      <c r="AG42" s="129" t="s">
        <v>574</v>
      </c>
      <c r="CA42" s="129" t="s">
        <v>574</v>
      </c>
      <c r="CB42" s="129" t="s">
        <v>1210</v>
      </c>
      <c r="CC42" s="129">
        <v>10.8</v>
      </c>
      <c r="CD42" s="129" t="s">
        <v>1175</v>
      </c>
      <c r="DA42" s="129" t="s">
        <v>1062</v>
      </c>
      <c r="DB42" s="129" t="s">
        <v>469</v>
      </c>
      <c r="EA42" s="567" t="s">
        <v>1200</v>
      </c>
      <c r="EB42" s="561" t="s">
        <v>1145</v>
      </c>
      <c r="EC42" s="557"/>
      <c r="ED42" s="584"/>
      <c r="EE42" s="139"/>
    </row>
    <row r="43" spans="2:135" ht="30" customHeight="1">
      <c r="B43" s="129" t="s">
        <v>6944</v>
      </c>
      <c r="Z43" s="1347"/>
      <c r="AA43" s="129" t="s">
        <v>763</v>
      </c>
      <c r="AB43" s="129" t="s">
        <v>6973</v>
      </c>
      <c r="AC43" s="129" t="s">
        <v>574</v>
      </c>
      <c r="CA43" s="129" t="s">
        <v>599</v>
      </c>
      <c r="CB43" s="129" t="s">
        <v>731</v>
      </c>
      <c r="CC43" s="129">
        <v>1000</v>
      </c>
      <c r="CD43" s="129" t="s">
        <v>1175</v>
      </c>
      <c r="DA43" s="1470" t="s">
        <v>62</v>
      </c>
      <c r="DB43" s="1470" t="s">
        <v>1147</v>
      </c>
      <c r="DC43" s="1470" t="s">
        <v>704</v>
      </c>
      <c r="EA43" s="567" t="s">
        <v>1201</v>
      </c>
      <c r="EB43" s="561" t="s">
        <v>1145</v>
      </c>
      <c r="EC43" s="557"/>
      <c r="ED43" s="584"/>
      <c r="EE43" s="139"/>
    </row>
    <row r="44" spans="2:135" ht="30" customHeight="1">
      <c r="Z44" s="1347"/>
      <c r="AA44" s="129" t="s">
        <v>1181</v>
      </c>
      <c r="AB44" s="129" t="s">
        <v>6974</v>
      </c>
      <c r="AE44" s="129" t="s">
        <v>574</v>
      </c>
      <c r="CA44" s="129" t="s">
        <v>599</v>
      </c>
      <c r="CB44" s="129" t="s">
        <v>624</v>
      </c>
      <c r="CC44" s="129">
        <v>0.222</v>
      </c>
      <c r="CD44" s="129" t="s">
        <v>1175</v>
      </c>
      <c r="DA44" s="138" t="s">
        <v>7701</v>
      </c>
      <c r="DB44" s="138" t="s">
        <v>487</v>
      </c>
      <c r="DC44" s="138">
        <v>10.75</v>
      </c>
      <c r="EA44" s="567" t="s">
        <v>1204</v>
      </c>
      <c r="EB44" s="561" t="s">
        <v>1145</v>
      </c>
      <c r="EC44" s="557"/>
      <c r="ED44" s="584"/>
      <c r="EE44" s="139"/>
    </row>
    <row r="45" spans="2:135" ht="30" customHeight="1">
      <c r="B45" s="1341" t="s">
        <v>6950</v>
      </c>
      <c r="Z45" s="1347"/>
      <c r="AA45" s="129" t="s">
        <v>1183</v>
      </c>
      <c r="AB45" s="129" t="s">
        <v>6975</v>
      </c>
      <c r="AD45" s="129" t="s">
        <v>574</v>
      </c>
      <c r="AG45" s="129" t="s">
        <v>574</v>
      </c>
      <c r="AH45" s="378"/>
      <c r="DA45" s="138" t="s">
        <v>7702</v>
      </c>
      <c r="DB45" s="138" t="s">
        <v>469</v>
      </c>
      <c r="DC45" s="138">
        <v>1</v>
      </c>
      <c r="EA45" s="567" t="s">
        <v>1205</v>
      </c>
      <c r="EB45" s="561" t="s">
        <v>1145</v>
      </c>
      <c r="EC45" s="557"/>
      <c r="ED45" s="584"/>
      <c r="EE45" s="139"/>
    </row>
    <row r="46" spans="2:135" ht="30" customHeight="1">
      <c r="B46" s="129" t="s">
        <v>6951</v>
      </c>
      <c r="Z46" s="1347"/>
      <c r="AA46" s="129" t="s">
        <v>1185</v>
      </c>
      <c r="AB46" s="129" t="s">
        <v>6976</v>
      </c>
      <c r="AE46" s="129" t="s">
        <v>574</v>
      </c>
      <c r="CA46" s="569" t="s">
        <v>1193</v>
      </c>
      <c r="CB46" s="129" t="s">
        <v>1194</v>
      </c>
      <c r="CC46" s="1481" t="s">
        <v>7705</v>
      </c>
      <c r="DA46" s="138" t="s">
        <v>7703</v>
      </c>
      <c r="DB46" s="138"/>
      <c r="DC46" s="138"/>
      <c r="EA46" s="567" t="s">
        <v>1208</v>
      </c>
      <c r="EB46" s="561" t="s">
        <v>1145</v>
      </c>
      <c r="EC46" s="557"/>
      <c r="ED46" s="584"/>
      <c r="EE46" s="139"/>
    </row>
    <row r="47" spans="2:135" ht="30" customHeight="1">
      <c r="B47" s="129" t="s">
        <v>7580</v>
      </c>
      <c r="Z47" s="1347"/>
      <c r="CA47" s="569" t="s">
        <v>1196</v>
      </c>
      <c r="CB47" s="129" t="s">
        <v>1197</v>
      </c>
      <c r="DC47" s="1482"/>
      <c r="EA47" s="567" t="s">
        <v>1211</v>
      </c>
      <c r="EB47" s="561" t="s">
        <v>1145</v>
      </c>
      <c r="EC47" s="557" t="s">
        <v>1212</v>
      </c>
      <c r="ED47" s="584"/>
      <c r="EE47" s="139"/>
    </row>
    <row r="48" spans="2:135" ht="30" customHeight="1">
      <c r="B48" s="129" t="s">
        <v>6953</v>
      </c>
      <c r="Z48" s="1347"/>
      <c r="CA48" s="569" t="s">
        <v>3</v>
      </c>
      <c r="CB48" s="129" t="s">
        <v>7706</v>
      </c>
      <c r="CD48" s="522"/>
      <c r="EA48" s="568" t="s">
        <v>428</v>
      </c>
      <c r="EB48" s="1863" t="s">
        <v>1145</v>
      </c>
      <c r="EC48" s="1864"/>
      <c r="ED48" s="586"/>
      <c r="EE48" s="138"/>
    </row>
    <row r="49" spans="2:83" ht="30" customHeight="1">
      <c r="Z49" s="1347"/>
      <c r="BA49" s="129" t="s">
        <v>453</v>
      </c>
      <c r="CA49" s="129" t="s">
        <v>4</v>
      </c>
      <c r="CB49" s="129" t="s">
        <v>7706</v>
      </c>
    </row>
    <row r="50" spans="2:83" ht="30" customHeight="1">
      <c r="B50" s="1341" t="s">
        <v>6954</v>
      </c>
      <c r="Z50" s="1347"/>
      <c r="CA50" s="129" t="s">
        <v>1140</v>
      </c>
      <c r="CB50" s="296">
        <v>7</v>
      </c>
      <c r="CC50" s="296"/>
    </row>
    <row r="51" spans="2:83" ht="30" customHeight="1">
      <c r="B51" s="129" t="s">
        <v>6955</v>
      </c>
      <c r="Z51" s="1347"/>
      <c r="AA51" s="1347"/>
      <c r="AB51" s="1347"/>
      <c r="CA51" s="129" t="s">
        <v>1203</v>
      </c>
      <c r="CB51" s="573">
        <v>0.08</v>
      </c>
      <c r="CC51" s="573"/>
    </row>
    <row r="52" spans="2:83" ht="30" customHeight="1">
      <c r="Z52" s="1347"/>
      <c r="AA52" s="1347"/>
      <c r="AB52" s="1347"/>
      <c r="CA52" s="129" t="s">
        <v>1062</v>
      </c>
      <c r="CB52" s="129" t="s">
        <v>7691</v>
      </c>
    </row>
    <row r="53" spans="2:83" ht="30" customHeight="1">
      <c r="Z53" s="1347"/>
      <c r="AA53" s="1347"/>
      <c r="AB53" s="1347"/>
      <c r="CA53" s="129" t="s">
        <v>7707</v>
      </c>
      <c r="CB53" s="129" t="s">
        <v>1147</v>
      </c>
      <c r="CC53" s="129" t="s">
        <v>420</v>
      </c>
      <c r="CD53" s="129" t="s">
        <v>9372</v>
      </c>
    </row>
    <row r="54" spans="2:83" ht="30" customHeight="1">
      <c r="Z54" s="1347"/>
      <c r="AA54" s="1347"/>
      <c r="AB54" s="1347"/>
      <c r="CA54" s="129" t="s">
        <v>574</v>
      </c>
      <c r="CB54" s="129" t="s">
        <v>1206</v>
      </c>
      <c r="CC54" s="129">
        <v>1016</v>
      </c>
      <c r="CD54" s="129" t="s">
        <v>1175</v>
      </c>
    </row>
    <row r="55" spans="2:83" ht="30" customHeight="1">
      <c r="Z55" s="1347"/>
      <c r="AA55" s="1347"/>
      <c r="AB55" s="1347"/>
      <c r="CA55" s="129" t="s">
        <v>574</v>
      </c>
      <c r="CB55" s="129" t="s">
        <v>1210</v>
      </c>
      <c r="CC55" s="1482">
        <f>CC54/22</f>
        <v>46.18181818181818</v>
      </c>
      <c r="CD55" s="129" t="s">
        <v>1175</v>
      </c>
      <c r="CE55" s="129" t="s">
        <v>7709</v>
      </c>
    </row>
    <row r="56" spans="2:83" ht="30" customHeight="1">
      <c r="Z56" s="1347"/>
      <c r="AA56" s="1347"/>
      <c r="AB56" s="1347"/>
      <c r="CA56" s="129" t="s">
        <v>599</v>
      </c>
      <c r="CB56" s="129" t="s">
        <v>731</v>
      </c>
      <c r="CC56" s="129">
        <v>1000</v>
      </c>
      <c r="CD56" s="129" t="s">
        <v>1175</v>
      </c>
    </row>
    <row r="57" spans="2:83" ht="30" customHeight="1">
      <c r="Z57" s="1347"/>
      <c r="AA57" s="1347"/>
      <c r="AB57" s="1347"/>
      <c r="CA57" s="129" t="s">
        <v>599</v>
      </c>
      <c r="CB57" s="129" t="s">
        <v>624</v>
      </c>
      <c r="CC57" s="1482">
        <f>CC55/12</f>
        <v>3.8484848484848482</v>
      </c>
      <c r="CD57" s="129" t="s">
        <v>1175</v>
      </c>
      <c r="CE57" s="129" t="s">
        <v>7708</v>
      </c>
    </row>
    <row r="58" spans="2:83" ht="30" customHeight="1">
      <c r="Z58" s="1347"/>
      <c r="AA58" s="1347"/>
      <c r="AB58" s="1347"/>
    </row>
    <row r="59" spans="2:83" ht="30" customHeight="1">
      <c r="Z59" s="1347"/>
      <c r="AA59" s="1347"/>
      <c r="AB59" s="1347"/>
      <c r="CA59" s="569"/>
    </row>
    <row r="60" spans="2:83" ht="30" customHeight="1">
      <c r="Z60" s="1347"/>
      <c r="AA60" s="1347"/>
      <c r="AB60" s="1347"/>
      <c r="CA60" s="569"/>
    </row>
    <row r="61" spans="2:83" ht="30" customHeight="1">
      <c r="Z61" s="1347"/>
      <c r="AA61" s="1347"/>
      <c r="AB61" s="1347"/>
      <c r="CA61" s="569"/>
      <c r="CD61" s="522"/>
    </row>
    <row r="62" spans="2:83" ht="30" customHeight="1">
      <c r="Z62" s="1347"/>
      <c r="AA62" s="1347"/>
      <c r="AB62" s="1347"/>
    </row>
    <row r="63" spans="2:83" ht="30" customHeight="1">
      <c r="Z63" s="1347"/>
      <c r="AA63" s="1347"/>
      <c r="AB63" s="1347"/>
      <c r="CB63" s="296"/>
      <c r="CC63" s="296"/>
    </row>
    <row r="64" spans="2:83" ht="30" customHeight="1">
      <c r="Z64" s="1347"/>
      <c r="AA64" s="1347"/>
      <c r="AB64" s="1347"/>
      <c r="CB64" s="573"/>
      <c r="CC64" s="573"/>
    </row>
    <row r="65" spans="26:82" ht="30" customHeight="1">
      <c r="Z65" s="1347"/>
      <c r="AA65" s="1347"/>
      <c r="AB65" s="1347"/>
    </row>
    <row r="66" spans="26:82" ht="30" customHeight="1">
      <c r="Z66" s="1347"/>
      <c r="AA66" s="1347"/>
      <c r="AB66" s="1347"/>
    </row>
    <row r="67" spans="26:82" ht="30" customHeight="1">
      <c r="Z67" s="1347"/>
      <c r="AA67" s="1347"/>
      <c r="AB67" s="1347"/>
    </row>
    <row r="68" spans="26:82" ht="30" customHeight="1">
      <c r="Z68" s="1347"/>
      <c r="AA68" s="1347"/>
      <c r="AB68" s="1347"/>
    </row>
    <row r="69" spans="26:82">
      <c r="AA69" s="1347"/>
      <c r="AB69" s="1347"/>
    </row>
    <row r="70" spans="26:82">
      <c r="AA70" s="1347"/>
      <c r="AB70" s="1347"/>
    </row>
    <row r="71" spans="26:82">
      <c r="AA71" s="1347"/>
      <c r="AB71" s="1347"/>
    </row>
    <row r="72" spans="26:82">
      <c r="AA72" s="1347"/>
      <c r="AB72" s="1347"/>
      <c r="CA72" s="569"/>
    </row>
    <row r="73" spans="26:82">
      <c r="AA73" s="1347"/>
      <c r="AB73" s="1347"/>
      <c r="CA73" s="569"/>
    </row>
    <row r="74" spans="26:82">
      <c r="AA74" s="1347"/>
      <c r="AB74" s="1347"/>
      <c r="CA74" s="569"/>
      <c r="CD74" s="522"/>
    </row>
    <row r="75" spans="26:82">
      <c r="AA75" s="1347"/>
      <c r="AB75" s="1347"/>
    </row>
    <row r="76" spans="26:82">
      <c r="AA76" s="1347"/>
      <c r="AB76" s="1347"/>
      <c r="CB76" s="296"/>
      <c r="CC76" s="296"/>
    </row>
    <row r="77" spans="26:82">
      <c r="CB77" s="573"/>
      <c r="CC77" s="573"/>
    </row>
    <row r="85" spans="58:82">
      <c r="CA85" s="569"/>
    </row>
    <row r="86" spans="58:82">
      <c r="CA86" s="569"/>
    </row>
    <row r="87" spans="58:82">
      <c r="CA87" s="569"/>
    </row>
    <row r="88" spans="58:82">
      <c r="BX88" s="129">
        <v>7</v>
      </c>
    </row>
    <row r="89" spans="58:82">
      <c r="BF89" s="129">
        <v>6</v>
      </c>
      <c r="CB89" s="296"/>
      <c r="CC89" s="296"/>
    </row>
    <row r="90" spans="58:82">
      <c r="CB90" s="573"/>
      <c r="CC90" s="573"/>
    </row>
    <row r="92" spans="58:82">
      <c r="CD92" s="732"/>
    </row>
    <row r="93" spans="58:82">
      <c r="CD93" s="732"/>
    </row>
    <row r="98" spans="79:82">
      <c r="CA98" s="569"/>
    </row>
    <row r="99" spans="79:82">
      <c r="CA99" s="569"/>
    </row>
    <row r="100" spans="79:82">
      <c r="CA100" s="569"/>
    </row>
    <row r="102" spans="79:82">
      <c r="CB102" s="296"/>
      <c r="CC102" s="296"/>
    </row>
    <row r="103" spans="79:82">
      <c r="CB103" s="573"/>
      <c r="CC103" s="573"/>
    </row>
    <row r="105" spans="79:82">
      <c r="CD105" s="732"/>
    </row>
    <row r="106" spans="79:82">
      <c r="CD106" s="732"/>
    </row>
  </sheetData>
  <mergeCells count="114">
    <mergeCell ref="CE6:CF6"/>
    <mergeCell ref="CE8:CF8"/>
    <mergeCell ref="CE9:CF9"/>
    <mergeCell ref="CE10:CF10"/>
    <mergeCell ref="CE11:CF11"/>
    <mergeCell ref="CE7:CF7"/>
    <mergeCell ref="CA3:CB3"/>
    <mergeCell ref="CE3:CF3"/>
    <mergeCell ref="CE4:CF4"/>
    <mergeCell ref="CE5:CF5"/>
    <mergeCell ref="CA13:CB13"/>
    <mergeCell ref="CC8:CC16"/>
    <mergeCell ref="CA17:CC17"/>
    <mergeCell ref="CE15:CF15"/>
    <mergeCell ref="CE16:CF16"/>
    <mergeCell ref="CE18:CF18"/>
    <mergeCell ref="DA14:DB14"/>
    <mergeCell ref="DE13:DF13"/>
    <mergeCell ref="DE15:DF15"/>
    <mergeCell ref="DE16:DF16"/>
    <mergeCell ref="DB13:DC13"/>
    <mergeCell ref="DB11:DC11"/>
    <mergeCell ref="DB12:DC12"/>
    <mergeCell ref="DA10:DC10"/>
    <mergeCell ref="DE17:DF17"/>
    <mergeCell ref="DA27:DD27"/>
    <mergeCell ref="CB27:CF28"/>
    <mergeCell ref="CA32:CD32"/>
    <mergeCell ref="CB24:CC24"/>
    <mergeCell ref="CE24:CF24"/>
    <mergeCell ref="CB30:CF30"/>
    <mergeCell ref="CB29:CF29"/>
    <mergeCell ref="BI2:BK2"/>
    <mergeCell ref="BL2:BP2"/>
    <mergeCell ref="BI5:BM5"/>
    <mergeCell ref="BI8:BM8"/>
    <mergeCell ref="BI11:BM11"/>
    <mergeCell ref="EB48:EC48"/>
    <mergeCell ref="BA3:BB3"/>
    <mergeCell ref="DA3:DC3"/>
    <mergeCell ref="DB22:DC22"/>
    <mergeCell ref="BB19:BC19"/>
    <mergeCell ref="EA10:EB10"/>
    <mergeCell ref="BB7:BC7"/>
    <mergeCell ref="BI14:BM14"/>
    <mergeCell ref="BO5:BS5"/>
    <mergeCell ref="BO8:BS8"/>
    <mergeCell ref="BO11:BQ11"/>
    <mergeCell ref="BO14:BT15"/>
    <mergeCell ref="DE3:DF3"/>
    <mergeCell ref="DE4:DF4"/>
    <mergeCell ref="A1:E1"/>
    <mergeCell ref="EA3:EB3"/>
    <mergeCell ref="BA8:BB8"/>
    <mergeCell ref="G2:I2"/>
    <mergeCell ref="AE13:AF13"/>
    <mergeCell ref="CA7:CB7"/>
    <mergeCell ref="AA3:AB3"/>
    <mergeCell ref="AE4:AF4"/>
    <mergeCell ref="AE5:AF5"/>
    <mergeCell ref="BB6:BC6"/>
    <mergeCell ref="BE4:BF4"/>
    <mergeCell ref="BE5:BF5"/>
    <mergeCell ref="AA11:AB11"/>
    <mergeCell ref="AC5:AC6"/>
    <mergeCell ref="BE6:BF6"/>
    <mergeCell ref="AC32:AE32"/>
    <mergeCell ref="AB23:AF23"/>
    <mergeCell ref="AE18:AF18"/>
    <mergeCell ref="AC18:AD18"/>
    <mergeCell ref="AB28:AF28"/>
    <mergeCell ref="AB26:AF26"/>
    <mergeCell ref="AB27:AF27"/>
    <mergeCell ref="AB29:AF29"/>
    <mergeCell ref="AB30:AF30"/>
    <mergeCell ref="AB21:AF21"/>
    <mergeCell ref="AB22:AF22"/>
    <mergeCell ref="AB20:AF20"/>
    <mergeCell ref="AB25:AF25"/>
    <mergeCell ref="AA32:AB32"/>
    <mergeCell ref="AB19:AF19"/>
    <mergeCell ref="AE9:AF9"/>
    <mergeCell ref="BB12:BC12"/>
    <mergeCell ref="AE8:AF8"/>
    <mergeCell ref="BE8:BF8"/>
    <mergeCell ref="BE9:BF9"/>
    <mergeCell ref="BE10:BF10"/>
    <mergeCell ref="AE10:AF10"/>
    <mergeCell ref="AE12:AF12"/>
    <mergeCell ref="AC7:AD7"/>
    <mergeCell ref="BB17:BF17"/>
    <mergeCell ref="BC8:BC11"/>
    <mergeCell ref="BE11:BF11"/>
    <mergeCell ref="BB16:BF16"/>
    <mergeCell ref="AB17:AF17"/>
    <mergeCell ref="AB15:AC15"/>
    <mergeCell ref="AE15:AF15"/>
    <mergeCell ref="BB14:BF14"/>
    <mergeCell ref="BE7:BF7"/>
    <mergeCell ref="BE12:BF12"/>
    <mergeCell ref="AA7:AB7"/>
    <mergeCell ref="AE6:AF6"/>
    <mergeCell ref="DE9:DF9"/>
    <mergeCell ref="DE18:DF18"/>
    <mergeCell ref="DE19:DF21"/>
    <mergeCell ref="DE5:DF5"/>
    <mergeCell ref="DE6:DF6"/>
    <mergeCell ref="DE8:DF8"/>
    <mergeCell ref="DB8:DC8"/>
    <mergeCell ref="DB9:DC9"/>
    <mergeCell ref="DA7:DC7"/>
    <mergeCell ref="DC5:DC6"/>
    <mergeCell ref="CE12:CF12"/>
    <mergeCell ref="CE20:CF23"/>
  </mergeCells>
  <phoneticPr fontId="8" type="noConversion"/>
  <conditionalFormatting sqref="BB21:BB37">
    <cfRule type="duplicateValues" dxfId="11" priority="62"/>
  </conditionalFormatting>
  <conditionalFormatting sqref="BC21:BC26 BC28:BC37">
    <cfRule type="duplicateValues" dxfId="10" priority="63"/>
  </conditionalFormatting>
  <conditionalFormatting sqref="BC27">
    <cfRule type="duplicateValues" dxfId="9" priority="1"/>
  </conditionalFormatting>
  <hyperlinks>
    <hyperlink ref="F4" location="WPS_BQ_Desp!AA1" display="Display" xr:uid="{E1ACCABA-53D3-45BC-BCE0-E08FD2E3B44B}"/>
    <hyperlink ref="AE1" location="WPS_BQ_Desp!C4" display="Contents" xr:uid="{B5492EAA-54B9-4151-8669-F2BBD5137893}"/>
    <hyperlink ref="EE1" location="Wps_Bq!C7" display="Contents" xr:uid="{B58A2027-CF62-465E-AB91-2C765588810F}"/>
    <hyperlink ref="F5" location="WPS_BQ_Desp!BA1" display="Display" xr:uid="{5C96251A-1079-4C6D-8B10-04D0F4503EB4}"/>
    <hyperlink ref="F6" location="WPS_BQ_Desp!CA1" display="Display" xr:uid="{DEA72307-0277-45B3-80A7-66E5D1EA4C1D}"/>
    <hyperlink ref="F7" location="WPS_BQ_Desp!DA1" display="Display" xr:uid="{DE4D2796-B169-4DF1-857F-819831DB782F}"/>
    <hyperlink ref="BE1" location="WPS_BQ_Desp!C5" display="Contents" xr:uid="{433A5D8E-7751-4972-A41B-DE645DEFDEE6}"/>
    <hyperlink ref="CF1" location="WPS_BQ_Desp!C6" display="Contents" xr:uid="{58426A8A-6884-4C59-8014-3C5FC9547DDF}"/>
    <hyperlink ref="DE1" location="WPS_BQ_Desp!C7" display="Contents" xr:uid="{8A7E34C5-DF0E-4C3D-8B7E-89C2539B9D2E}"/>
  </hyperlinks>
  <pageMargins left="0.7" right="0.7" top="0.75" bottom="0.75" header="0.3" footer="0.3"/>
  <legacyDrawing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23A06-F09B-4E64-86D0-789B47FE3AC8}">
  <sheetPr codeName="Sheet27">
    <tabColor rgb="FF92D050"/>
  </sheetPr>
  <dimension ref="A1:II125"/>
  <sheetViews>
    <sheetView topLeftCell="AH1" workbookViewId="0">
      <selection activeCell="AL6" sqref="AL6"/>
    </sheetView>
  </sheetViews>
  <sheetFormatPr defaultRowHeight="14.4"/>
  <cols>
    <col min="2" max="2" width="10.21875" customWidth="1"/>
    <col min="3" max="3" width="37.44140625" customWidth="1"/>
    <col min="4" max="4" width="11.5546875" customWidth="1"/>
    <col min="5" max="5" width="76.21875" customWidth="1"/>
    <col min="6" max="6" width="10.109375" customWidth="1"/>
    <col min="7" max="26" width="1.77734375" customWidth="1"/>
    <col min="27" max="28" width="33.21875" customWidth="1"/>
    <col min="29" max="29" width="18.5546875" customWidth="1"/>
    <col min="30" max="30" width="17.5546875" customWidth="1"/>
    <col min="31" max="31" width="13" customWidth="1"/>
    <col min="32" max="34" width="31.6640625" customWidth="1"/>
    <col min="35" max="40" width="20.77734375" customWidth="1"/>
    <col min="41" max="52" width="1.77734375" customWidth="1"/>
    <col min="53" max="54" width="25.77734375" customWidth="1"/>
    <col min="55" max="61" width="12.77734375" customWidth="1"/>
    <col min="79" max="79" width="25.77734375" customWidth="1"/>
    <col min="80" max="86" width="20.77734375" customWidth="1"/>
    <col min="87" max="87" width="12.77734375" customWidth="1"/>
    <col min="105" max="105" width="25.77734375" customWidth="1"/>
    <col min="106" max="106" width="36.77734375" customWidth="1"/>
    <col min="107" max="109" width="10.77734375" customWidth="1"/>
    <col min="110" max="110" width="40.77734375" customWidth="1"/>
    <col min="111" max="130" width="1.77734375" customWidth="1"/>
    <col min="131" max="131" width="25.77734375" customWidth="1"/>
    <col min="132" max="140" width="20.77734375" customWidth="1"/>
    <col min="157" max="157" width="25.77734375" customWidth="1"/>
    <col min="158" max="166" width="20.77734375" customWidth="1"/>
    <col min="167" max="182" width="1.77734375" customWidth="1"/>
    <col min="183" max="183" width="25.77734375" customWidth="1"/>
    <col min="184" max="184" width="47.44140625" customWidth="1"/>
    <col min="185" max="187" width="10.77734375" customWidth="1"/>
    <col min="188" max="189" width="54.88671875" customWidth="1"/>
    <col min="190" max="208" width="1.77734375" customWidth="1"/>
    <col min="209" max="209" width="25.77734375" customWidth="1"/>
    <col min="210" max="218" width="20.77734375" customWidth="1"/>
    <col min="235" max="235" width="25.77734375" customWidth="1"/>
    <col min="236" max="243" width="20.77734375" customWidth="1"/>
  </cols>
  <sheetData>
    <row r="1" spans="1:243" ht="21" customHeight="1">
      <c r="A1" s="122" t="s">
        <v>6130</v>
      </c>
      <c r="B1" s="1060"/>
      <c r="C1" s="51"/>
      <c r="D1" s="51"/>
      <c r="E1" s="51"/>
      <c r="F1" s="1024"/>
      <c r="G1" s="1024"/>
      <c r="H1" s="1024"/>
      <c r="I1" s="1024"/>
      <c r="J1" s="1024"/>
      <c r="K1" s="1024"/>
      <c r="L1" s="1024"/>
      <c r="M1" s="1024"/>
      <c r="N1" s="1024"/>
      <c r="O1" s="1024"/>
      <c r="P1" s="1024"/>
      <c r="Q1" s="1024"/>
      <c r="R1" s="1024"/>
      <c r="S1" s="1024"/>
      <c r="T1" s="1024"/>
      <c r="U1" s="1024"/>
      <c r="V1" s="1024"/>
      <c r="W1" s="1024"/>
      <c r="AA1" s="1065" t="s">
        <v>5553</v>
      </c>
      <c r="AB1" s="122"/>
      <c r="AC1" s="122"/>
      <c r="AD1" s="122"/>
      <c r="AE1" s="1066" t="s">
        <v>336</v>
      </c>
      <c r="AF1" s="122"/>
      <c r="AG1" s="122"/>
      <c r="AH1" s="122"/>
      <c r="AI1" s="122"/>
      <c r="AJ1" s="122"/>
      <c r="AK1" s="122"/>
      <c r="AL1" s="122"/>
      <c r="AM1" s="122"/>
      <c r="AN1" s="122"/>
      <c r="AO1" s="122"/>
      <c r="AP1" s="122"/>
      <c r="AQ1" s="122"/>
      <c r="AR1" s="122"/>
      <c r="AS1" s="122"/>
      <c r="AT1" s="122"/>
      <c r="AU1" s="122"/>
      <c r="AV1" s="122"/>
      <c r="AW1" s="122"/>
      <c r="AX1" s="122"/>
      <c r="AY1" s="122"/>
      <c r="AZ1" s="122"/>
      <c r="BA1" s="1065" t="s">
        <v>5554</v>
      </c>
      <c r="BB1" s="122"/>
      <c r="BC1" s="122"/>
      <c r="BD1" s="122"/>
      <c r="BE1" s="198" t="s">
        <v>336</v>
      </c>
      <c r="BF1" s="122"/>
      <c r="BG1" s="122"/>
      <c r="BH1" s="122"/>
      <c r="BI1" s="122"/>
      <c r="BJ1" s="122"/>
      <c r="BK1" s="122"/>
      <c r="BL1" s="122"/>
      <c r="BM1" s="122"/>
      <c r="BN1" s="122"/>
      <c r="BO1" s="122"/>
      <c r="BP1" s="122"/>
      <c r="BQ1" s="122"/>
      <c r="BR1" s="122"/>
      <c r="BS1" s="122"/>
      <c r="BT1" s="122"/>
      <c r="BU1" s="122"/>
      <c r="BV1" s="122"/>
      <c r="BW1" s="122"/>
      <c r="BX1" s="122"/>
      <c r="BY1" s="122"/>
      <c r="BZ1" s="122"/>
      <c r="CA1" s="1065" t="s">
        <v>5555</v>
      </c>
      <c r="CB1" s="122"/>
      <c r="CC1" s="122"/>
      <c r="CD1" s="122"/>
      <c r="CE1" s="198" t="s">
        <v>336</v>
      </c>
      <c r="CF1" s="122"/>
      <c r="CG1" s="122"/>
      <c r="CH1" s="122"/>
      <c r="CI1" s="122"/>
      <c r="CJ1" s="122"/>
      <c r="CK1" s="122"/>
      <c r="CL1" s="122"/>
      <c r="CM1" s="122"/>
      <c r="CN1" s="122"/>
      <c r="CO1" s="122"/>
      <c r="CP1" s="122"/>
      <c r="CQ1" s="122"/>
      <c r="CR1" s="122"/>
      <c r="CS1" s="122"/>
      <c r="CT1" s="122"/>
      <c r="CU1" s="122"/>
      <c r="CV1" s="122"/>
      <c r="CW1" s="122"/>
      <c r="CX1" s="122"/>
      <c r="CY1" s="122"/>
      <c r="CZ1" s="122"/>
      <c r="DA1" s="1065" t="s">
        <v>5556</v>
      </c>
      <c r="DB1" s="122"/>
      <c r="DC1" s="122"/>
      <c r="DD1" s="122"/>
      <c r="DE1" s="198" t="s">
        <v>336</v>
      </c>
      <c r="DF1" s="122"/>
      <c r="DG1" s="122"/>
      <c r="DH1" s="122"/>
      <c r="DI1" s="122"/>
      <c r="DJ1" s="122"/>
      <c r="DK1" s="122"/>
      <c r="DL1" s="122"/>
      <c r="DM1" s="122"/>
      <c r="DN1" s="122"/>
      <c r="DO1" s="122"/>
      <c r="DP1" s="122"/>
      <c r="DQ1" s="122"/>
      <c r="DR1" s="122"/>
      <c r="DS1" s="122"/>
      <c r="DT1" s="122"/>
      <c r="DU1" s="122"/>
      <c r="DV1" s="122"/>
      <c r="DW1" s="122"/>
      <c r="DX1" s="122"/>
      <c r="DY1" s="122"/>
      <c r="DZ1" s="122"/>
      <c r="EA1" s="1065" t="s">
        <v>5557</v>
      </c>
      <c r="EB1" s="122"/>
      <c r="EC1" s="122"/>
      <c r="ED1" s="122"/>
      <c r="EE1" s="198" t="s">
        <v>336</v>
      </c>
      <c r="EF1" s="122"/>
      <c r="EG1" s="122"/>
      <c r="EH1" s="122"/>
      <c r="EI1" s="122"/>
      <c r="EJ1" s="122"/>
      <c r="EK1" s="122"/>
      <c r="EL1" s="122"/>
      <c r="EM1" s="122"/>
      <c r="EN1" s="122"/>
      <c r="EO1" s="122"/>
      <c r="EP1" s="122"/>
      <c r="EQ1" s="122"/>
      <c r="ER1" s="122"/>
      <c r="ES1" s="122"/>
      <c r="ET1" s="122"/>
      <c r="EU1" s="122"/>
      <c r="EV1" s="122"/>
      <c r="EW1" s="122"/>
      <c r="EX1" s="122"/>
      <c r="EY1" s="122"/>
      <c r="EZ1" s="122"/>
      <c r="FA1" s="1065" t="s">
        <v>5558</v>
      </c>
      <c r="FB1" s="122"/>
      <c r="FC1" s="122"/>
      <c r="FD1" s="122"/>
      <c r="FE1" s="198" t="s">
        <v>336</v>
      </c>
      <c r="FF1" s="122"/>
      <c r="FG1" s="122"/>
      <c r="FH1" s="122"/>
      <c r="FI1" s="122"/>
      <c r="FJ1" s="122"/>
      <c r="FK1" s="122"/>
      <c r="FL1" s="122"/>
      <c r="FM1" s="122"/>
      <c r="FN1" s="122"/>
      <c r="FO1" s="122"/>
      <c r="FP1" s="122"/>
      <c r="FQ1" s="122"/>
      <c r="FR1" s="122"/>
      <c r="FS1" s="122"/>
      <c r="FT1" s="122"/>
      <c r="FU1" s="122"/>
      <c r="FV1" s="122"/>
      <c r="FW1" s="122"/>
      <c r="FX1" s="122"/>
      <c r="FY1" s="122"/>
      <c r="FZ1" s="122"/>
      <c r="GA1" s="1065" t="s">
        <v>6179</v>
      </c>
      <c r="GB1" s="122"/>
      <c r="GC1" s="122"/>
      <c r="GD1" s="122"/>
      <c r="GE1" s="198" t="s">
        <v>336</v>
      </c>
      <c r="GF1" s="122"/>
      <c r="GG1" s="122"/>
      <c r="GH1" s="122"/>
      <c r="GI1" s="122"/>
      <c r="GJ1" s="122"/>
      <c r="GK1" s="122"/>
      <c r="GL1" s="122"/>
      <c r="GM1" s="122"/>
      <c r="GN1" s="122"/>
      <c r="GO1" s="122"/>
      <c r="GP1" s="122"/>
      <c r="GQ1" s="122"/>
      <c r="GR1" s="122"/>
      <c r="GS1" s="122"/>
      <c r="GT1" s="122"/>
      <c r="GU1" s="122"/>
      <c r="GV1" s="122"/>
      <c r="GW1" s="122"/>
      <c r="GX1" s="122"/>
      <c r="GY1" s="122"/>
      <c r="GZ1" s="122"/>
      <c r="HA1" s="1065" t="s">
        <v>6180</v>
      </c>
      <c r="HB1" s="122"/>
      <c r="HC1" s="122"/>
      <c r="HD1" s="122"/>
      <c r="HE1" s="198" t="s">
        <v>336</v>
      </c>
      <c r="HF1" s="122"/>
      <c r="HG1" s="122"/>
      <c r="HH1" s="122"/>
      <c r="HI1" s="122"/>
      <c r="HJ1" s="122"/>
      <c r="HK1" s="122"/>
      <c r="HL1" s="122"/>
      <c r="HM1" s="122"/>
      <c r="HN1" s="122"/>
      <c r="HO1" s="122"/>
      <c r="HP1" s="122"/>
      <c r="HQ1" s="122"/>
      <c r="HR1" s="122"/>
      <c r="HS1" s="122"/>
      <c r="HT1" s="122"/>
      <c r="HU1" s="122"/>
      <c r="HV1" s="122"/>
      <c r="HW1" s="122"/>
      <c r="HX1" s="122"/>
      <c r="HY1" s="122"/>
      <c r="HZ1" s="122"/>
      <c r="IA1" s="1065" t="s">
        <v>6181</v>
      </c>
      <c r="IB1" s="122"/>
      <c r="IC1" s="122"/>
      <c r="ID1" s="122"/>
      <c r="IE1" s="198" t="s">
        <v>336</v>
      </c>
      <c r="IF1" s="122"/>
      <c r="IG1" s="122"/>
      <c r="IH1" s="122"/>
      <c r="II1" s="122"/>
    </row>
    <row r="3" spans="1:243" ht="30" customHeight="1" thickBot="1">
      <c r="B3" s="403" t="s">
        <v>345</v>
      </c>
      <c r="C3" s="404" t="s">
        <v>122</v>
      </c>
      <c r="D3" s="404" t="s">
        <v>346</v>
      </c>
      <c r="E3" s="463" t="s">
        <v>347</v>
      </c>
      <c r="F3" s="405" t="s">
        <v>233</v>
      </c>
      <c r="G3" s="1059"/>
      <c r="H3" s="1059"/>
      <c r="I3" s="1059"/>
      <c r="J3" s="1059"/>
      <c r="K3" s="1059"/>
      <c r="L3" s="1059"/>
      <c r="M3" s="1059"/>
      <c r="N3" s="1059"/>
      <c r="O3" s="1059"/>
      <c r="P3" s="1059"/>
      <c r="Q3" s="1059"/>
      <c r="R3" s="1059"/>
      <c r="S3" s="1059"/>
      <c r="T3" s="1059"/>
      <c r="U3" s="1059"/>
      <c r="V3" s="1059"/>
      <c r="W3" s="1059"/>
      <c r="AA3" s="1929" t="s">
        <v>5553</v>
      </c>
      <c r="AB3" s="1930"/>
      <c r="AC3" s="225" t="s">
        <v>4115</v>
      </c>
      <c r="AD3" s="225" t="s">
        <v>6131</v>
      </c>
      <c r="AE3" s="225" t="s">
        <v>1122</v>
      </c>
      <c r="AF3" s="1893" t="s">
        <v>234</v>
      </c>
      <c r="AG3" s="1894"/>
      <c r="BA3" s="452" t="s">
        <v>5554</v>
      </c>
      <c r="BB3" s="157"/>
      <c r="BC3" s="225" t="s">
        <v>4115</v>
      </c>
      <c r="BD3" s="225" t="s">
        <v>6132</v>
      </c>
      <c r="CA3" s="452" t="s">
        <v>5555</v>
      </c>
      <c r="CB3" s="157"/>
      <c r="CC3" s="225" t="s">
        <v>4115</v>
      </c>
      <c r="CD3" s="225" t="s">
        <v>6133</v>
      </c>
      <c r="DA3" s="452" t="s">
        <v>5556</v>
      </c>
      <c r="DB3" s="157"/>
      <c r="DC3" s="487" t="s">
        <v>4115</v>
      </c>
      <c r="DD3" s="487" t="s">
        <v>6134</v>
      </c>
      <c r="DE3" s="225" t="s">
        <v>1122</v>
      </c>
      <c r="DF3" s="1075" t="s">
        <v>234</v>
      </c>
      <c r="EA3" s="452" t="s">
        <v>5557</v>
      </c>
      <c r="EB3" s="157"/>
      <c r="EC3" s="225" t="s">
        <v>4115</v>
      </c>
      <c r="ED3" s="225" t="s">
        <v>6135</v>
      </c>
      <c r="FA3" s="452" t="s">
        <v>5558</v>
      </c>
      <c r="FB3" s="157"/>
      <c r="FC3" s="225" t="s">
        <v>4115</v>
      </c>
      <c r="FD3" s="225" t="s">
        <v>6136</v>
      </c>
      <c r="GA3" s="452" t="s">
        <v>6179</v>
      </c>
      <c r="GB3" s="157"/>
      <c r="GC3" s="487" t="s">
        <v>4115</v>
      </c>
      <c r="GD3" s="487" t="s">
        <v>6172</v>
      </c>
      <c r="GE3" s="225" t="s">
        <v>1122</v>
      </c>
      <c r="GF3" s="1740" t="s">
        <v>234</v>
      </c>
      <c r="GG3" s="1741"/>
      <c r="HA3" s="452" t="s">
        <v>6180</v>
      </c>
      <c r="HB3" s="157"/>
      <c r="HC3" s="225" t="s">
        <v>4115</v>
      </c>
      <c r="HD3" s="225" t="s">
        <v>6173</v>
      </c>
      <c r="IA3" s="1893" t="s">
        <v>6181</v>
      </c>
      <c r="IB3" s="1894"/>
      <c r="IC3" s="225" t="s">
        <v>4115</v>
      </c>
      <c r="ID3" s="225" t="s">
        <v>6174</v>
      </c>
    </row>
    <row r="4" spans="1:243" ht="30" customHeight="1">
      <c r="B4" s="290">
        <v>29</v>
      </c>
      <c r="C4" s="10" t="s">
        <v>5553</v>
      </c>
      <c r="D4" s="10" t="s">
        <v>6131</v>
      </c>
      <c r="E4" s="1133" t="s">
        <v>6163</v>
      </c>
      <c r="F4" s="1058" t="s">
        <v>233</v>
      </c>
      <c r="AA4" s="231" t="s">
        <v>6017</v>
      </c>
      <c r="AB4" s="344" t="s">
        <v>351</v>
      </c>
      <c r="AC4" s="1245" t="s">
        <v>5994</v>
      </c>
      <c r="AD4" s="1245"/>
      <c r="BA4" s="1041" t="s">
        <v>5726</v>
      </c>
      <c r="BB4" s="1041" t="s">
        <v>5727</v>
      </c>
      <c r="BC4" s="1041" t="s">
        <v>5728</v>
      </c>
      <c r="BD4" s="1041" t="s">
        <v>5729</v>
      </c>
      <c r="BE4" s="1041" t="s">
        <v>5730</v>
      </c>
      <c r="BF4" s="1041" t="s">
        <v>5731</v>
      </c>
      <c r="BG4" s="1041" t="s">
        <v>5732</v>
      </c>
      <c r="BH4" s="1041" t="s">
        <v>5733</v>
      </c>
      <c r="CA4" s="1041" t="s">
        <v>5726</v>
      </c>
      <c r="CB4" s="1041" t="s">
        <v>5727</v>
      </c>
      <c r="CC4" s="1041" t="s">
        <v>5728</v>
      </c>
      <c r="CD4" s="1041" t="s">
        <v>5729</v>
      </c>
      <c r="CE4" s="1041" t="s">
        <v>5730</v>
      </c>
      <c r="CF4" s="1041" t="s">
        <v>5731</v>
      </c>
      <c r="CG4" s="1041" t="s">
        <v>5732</v>
      </c>
      <c r="CH4" s="1041" t="s">
        <v>5733</v>
      </c>
      <c r="DA4" s="231" t="s">
        <v>6017</v>
      </c>
      <c r="DB4" s="344" t="s">
        <v>351</v>
      </c>
      <c r="DC4" s="1880" t="s">
        <v>5994</v>
      </c>
      <c r="DD4" s="1881"/>
      <c r="EA4" s="1041" t="s">
        <v>5726</v>
      </c>
      <c r="EB4" s="1041" t="s">
        <v>5727</v>
      </c>
      <c r="EC4" s="1041" t="s">
        <v>5728</v>
      </c>
      <c r="ED4" s="1041" t="s">
        <v>5729</v>
      </c>
      <c r="EE4" s="1041" t="s">
        <v>5730</v>
      </c>
      <c r="EF4" s="1041" t="s">
        <v>5731</v>
      </c>
      <c r="EG4" s="1041" t="s">
        <v>5732</v>
      </c>
      <c r="EH4" s="1041" t="s">
        <v>5733</v>
      </c>
      <c r="EI4" s="1041" t="s">
        <v>6042</v>
      </c>
      <c r="EJ4" s="1041" t="s">
        <v>6043</v>
      </c>
      <c r="FA4" s="1041" t="s">
        <v>5726</v>
      </c>
      <c r="FB4" s="1041" t="s">
        <v>5727</v>
      </c>
      <c r="FC4" s="1041" t="s">
        <v>5728</v>
      </c>
      <c r="FD4" s="1041" t="s">
        <v>5729</v>
      </c>
      <c r="FE4" s="1041" t="s">
        <v>5730</v>
      </c>
      <c r="FF4" s="1041" t="s">
        <v>5731</v>
      </c>
      <c r="FG4" s="1041" t="s">
        <v>5732</v>
      </c>
      <c r="FH4" s="1041" t="s">
        <v>5733</v>
      </c>
      <c r="FI4" s="1041" t="s">
        <v>6042</v>
      </c>
      <c r="FJ4" s="1041" t="s">
        <v>6043</v>
      </c>
      <c r="GA4" s="231" t="s">
        <v>6017</v>
      </c>
      <c r="GB4" s="344" t="s">
        <v>351</v>
      </c>
      <c r="GC4" s="1880" t="s">
        <v>6194</v>
      </c>
      <c r="GD4" s="1881"/>
      <c r="HA4" s="1041" t="s">
        <v>5726</v>
      </c>
      <c r="HB4" s="1041" t="s">
        <v>5727</v>
      </c>
      <c r="HC4" s="1041" t="s">
        <v>5728</v>
      </c>
      <c r="HD4" s="1041" t="s">
        <v>5729</v>
      </c>
      <c r="HE4" s="1041" t="s">
        <v>5730</v>
      </c>
      <c r="HF4" s="1041" t="s">
        <v>5731</v>
      </c>
      <c r="HG4" s="1041" t="s">
        <v>5732</v>
      </c>
      <c r="HH4" s="1041" t="s">
        <v>5733</v>
      </c>
      <c r="HI4" s="1041" t="s">
        <v>6042</v>
      </c>
      <c r="IA4" s="1041" t="s">
        <v>5726</v>
      </c>
      <c r="IB4" s="1041" t="s">
        <v>5727</v>
      </c>
      <c r="IC4" s="1041" t="s">
        <v>5728</v>
      </c>
      <c r="ID4" s="1041" t="s">
        <v>5729</v>
      </c>
      <c r="IE4" s="1041" t="s">
        <v>5730</v>
      </c>
      <c r="IF4" s="1041" t="s">
        <v>5731</v>
      </c>
      <c r="IG4" s="1041" t="s">
        <v>5732</v>
      </c>
      <c r="IH4" s="1041" t="s">
        <v>5733</v>
      </c>
      <c r="II4" s="1041" t="s">
        <v>6042</v>
      </c>
    </row>
    <row r="5" spans="1:243" ht="30" customHeight="1">
      <c r="B5" s="290">
        <v>30</v>
      </c>
      <c r="C5" s="10" t="s">
        <v>5554</v>
      </c>
      <c r="D5" s="10" t="s">
        <v>6132</v>
      </c>
      <c r="E5" s="1063" t="s">
        <v>6164</v>
      </c>
      <c r="F5" s="1058" t="s">
        <v>233</v>
      </c>
      <c r="AA5" s="221" t="s">
        <v>338</v>
      </c>
      <c r="AB5" s="1111" t="s">
        <v>5570</v>
      </c>
      <c r="AC5" s="1246"/>
      <c r="AD5" s="1246"/>
      <c r="AE5" s="437" t="s">
        <v>6003</v>
      </c>
      <c r="AF5" s="1928" t="s">
        <v>6652</v>
      </c>
      <c r="AG5" s="1532"/>
      <c r="AH5" s="1532"/>
      <c r="BA5" s="1087" t="s">
        <v>5736</v>
      </c>
      <c r="BB5" s="129" t="s">
        <v>5723</v>
      </c>
      <c r="BC5" s="129" t="s">
        <v>338</v>
      </c>
      <c r="BD5" s="129" t="s">
        <v>6008</v>
      </c>
      <c r="BE5" s="129" t="s">
        <v>6009</v>
      </c>
      <c r="BF5" s="1085" t="s">
        <v>5739</v>
      </c>
      <c r="BG5" s="129" t="s">
        <v>5757</v>
      </c>
      <c r="BH5" s="1116" t="s">
        <v>6237</v>
      </c>
      <c r="CA5" s="1087" t="s">
        <v>5736</v>
      </c>
      <c r="CB5" s="129" t="s">
        <v>5723</v>
      </c>
      <c r="CC5" s="129" t="s">
        <v>338</v>
      </c>
      <c r="CD5" s="129" t="s">
        <v>6008</v>
      </c>
      <c r="CE5" s="129" t="s">
        <v>6009</v>
      </c>
      <c r="CF5" s="1085" t="s">
        <v>5739</v>
      </c>
      <c r="CG5" s="129" t="s">
        <v>5757</v>
      </c>
      <c r="CH5" s="1116" t="s">
        <v>6237</v>
      </c>
      <c r="DA5" s="221" t="s">
        <v>338</v>
      </c>
      <c r="DB5" s="1067" t="s">
        <v>5570</v>
      </c>
      <c r="DC5" s="1882"/>
      <c r="DD5" s="1883"/>
      <c r="DE5" s="437">
        <v>1</v>
      </c>
      <c r="DF5" t="s">
        <v>6019</v>
      </c>
      <c r="EA5" s="1087" t="s">
        <v>5736</v>
      </c>
      <c r="EB5" s="1116" t="s">
        <v>5723</v>
      </c>
      <c r="EC5" s="1116" t="s">
        <v>338</v>
      </c>
      <c r="ED5" s="1116" t="s">
        <v>6053</v>
      </c>
      <c r="EE5" s="1116" t="s">
        <v>6054</v>
      </c>
      <c r="EF5" s="1116" t="s">
        <v>6041</v>
      </c>
      <c r="EG5" s="1116" t="s">
        <v>2530</v>
      </c>
      <c r="EH5" s="1116" t="s">
        <v>5739</v>
      </c>
      <c r="EI5" s="1116" t="s">
        <v>5757</v>
      </c>
      <c r="EJ5" s="1116" t="s">
        <v>6237</v>
      </c>
      <c r="FA5" s="1087" t="s">
        <v>5736</v>
      </c>
      <c r="FB5" s="1116" t="s">
        <v>5723</v>
      </c>
      <c r="FC5" s="1116" t="s">
        <v>338</v>
      </c>
      <c r="FD5" s="1116" t="s">
        <v>6053</v>
      </c>
      <c r="FE5" s="1116" t="s">
        <v>6054</v>
      </c>
      <c r="FF5" s="1116" t="s">
        <v>6041</v>
      </c>
      <c r="FG5" s="1116" t="s">
        <v>2530</v>
      </c>
      <c r="FH5" s="1116" t="s">
        <v>5739</v>
      </c>
      <c r="FI5" s="1116" t="s">
        <v>5757</v>
      </c>
      <c r="FJ5" s="1116" t="s">
        <v>6237</v>
      </c>
      <c r="GA5" s="359" t="s">
        <v>338</v>
      </c>
      <c r="GB5" s="1142" t="s">
        <v>5570</v>
      </c>
      <c r="GC5" s="1882"/>
      <c r="GD5" s="1883"/>
      <c r="GE5" s="437">
        <v>1</v>
      </c>
      <c r="GF5" s="1895" t="s">
        <v>6200</v>
      </c>
      <c r="GG5" s="1501"/>
      <c r="HA5" s="1087" t="s">
        <v>5736</v>
      </c>
      <c r="HB5" s="1116" t="s">
        <v>6232</v>
      </c>
      <c r="HC5" s="1116" t="s">
        <v>363</v>
      </c>
      <c r="HD5" s="1116" t="s">
        <v>961</v>
      </c>
      <c r="HE5" s="1116" t="s">
        <v>6229</v>
      </c>
      <c r="HF5" s="1116" t="s">
        <v>6224</v>
      </c>
      <c r="HG5" s="1147" t="s">
        <v>5739</v>
      </c>
      <c r="HH5" s="1116" t="s">
        <v>5757</v>
      </c>
      <c r="HI5" s="1116" t="s">
        <v>6237</v>
      </c>
      <c r="IA5" s="1087" t="s">
        <v>5736</v>
      </c>
      <c r="IB5" s="1116" t="s">
        <v>6232</v>
      </c>
      <c r="IC5" s="1116" t="s">
        <v>363</v>
      </c>
      <c r="ID5" s="1116" t="s">
        <v>961</v>
      </c>
      <c r="IE5" s="1116" t="s">
        <v>6229</v>
      </c>
      <c r="IF5" s="1116" t="s">
        <v>6224</v>
      </c>
      <c r="IG5" s="1147" t="s">
        <v>5739</v>
      </c>
      <c r="IH5" s="1116" t="s">
        <v>5757</v>
      </c>
      <c r="II5" s="1116" t="s">
        <v>6237</v>
      </c>
    </row>
    <row r="6" spans="1:243" ht="30" customHeight="1" thickBot="1">
      <c r="B6" s="290">
        <v>31</v>
      </c>
      <c r="C6" s="10" t="s">
        <v>5555</v>
      </c>
      <c r="D6" s="10" t="s">
        <v>6133</v>
      </c>
      <c r="E6" s="1063" t="s">
        <v>6168</v>
      </c>
      <c r="F6" s="1058" t="s">
        <v>233</v>
      </c>
      <c r="AA6" s="221" t="s">
        <v>5997</v>
      </c>
      <c r="AB6" s="1111" t="s">
        <v>5999</v>
      </c>
      <c r="AC6" s="1246"/>
      <c r="AD6" s="1246"/>
      <c r="AE6" s="437" t="s">
        <v>6004</v>
      </c>
      <c r="AF6" s="91" t="s">
        <v>6001</v>
      </c>
      <c r="BA6" s="129"/>
      <c r="BB6" s="129"/>
      <c r="BC6" s="378"/>
      <c r="BD6" s="129"/>
      <c r="BE6" s="129"/>
      <c r="BF6" s="129"/>
      <c r="BG6" s="129"/>
      <c r="BH6" s="129"/>
      <c r="CA6" s="129"/>
      <c r="CB6" s="129"/>
      <c r="CC6" s="378"/>
      <c r="CD6" s="129"/>
      <c r="CE6" s="129"/>
      <c r="CF6" s="129"/>
      <c r="CG6" s="129"/>
      <c r="CH6" s="129"/>
      <c r="DA6" s="221" t="s">
        <v>363</v>
      </c>
      <c r="DB6" s="1067"/>
      <c r="DC6" s="1882"/>
      <c r="DD6" s="1883"/>
      <c r="DE6" s="437">
        <v>2</v>
      </c>
      <c r="DF6" t="s">
        <v>6001</v>
      </c>
      <c r="EA6" s="129"/>
      <c r="EB6" s="129"/>
      <c r="EC6" s="378"/>
      <c r="ED6" s="129"/>
      <c r="EE6" s="129"/>
      <c r="EF6" s="129"/>
      <c r="EG6" s="129"/>
      <c r="EH6" s="129"/>
      <c r="FA6" s="129"/>
      <c r="FB6" s="129"/>
      <c r="FC6" s="378"/>
      <c r="FD6" s="129"/>
      <c r="FE6" s="129"/>
      <c r="FF6" s="129"/>
      <c r="FG6" s="129"/>
      <c r="FH6" s="129"/>
      <c r="GA6" s="359" t="s">
        <v>6195</v>
      </c>
      <c r="GB6" s="1142" t="s">
        <v>6196</v>
      </c>
      <c r="GC6" s="1884"/>
      <c r="GD6" s="1885"/>
      <c r="GE6" s="437">
        <v>2</v>
      </c>
      <c r="GF6" t="s">
        <v>6197</v>
      </c>
      <c r="HA6" s="129"/>
      <c r="HB6" s="129"/>
      <c r="HC6" s="378"/>
      <c r="HD6" s="129"/>
      <c r="HE6" s="129"/>
      <c r="HG6" s="129"/>
      <c r="HH6" s="129"/>
      <c r="IA6" s="129"/>
      <c r="IB6" s="129"/>
      <c r="IC6" s="378"/>
      <c r="ID6" s="129"/>
      <c r="IE6" s="129"/>
      <c r="IF6" s="129"/>
      <c r="IG6" s="129"/>
      <c r="IH6" s="129"/>
    </row>
    <row r="7" spans="1:243" ht="30" customHeight="1" thickBot="1">
      <c r="B7" s="290">
        <v>32</v>
      </c>
      <c r="C7" s="10" t="s">
        <v>5556</v>
      </c>
      <c r="D7" s="10" t="s">
        <v>6134</v>
      </c>
      <c r="E7" s="1063" t="s">
        <v>6165</v>
      </c>
      <c r="F7" s="1058" t="s">
        <v>233</v>
      </c>
      <c r="AA7" s="221" t="s">
        <v>5998</v>
      </c>
      <c r="AB7" s="1111" t="s">
        <v>6000</v>
      </c>
      <c r="AC7" s="1246"/>
      <c r="AD7" s="1246"/>
      <c r="AE7" s="437" t="s">
        <v>6005</v>
      </c>
      <c r="AF7" s="91" t="s">
        <v>6002</v>
      </c>
      <c r="BA7" s="129" t="s">
        <v>5726</v>
      </c>
      <c r="BB7" s="129" t="s">
        <v>5753</v>
      </c>
      <c r="BC7" s="129"/>
      <c r="BD7" s="129"/>
      <c r="BE7" s="129"/>
      <c r="BF7" s="129"/>
      <c r="BG7" s="129"/>
      <c r="BH7" s="129"/>
      <c r="CA7" s="129" t="s">
        <v>5726</v>
      </c>
      <c r="CB7" s="129" t="s">
        <v>5753</v>
      </c>
      <c r="CC7" s="129"/>
      <c r="CD7" s="129"/>
      <c r="CE7" s="129"/>
      <c r="CF7" s="129"/>
      <c r="CG7" s="129"/>
      <c r="CH7" s="129"/>
      <c r="DA7" s="221" t="s">
        <v>6047</v>
      </c>
      <c r="DB7" s="1067" t="s">
        <v>6048</v>
      </c>
      <c r="DC7" s="1884"/>
      <c r="DD7" s="1885"/>
      <c r="DE7" s="437">
        <v>4</v>
      </c>
      <c r="DF7" t="s">
        <v>6049</v>
      </c>
      <c r="EA7" s="129" t="s">
        <v>5726</v>
      </c>
      <c r="EB7" s="129" t="s">
        <v>5753</v>
      </c>
      <c r="EC7" s="129"/>
      <c r="ED7" s="129"/>
      <c r="EE7" s="129"/>
      <c r="EF7" s="129"/>
      <c r="EG7" s="129"/>
      <c r="EH7" s="129"/>
      <c r="FA7" s="129" t="s">
        <v>5726</v>
      </c>
      <c r="FB7" s="129" t="s">
        <v>5753</v>
      </c>
      <c r="FC7" s="129"/>
      <c r="FD7" s="129"/>
      <c r="FE7" s="129"/>
      <c r="FF7" s="129"/>
      <c r="FG7" s="129"/>
      <c r="FH7" s="129"/>
      <c r="GA7" s="359" t="s">
        <v>6225</v>
      </c>
      <c r="GB7" s="1140" t="s">
        <v>6226</v>
      </c>
      <c r="GC7" s="1138"/>
      <c r="GD7" s="1139"/>
      <c r="GE7" s="437">
        <v>3</v>
      </c>
      <c r="HA7" s="129" t="s">
        <v>5726</v>
      </c>
      <c r="HB7" s="129" t="s">
        <v>5753</v>
      </c>
      <c r="HC7" s="129"/>
      <c r="HD7" s="129"/>
      <c r="HE7" s="129"/>
      <c r="HF7" s="129"/>
      <c r="HG7" s="129"/>
      <c r="HH7" s="129"/>
      <c r="IA7" s="129" t="s">
        <v>5726</v>
      </c>
      <c r="IB7" s="129" t="s">
        <v>5753</v>
      </c>
      <c r="IC7" s="129"/>
      <c r="ID7" s="129"/>
      <c r="IE7" s="129"/>
      <c r="IF7" s="129"/>
      <c r="IG7" s="129"/>
      <c r="IH7" s="129"/>
    </row>
    <row r="8" spans="1:243" ht="30" customHeight="1" thickBot="1">
      <c r="B8" s="290">
        <v>33</v>
      </c>
      <c r="C8" s="10" t="s">
        <v>5557</v>
      </c>
      <c r="D8" s="10" t="s">
        <v>6135</v>
      </c>
      <c r="E8" s="1063" t="s">
        <v>6166</v>
      </c>
      <c r="F8" s="1058" t="s">
        <v>233</v>
      </c>
      <c r="AA8" s="1109" t="s">
        <v>6649</v>
      </c>
      <c r="AB8" s="1247" t="s">
        <v>6651</v>
      </c>
      <c r="AC8" s="1246"/>
      <c r="AD8" s="1246"/>
      <c r="AE8" s="437" t="s">
        <v>6650</v>
      </c>
      <c r="AF8" s="1895" t="s">
        <v>6653</v>
      </c>
      <c r="AG8" s="1501"/>
      <c r="AH8" s="1501"/>
      <c r="BA8" s="129" t="s">
        <v>5727</v>
      </c>
      <c r="BB8" s="129" t="s">
        <v>5735</v>
      </c>
      <c r="BC8" s="129"/>
      <c r="BD8" s="129"/>
      <c r="BE8" s="129"/>
      <c r="BF8" s="129"/>
      <c r="BG8" s="129"/>
      <c r="BH8" s="129"/>
      <c r="CA8" s="129" t="s">
        <v>5727</v>
      </c>
      <c r="CB8" s="129" t="s">
        <v>5735</v>
      </c>
      <c r="CC8" s="129"/>
      <c r="CD8" s="129"/>
      <c r="CE8" s="129"/>
      <c r="CF8" s="129"/>
      <c r="CG8" s="129"/>
      <c r="CH8" s="129"/>
      <c r="DA8" s="1917" t="s">
        <v>6018</v>
      </c>
      <c r="DB8" s="1917"/>
      <c r="DC8" s="1917"/>
      <c r="DD8" s="1917"/>
      <c r="DE8" s="437"/>
      <c r="EA8" s="129" t="s">
        <v>5727</v>
      </c>
      <c r="EB8" s="129" t="s">
        <v>5735</v>
      </c>
      <c r="EC8" s="129"/>
      <c r="ED8" s="129"/>
      <c r="EE8" s="129"/>
      <c r="EF8" s="129"/>
      <c r="EG8" s="129"/>
      <c r="EH8" s="129"/>
      <c r="FA8" s="129" t="s">
        <v>5727</v>
      </c>
      <c r="FB8" s="129" t="s">
        <v>5735</v>
      </c>
      <c r="FC8" s="129"/>
      <c r="FD8" s="129"/>
      <c r="FE8" s="129"/>
      <c r="FF8" s="129"/>
      <c r="FG8" s="129"/>
      <c r="FH8" s="129"/>
      <c r="GA8" s="1931" t="s">
        <v>6664</v>
      </c>
      <c r="GB8" s="1932"/>
      <c r="GC8" s="1138"/>
      <c r="GD8" s="1139"/>
      <c r="GE8" s="437"/>
      <c r="HA8" s="129" t="s">
        <v>5727</v>
      </c>
      <c r="HB8" s="129" t="s">
        <v>5735</v>
      </c>
      <c r="HC8" s="129"/>
      <c r="HD8" s="129"/>
      <c r="HE8" s="129"/>
      <c r="HF8" s="129"/>
      <c r="HG8" s="129"/>
      <c r="HH8" s="129"/>
      <c r="IA8" s="129" t="s">
        <v>5727</v>
      </c>
      <c r="IB8" s="129" t="s">
        <v>5735</v>
      </c>
      <c r="IC8" s="129"/>
      <c r="ID8" s="129"/>
      <c r="IE8" s="129"/>
      <c r="IF8" s="129"/>
      <c r="IG8" s="129"/>
      <c r="IH8" s="129"/>
    </row>
    <row r="9" spans="1:243" ht="30" customHeight="1" thickBot="1">
      <c r="B9" s="290">
        <v>34</v>
      </c>
      <c r="C9" s="10" t="s">
        <v>5558</v>
      </c>
      <c r="D9" s="10" t="s">
        <v>6136</v>
      </c>
      <c r="E9" s="1063" t="s">
        <v>6167</v>
      </c>
      <c r="F9" s="1058" t="s">
        <v>233</v>
      </c>
      <c r="G9" s="598"/>
      <c r="H9" s="598"/>
      <c r="I9" s="598"/>
      <c r="J9" s="598"/>
      <c r="K9" s="598"/>
      <c r="L9" s="598"/>
      <c r="M9" s="598"/>
      <c r="N9" s="598"/>
      <c r="O9" s="598"/>
      <c r="P9" s="598"/>
      <c r="Q9" s="598"/>
      <c r="R9" s="598"/>
      <c r="S9" s="598"/>
      <c r="T9" s="598"/>
      <c r="U9" s="598"/>
      <c r="V9" s="598"/>
      <c r="W9" s="598"/>
      <c r="AA9" s="1910" t="s">
        <v>1436</v>
      </c>
      <c r="AB9" s="1911"/>
      <c r="AC9" s="1911"/>
      <c r="AD9" s="1912"/>
      <c r="AF9" t="s">
        <v>2511</v>
      </c>
      <c r="BA9" s="129" t="s">
        <v>5728</v>
      </c>
      <c r="BB9" s="129" t="s">
        <v>6007</v>
      </c>
      <c r="BC9" s="129"/>
      <c r="BD9" s="129"/>
      <c r="BE9" s="129"/>
      <c r="BF9" s="129"/>
      <c r="BG9" s="129"/>
      <c r="BH9" s="129"/>
      <c r="CA9" s="129" t="s">
        <v>5728</v>
      </c>
      <c r="CB9" s="129" t="s">
        <v>6007</v>
      </c>
      <c r="CC9" s="129"/>
      <c r="CD9" s="129"/>
      <c r="CE9" s="129"/>
      <c r="CF9" s="129"/>
      <c r="CG9" s="129"/>
      <c r="CH9" s="129"/>
      <c r="DA9" s="221" t="s">
        <v>2530</v>
      </c>
      <c r="DB9" s="1067" t="s">
        <v>6020</v>
      </c>
      <c r="DC9" s="1918" t="s">
        <v>5941</v>
      </c>
      <c r="DD9" s="1919"/>
      <c r="DE9" s="437">
        <v>5</v>
      </c>
      <c r="DF9" t="s">
        <v>6024</v>
      </c>
      <c r="EA9" s="129" t="s">
        <v>5728</v>
      </c>
      <c r="EB9" s="129" t="s">
        <v>6050</v>
      </c>
      <c r="EC9" s="129"/>
      <c r="ED9" s="129"/>
      <c r="EE9" s="129"/>
      <c r="EF9" s="129"/>
      <c r="EG9" s="129"/>
      <c r="EH9" s="129"/>
      <c r="FA9" s="129" t="s">
        <v>5728</v>
      </c>
      <c r="FB9" s="129" t="s">
        <v>6050</v>
      </c>
      <c r="FC9" s="129"/>
      <c r="FD9" s="129"/>
      <c r="FE9" s="129"/>
      <c r="FF9" s="129"/>
      <c r="FG9" s="129"/>
      <c r="FH9" s="129"/>
      <c r="GA9" s="359" t="s">
        <v>6665</v>
      </c>
      <c r="GB9" s="1142" t="s">
        <v>6202</v>
      </c>
      <c r="GC9" s="1880" t="s">
        <v>6667</v>
      </c>
      <c r="GD9" s="1881"/>
      <c r="GE9" s="437">
        <v>4</v>
      </c>
      <c r="GF9" t="s">
        <v>6203</v>
      </c>
      <c r="GG9" s="922"/>
      <c r="HA9" s="129" t="s">
        <v>5728</v>
      </c>
      <c r="HB9" s="129" t="s">
        <v>6233</v>
      </c>
      <c r="HC9" s="129"/>
      <c r="HD9" s="129"/>
      <c r="HE9" s="129"/>
      <c r="HF9" s="129"/>
      <c r="HG9" s="129"/>
      <c r="HH9" s="129"/>
      <c r="IA9" s="129" t="s">
        <v>5728</v>
      </c>
      <c r="IB9" s="129" t="s">
        <v>6233</v>
      </c>
      <c r="IC9" s="129"/>
      <c r="ID9" s="129"/>
      <c r="IE9" s="129"/>
      <c r="IF9" s="129"/>
      <c r="IG9" s="129"/>
      <c r="IH9" s="129"/>
    </row>
    <row r="10" spans="1:243" ht="30" customHeight="1" thickBot="1">
      <c r="B10" s="290">
        <v>32</v>
      </c>
      <c r="C10" s="10" t="s">
        <v>6179</v>
      </c>
      <c r="D10" s="10" t="s">
        <v>6172</v>
      </c>
      <c r="E10" s="1133" t="s">
        <v>6169</v>
      </c>
      <c r="F10" s="1058" t="s">
        <v>233</v>
      </c>
      <c r="AA10" s="346" t="s">
        <v>1195</v>
      </c>
      <c r="AB10" s="1072" t="s">
        <v>5571</v>
      </c>
      <c r="AC10" s="1913" t="s">
        <v>5941</v>
      </c>
      <c r="AD10" s="1914"/>
      <c r="AE10" s="157">
        <v>2</v>
      </c>
      <c r="AF10" t="s">
        <v>5926</v>
      </c>
      <c r="BA10" s="129" t="s">
        <v>5729</v>
      </c>
      <c r="BB10" s="129" t="s">
        <v>6011</v>
      </c>
      <c r="BC10" s="129"/>
      <c r="BD10" s="129"/>
      <c r="BE10" s="129"/>
      <c r="BF10" s="129"/>
      <c r="BG10" s="129"/>
      <c r="BH10" s="129"/>
      <c r="CA10" s="129" t="s">
        <v>5729</v>
      </c>
      <c r="CB10" s="129" t="s">
        <v>6011</v>
      </c>
      <c r="CC10" s="129"/>
      <c r="CD10" s="129"/>
      <c r="CE10" s="129"/>
      <c r="CF10" s="129"/>
      <c r="CG10" s="129"/>
      <c r="CH10" s="129"/>
      <c r="DA10" s="221" t="s">
        <v>2531</v>
      </c>
      <c r="DB10" s="1067" t="s">
        <v>6021</v>
      </c>
      <c r="DC10" s="1920"/>
      <c r="DD10" s="1921"/>
      <c r="DE10" s="437">
        <v>6</v>
      </c>
      <c r="DF10" t="s">
        <v>6025</v>
      </c>
      <c r="EA10" s="129" t="s">
        <v>5729</v>
      </c>
      <c r="EB10" s="129" t="s">
        <v>6051</v>
      </c>
      <c r="EC10" s="129"/>
      <c r="ED10" s="129"/>
      <c r="EE10" s="129"/>
      <c r="EF10" s="129"/>
      <c r="EG10" s="129"/>
      <c r="EH10" s="129"/>
      <c r="FA10" s="129" t="s">
        <v>5729</v>
      </c>
      <c r="FB10" s="129" t="s">
        <v>6051</v>
      </c>
      <c r="FC10" s="129"/>
      <c r="FD10" s="129"/>
      <c r="FE10" s="129"/>
      <c r="FF10" s="129"/>
      <c r="FG10" s="129"/>
      <c r="FH10" s="129"/>
      <c r="GA10" s="359" t="s">
        <v>6229</v>
      </c>
      <c r="GB10" s="1143" t="s">
        <v>6221</v>
      </c>
      <c r="GC10" s="1884"/>
      <c r="GD10" s="1885"/>
      <c r="GE10" s="437">
        <v>5</v>
      </c>
      <c r="GF10" s="1232" t="s">
        <v>6666</v>
      </c>
      <c r="GG10" s="922"/>
      <c r="HA10" s="129" t="s">
        <v>5729</v>
      </c>
      <c r="HB10" s="129" t="s">
        <v>6234</v>
      </c>
      <c r="HC10" s="129"/>
      <c r="HD10" s="129"/>
      <c r="HE10" s="129"/>
      <c r="HF10" s="129"/>
      <c r="HG10" s="129"/>
      <c r="HH10" s="129"/>
      <c r="IA10" s="129" t="s">
        <v>5729</v>
      </c>
      <c r="IB10" s="129" t="s">
        <v>6234</v>
      </c>
      <c r="IC10" s="129"/>
      <c r="ID10" s="129"/>
      <c r="IE10" s="129"/>
      <c r="IF10" s="129"/>
      <c r="IG10" s="129"/>
      <c r="IH10" s="129"/>
    </row>
    <row r="11" spans="1:243" ht="15.6" customHeight="1">
      <c r="B11" s="290">
        <v>33</v>
      </c>
      <c r="C11" s="10" t="s">
        <v>6180</v>
      </c>
      <c r="D11" s="10" t="s">
        <v>6173</v>
      </c>
      <c r="E11" s="1063" t="s">
        <v>6170</v>
      </c>
      <c r="F11" s="1058" t="s">
        <v>233</v>
      </c>
      <c r="AA11" s="221" t="s">
        <v>5603</v>
      </c>
      <c r="AB11" s="1067"/>
      <c r="AC11" s="1913"/>
      <c r="AD11" s="1914"/>
      <c r="AE11" s="157">
        <v>3</v>
      </c>
      <c r="AF11" t="s">
        <v>5928</v>
      </c>
      <c r="BA11" s="129" t="s">
        <v>5730</v>
      </c>
      <c r="BB11" s="129" t="s">
        <v>6010</v>
      </c>
      <c r="BC11" s="129"/>
      <c r="BD11" s="129"/>
      <c r="BE11" s="129"/>
      <c r="BF11" s="129"/>
      <c r="BG11" s="129"/>
      <c r="BH11" s="129"/>
      <c r="CA11" s="129" t="s">
        <v>5730</v>
      </c>
      <c r="CB11" s="129" t="s">
        <v>6010</v>
      </c>
      <c r="CC11" s="129"/>
      <c r="CD11" s="129"/>
      <c r="CE11" s="129"/>
      <c r="CF11" s="129"/>
      <c r="CG11" s="129"/>
      <c r="CH11" s="129"/>
      <c r="DA11" s="221" t="s">
        <v>5967</v>
      </c>
      <c r="DB11" s="1067" t="s">
        <v>2526</v>
      </c>
      <c r="DC11" s="1920"/>
      <c r="DD11" s="1921"/>
      <c r="DE11" s="437">
        <v>7</v>
      </c>
      <c r="DF11" t="s">
        <v>6026</v>
      </c>
      <c r="EB11" s="129" t="s">
        <v>6052</v>
      </c>
      <c r="EC11" s="129"/>
      <c r="ED11" s="129"/>
      <c r="EE11" s="129"/>
      <c r="EF11" s="129"/>
      <c r="EG11" s="129"/>
      <c r="EH11" s="129"/>
      <c r="FB11" s="129" t="s">
        <v>6052</v>
      </c>
      <c r="FC11" s="129"/>
      <c r="FD11" s="129"/>
      <c r="FE11" s="129"/>
      <c r="FF11" s="129"/>
      <c r="FG11" s="129"/>
      <c r="FH11" s="129"/>
      <c r="GA11" s="1141" t="s">
        <v>6228</v>
      </c>
      <c r="GB11" s="1144" t="s">
        <v>6199</v>
      </c>
      <c r="GC11" s="1880"/>
      <c r="GD11" s="1881"/>
      <c r="GE11" s="437">
        <v>6</v>
      </c>
      <c r="GF11" s="1232" t="s">
        <v>6210</v>
      </c>
      <c r="GG11" s="922"/>
      <c r="HA11" s="129" t="s">
        <v>5730</v>
      </c>
      <c r="HB11" s="129" t="s">
        <v>6235</v>
      </c>
      <c r="HC11" s="129"/>
      <c r="HD11" s="129"/>
      <c r="HE11" s="129"/>
      <c r="HF11" s="129"/>
      <c r="HG11" s="129"/>
      <c r="HH11" s="129"/>
      <c r="IA11" s="129" t="s">
        <v>5730</v>
      </c>
      <c r="IB11" s="129" t="s">
        <v>6235</v>
      </c>
      <c r="IC11" s="129"/>
      <c r="ID11" s="129"/>
      <c r="IE11" s="129"/>
      <c r="IF11" s="129"/>
      <c r="IG11" s="129"/>
      <c r="IH11" s="129"/>
    </row>
    <row r="12" spans="1:243" ht="30" customHeight="1">
      <c r="B12" s="290">
        <v>34</v>
      </c>
      <c r="C12" s="10" t="s">
        <v>6181</v>
      </c>
      <c r="D12" s="10" t="s">
        <v>6174</v>
      </c>
      <c r="E12" s="1063" t="s">
        <v>6171</v>
      </c>
      <c r="F12" s="1058" t="s">
        <v>233</v>
      </c>
      <c r="AA12" s="221" t="s">
        <v>5927</v>
      </c>
      <c r="AB12" s="1067"/>
      <c r="AC12" s="1913"/>
      <c r="AD12" s="1914"/>
      <c r="AE12" s="157">
        <v>4</v>
      </c>
      <c r="AF12" t="s">
        <v>5929</v>
      </c>
      <c r="BA12" s="129" t="s">
        <v>5731</v>
      </c>
      <c r="BB12" s="129" t="s">
        <v>6012</v>
      </c>
      <c r="BC12" s="129"/>
      <c r="BD12" s="129"/>
      <c r="BE12" s="129"/>
      <c r="BF12" s="129"/>
      <c r="BG12" s="129"/>
      <c r="BH12" s="129"/>
      <c r="CA12" s="129" t="s">
        <v>5731</v>
      </c>
      <c r="CB12" s="129" t="s">
        <v>6012</v>
      </c>
      <c r="CC12" s="129"/>
      <c r="CD12" s="129"/>
      <c r="CE12" s="129"/>
      <c r="CF12" s="129"/>
      <c r="CG12" s="129"/>
      <c r="CH12" s="129"/>
      <c r="DA12" s="221" t="s">
        <v>2528</v>
      </c>
      <c r="DB12" s="1067" t="s">
        <v>2529</v>
      </c>
      <c r="DC12" s="1920"/>
      <c r="DD12" s="1921"/>
      <c r="DE12" s="437">
        <v>8</v>
      </c>
      <c r="DF12" t="s">
        <v>6035</v>
      </c>
      <c r="EA12" s="129" t="s">
        <v>5730</v>
      </c>
      <c r="EB12" s="129" t="s">
        <v>6055</v>
      </c>
      <c r="EC12" s="129"/>
      <c r="ED12" s="129"/>
      <c r="EE12" s="129"/>
      <c r="EF12" s="129"/>
      <c r="EG12" s="129"/>
      <c r="EH12" s="129"/>
      <c r="FA12" s="129" t="s">
        <v>5730</v>
      </c>
      <c r="FB12" s="129" t="s">
        <v>6055</v>
      </c>
      <c r="FC12" s="129"/>
      <c r="FD12" s="129"/>
      <c r="FE12" s="129"/>
      <c r="FF12" s="129"/>
      <c r="FG12" s="129"/>
      <c r="FH12" s="129"/>
      <c r="GA12" s="359" t="s">
        <v>6222</v>
      </c>
      <c r="GB12" s="1143" t="s">
        <v>6227</v>
      </c>
      <c r="GC12" s="1882"/>
      <c r="GD12" s="1883"/>
      <c r="GE12" s="437"/>
      <c r="GF12" s="922" t="s">
        <v>6223</v>
      </c>
      <c r="GG12" s="922"/>
      <c r="HA12" s="129" t="s">
        <v>5731</v>
      </c>
      <c r="HB12" s="129" t="s">
        <v>6236</v>
      </c>
      <c r="HC12" s="129"/>
      <c r="HD12" s="129"/>
      <c r="HE12" s="129"/>
      <c r="HF12" s="129"/>
      <c r="HG12" s="129"/>
      <c r="HH12" s="129"/>
      <c r="IA12" s="129" t="s">
        <v>5731</v>
      </c>
      <c r="IB12" s="129" t="s">
        <v>6236</v>
      </c>
      <c r="IC12" s="129"/>
      <c r="ID12" s="129"/>
      <c r="IE12" s="129"/>
      <c r="IF12" s="129"/>
      <c r="IG12" s="129"/>
      <c r="IH12" s="129"/>
    </row>
    <row r="13" spans="1:243" ht="58.2" thickBot="1">
      <c r="B13" s="290"/>
      <c r="C13" s="10"/>
      <c r="D13" s="10"/>
      <c r="E13" s="1063"/>
      <c r="F13" s="1132"/>
      <c r="G13" s="598"/>
      <c r="H13" s="598"/>
      <c r="I13" s="598"/>
      <c r="J13" s="598"/>
      <c r="K13" s="598"/>
      <c r="L13" s="598"/>
      <c r="M13" s="598"/>
      <c r="N13" s="598"/>
      <c r="O13" s="598"/>
      <c r="P13" s="598"/>
      <c r="Q13" s="598"/>
      <c r="R13" s="598"/>
      <c r="S13" s="598"/>
      <c r="T13" s="598"/>
      <c r="U13" s="598"/>
      <c r="V13" s="598"/>
      <c r="W13" s="598"/>
      <c r="AA13" s="221" t="s">
        <v>2515</v>
      </c>
      <c r="AB13" s="1067" t="s">
        <v>2516</v>
      </c>
      <c r="AC13" s="1915"/>
      <c r="AD13" s="1916"/>
      <c r="AE13" s="157">
        <v>5</v>
      </c>
      <c r="AF13" t="s">
        <v>5930</v>
      </c>
      <c r="BA13" s="129"/>
      <c r="BB13" s="129" t="s">
        <v>5762</v>
      </c>
      <c r="BC13" s="129"/>
      <c r="BD13" s="129"/>
      <c r="BE13" s="129"/>
      <c r="BF13" s="129"/>
      <c r="BG13" s="129"/>
      <c r="BH13" s="129"/>
      <c r="CA13" s="129"/>
      <c r="CB13" s="129" t="s">
        <v>5762</v>
      </c>
      <c r="CC13" s="129"/>
      <c r="CD13" s="129"/>
      <c r="CE13" s="129"/>
      <c r="CF13" s="129"/>
      <c r="CG13" s="129"/>
      <c r="CH13" s="129"/>
      <c r="DA13" s="221" t="s">
        <v>6027</v>
      </c>
      <c r="DB13" s="1113"/>
      <c r="DC13" s="1920"/>
      <c r="DD13" s="1921"/>
      <c r="DE13" s="437">
        <v>9</v>
      </c>
      <c r="DF13" t="s">
        <v>6029</v>
      </c>
      <c r="EA13" s="129" t="s">
        <v>5731</v>
      </c>
      <c r="EB13" s="129" t="s">
        <v>6044</v>
      </c>
      <c r="EC13" s="129"/>
      <c r="ED13" s="129"/>
      <c r="EE13" s="129"/>
      <c r="EF13" s="129"/>
      <c r="EG13" s="129"/>
      <c r="EH13" s="129"/>
      <c r="FA13" s="129" t="s">
        <v>5731</v>
      </c>
      <c r="FB13" s="129" t="s">
        <v>6044</v>
      </c>
      <c r="FC13" s="129"/>
      <c r="FD13" s="129"/>
      <c r="FE13" s="129"/>
      <c r="FF13" s="129"/>
      <c r="FG13" s="129"/>
      <c r="FH13" s="129"/>
      <c r="GA13" s="359" t="s">
        <v>6201</v>
      </c>
      <c r="GB13" s="1143" t="s">
        <v>6231</v>
      </c>
      <c r="GC13" s="1884"/>
      <c r="GD13" s="1885"/>
      <c r="GE13" s="437">
        <v>7</v>
      </c>
      <c r="GF13" s="1232" t="s">
        <v>6230</v>
      </c>
      <c r="HA13" s="129" t="s">
        <v>5732</v>
      </c>
      <c r="HB13" s="129" t="s">
        <v>6046</v>
      </c>
      <c r="HC13" s="129"/>
      <c r="HD13" s="129"/>
      <c r="HE13" s="129"/>
      <c r="HF13" s="129"/>
      <c r="HG13" s="129"/>
      <c r="HH13" s="129"/>
      <c r="IA13" s="129" t="s">
        <v>5732</v>
      </c>
      <c r="IB13" s="129" t="s">
        <v>6046</v>
      </c>
      <c r="IC13" s="129"/>
      <c r="ID13" s="129"/>
      <c r="IE13" s="129"/>
      <c r="IF13" s="129"/>
      <c r="IG13" s="129"/>
      <c r="IH13" s="129"/>
    </row>
    <row r="14" spans="1:243" ht="15.6">
      <c r="B14" s="290"/>
      <c r="C14" s="10"/>
      <c r="D14" s="10"/>
      <c r="E14" s="1063"/>
      <c r="F14" s="1132"/>
      <c r="AA14" s="221" t="s">
        <v>1409</v>
      </c>
      <c r="AB14" s="1067"/>
      <c r="AC14" s="346" t="s">
        <v>1424</v>
      </c>
      <c r="AD14" s="1074"/>
      <c r="AE14" s="157">
        <v>6</v>
      </c>
      <c r="AF14" t="s">
        <v>5931</v>
      </c>
      <c r="BA14" s="129"/>
      <c r="BB14" s="522" t="s">
        <v>5763</v>
      </c>
      <c r="BC14" s="129"/>
      <c r="BD14" s="129"/>
      <c r="BE14" s="129"/>
      <c r="BF14" s="129"/>
      <c r="BG14" s="129"/>
      <c r="BH14" s="129"/>
      <c r="CA14" s="129"/>
      <c r="CB14" s="522" t="s">
        <v>5763</v>
      </c>
      <c r="CC14" s="129"/>
      <c r="CD14" s="129"/>
      <c r="CE14" s="129"/>
      <c r="CF14" s="129"/>
      <c r="CG14" s="129"/>
      <c r="CH14" s="129"/>
      <c r="DA14" s="221" t="s">
        <v>6028</v>
      </c>
      <c r="DB14" s="1113"/>
      <c r="DC14" s="1920"/>
      <c r="DD14" s="1921"/>
      <c r="DE14" s="437">
        <v>10</v>
      </c>
      <c r="DF14" t="s">
        <v>6029</v>
      </c>
      <c r="EA14" s="129" t="s">
        <v>5732</v>
      </c>
      <c r="EB14" s="129" t="s">
        <v>6045</v>
      </c>
      <c r="EC14" s="129"/>
      <c r="ED14" s="129"/>
      <c r="EE14" s="129"/>
      <c r="EF14" s="129"/>
      <c r="EG14" s="129"/>
      <c r="EH14" s="129"/>
      <c r="FA14" s="129" t="s">
        <v>5732</v>
      </c>
      <c r="FB14" s="129" t="s">
        <v>6045</v>
      </c>
      <c r="FC14" s="129"/>
      <c r="FD14" s="129"/>
      <c r="FE14" s="129"/>
      <c r="FF14" s="129"/>
      <c r="FG14" s="129"/>
      <c r="FH14" s="129"/>
      <c r="GA14" s="1926" t="s">
        <v>6209</v>
      </c>
      <c r="GB14" s="1927"/>
      <c r="GC14" s="1137"/>
      <c r="GD14" s="1137"/>
      <c r="GE14" s="437"/>
      <c r="GF14" s="112"/>
      <c r="HB14" s="129" t="s">
        <v>5762</v>
      </c>
      <c r="HC14" s="129"/>
      <c r="HD14" s="129"/>
      <c r="HE14" s="129"/>
      <c r="HF14" s="129"/>
      <c r="HG14" s="129"/>
      <c r="HH14" s="129"/>
      <c r="IB14" s="129" t="s">
        <v>5762</v>
      </c>
      <c r="IC14" s="129"/>
      <c r="ID14" s="129"/>
      <c r="IE14" s="129"/>
      <c r="IF14" s="129"/>
      <c r="IG14" s="129"/>
      <c r="IH14" s="129"/>
    </row>
    <row r="15" spans="1:243" ht="24">
      <c r="B15" s="290"/>
      <c r="C15" s="10"/>
      <c r="D15" s="10"/>
      <c r="E15" s="1063"/>
      <c r="F15" s="1132"/>
      <c r="AA15" s="221" t="s">
        <v>1251</v>
      </c>
      <c r="AB15" s="1067"/>
      <c r="AC15" s="221" t="s">
        <v>2512</v>
      </c>
      <c r="AD15" s="165"/>
      <c r="AE15" s="157">
        <v>7</v>
      </c>
      <c r="AF15" t="s">
        <v>5932</v>
      </c>
      <c r="BA15" s="129" t="s">
        <v>6013</v>
      </c>
      <c r="BB15" s="129"/>
      <c r="BH15" s="129"/>
      <c r="CA15" s="129" t="s">
        <v>6013</v>
      </c>
      <c r="CB15" s="129"/>
      <c r="CH15" s="129"/>
      <c r="DA15" s="221" t="s">
        <v>2527</v>
      </c>
      <c r="DB15" s="1067" t="s">
        <v>5970</v>
      </c>
      <c r="DC15" s="1920"/>
      <c r="DD15" s="1921"/>
      <c r="DE15" s="437">
        <v>11</v>
      </c>
      <c r="DF15" t="s">
        <v>6036</v>
      </c>
      <c r="EA15" s="129" t="s">
        <v>5733</v>
      </c>
      <c r="EB15" s="129" t="s">
        <v>6046</v>
      </c>
      <c r="EC15" s="129"/>
      <c r="ED15" s="129"/>
      <c r="EE15" s="129"/>
      <c r="EF15" s="129"/>
      <c r="EG15" s="129"/>
      <c r="EH15" s="129"/>
      <c r="FA15" s="129" t="s">
        <v>5733</v>
      </c>
      <c r="FB15" s="129" t="s">
        <v>6046</v>
      </c>
      <c r="FC15" s="129"/>
      <c r="FD15" s="129"/>
      <c r="FE15" s="129"/>
      <c r="FF15" s="129"/>
      <c r="FG15" s="129"/>
      <c r="FH15" s="129"/>
      <c r="GA15" s="359" t="s">
        <v>6204</v>
      </c>
      <c r="GB15" s="1143" t="s">
        <v>6216</v>
      </c>
      <c r="GC15" s="1136"/>
      <c r="GD15" s="1136"/>
      <c r="GE15" s="437">
        <v>8</v>
      </c>
      <c r="GF15" t="s">
        <v>6211</v>
      </c>
      <c r="HB15" s="522" t="s">
        <v>5763</v>
      </c>
      <c r="HC15" s="129"/>
      <c r="HD15" s="129"/>
      <c r="HE15" s="129"/>
      <c r="HF15" s="129"/>
      <c r="HG15" s="129"/>
      <c r="HH15" s="129"/>
      <c r="IB15" s="522" t="s">
        <v>5763</v>
      </c>
      <c r="IC15" s="129"/>
      <c r="ID15" s="129"/>
      <c r="IE15" s="129"/>
      <c r="IF15" s="129"/>
      <c r="IG15" s="129"/>
      <c r="IH15" s="129"/>
    </row>
    <row r="16" spans="1:243" ht="15.6">
      <c r="B16" s="290"/>
      <c r="C16" s="10"/>
      <c r="D16" s="10"/>
      <c r="E16" s="1063"/>
      <c r="F16" s="1132"/>
      <c r="AA16" s="1924" t="s">
        <v>5579</v>
      </c>
      <c r="AB16" s="1924"/>
      <c r="AC16" s="1925"/>
      <c r="AD16" s="1925"/>
      <c r="AF16" t="s">
        <v>5933</v>
      </c>
      <c r="BA16" s="129" t="s">
        <v>5724</v>
      </c>
      <c r="BB16" s="129"/>
      <c r="CA16" s="129" t="s">
        <v>6015</v>
      </c>
      <c r="CB16" s="129"/>
      <c r="DA16" s="1112" t="s">
        <v>6037</v>
      </c>
      <c r="DB16" s="163"/>
      <c r="DC16" s="1920"/>
      <c r="DD16" s="1921"/>
      <c r="DE16" s="437">
        <v>12</v>
      </c>
      <c r="DF16" t="s">
        <v>6030</v>
      </c>
      <c r="EA16" s="129"/>
      <c r="EB16" s="129" t="s">
        <v>5762</v>
      </c>
      <c r="FA16" s="129"/>
      <c r="FB16" s="129" t="s">
        <v>5762</v>
      </c>
      <c r="FC16" s="129"/>
      <c r="FD16" s="129"/>
      <c r="FE16" s="129"/>
      <c r="FF16" s="129"/>
      <c r="FG16" s="129"/>
      <c r="FH16" s="129"/>
      <c r="GA16" s="359" t="s">
        <v>1423</v>
      </c>
      <c r="GB16" s="1145" t="s">
        <v>6217</v>
      </c>
      <c r="GC16" s="1136"/>
      <c r="GD16" s="1136"/>
      <c r="GE16" s="437">
        <v>9</v>
      </c>
      <c r="GF16" t="s">
        <v>6212</v>
      </c>
      <c r="HA16" s="129"/>
      <c r="IA16" s="129"/>
      <c r="IB16" s="129"/>
      <c r="IC16" s="129"/>
      <c r="ID16" s="129"/>
      <c r="IE16" s="129"/>
      <c r="IF16" s="129"/>
      <c r="IG16" s="129"/>
      <c r="IH16" s="129"/>
    </row>
    <row r="17" spans="2:242" ht="30" customHeight="1" thickBot="1">
      <c r="B17" s="290"/>
      <c r="C17" s="10"/>
      <c r="D17" s="10"/>
      <c r="E17" s="1063"/>
      <c r="F17" s="1132"/>
      <c r="AA17" s="221" t="s">
        <v>5583</v>
      </c>
      <c r="AB17" s="1072" t="s">
        <v>5586</v>
      </c>
      <c r="AE17" s="157">
        <v>8</v>
      </c>
      <c r="AF17" t="s">
        <v>5934</v>
      </c>
      <c r="BA17" s="129" t="s">
        <v>5737</v>
      </c>
      <c r="BB17" s="129"/>
      <c r="CA17" s="129" t="s">
        <v>6016</v>
      </c>
      <c r="CB17" s="129"/>
      <c r="DA17" s="1109" t="s">
        <v>428</v>
      </c>
      <c r="DB17" s="1067"/>
      <c r="DC17" s="1922"/>
      <c r="DD17" s="1923"/>
      <c r="DE17" s="437">
        <v>13</v>
      </c>
      <c r="DF17" t="s">
        <v>6038</v>
      </c>
      <c r="EA17" s="129"/>
      <c r="EB17" s="522" t="s">
        <v>5763</v>
      </c>
      <c r="FA17" s="129"/>
      <c r="FB17" s="522" t="s">
        <v>5763</v>
      </c>
      <c r="FC17" s="129"/>
      <c r="FD17" s="129"/>
      <c r="FE17" s="129"/>
      <c r="FF17" s="129"/>
      <c r="FG17" s="129"/>
      <c r="FH17" s="129"/>
      <c r="GA17" s="359" t="s">
        <v>6207</v>
      </c>
      <c r="GB17" s="1145" t="s">
        <v>6206</v>
      </c>
      <c r="GC17" s="1136"/>
      <c r="GD17" s="1136"/>
      <c r="GE17" s="437">
        <v>10</v>
      </c>
      <c r="GF17" t="s">
        <v>6213</v>
      </c>
      <c r="HA17" s="129" t="s">
        <v>6013</v>
      </c>
      <c r="IA17" s="129" t="s">
        <v>6013</v>
      </c>
      <c r="IB17" s="522"/>
      <c r="IC17" s="129"/>
      <c r="ID17" s="129"/>
      <c r="IE17" s="129"/>
      <c r="IF17" s="129"/>
      <c r="IG17" s="129"/>
      <c r="IH17" s="129"/>
    </row>
    <row r="18" spans="2:242" ht="15.6">
      <c r="B18" s="290"/>
      <c r="C18" s="10"/>
      <c r="D18" s="10"/>
      <c r="E18" s="1063"/>
      <c r="F18" s="1132"/>
      <c r="AA18" s="221" t="s">
        <v>2513</v>
      </c>
      <c r="AB18" s="1067" t="s">
        <v>5587</v>
      </c>
      <c r="AE18" s="157">
        <v>9</v>
      </c>
      <c r="AF18" t="s">
        <v>5936</v>
      </c>
      <c r="BA18" s="1089" t="s">
        <v>6014</v>
      </c>
      <c r="BB18" s="129"/>
      <c r="CA18" s="129" t="s">
        <v>6238</v>
      </c>
      <c r="CB18" s="129"/>
      <c r="EB18" s="129"/>
      <c r="FB18" s="129"/>
      <c r="FC18" s="129"/>
      <c r="FD18" s="129"/>
      <c r="FE18" s="129"/>
      <c r="FF18" s="129"/>
      <c r="FG18" s="129"/>
      <c r="FH18" s="129"/>
      <c r="GA18" s="359" t="s">
        <v>6205</v>
      </c>
      <c r="GB18" s="1145" t="s">
        <v>6208</v>
      </c>
      <c r="GC18" s="1136"/>
      <c r="GD18" s="1136"/>
      <c r="GE18" s="437">
        <v>11</v>
      </c>
      <c r="GF18" t="s">
        <v>6218</v>
      </c>
      <c r="HA18" s="129" t="s">
        <v>5724</v>
      </c>
      <c r="HB18" s="129"/>
      <c r="IA18" s="129" t="s">
        <v>6015</v>
      </c>
      <c r="IB18" s="129"/>
      <c r="IC18" s="129"/>
      <c r="ID18" s="129"/>
      <c r="IE18" s="129"/>
      <c r="IF18" s="129"/>
      <c r="IG18" s="129"/>
      <c r="IH18" s="129"/>
    </row>
    <row r="19" spans="2:242" ht="15.6">
      <c r="B19" s="290"/>
      <c r="C19" s="10"/>
      <c r="D19" s="10"/>
      <c r="E19" s="1063"/>
      <c r="F19" s="1132"/>
      <c r="AA19" s="221" t="s">
        <v>5584</v>
      </c>
      <c r="AB19" s="1067" t="s">
        <v>5696</v>
      </c>
      <c r="AC19" s="221" t="s">
        <v>5962</v>
      </c>
      <c r="AD19" s="1067" t="s">
        <v>5961</v>
      </c>
      <c r="AE19" s="437" t="s">
        <v>4841</v>
      </c>
      <c r="AF19" t="s">
        <v>5935</v>
      </c>
      <c r="CA19" s="129" t="s">
        <v>6239</v>
      </c>
      <c r="CB19" s="129"/>
      <c r="CC19" s="129"/>
      <c r="CD19" s="129"/>
      <c r="CE19" s="129"/>
      <c r="CF19" s="129"/>
      <c r="CG19" s="129"/>
      <c r="CH19" s="129"/>
      <c r="DA19" s="735" t="s">
        <v>430</v>
      </c>
      <c r="DB19" s="129" t="s">
        <v>6022</v>
      </c>
      <c r="EA19" s="129" t="s">
        <v>6013</v>
      </c>
      <c r="EB19" s="129"/>
      <c r="FA19" s="129" t="s">
        <v>6013</v>
      </c>
      <c r="FB19" s="129"/>
      <c r="FC19" s="129"/>
      <c r="FD19" s="129"/>
      <c r="FE19" s="129"/>
      <c r="FF19" s="129"/>
      <c r="FG19" s="129"/>
      <c r="FH19" s="129"/>
      <c r="GA19" s="359" t="s">
        <v>428</v>
      </c>
      <c r="GB19" s="1146" t="s">
        <v>4709</v>
      </c>
      <c r="GC19" s="1136"/>
      <c r="GD19" s="1136"/>
      <c r="GE19" s="437">
        <v>12</v>
      </c>
      <c r="GF19" t="s">
        <v>6219</v>
      </c>
      <c r="HA19" s="129" t="s">
        <v>5737</v>
      </c>
      <c r="HB19" s="129"/>
      <c r="IA19" s="129" t="s">
        <v>6016</v>
      </c>
      <c r="IB19" s="129"/>
      <c r="IC19" s="129"/>
      <c r="ID19" s="129"/>
      <c r="IE19" s="129"/>
      <c r="IF19" s="129"/>
      <c r="IG19" s="129"/>
      <c r="IH19" s="129"/>
    </row>
    <row r="20" spans="2:242" ht="15.6">
      <c r="B20" s="290"/>
      <c r="C20" s="10"/>
      <c r="D20" s="10"/>
      <c r="E20" s="1063"/>
      <c r="F20" s="1132"/>
      <c r="AA20" s="221" t="s">
        <v>5585</v>
      </c>
      <c r="AB20" s="1067" t="s">
        <v>5697</v>
      </c>
      <c r="AC20" s="221" t="s">
        <v>5963</v>
      </c>
      <c r="AD20" s="1067" t="s">
        <v>5961</v>
      </c>
      <c r="AE20" s="437" t="s">
        <v>4842</v>
      </c>
      <c r="AF20" t="s">
        <v>5938</v>
      </c>
      <c r="CA20" s="129" t="s">
        <v>6240</v>
      </c>
      <c r="CB20" s="129"/>
      <c r="CC20" s="129"/>
      <c r="CD20" s="129"/>
      <c r="CE20" s="129"/>
      <c r="CF20" s="129"/>
      <c r="CG20" s="129"/>
      <c r="CH20" s="129"/>
      <c r="DA20" s="129"/>
      <c r="DB20" s="129" t="s">
        <v>6023</v>
      </c>
      <c r="EA20" s="129" t="s">
        <v>5724</v>
      </c>
      <c r="EB20" s="129"/>
      <c r="FA20" s="129" t="s">
        <v>6015</v>
      </c>
      <c r="FB20" s="129"/>
      <c r="FC20" s="129"/>
      <c r="FD20" s="129"/>
      <c r="FE20" s="129"/>
      <c r="FF20" s="129"/>
      <c r="FG20" s="129"/>
      <c r="FH20" s="129"/>
      <c r="HA20" s="1089" t="s">
        <v>6014</v>
      </c>
      <c r="HB20" s="129"/>
      <c r="IA20" s="129" t="s">
        <v>6238</v>
      </c>
      <c r="IB20" s="129"/>
      <c r="IC20" s="129"/>
      <c r="ID20" s="129"/>
      <c r="IE20" s="129"/>
      <c r="IF20" s="129"/>
      <c r="IG20" s="129"/>
      <c r="IH20" s="129"/>
    </row>
    <row r="21" spans="2:242" ht="15.6">
      <c r="B21" s="290"/>
      <c r="C21" s="10"/>
      <c r="D21" s="10"/>
      <c r="E21" s="1063"/>
      <c r="F21" s="1132"/>
      <c r="AA21" s="221" t="s">
        <v>5588</v>
      </c>
      <c r="AB21" s="1067" t="s">
        <v>5589</v>
      </c>
      <c r="AE21" s="157">
        <v>12</v>
      </c>
      <c r="AF21" t="s">
        <v>5939</v>
      </c>
      <c r="CA21" s="1089" t="s">
        <v>6014</v>
      </c>
      <c r="CB21" s="129"/>
      <c r="CC21" s="129"/>
      <c r="CD21" s="129"/>
      <c r="CE21" s="129"/>
      <c r="CF21" s="129"/>
      <c r="CG21" s="129"/>
      <c r="CH21" s="129"/>
      <c r="EA21" s="129" t="s">
        <v>5737</v>
      </c>
      <c r="EB21" s="129"/>
      <c r="FA21" s="129" t="s">
        <v>6016</v>
      </c>
      <c r="FB21" s="129"/>
      <c r="FC21" s="129"/>
      <c r="FD21" s="129"/>
      <c r="FE21" s="129"/>
      <c r="FF21" s="129"/>
      <c r="FG21" s="129"/>
      <c r="FH21" s="129"/>
      <c r="GA21" s="735" t="s">
        <v>430</v>
      </c>
      <c r="GB21" s="129" t="s">
        <v>6220</v>
      </c>
      <c r="HB21" s="129"/>
      <c r="IA21" s="129" t="s">
        <v>6239</v>
      </c>
      <c r="IB21" s="129"/>
      <c r="IC21" s="129"/>
      <c r="ID21" s="129"/>
      <c r="IE21" s="129"/>
      <c r="IF21" s="129"/>
      <c r="IG21" s="129"/>
      <c r="IH21" s="129"/>
    </row>
    <row r="22" spans="2:242" ht="15.6">
      <c r="B22" s="290"/>
      <c r="C22" s="10"/>
      <c r="D22" s="10"/>
      <c r="E22" s="1063"/>
      <c r="F22" s="1132"/>
      <c r="AA22" s="221" t="s">
        <v>4656</v>
      </c>
      <c r="AB22" s="1067" t="s">
        <v>5590</v>
      </c>
      <c r="AE22" s="157">
        <v>13</v>
      </c>
      <c r="AF22" t="s">
        <v>5937</v>
      </c>
      <c r="CA22" s="1089"/>
      <c r="CB22" s="129"/>
      <c r="CC22" s="129"/>
      <c r="CD22" s="129"/>
      <c r="CE22" s="129"/>
      <c r="CF22" s="129"/>
      <c r="CG22" s="129"/>
      <c r="CH22" s="129"/>
      <c r="DA22" s="735" t="s">
        <v>4865</v>
      </c>
      <c r="DB22" s="129" t="s">
        <v>5960</v>
      </c>
      <c r="EA22" s="1089" t="s">
        <v>6014</v>
      </c>
      <c r="FA22" s="129" t="s">
        <v>6238</v>
      </c>
      <c r="FB22" s="129"/>
      <c r="FC22" s="129"/>
      <c r="FD22" s="129"/>
      <c r="FE22" s="129"/>
      <c r="FF22" s="129"/>
      <c r="FG22" s="129"/>
      <c r="FH22" s="129"/>
      <c r="GA22" s="129"/>
      <c r="GB22" s="129" t="s">
        <v>6214</v>
      </c>
      <c r="IA22" s="129" t="s">
        <v>6240</v>
      </c>
      <c r="IB22" s="129"/>
      <c r="IC22" s="129"/>
      <c r="ID22" s="129"/>
      <c r="IE22" s="129"/>
      <c r="IF22" s="129"/>
      <c r="IG22" s="129"/>
      <c r="IH22" s="129"/>
    </row>
    <row r="23" spans="2:242" ht="15.6" customHeight="1">
      <c r="B23" s="290"/>
      <c r="C23" s="10"/>
      <c r="D23" s="10"/>
      <c r="E23" s="1063"/>
      <c r="F23" s="1132"/>
      <c r="AA23" s="221" t="s">
        <v>370</v>
      </c>
      <c r="AB23" s="1067" t="s">
        <v>5591</v>
      </c>
      <c r="AE23" s="157">
        <v>14</v>
      </c>
      <c r="DB23" s="129" t="s">
        <v>6032</v>
      </c>
      <c r="FA23" s="129" t="s">
        <v>6239</v>
      </c>
      <c r="IA23" s="1089" t="s">
        <v>6014</v>
      </c>
    </row>
    <row r="24" spans="2:242" ht="16.2" thickBot="1">
      <c r="B24" s="290"/>
      <c r="C24" s="136"/>
      <c r="D24" s="10"/>
      <c r="E24" s="1064"/>
      <c r="F24" s="1132"/>
      <c r="AA24" s="1896" t="s">
        <v>2517</v>
      </c>
      <c r="AB24" s="1896"/>
      <c r="AC24" s="1896"/>
      <c r="AD24" s="1896"/>
      <c r="AF24" t="s">
        <v>5995</v>
      </c>
      <c r="DB24" s="129" t="s">
        <v>6033</v>
      </c>
      <c r="FA24" s="129" t="s">
        <v>6240</v>
      </c>
      <c r="GA24" s="735" t="s">
        <v>4865</v>
      </c>
      <c r="GB24" s="129" t="s">
        <v>6032</v>
      </c>
    </row>
    <row r="25" spans="2:242" ht="15.6">
      <c r="D25" s="7"/>
      <c r="AA25" s="221" t="s">
        <v>5593</v>
      </c>
      <c r="AB25" s="1073" t="s">
        <v>5942</v>
      </c>
      <c r="AC25" s="1897" t="s">
        <v>5940</v>
      </c>
      <c r="AD25" s="1898"/>
      <c r="AE25" s="157">
        <v>15</v>
      </c>
      <c r="AF25" t="s">
        <v>5943</v>
      </c>
      <c r="DB25" s="129" t="s">
        <v>6034</v>
      </c>
      <c r="FA25" s="1089" t="s">
        <v>6014</v>
      </c>
      <c r="GB25" s="129" t="s">
        <v>6215</v>
      </c>
    </row>
    <row r="26" spans="2:242" ht="15.6">
      <c r="D26" s="7"/>
      <c r="AA26" s="221" t="s">
        <v>5594</v>
      </c>
      <c r="AB26" s="1073" t="s">
        <v>5592</v>
      </c>
      <c r="AC26" s="1899"/>
      <c r="AD26" s="1900"/>
      <c r="AE26" s="157">
        <v>16</v>
      </c>
      <c r="AF26" t="s">
        <v>5946</v>
      </c>
      <c r="DB26" s="129" t="s">
        <v>6031</v>
      </c>
    </row>
    <row r="27" spans="2:242" ht="15.6">
      <c r="D27" s="7"/>
      <c r="AA27" s="221" t="s">
        <v>5944</v>
      </c>
      <c r="AB27" s="1073" t="s">
        <v>5945</v>
      </c>
      <c r="AC27" s="1899"/>
      <c r="AD27" s="1900"/>
      <c r="AE27" s="157">
        <v>17</v>
      </c>
      <c r="AF27" t="s">
        <v>5996</v>
      </c>
      <c r="GB27" s="129"/>
    </row>
    <row r="28" spans="2:242" ht="15.6" customHeight="1" thickBot="1">
      <c r="B28" s="822"/>
      <c r="C28" t="s">
        <v>5518</v>
      </c>
      <c r="AA28" s="221" t="s">
        <v>5595</v>
      </c>
      <c r="AB28" s="1073" t="s">
        <v>2519</v>
      </c>
      <c r="AC28" s="1901"/>
      <c r="AD28" s="1902"/>
      <c r="AE28" s="157">
        <v>18</v>
      </c>
      <c r="AF28" t="s">
        <v>5947</v>
      </c>
      <c r="GB28" s="129"/>
    </row>
    <row r="29" spans="2:242" ht="16.2" thickBot="1">
      <c r="B29" s="7" t="s">
        <v>5685</v>
      </c>
      <c r="AA29" s="221" t="s">
        <v>5596</v>
      </c>
      <c r="AB29" s="1073" t="s">
        <v>2518</v>
      </c>
      <c r="AC29" s="1903" t="s">
        <v>428</v>
      </c>
      <c r="AD29" s="1903"/>
      <c r="AE29" s="157">
        <v>19</v>
      </c>
      <c r="AF29" t="s">
        <v>5948</v>
      </c>
    </row>
    <row r="30" spans="2:242" ht="15.6">
      <c r="B30" s="7" t="s">
        <v>5520</v>
      </c>
      <c r="AA30" s="221" t="s">
        <v>2520</v>
      </c>
      <c r="AB30" s="1073" t="s">
        <v>2521</v>
      </c>
      <c r="AC30" s="1904" t="s">
        <v>5989</v>
      </c>
      <c r="AD30" s="1905"/>
      <c r="AE30" s="157">
        <v>20</v>
      </c>
      <c r="AF30" t="s">
        <v>5949</v>
      </c>
    </row>
    <row r="31" spans="2:242" ht="15.6">
      <c r="B31" s="7" t="s">
        <v>5521</v>
      </c>
      <c r="C31" s="7"/>
      <c r="AA31" s="221" t="s">
        <v>2522</v>
      </c>
      <c r="AB31" s="1105" t="s">
        <v>2523</v>
      </c>
      <c r="AC31" s="1906"/>
      <c r="AD31" s="1907"/>
      <c r="AE31" s="157">
        <v>21</v>
      </c>
      <c r="AF31" t="s">
        <v>5990</v>
      </c>
    </row>
    <row r="32" spans="2:242" ht="15.6">
      <c r="B32" s="7" t="s">
        <v>5700</v>
      </c>
      <c r="C32" s="7"/>
      <c r="AA32" s="221" t="s">
        <v>2524</v>
      </c>
      <c r="AB32" s="1073" t="s">
        <v>1763</v>
      </c>
      <c r="AC32" s="1906"/>
      <c r="AD32" s="1907"/>
      <c r="AE32" s="157">
        <v>22</v>
      </c>
      <c r="AF32" t="s">
        <v>5991</v>
      </c>
    </row>
    <row r="33" spans="2:32" ht="16.2" thickBot="1">
      <c r="B33" s="7" t="s">
        <v>5686</v>
      </c>
      <c r="C33" s="7"/>
      <c r="AA33" s="221" t="s">
        <v>2525</v>
      </c>
      <c r="AB33" s="1073" t="s">
        <v>1763</v>
      </c>
      <c r="AC33" s="1908"/>
      <c r="AD33" s="1909"/>
      <c r="AE33" s="157">
        <v>23</v>
      </c>
      <c r="AF33" t="s">
        <v>5951</v>
      </c>
    </row>
    <row r="34" spans="2:32" ht="15.6">
      <c r="B34" s="7" t="s">
        <v>5529</v>
      </c>
      <c r="C34" s="7"/>
      <c r="AA34" s="1896" t="s">
        <v>2532</v>
      </c>
      <c r="AB34" s="1896"/>
      <c r="AC34" s="1896"/>
      <c r="AD34" s="1896"/>
      <c r="AF34" t="s">
        <v>5950</v>
      </c>
    </row>
    <row r="35" spans="2:32" ht="15.6">
      <c r="AA35" s="221" t="s">
        <v>814</v>
      </c>
      <c r="AB35" s="1073" t="s">
        <v>5599</v>
      </c>
      <c r="AC35" s="210"/>
      <c r="AD35" s="210"/>
      <c r="AE35" s="157">
        <v>24</v>
      </c>
      <c r="AF35" t="s">
        <v>5956</v>
      </c>
    </row>
    <row r="36" spans="2:32" ht="15.6">
      <c r="B36" s="1077" t="s">
        <v>5683</v>
      </c>
      <c r="AA36" s="221" t="s">
        <v>2533</v>
      </c>
      <c r="AB36" s="1073" t="s">
        <v>5698</v>
      </c>
      <c r="AE36" s="157">
        <v>25</v>
      </c>
      <c r="AF36" t="s">
        <v>5957</v>
      </c>
    </row>
    <row r="37" spans="2:32" ht="15.6">
      <c r="B37" s="1077"/>
      <c r="AA37" s="221" t="s">
        <v>2534</v>
      </c>
      <c r="AB37" s="1073" t="s">
        <v>5699</v>
      </c>
      <c r="AE37" s="157">
        <v>26</v>
      </c>
      <c r="AF37" t="s">
        <v>5958</v>
      </c>
    </row>
    <row r="38" spans="2:32" ht="15.6">
      <c r="B38" s="1077" t="s">
        <v>5674</v>
      </c>
      <c r="AA38" s="221" t="s">
        <v>2535</v>
      </c>
      <c r="AB38" s="1073" t="s">
        <v>5598</v>
      </c>
      <c r="AE38" s="157">
        <v>27</v>
      </c>
      <c r="AF38" t="s">
        <v>4542</v>
      </c>
    </row>
    <row r="39" spans="2:32" ht="15.6">
      <c r="B39" s="7" t="s">
        <v>5678</v>
      </c>
      <c r="AA39" s="221" t="s">
        <v>2536</v>
      </c>
      <c r="AB39" s="1073" t="s">
        <v>5597</v>
      </c>
      <c r="AE39" s="157">
        <v>28</v>
      </c>
      <c r="AF39" t="s">
        <v>5959</v>
      </c>
    </row>
    <row r="40" spans="2:32" ht="15.6">
      <c r="B40" s="7" t="s">
        <v>5676</v>
      </c>
      <c r="AA40" s="221" t="s">
        <v>2537</v>
      </c>
      <c r="AB40" s="1073" t="s">
        <v>5600</v>
      </c>
      <c r="AE40" s="157">
        <v>29</v>
      </c>
      <c r="AF40" t="s">
        <v>5580</v>
      </c>
    </row>
    <row r="41" spans="2:32" ht="15.6">
      <c r="AA41" s="221" t="s">
        <v>2538</v>
      </c>
      <c r="AB41" s="1073" t="s">
        <v>5602</v>
      </c>
      <c r="AE41" s="157">
        <v>30</v>
      </c>
      <c r="AF41" t="s">
        <v>5580</v>
      </c>
    </row>
    <row r="42" spans="2:32" ht="15.6">
      <c r="B42" s="1077" t="s">
        <v>5675</v>
      </c>
      <c r="AA42" s="221" t="s">
        <v>5582</v>
      </c>
      <c r="AB42" s="1073" t="s">
        <v>5601</v>
      </c>
      <c r="AE42" s="157">
        <v>31</v>
      </c>
      <c r="AF42" t="s">
        <v>5580</v>
      </c>
    </row>
    <row r="43" spans="2:32" ht="15.6">
      <c r="B43" s="7" t="s">
        <v>5679</v>
      </c>
      <c r="AA43" s="221" t="s">
        <v>5581</v>
      </c>
      <c r="AB43" s="1073" t="s">
        <v>5601</v>
      </c>
      <c r="AE43" s="157">
        <v>32</v>
      </c>
      <c r="AF43" s="1" t="s">
        <v>5992</v>
      </c>
    </row>
    <row r="44" spans="2:32" ht="16.2" thickBot="1">
      <c r="B44" s="7" t="s">
        <v>5677</v>
      </c>
      <c r="AA44" s="1896" t="s">
        <v>5973</v>
      </c>
      <c r="AB44" s="1896"/>
      <c r="AC44" s="1896"/>
      <c r="AD44" s="1896"/>
      <c r="AF44" t="s">
        <v>5964</v>
      </c>
    </row>
    <row r="45" spans="2:32" ht="15.6" customHeight="1">
      <c r="B45" s="7" t="s">
        <v>5680</v>
      </c>
      <c r="AA45" s="221" t="s">
        <v>5967</v>
      </c>
      <c r="AB45" s="114" t="s">
        <v>2526</v>
      </c>
      <c r="AC45" s="1886"/>
      <c r="AD45" s="1887"/>
      <c r="AE45" s="157">
        <v>34</v>
      </c>
      <c r="AF45" t="s">
        <v>5965</v>
      </c>
    </row>
    <row r="46" spans="2:32" ht="15.6">
      <c r="B46" s="7" t="s">
        <v>5687</v>
      </c>
      <c r="AA46" s="221" t="s">
        <v>2530</v>
      </c>
      <c r="AB46" s="114" t="s">
        <v>5968</v>
      </c>
      <c r="AC46" s="1888"/>
      <c r="AD46" s="1889"/>
      <c r="AE46" s="157">
        <v>35</v>
      </c>
      <c r="AF46" t="s">
        <v>5969</v>
      </c>
    </row>
    <row r="47" spans="2:32" ht="15.6">
      <c r="B47" s="7" t="s">
        <v>5688</v>
      </c>
      <c r="AA47" s="221" t="s">
        <v>2531</v>
      </c>
      <c r="AB47" s="114" t="s">
        <v>5993</v>
      </c>
      <c r="AC47" s="1888"/>
      <c r="AD47" s="1889"/>
      <c r="AE47" s="434">
        <v>36</v>
      </c>
      <c r="AF47" t="s">
        <v>5971</v>
      </c>
    </row>
    <row r="48" spans="2:32" ht="15.6">
      <c r="B48" s="7" t="s">
        <v>5689</v>
      </c>
      <c r="AA48" s="221" t="s">
        <v>2527</v>
      </c>
      <c r="AB48" s="114" t="s">
        <v>5970</v>
      </c>
      <c r="AC48" s="1888"/>
      <c r="AD48" s="1889"/>
      <c r="AE48" s="157">
        <v>37</v>
      </c>
      <c r="AF48" t="s">
        <v>5972</v>
      </c>
    </row>
    <row r="49" spans="2:32" ht="15.6">
      <c r="B49" s="7" t="s">
        <v>5690</v>
      </c>
      <c r="AA49" s="221" t="s">
        <v>2528</v>
      </c>
      <c r="AB49" s="114" t="s">
        <v>2529</v>
      </c>
      <c r="AC49" s="1888"/>
      <c r="AD49" s="1889"/>
      <c r="AE49" s="157">
        <v>38</v>
      </c>
      <c r="AF49" t="s">
        <v>5966</v>
      </c>
    </row>
    <row r="50" spans="2:32" ht="15.6">
      <c r="B50" s="7" t="s">
        <v>5691</v>
      </c>
      <c r="AA50" s="1109" t="s">
        <v>428</v>
      </c>
      <c r="AB50" s="1110"/>
      <c r="AC50" s="1888"/>
      <c r="AD50" s="1889"/>
      <c r="AE50" s="434">
        <v>39</v>
      </c>
    </row>
    <row r="51" spans="2:32" ht="15.6">
      <c r="AA51" s="1890" t="s">
        <v>7794</v>
      </c>
      <c r="AB51" s="1891"/>
      <c r="AC51" s="1891"/>
      <c r="AD51" s="1892"/>
    </row>
    <row r="52" spans="2:32" ht="15.6">
      <c r="B52" s="1077" t="s">
        <v>5681</v>
      </c>
      <c r="AA52" s="246" t="s">
        <v>6177</v>
      </c>
      <c r="AB52" s="1073" t="s">
        <v>6656</v>
      </c>
      <c r="AE52" s="157">
        <v>41</v>
      </c>
      <c r="AF52" t="s">
        <v>6657</v>
      </c>
    </row>
    <row r="53" spans="2:32" ht="15.6">
      <c r="B53" s="7" t="s">
        <v>5679</v>
      </c>
      <c r="AA53" s="358" t="s">
        <v>4714</v>
      </c>
      <c r="AB53" s="1244" t="s">
        <v>5974</v>
      </c>
      <c r="AE53" s="157">
        <v>42</v>
      </c>
      <c r="AF53" t="s">
        <v>5988</v>
      </c>
    </row>
    <row r="54" spans="2:32" ht="15.6">
      <c r="B54" s="7" t="s">
        <v>5677</v>
      </c>
      <c r="AC54" s="855"/>
      <c r="AD54" s="855"/>
      <c r="AE54" s="133"/>
    </row>
    <row r="55" spans="2:32" ht="15.6">
      <c r="B55" s="7" t="s">
        <v>5693</v>
      </c>
      <c r="AA55" s="735" t="s">
        <v>430</v>
      </c>
      <c r="AB55" s="129" t="s">
        <v>6175</v>
      </c>
      <c r="AC55" s="335"/>
      <c r="AD55" s="335"/>
      <c r="AE55" s="133"/>
    </row>
    <row r="56" spans="2:32">
      <c r="B56" s="7" t="s">
        <v>5682</v>
      </c>
      <c r="AA56" s="129"/>
      <c r="AB56" s="129" t="s">
        <v>6614</v>
      </c>
    </row>
    <row r="57" spans="2:32">
      <c r="B57" s="7" t="s">
        <v>5677</v>
      </c>
      <c r="AB57" t="s">
        <v>6654</v>
      </c>
    </row>
    <row r="58" spans="2:32">
      <c r="B58" s="7" t="s">
        <v>5694</v>
      </c>
      <c r="AB58" t="s">
        <v>6655</v>
      </c>
    </row>
    <row r="59" spans="2:32">
      <c r="B59" s="7" t="s">
        <v>5680</v>
      </c>
      <c r="AB59" t="s">
        <v>6176</v>
      </c>
    </row>
    <row r="60" spans="2:32">
      <c r="B60" s="7" t="s">
        <v>5692</v>
      </c>
      <c r="AB60" t="s">
        <v>6178</v>
      </c>
    </row>
    <row r="61" spans="2:32">
      <c r="B61" s="7" t="s">
        <v>5695</v>
      </c>
      <c r="AA61" s="735" t="s">
        <v>4865</v>
      </c>
      <c r="AB61" s="129" t="s">
        <v>6658</v>
      </c>
    </row>
    <row r="62" spans="2:32">
      <c r="AA62" s="129"/>
      <c r="AB62" s="129"/>
    </row>
    <row r="63" spans="2:32">
      <c r="B63" s="1077" t="s">
        <v>3214</v>
      </c>
      <c r="AA63" s="129"/>
      <c r="AB63" s="129"/>
    </row>
    <row r="64" spans="2:32">
      <c r="B64" s="7" t="s">
        <v>5684</v>
      </c>
      <c r="AA64" s="129"/>
      <c r="AB64" s="129"/>
    </row>
    <row r="65" spans="2:28">
      <c r="B65" s="7" t="s">
        <v>5703</v>
      </c>
      <c r="AA65" s="129"/>
      <c r="AB65" s="129"/>
    </row>
    <row r="66" spans="2:28">
      <c r="B66" t="s">
        <v>5701</v>
      </c>
      <c r="AA66" s="129"/>
      <c r="AB66" s="129"/>
    </row>
    <row r="67" spans="2:28">
      <c r="B67" t="s">
        <v>5704</v>
      </c>
    </row>
    <row r="68" spans="2:28">
      <c r="B68" t="s">
        <v>5702</v>
      </c>
    </row>
    <row r="69" spans="2:28">
      <c r="B69" t="s">
        <v>5705</v>
      </c>
    </row>
    <row r="71" spans="2:28">
      <c r="B71" s="1080" t="s">
        <v>5707</v>
      </c>
    </row>
    <row r="72" spans="2:28">
      <c r="B72" s="409" t="s">
        <v>5708</v>
      </c>
      <c r="D72" s="129"/>
      <c r="E72" s="129"/>
      <c r="F72" s="129"/>
    </row>
    <row r="73" spans="2:28">
      <c r="B73" s="409" t="s">
        <v>5713</v>
      </c>
      <c r="D73" s="409" t="s">
        <v>5709</v>
      </c>
      <c r="E73" s="409" t="s">
        <v>5710</v>
      </c>
      <c r="F73" s="129" t="s">
        <v>233</v>
      </c>
    </row>
    <row r="74" spans="2:28" ht="18">
      <c r="B74" s="409" t="s">
        <v>5718</v>
      </c>
      <c r="D74" s="129"/>
      <c r="E74" s="129"/>
      <c r="F74" s="1079" t="s">
        <v>5716</v>
      </c>
    </row>
    <row r="75" spans="2:28">
      <c r="B75" s="129" t="s">
        <v>5719</v>
      </c>
      <c r="D75" s="129"/>
      <c r="E75" s="129"/>
      <c r="F75" s="129"/>
    </row>
    <row r="76" spans="2:28">
      <c r="B76" s="129"/>
      <c r="D76" s="129"/>
      <c r="E76" s="129"/>
      <c r="F76" s="129"/>
    </row>
    <row r="77" spans="2:28">
      <c r="B77" s="1080" t="s">
        <v>5712</v>
      </c>
      <c r="D77" s="129"/>
      <c r="E77" s="129"/>
      <c r="F77" s="129"/>
    </row>
    <row r="78" spans="2:28">
      <c r="B78" s="409" t="s">
        <v>5708</v>
      </c>
      <c r="D78" s="129"/>
      <c r="E78" s="129"/>
      <c r="F78" s="129"/>
    </row>
    <row r="79" spans="2:28">
      <c r="B79" s="409" t="s">
        <v>5714</v>
      </c>
      <c r="D79" s="409" t="s">
        <v>5709</v>
      </c>
      <c r="E79" s="409" t="s">
        <v>5710</v>
      </c>
      <c r="F79" s="129" t="s">
        <v>233</v>
      </c>
    </row>
    <row r="80" spans="2:28" ht="18">
      <c r="B80" s="409" t="s">
        <v>5715</v>
      </c>
      <c r="D80" s="129"/>
      <c r="E80" s="129"/>
      <c r="F80" s="1079" t="s">
        <v>5716</v>
      </c>
    </row>
    <row r="81" spans="2:6">
      <c r="B81" s="409" t="s">
        <v>5718</v>
      </c>
      <c r="D81" s="129"/>
      <c r="E81" s="129"/>
      <c r="F81" s="129"/>
    </row>
    <row r="82" spans="2:6">
      <c r="B82" s="129" t="s">
        <v>5719</v>
      </c>
      <c r="D82" s="129"/>
      <c r="E82" s="129"/>
      <c r="F82" s="129"/>
    </row>
    <row r="83" spans="2:6">
      <c r="D83" s="129"/>
      <c r="E83" s="129"/>
      <c r="F83" s="129"/>
    </row>
    <row r="84" spans="2:6" ht="18">
      <c r="B84" s="245" t="s">
        <v>5887</v>
      </c>
      <c r="C84" s="129" t="s">
        <v>5894</v>
      </c>
    </row>
    <row r="85" spans="2:6">
      <c r="B85" s="129" t="s">
        <v>5888</v>
      </c>
      <c r="C85" s="129" t="s">
        <v>5890</v>
      </c>
    </row>
    <row r="86" spans="2:6">
      <c r="B86" s="129" t="s">
        <v>5889</v>
      </c>
      <c r="C86" s="129" t="s">
        <v>5893</v>
      </c>
    </row>
    <row r="87" spans="2:6">
      <c r="B87" s="129" t="s">
        <v>5891</v>
      </c>
      <c r="C87" s="129" t="s">
        <v>5892</v>
      </c>
    </row>
    <row r="88" spans="2:6">
      <c r="B88" s="409"/>
      <c r="C88" s="129"/>
    </row>
    <row r="89" spans="2:6" ht="18">
      <c r="B89" s="1104" t="s">
        <v>5897</v>
      </c>
      <c r="C89" s="129"/>
    </row>
    <row r="90" spans="2:6">
      <c r="B90" s="409" t="s">
        <v>5898</v>
      </c>
      <c r="C90" s="129"/>
    </row>
    <row r="91" spans="2:6">
      <c r="B91" s="409" t="s">
        <v>5899</v>
      </c>
      <c r="C91" s="129"/>
    </row>
    <row r="93" spans="2:6" ht="18">
      <c r="B93" s="1104" t="s">
        <v>5902</v>
      </c>
    </row>
    <row r="94" spans="2:6">
      <c r="B94" s="409" t="s">
        <v>5903</v>
      </c>
    </row>
    <row r="96" spans="2:6" ht="18">
      <c r="B96" s="1104" t="s">
        <v>6278</v>
      </c>
    </row>
    <row r="97" spans="2:17">
      <c r="B97" t="s">
        <v>6274</v>
      </c>
    </row>
    <row r="98" spans="2:17">
      <c r="B98" s="114"/>
      <c r="C98" t="s">
        <v>6275</v>
      </c>
    </row>
    <row r="99" spans="2:17">
      <c r="B99" s="221"/>
      <c r="C99" t="s">
        <v>6276</v>
      </c>
      <c r="G99" s="129"/>
      <c r="H99" s="129"/>
      <c r="I99" s="129"/>
      <c r="J99" s="129"/>
      <c r="K99" s="129"/>
      <c r="L99" s="129"/>
      <c r="M99" s="129"/>
      <c r="N99" s="129"/>
      <c r="O99" s="129"/>
      <c r="P99" s="129"/>
      <c r="Q99" s="129"/>
    </row>
    <row r="100" spans="2:17">
      <c r="B100" s="5"/>
      <c r="C100" t="s">
        <v>6277</v>
      </c>
      <c r="G100" s="129"/>
      <c r="H100" s="129"/>
      <c r="I100" s="129"/>
      <c r="J100" s="129"/>
      <c r="K100" s="129"/>
      <c r="L100" s="129"/>
      <c r="M100" s="129"/>
      <c r="N100" s="129"/>
      <c r="O100" s="129"/>
      <c r="P100" s="129"/>
      <c r="Q100" s="129"/>
    </row>
    <row r="101" spans="2:17">
      <c r="B101" s="1252"/>
      <c r="C101" s="129" t="s">
        <v>6681</v>
      </c>
      <c r="G101" s="129"/>
      <c r="H101" s="129"/>
      <c r="I101" s="129"/>
      <c r="J101" s="129"/>
      <c r="K101" s="129"/>
      <c r="L101" s="129"/>
      <c r="M101" s="129"/>
      <c r="N101" s="129"/>
      <c r="O101" s="129"/>
      <c r="P101" s="129"/>
      <c r="Q101" s="129"/>
    </row>
    <row r="102" spans="2:17">
      <c r="G102" s="129"/>
      <c r="H102" s="129"/>
      <c r="I102" s="129"/>
      <c r="J102" s="129"/>
      <c r="K102" s="129"/>
      <c r="L102" s="129"/>
      <c r="M102" s="129"/>
      <c r="N102" s="129"/>
      <c r="O102" s="129"/>
      <c r="P102" s="129"/>
      <c r="Q102" s="129"/>
    </row>
    <row r="103" spans="2:17" ht="18">
      <c r="B103" s="1104" t="s">
        <v>404</v>
      </c>
      <c r="C103" s="129"/>
      <c r="G103" s="129"/>
      <c r="H103" s="129"/>
      <c r="I103" s="129"/>
      <c r="J103" s="129"/>
      <c r="K103" s="129"/>
      <c r="L103" s="129"/>
      <c r="M103" s="129"/>
      <c r="N103" s="129"/>
      <c r="O103" s="129"/>
      <c r="P103" s="129"/>
      <c r="Q103" s="129"/>
    </row>
    <row r="104" spans="2:17">
      <c r="B104" s="409" t="s">
        <v>1248</v>
      </c>
      <c r="C104" s="129" t="s">
        <v>260</v>
      </c>
      <c r="G104" s="129"/>
      <c r="H104" s="129"/>
      <c r="I104" s="129"/>
      <c r="J104" s="129"/>
      <c r="K104" s="129"/>
      <c r="L104" s="129"/>
      <c r="M104" s="129"/>
      <c r="N104" s="129"/>
      <c r="O104" s="129"/>
      <c r="P104" s="129"/>
      <c r="Q104" s="129"/>
    </row>
    <row r="105" spans="2:17">
      <c r="B105" s="409" t="s">
        <v>1249</v>
      </c>
      <c r="C105" s="129" t="s">
        <v>36</v>
      </c>
      <c r="G105" s="129"/>
      <c r="H105" s="129"/>
      <c r="I105" s="129"/>
      <c r="J105" s="129"/>
      <c r="K105" s="129"/>
      <c r="L105" s="129"/>
      <c r="M105" s="129"/>
      <c r="N105" s="129"/>
      <c r="O105" s="129"/>
      <c r="P105" s="129"/>
      <c r="Q105" s="129"/>
    </row>
    <row r="106" spans="2:17">
      <c r="B106" s="409" t="s">
        <v>696</v>
      </c>
      <c r="C106" s="129" t="s">
        <v>6682</v>
      </c>
      <c r="G106" s="129"/>
      <c r="H106" s="129"/>
      <c r="I106" s="129"/>
      <c r="J106" s="129"/>
      <c r="K106" s="129"/>
      <c r="L106" s="129"/>
      <c r="M106" s="129"/>
      <c r="N106" s="129"/>
      <c r="O106" s="129"/>
      <c r="P106" s="129"/>
      <c r="Q106" s="129"/>
    </row>
    <row r="107" spans="2:17">
      <c r="B107" s="409" t="s">
        <v>6432</v>
      </c>
      <c r="C107" s="129" t="s">
        <v>6683</v>
      </c>
      <c r="G107" s="129"/>
      <c r="H107" s="129"/>
      <c r="I107" s="129"/>
      <c r="J107" s="129"/>
      <c r="K107" s="129"/>
      <c r="L107" s="129"/>
      <c r="M107" s="129"/>
      <c r="N107" s="129"/>
      <c r="O107" s="129"/>
      <c r="P107" s="129"/>
      <c r="Q107" s="129"/>
    </row>
    <row r="108" spans="2:17">
      <c r="B108" s="409" t="s">
        <v>6684</v>
      </c>
      <c r="C108" s="129" t="s">
        <v>5789</v>
      </c>
      <c r="G108" s="129"/>
      <c r="H108" s="129"/>
      <c r="I108" s="129"/>
      <c r="J108" s="129"/>
      <c r="K108" s="129"/>
      <c r="L108" s="129"/>
      <c r="M108" s="129"/>
      <c r="N108" s="129"/>
      <c r="O108" s="129"/>
      <c r="P108" s="129"/>
      <c r="Q108" s="129"/>
    </row>
    <row r="109" spans="2:17">
      <c r="B109" s="409" t="s">
        <v>6685</v>
      </c>
      <c r="C109" s="129" t="s">
        <v>6686</v>
      </c>
      <c r="G109" s="129"/>
      <c r="H109" s="129"/>
      <c r="I109" s="129"/>
      <c r="J109" s="129"/>
      <c r="K109" s="129"/>
      <c r="L109" s="129"/>
      <c r="M109" s="129"/>
      <c r="N109" s="129"/>
      <c r="O109" s="129"/>
      <c r="P109" s="129"/>
      <c r="Q109" s="129"/>
    </row>
    <row r="110" spans="2:17">
      <c r="B110" s="409" t="s">
        <v>6433</v>
      </c>
      <c r="C110" s="129" t="s">
        <v>6687</v>
      </c>
      <c r="G110" s="129"/>
      <c r="H110" s="129"/>
      <c r="I110" s="129"/>
      <c r="J110" s="129"/>
      <c r="K110" s="129"/>
      <c r="L110" s="129"/>
      <c r="M110" s="129"/>
      <c r="N110" s="129"/>
      <c r="O110" s="129"/>
      <c r="P110" s="129"/>
      <c r="Q110" s="129"/>
    </row>
    <row r="111" spans="2:17">
      <c r="B111" s="409" t="s">
        <v>6434</v>
      </c>
      <c r="C111" s="129" t="s">
        <v>5811</v>
      </c>
    </row>
    <row r="112" spans="2:17">
      <c r="B112" s="409" t="s">
        <v>1383</v>
      </c>
      <c r="C112" s="129" t="s">
        <v>6688</v>
      </c>
    </row>
    <row r="113" spans="2:3">
      <c r="B113" s="409" t="s">
        <v>6689</v>
      </c>
      <c r="C113" s="129" t="s">
        <v>248</v>
      </c>
    </row>
    <row r="114" spans="2:3">
      <c r="B114" s="409" t="s">
        <v>2636</v>
      </c>
      <c r="C114" s="129" t="s">
        <v>112</v>
      </c>
    </row>
    <row r="115" spans="2:3">
      <c r="B115" s="409" t="s">
        <v>2514</v>
      </c>
      <c r="C115" s="129" t="s">
        <v>6690</v>
      </c>
    </row>
    <row r="118" spans="2:3" ht="18">
      <c r="B118" s="334" t="s">
        <v>6489</v>
      </c>
    </row>
    <row r="119" spans="2:3">
      <c r="B119" t="s">
        <v>6490</v>
      </c>
    </row>
    <row r="120" spans="2:3">
      <c r="B120" t="s">
        <v>6491</v>
      </c>
    </row>
    <row r="121" spans="2:3">
      <c r="B121" t="s">
        <v>6495</v>
      </c>
    </row>
    <row r="122" spans="2:3">
      <c r="B122" t="s">
        <v>6492</v>
      </c>
    </row>
    <row r="123" spans="2:3">
      <c r="B123" t="s">
        <v>6496</v>
      </c>
    </row>
    <row r="124" spans="2:3">
      <c r="B124" t="s">
        <v>6493</v>
      </c>
    </row>
    <row r="125" spans="2:3">
      <c r="B125" t="s">
        <v>6494</v>
      </c>
    </row>
  </sheetData>
  <mergeCells count="26">
    <mergeCell ref="DA8:DD8"/>
    <mergeCell ref="DC9:DD17"/>
    <mergeCell ref="AA16:AD16"/>
    <mergeCell ref="AF3:AG3"/>
    <mergeCell ref="GA14:GB14"/>
    <mergeCell ref="DC4:DD7"/>
    <mergeCell ref="AF5:AH5"/>
    <mergeCell ref="AF8:AH8"/>
    <mergeCell ref="AA3:AB3"/>
    <mergeCell ref="GA8:GB8"/>
    <mergeCell ref="GC11:GD13"/>
    <mergeCell ref="GC9:GD10"/>
    <mergeCell ref="AC45:AD50"/>
    <mergeCell ref="AA51:AD51"/>
    <mergeCell ref="IA3:IB3"/>
    <mergeCell ref="GF3:GG3"/>
    <mergeCell ref="GF5:GG5"/>
    <mergeCell ref="GC4:GD6"/>
    <mergeCell ref="AA24:AD24"/>
    <mergeCell ref="AC25:AD28"/>
    <mergeCell ref="AC29:AD29"/>
    <mergeCell ref="AC30:AD33"/>
    <mergeCell ref="AA34:AD34"/>
    <mergeCell ref="AA44:AD44"/>
    <mergeCell ref="AA9:AD9"/>
    <mergeCell ref="AC10:AD13"/>
  </mergeCells>
  <phoneticPr fontId="8" type="noConversion"/>
  <conditionalFormatting sqref="D4:D24">
    <cfRule type="duplicateValues" dxfId="8" priority="41"/>
  </conditionalFormatting>
  <hyperlinks>
    <hyperlink ref="F4" location="Asset_Mgm!AA1" display="Display" xr:uid="{258E31B2-CECA-4D45-AD27-D3B943ECB0EB}"/>
    <hyperlink ref="AE1" location="C32" display="C32" xr:uid="{44AB7825-2EED-4343-89ED-DD1BF2CBF1C0}"/>
    <hyperlink ref="BE1" location="C33" display="C33" xr:uid="{949FFABF-1181-408D-B5A8-1A570D113C07}"/>
    <hyperlink ref="CE1" location="C34" display="C34" xr:uid="{4A562C4D-A1BF-4957-8129-7C829132FE4F}"/>
    <hyperlink ref="DE1" location="C35" display="C35" xr:uid="{5ED3510E-6F18-4583-80E6-F58B1C84E11E}"/>
    <hyperlink ref="EE1" location="C36" display="C36" xr:uid="{3592A644-E026-4328-8550-3522B0792EC5}"/>
    <hyperlink ref="FE1" location="C37" display="C37" xr:uid="{5ADAA936-282A-4750-A951-613BA98DE657}"/>
    <hyperlink ref="F6:F19" location="$ACE$1" display="$ACE$1" xr:uid="{32B0280D-11A2-442A-B458-858BC71742AB}"/>
    <hyperlink ref="F5" location="Asset_Mgm!BA1" display="Display" xr:uid="{3F158BB3-4A8D-4097-950D-25D28EF90C2B}"/>
    <hyperlink ref="F6" location="Asset_Mgm!CA1" display="Display" xr:uid="{CC76C24B-06EC-40DE-9657-5F7E0DDDBDBE}"/>
    <hyperlink ref="F7" location="Asset_Mgm!DA1" display="Display" xr:uid="{8B6FBCF4-79C3-4128-8B86-6DCF61D4EC74}"/>
    <hyperlink ref="F8" location="Asset_Mgm!EA1" display="Display" xr:uid="{E7E2E2D8-4C46-49A5-8479-C6457BBFE895}"/>
    <hyperlink ref="F9" location="Asset_Mgm!FA1" display="Display" xr:uid="{0F48F7FE-2F6C-482F-A373-26EC13234D52}"/>
    <hyperlink ref="F10:F12" location="$ACE$1" display="$ACE$1" xr:uid="{5F6394A9-B75B-4986-BB68-009AAC0EC94B}"/>
    <hyperlink ref="F10" location="Asset_Mgm!GA1" display="Display" xr:uid="{00859B80-51D2-415E-B6EC-0B4F215B17CE}"/>
    <hyperlink ref="F11" location="Asset_Mgm!HA1" display="Display" xr:uid="{66E44B1E-FBC4-4F10-BCC6-6384A3E702ED}"/>
    <hyperlink ref="F12" location="Asset_Mgm!IA1" display="Display" xr:uid="{8EF2EA34-D5C0-486A-9406-19B3E7B5D6DA}"/>
    <hyperlink ref="GE1" location="Asset_Mgm!C10" display="Contents" xr:uid="{D7B2B0D8-66B5-4CEA-9392-976D65FDBD04}"/>
    <hyperlink ref="HE1" location="Asset_Mgm!C11" display="Contents" xr:uid="{6F751F59-D825-4793-A5F2-13FF9CA6D7EC}"/>
    <hyperlink ref="IE1" location="Asset_Mgm!C12" display="Contents" xr:uid="{522A900B-2355-41B9-ACF7-D4D72E4E219F}"/>
  </hyperlink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BF309-5487-45C5-B0AE-062FD5312EFD}">
  <sheetPr codeName="Sheet15">
    <tabColor rgb="FF92D050"/>
  </sheetPr>
  <dimension ref="A1:AUF179"/>
  <sheetViews>
    <sheetView topLeftCell="DF1" workbookViewId="0">
      <selection activeCell="ED1" sqref="ED1"/>
    </sheetView>
  </sheetViews>
  <sheetFormatPr defaultRowHeight="14.4"/>
  <cols>
    <col min="2" max="2" width="10.21875" customWidth="1"/>
    <col min="3" max="3" width="57.44140625" customWidth="1"/>
    <col min="4" max="4" width="11.5546875" customWidth="1"/>
    <col min="5" max="5" width="76.21875" customWidth="1"/>
    <col min="6" max="6" width="10.109375" customWidth="1"/>
    <col min="7" max="26" width="1.77734375" customWidth="1"/>
    <col min="27" max="27" width="30.21875" customWidth="1"/>
    <col min="28" max="28" width="39" customWidth="1"/>
    <col min="29" max="29" width="10.77734375" customWidth="1"/>
    <col min="30" max="30" width="25.6640625" customWidth="1"/>
    <col min="31" max="31" width="23.21875" customWidth="1"/>
    <col min="32" max="33" width="35.88671875" customWidth="1"/>
    <col min="34" max="52" width="1.77734375" customWidth="1"/>
    <col min="53" max="53" width="20.77734375" customWidth="1"/>
    <col min="54" max="57" width="15.77734375" customWidth="1"/>
    <col min="58" max="58" width="19" customWidth="1"/>
    <col min="59" max="59" width="20.77734375" customWidth="1"/>
    <col min="60" max="60" width="20.6640625" customWidth="1"/>
    <col min="61" max="62" width="20.77734375" customWidth="1"/>
    <col min="63" max="63" width="12.21875" customWidth="1"/>
    <col min="64" max="78" width="1.77734375" customWidth="1"/>
    <col min="79" max="86" width="20.77734375" customWidth="1"/>
    <col min="87" max="87" width="12.77734375" customWidth="1"/>
    <col min="88" max="89" width="20.77734375" customWidth="1"/>
    <col min="90" max="103" width="1.77734375" customWidth="1"/>
    <col min="104" max="104" width="38.33203125" customWidth="1"/>
    <col min="105" max="105" width="42.6640625" customWidth="1"/>
    <col min="106" max="108" width="20.77734375" customWidth="1"/>
    <col min="109" max="110" width="40.44140625" customWidth="1"/>
    <col min="111" max="128" width="1.77734375" customWidth="1"/>
    <col min="129" max="136" width="20.77734375" customWidth="1"/>
    <col min="137" max="138" width="36" customWidth="1"/>
    <col min="139" max="156" width="1.77734375" customWidth="1"/>
    <col min="157" max="157" width="22.109375" customWidth="1"/>
    <col min="158" max="160" width="20.77734375" customWidth="1"/>
    <col min="161" max="161" width="23.88671875" customWidth="1"/>
    <col min="162" max="163" width="20.77734375" customWidth="1"/>
    <col min="164" max="164" width="11.33203125" customWidth="1"/>
    <col min="165" max="166" width="39.44140625" customWidth="1"/>
    <col min="167" max="175" width="1.77734375" customWidth="1"/>
    <col min="176" max="178" width="17.109375" customWidth="1"/>
    <col min="179" max="182" width="1.77734375" customWidth="1"/>
    <col min="183" max="183" width="27.6640625" customWidth="1"/>
    <col min="184" max="188" width="20.77734375" customWidth="1"/>
    <col min="189" max="208" width="1.77734375" customWidth="1"/>
    <col min="209" max="210" width="25.77734375" customWidth="1"/>
    <col min="211" max="211" width="10.77734375" customWidth="1"/>
    <col min="212" max="212" width="21.44140625" customWidth="1"/>
    <col min="213" max="213" width="10.77734375" customWidth="1"/>
    <col min="214" max="215" width="37.77734375" customWidth="1"/>
    <col min="235" max="243" width="17.77734375" customWidth="1"/>
    <col min="244" max="247" width="12.77734375" customWidth="1"/>
    <col min="261" max="268" width="17.77734375" customWidth="1"/>
    <col min="269" max="270" width="12.77734375" customWidth="1"/>
    <col min="271" max="271" width="17.77734375" customWidth="1"/>
    <col min="272" max="273" width="33.33203125" customWidth="1"/>
    <col min="287" max="287" width="20.77734375" customWidth="1"/>
    <col min="288" max="288" width="15.5546875" customWidth="1"/>
    <col min="289" max="289" width="26.109375" customWidth="1"/>
    <col min="290" max="291" width="22.109375" customWidth="1"/>
    <col min="292" max="293" width="16.77734375" customWidth="1"/>
    <col min="294" max="294" width="11.33203125" customWidth="1"/>
    <col min="295" max="296" width="29.5546875" customWidth="1"/>
    <col min="313" max="313" width="25.77734375" customWidth="1"/>
    <col min="314" max="315" width="22.6640625" customWidth="1"/>
    <col min="316" max="317" width="10.77734375" customWidth="1"/>
    <col min="318" max="318" width="24.21875" customWidth="1"/>
    <col min="319" max="319" width="10.77734375" customWidth="1"/>
    <col min="320" max="321" width="47.21875" customWidth="1"/>
    <col min="339" max="346" width="20.77734375" customWidth="1"/>
    <col min="347" max="347" width="12.77734375" customWidth="1"/>
    <col min="365" max="374" width="17.88671875" customWidth="1"/>
    <col min="391" max="396" width="21" customWidth="1"/>
    <col min="397" max="397" width="22.6640625" customWidth="1"/>
    <col min="398" max="398" width="12.77734375" customWidth="1"/>
    <col min="399" max="400" width="24.88671875" customWidth="1"/>
    <col min="417" max="417" width="28.21875" customWidth="1"/>
    <col min="418" max="418" width="18.77734375" customWidth="1"/>
    <col min="419" max="420" width="34.109375" customWidth="1"/>
    <col min="421" max="421" width="25.88671875" customWidth="1"/>
    <col min="422" max="422" width="12.109375" customWidth="1"/>
    <col min="423" max="423" width="29.44140625" customWidth="1"/>
    <col min="424" max="424" width="57.5546875" customWidth="1"/>
    <col min="425" max="427" width="20.77734375" customWidth="1"/>
    <col min="443" max="451" width="20.77734375" customWidth="1"/>
    <col min="469" max="493" width="20.77734375" customWidth="1"/>
    <col min="495" max="502" width="20.77734375" customWidth="1"/>
    <col min="521" max="522" width="25.77734375" customWidth="1"/>
    <col min="523" max="525" width="10.77734375" customWidth="1"/>
    <col min="526" max="526" width="40.77734375" customWidth="1"/>
    <col min="547" max="548" width="25.77734375" customWidth="1"/>
    <col min="549" max="555" width="12.77734375" customWidth="1"/>
    <col min="573" max="574" width="25.77734375" customWidth="1"/>
    <col min="575" max="581" width="12.77734375" customWidth="1"/>
    <col min="599" max="600" width="25.77734375" customWidth="1"/>
    <col min="601" max="603" width="10.77734375" customWidth="1"/>
    <col min="604" max="604" width="40.77734375" customWidth="1"/>
    <col min="625" max="626" width="25.77734375" customWidth="1"/>
    <col min="627" max="633" width="12.77734375" customWidth="1"/>
    <col min="651" max="652" width="25.77734375" customWidth="1"/>
    <col min="653" max="659" width="12.77734375" customWidth="1"/>
    <col min="677" max="678" width="25.77734375" customWidth="1"/>
    <col min="679" max="681" width="10.77734375" customWidth="1"/>
    <col min="682" max="682" width="40.77734375" customWidth="1"/>
    <col min="703" max="704" width="25.77734375" customWidth="1"/>
    <col min="705" max="707" width="10.77734375" customWidth="1"/>
    <col min="708" max="708" width="40.77734375" customWidth="1"/>
    <col min="729" max="730" width="25.77734375" customWidth="1"/>
    <col min="731" max="737" width="12.77734375" customWidth="1"/>
    <col min="755" max="756" width="25.77734375" customWidth="1"/>
    <col min="757" max="763" width="12.77734375" customWidth="1"/>
    <col min="781" max="782" width="25.77734375" customWidth="1"/>
    <col min="783" max="785" width="10.77734375" customWidth="1"/>
    <col min="786" max="786" width="40.77734375" customWidth="1"/>
    <col min="807" max="808" width="25.77734375" customWidth="1"/>
    <col min="809" max="811" width="10.77734375" customWidth="1"/>
    <col min="812" max="812" width="40.77734375" customWidth="1"/>
    <col min="833" max="834" width="25.77734375" customWidth="1"/>
    <col min="835" max="841" width="12.77734375" customWidth="1"/>
    <col min="859" max="860" width="25.77734375" customWidth="1"/>
    <col min="861" max="867" width="12.77734375" customWidth="1"/>
    <col min="885" max="886" width="25.77734375" customWidth="1"/>
    <col min="887" max="889" width="10.77734375" customWidth="1"/>
    <col min="890" max="890" width="40.77734375" customWidth="1"/>
    <col min="911" max="912" width="25.77734375" customWidth="1"/>
    <col min="913" max="915" width="10.77734375" customWidth="1"/>
    <col min="916" max="916" width="40.77734375" customWidth="1"/>
    <col min="937" max="938" width="25.77734375" customWidth="1"/>
    <col min="939" max="945" width="12.77734375" customWidth="1"/>
    <col min="963" max="964" width="25.77734375" customWidth="1"/>
    <col min="965" max="971" width="12.77734375" customWidth="1"/>
    <col min="989" max="990" width="25.77734375" customWidth="1"/>
    <col min="991" max="993" width="10.77734375" customWidth="1"/>
    <col min="994" max="994" width="40.77734375" customWidth="1"/>
    <col min="1015" max="1016" width="25.77734375" customWidth="1"/>
    <col min="1017" max="1023" width="12.77734375" customWidth="1"/>
    <col min="1041" max="1042" width="25.77734375" customWidth="1"/>
    <col min="1043" max="1049" width="12.77734375" customWidth="1"/>
    <col min="1067" max="1068" width="25.77734375" customWidth="1"/>
    <col min="1069" max="1071" width="10.77734375" customWidth="1"/>
    <col min="1072" max="1072" width="40.77734375" customWidth="1"/>
    <col min="1093" max="1094" width="25.77734375" customWidth="1"/>
    <col min="1095" max="1101" width="12.77734375" customWidth="1"/>
    <col min="1119" max="1120" width="25.77734375" customWidth="1"/>
    <col min="1121" max="1127" width="12.77734375" customWidth="1"/>
    <col min="1145" max="1146" width="25.77734375" customWidth="1"/>
    <col min="1147" max="1149" width="10.77734375" customWidth="1"/>
    <col min="1150" max="1150" width="40.77734375" customWidth="1"/>
    <col min="1171" max="1172" width="25.77734375" customWidth="1"/>
    <col min="1173" max="1175" width="10.77734375" customWidth="1"/>
    <col min="1176" max="1176" width="40.77734375" customWidth="1"/>
    <col min="1197" max="1198" width="25.77734375" customWidth="1"/>
    <col min="1199" max="1201" width="10.77734375" customWidth="1"/>
    <col min="1202" max="1202" width="40.77734375" customWidth="1"/>
    <col min="1223" max="1224" width="25.77734375" customWidth="1"/>
    <col min="1225" max="1227" width="10.77734375" customWidth="1"/>
    <col min="1228" max="1228" width="40.77734375" customWidth="1"/>
  </cols>
  <sheetData>
    <row r="1" spans="1:1022 1041:1228" s="393" customFormat="1" ht="21" customHeight="1" thickBot="1">
      <c r="A1" s="122" t="s">
        <v>6150</v>
      </c>
      <c r="B1" s="4"/>
      <c r="C1" s="1408"/>
      <c r="D1" s="1408"/>
      <c r="E1" s="1408"/>
      <c r="F1" s="1409"/>
      <c r="G1" s="1409"/>
      <c r="H1" s="1409"/>
      <c r="I1" s="1409"/>
      <c r="J1" s="1409"/>
      <c r="K1" s="1409"/>
      <c r="L1" s="1409"/>
      <c r="M1" s="1409"/>
      <c r="N1" s="1409"/>
      <c r="O1" s="1409"/>
      <c r="P1" s="1409"/>
      <c r="Q1" s="1409"/>
      <c r="R1" s="1409"/>
      <c r="S1" s="1409"/>
      <c r="T1" s="1409"/>
      <c r="U1" s="1409"/>
      <c r="V1" s="1409"/>
      <c r="W1" s="1409"/>
      <c r="AA1" s="1065" t="s">
        <v>7048</v>
      </c>
      <c r="AB1" s="122"/>
      <c r="AC1" s="122"/>
      <c r="AD1" s="122"/>
      <c r="AE1" s="1410" t="s">
        <v>336</v>
      </c>
      <c r="AF1" s="122"/>
      <c r="AG1" s="122"/>
      <c r="AH1" s="122"/>
      <c r="AI1" s="122"/>
      <c r="AJ1" s="122"/>
      <c r="AK1" s="122"/>
      <c r="AL1" s="122"/>
      <c r="AM1" s="122"/>
      <c r="AN1" s="122"/>
      <c r="AO1" s="122"/>
      <c r="AP1" s="122"/>
      <c r="AQ1" s="122"/>
      <c r="AR1" s="122"/>
      <c r="AS1" s="122"/>
      <c r="AT1" s="122"/>
      <c r="AU1" s="122"/>
      <c r="AV1" s="122"/>
      <c r="AW1" s="122"/>
      <c r="AX1" s="122"/>
      <c r="AY1" s="122"/>
      <c r="AZ1" s="122"/>
      <c r="BA1" s="1065" t="s">
        <v>7047</v>
      </c>
      <c r="BB1" s="122"/>
      <c r="BC1" s="122"/>
      <c r="BD1" s="122"/>
      <c r="BE1" s="1410" t="s">
        <v>336</v>
      </c>
      <c r="BF1" s="1410"/>
      <c r="BG1" s="122"/>
      <c r="BI1" s="122"/>
      <c r="BJ1" s="122"/>
      <c r="BK1" s="122"/>
      <c r="BL1" s="122"/>
      <c r="BM1" s="122"/>
      <c r="BN1" s="122"/>
      <c r="BO1" s="122"/>
      <c r="BP1" s="122"/>
      <c r="BQ1" s="122"/>
      <c r="BR1" s="122"/>
      <c r="BS1" s="122"/>
      <c r="BT1" s="122"/>
      <c r="BU1" s="122"/>
      <c r="BV1" s="122"/>
      <c r="BW1" s="122"/>
      <c r="BX1" s="122"/>
      <c r="BY1" s="122"/>
      <c r="BZ1" s="122"/>
      <c r="CA1" s="1065" t="s">
        <v>7046</v>
      </c>
      <c r="CB1" s="122"/>
      <c r="CC1" s="122"/>
      <c r="CD1" s="1410" t="s">
        <v>336</v>
      </c>
      <c r="CF1" s="122"/>
      <c r="CG1" s="122"/>
      <c r="CH1" s="122"/>
      <c r="CI1" s="122"/>
      <c r="CJ1" s="122"/>
      <c r="CK1" s="122"/>
      <c r="CL1" s="122"/>
      <c r="CM1" s="122"/>
      <c r="CN1" s="122"/>
      <c r="CO1" s="122"/>
      <c r="CP1" s="122"/>
      <c r="CQ1" s="122"/>
      <c r="CR1" s="122"/>
      <c r="CS1" s="122"/>
      <c r="CT1" s="122"/>
      <c r="CU1" s="122"/>
      <c r="CV1" s="122"/>
      <c r="CW1" s="122"/>
      <c r="CX1" s="122"/>
      <c r="CY1" s="122"/>
      <c r="CZ1" s="393" t="s">
        <v>7049</v>
      </c>
      <c r="DA1" s="122"/>
      <c r="DB1" s="122"/>
      <c r="DD1" s="1410" t="s">
        <v>336</v>
      </c>
      <c r="DE1" s="122"/>
      <c r="DF1" s="122"/>
      <c r="DG1" s="122"/>
      <c r="DH1" s="122"/>
      <c r="DI1" s="122"/>
      <c r="DJ1" s="122"/>
      <c r="DK1" s="122"/>
      <c r="DL1" s="122"/>
      <c r="DM1" s="122"/>
      <c r="DN1" s="122"/>
      <c r="DO1" s="122"/>
      <c r="DP1" s="122"/>
      <c r="DQ1" s="122"/>
      <c r="DR1" s="122"/>
      <c r="DS1" s="122"/>
      <c r="DT1" s="122"/>
      <c r="DU1" s="122"/>
      <c r="DV1" s="122"/>
      <c r="DW1" s="122"/>
      <c r="DX1" s="122"/>
      <c r="DY1" s="1065" t="s">
        <v>6270</v>
      </c>
      <c r="DZ1" s="122"/>
      <c r="EA1" s="122"/>
      <c r="EB1" s="122"/>
      <c r="ED1" s="1410" t="s">
        <v>336</v>
      </c>
      <c r="EE1" s="122"/>
      <c r="EG1" s="122"/>
      <c r="EH1" s="122"/>
      <c r="EI1" s="122"/>
      <c r="EJ1" s="122"/>
      <c r="EK1" s="122"/>
      <c r="EL1" s="122"/>
      <c r="EM1" s="122"/>
      <c r="EN1" s="122"/>
      <c r="EO1" s="122"/>
      <c r="EP1" s="122"/>
      <c r="EQ1" s="122"/>
      <c r="ER1" s="122"/>
      <c r="ES1" s="122"/>
      <c r="ET1" s="122"/>
      <c r="EU1" s="122"/>
      <c r="EV1" s="122"/>
      <c r="EW1" s="122"/>
      <c r="EX1" s="122"/>
      <c r="EY1" s="122"/>
      <c r="EZ1" s="122"/>
      <c r="FA1" s="1065" t="s">
        <v>7164</v>
      </c>
      <c r="FB1" s="1065"/>
      <c r="FC1" s="122"/>
      <c r="FD1" s="122"/>
      <c r="FE1" s="1410" t="s">
        <v>336</v>
      </c>
      <c r="FH1" s="122"/>
      <c r="FI1" s="122"/>
      <c r="FJ1" s="122"/>
      <c r="FK1" s="122"/>
      <c r="FL1" s="122"/>
      <c r="FM1" s="122"/>
      <c r="FN1" s="122"/>
      <c r="FO1" s="122"/>
      <c r="FP1" s="122"/>
      <c r="FQ1" s="122"/>
      <c r="FR1" s="122"/>
      <c r="FS1" s="122"/>
      <c r="FT1" s="1964"/>
      <c r="FU1" s="1964"/>
      <c r="FV1" s="1964"/>
      <c r="FW1" s="122"/>
      <c r="FX1" s="122"/>
      <c r="FY1" s="122"/>
      <c r="FZ1" s="122"/>
      <c r="GA1" s="1065" t="s">
        <v>6500</v>
      </c>
      <c r="GB1" s="122"/>
      <c r="GC1" s="122"/>
      <c r="GD1" s="122"/>
      <c r="GE1" s="122"/>
      <c r="GF1" s="122"/>
      <c r="GG1" s="122"/>
      <c r="GH1" s="122"/>
      <c r="GI1" s="122"/>
      <c r="GJ1" s="122"/>
      <c r="GK1" s="122"/>
      <c r="GL1" s="122"/>
      <c r="GM1" s="122"/>
      <c r="GN1" s="122"/>
      <c r="GO1" s="122"/>
      <c r="GP1" s="122"/>
      <c r="GQ1" s="122"/>
      <c r="GR1" s="122"/>
      <c r="GS1" s="122"/>
      <c r="GT1" s="122"/>
      <c r="GU1" s="122"/>
      <c r="GV1" s="122"/>
      <c r="GW1" s="122"/>
      <c r="GX1" s="122"/>
      <c r="GY1" s="122"/>
      <c r="GZ1" s="122"/>
      <c r="HA1" s="1065" t="s">
        <v>6292</v>
      </c>
      <c r="HB1" s="122"/>
      <c r="HC1" s="122"/>
      <c r="HD1" s="122"/>
      <c r="HE1" s="1410" t="s">
        <v>336</v>
      </c>
      <c r="HF1" s="122" t="s">
        <v>6435</v>
      </c>
      <c r="HG1" s="122"/>
      <c r="HH1" s="122"/>
      <c r="HI1" s="122"/>
      <c r="HJ1" s="122"/>
      <c r="HK1" s="122"/>
      <c r="HL1" s="122"/>
      <c r="HM1" s="122"/>
      <c r="HN1" s="122"/>
      <c r="HO1" s="122"/>
      <c r="HP1" s="122"/>
      <c r="HQ1" s="122"/>
      <c r="HR1" s="122"/>
      <c r="HS1" s="122"/>
      <c r="HT1" s="122"/>
      <c r="HU1" s="122"/>
      <c r="HV1" s="122"/>
      <c r="HW1" s="122"/>
      <c r="HX1" s="122"/>
      <c r="HY1" s="122"/>
      <c r="HZ1" s="122"/>
      <c r="IA1" s="1065" t="s">
        <v>5524</v>
      </c>
      <c r="IB1" s="122"/>
      <c r="IC1" s="122"/>
      <c r="ID1" s="122"/>
      <c r="IE1" s="1410" t="s">
        <v>336</v>
      </c>
      <c r="IF1" s="1410"/>
      <c r="IG1" s="1410"/>
      <c r="IH1" s="1564" t="s">
        <v>5825</v>
      </c>
      <c r="II1" s="1565"/>
      <c r="IJ1" s="122"/>
      <c r="IK1" s="122"/>
      <c r="IL1" s="122"/>
      <c r="IM1" s="122"/>
      <c r="IN1" s="122"/>
      <c r="IO1" s="122"/>
      <c r="IP1" s="122"/>
      <c r="IQ1" s="122"/>
      <c r="IR1" s="122"/>
      <c r="IS1" s="122"/>
      <c r="IT1" s="122"/>
      <c r="IU1" s="122"/>
      <c r="IV1" s="122"/>
      <c r="IW1" s="122"/>
      <c r="IX1" s="122"/>
      <c r="IY1" s="122"/>
      <c r="IZ1" s="122"/>
      <c r="JA1" s="1065" t="s">
        <v>5535</v>
      </c>
      <c r="JB1" s="122"/>
      <c r="JC1" s="122"/>
      <c r="JD1" s="122"/>
      <c r="JE1" s="1410" t="s">
        <v>336</v>
      </c>
      <c r="JF1" s="122"/>
      <c r="JG1" s="122"/>
      <c r="JH1" s="122"/>
      <c r="JI1" s="1564" t="s">
        <v>5825</v>
      </c>
      <c r="JJ1" s="1565"/>
      <c r="JK1" s="122"/>
      <c r="JL1" s="122"/>
      <c r="JM1" s="122"/>
      <c r="JN1" s="122"/>
      <c r="JO1" s="122"/>
      <c r="JP1" s="122"/>
      <c r="JQ1" s="122"/>
      <c r="JR1" s="122"/>
      <c r="JS1" s="122"/>
      <c r="JT1" s="122"/>
      <c r="JU1" s="122"/>
      <c r="JV1" s="122"/>
      <c r="JW1" s="122"/>
      <c r="JX1" s="122"/>
      <c r="JY1" s="122"/>
      <c r="JZ1" s="122"/>
      <c r="KA1" s="1065" t="s">
        <v>7208</v>
      </c>
      <c r="KB1" s="1065"/>
      <c r="KC1" s="122"/>
      <c r="KD1" s="122"/>
      <c r="KE1" s="1410" t="s">
        <v>336</v>
      </c>
      <c r="KH1" s="122"/>
      <c r="KI1" s="122"/>
      <c r="KJ1" s="122"/>
      <c r="KK1" s="122"/>
      <c r="KL1" s="122"/>
      <c r="KM1" s="122"/>
      <c r="KN1" s="122"/>
      <c r="KO1" s="122"/>
      <c r="KP1" s="122"/>
      <c r="KQ1" s="122"/>
      <c r="KR1" s="122"/>
      <c r="KS1" s="122"/>
      <c r="KT1" s="122"/>
      <c r="KU1" s="122"/>
      <c r="KV1" s="122"/>
      <c r="KW1" s="122"/>
      <c r="KX1" s="122"/>
      <c r="KY1" s="122"/>
      <c r="KZ1" s="122"/>
      <c r="LA1" s="1065" t="s">
        <v>7188</v>
      </c>
      <c r="LB1" s="122"/>
      <c r="LC1" s="122"/>
      <c r="LD1" s="122"/>
      <c r="LE1" s="1410" t="s">
        <v>336</v>
      </c>
      <c r="LF1" s="122"/>
      <c r="LH1" s="122"/>
      <c r="LI1" s="122"/>
      <c r="LJ1" s="122"/>
      <c r="LK1" s="122"/>
      <c r="LL1" s="122"/>
      <c r="LM1" s="122"/>
      <c r="LN1" s="122"/>
      <c r="LO1" s="122"/>
      <c r="LP1" s="122"/>
      <c r="LQ1" s="122"/>
      <c r="LR1" s="122"/>
      <c r="LS1" s="122"/>
      <c r="LT1" s="122"/>
      <c r="LU1" s="122"/>
      <c r="LV1" s="122"/>
      <c r="LW1" s="122"/>
      <c r="LX1" s="122"/>
      <c r="LY1" s="122"/>
      <c r="LZ1" s="122"/>
      <c r="MA1" s="1065" t="s">
        <v>7189</v>
      </c>
      <c r="MB1" s="122"/>
      <c r="MC1" s="122"/>
      <c r="MD1" s="122"/>
      <c r="ME1" s="1410" t="s">
        <v>336</v>
      </c>
      <c r="MF1" s="122"/>
      <c r="MG1" s="122"/>
      <c r="MH1" s="122"/>
      <c r="MI1" s="122"/>
      <c r="MJ1" s="122"/>
      <c r="MK1" s="122"/>
      <c r="ML1" s="122"/>
      <c r="MM1" s="122"/>
      <c r="MN1" s="122"/>
      <c r="MO1" s="122"/>
      <c r="MP1" s="122"/>
      <c r="MQ1" s="122"/>
      <c r="MR1" s="122"/>
      <c r="MS1" s="122"/>
      <c r="MT1" s="122"/>
      <c r="MU1" s="122"/>
      <c r="MV1" s="122"/>
      <c r="MW1" s="122"/>
      <c r="MX1" s="122"/>
      <c r="MY1" s="122"/>
      <c r="MZ1" s="122"/>
      <c r="NA1" s="1065" t="s">
        <v>7190</v>
      </c>
      <c r="NB1" s="1065"/>
      <c r="NE1" s="1410" t="s">
        <v>336</v>
      </c>
      <c r="NF1" s="122"/>
      <c r="NG1" s="122"/>
      <c r="NH1" s="1428" t="s">
        <v>5825</v>
      </c>
      <c r="NI1" s="237"/>
      <c r="NJ1" s="122"/>
      <c r="NK1" s="122"/>
      <c r="NL1" s="122"/>
      <c r="NM1" s="122"/>
      <c r="NN1" s="122"/>
      <c r="NO1" s="122"/>
      <c r="NP1" s="122"/>
      <c r="NQ1" s="122"/>
      <c r="NR1" s="122"/>
      <c r="NS1" s="122"/>
      <c r="NT1" s="122"/>
      <c r="NU1" s="122"/>
      <c r="NV1" s="122"/>
      <c r="NW1" s="122"/>
      <c r="NX1" s="122"/>
      <c r="NY1" s="122"/>
      <c r="NZ1" s="122"/>
      <c r="OA1" s="1065" t="s">
        <v>7318</v>
      </c>
      <c r="OB1" s="122"/>
      <c r="OC1" s="122"/>
      <c r="OD1" s="122"/>
      <c r="OE1" s="1410" t="s">
        <v>336</v>
      </c>
      <c r="OF1" s="1410"/>
      <c r="OG1" s="122"/>
      <c r="OH1" s="122"/>
      <c r="OI1" s="122"/>
      <c r="OJ1" s="122"/>
      <c r="OK1" s="122"/>
      <c r="OL1" s="122"/>
      <c r="OM1" s="122"/>
      <c r="ON1" s="122"/>
      <c r="OO1" s="122"/>
      <c r="OP1" s="122"/>
      <c r="OQ1" s="122"/>
      <c r="OR1" s="122"/>
      <c r="OS1" s="122"/>
      <c r="OT1" s="122"/>
      <c r="OU1" s="122"/>
      <c r="OV1" s="122"/>
      <c r="OW1" s="122"/>
      <c r="OX1" s="122"/>
      <c r="OY1" s="122"/>
      <c r="OZ1" s="122"/>
      <c r="PA1" s="1382" t="s">
        <v>7319</v>
      </c>
      <c r="PB1" s="122"/>
      <c r="PC1" s="122"/>
      <c r="PD1" s="122"/>
      <c r="PE1" s="416" t="s">
        <v>336</v>
      </c>
      <c r="PG1" s="122"/>
      <c r="PH1" s="122"/>
      <c r="PI1" s="122"/>
      <c r="PJ1" s="122"/>
      <c r="PK1" s="122"/>
      <c r="PL1" s="122"/>
      <c r="PM1" s="122"/>
      <c r="PN1" s="122"/>
      <c r="PO1" s="122"/>
      <c r="PP1" s="122"/>
      <c r="PQ1" s="122"/>
      <c r="PR1" s="122"/>
      <c r="PS1" s="122"/>
      <c r="PT1" s="122"/>
      <c r="PU1" s="122"/>
      <c r="PV1" s="122"/>
      <c r="PW1" s="122"/>
      <c r="PX1" s="122"/>
      <c r="PY1" s="122"/>
      <c r="PZ1" s="122"/>
      <c r="QA1" s="1382" t="s">
        <v>7367</v>
      </c>
      <c r="QB1" s="122"/>
      <c r="QC1" s="122"/>
      <c r="QD1" s="122"/>
      <c r="QE1" s="416" t="s">
        <v>336</v>
      </c>
      <c r="QF1" s="122"/>
      <c r="QG1" s="122"/>
      <c r="QH1" s="122"/>
      <c r="QI1" s="122"/>
      <c r="QJ1" s="122"/>
      <c r="QK1" s="122"/>
      <c r="QL1" s="122"/>
      <c r="QM1" s="122"/>
      <c r="QN1" s="122"/>
      <c r="QO1" s="122"/>
      <c r="QP1" s="122"/>
      <c r="QQ1" s="122"/>
      <c r="QR1" s="122"/>
      <c r="QS1" s="122"/>
      <c r="QT1" s="122"/>
      <c r="QU1" s="122"/>
      <c r="QV1" s="122"/>
      <c r="QW1" s="122"/>
      <c r="QX1" s="122"/>
      <c r="QY1" s="122"/>
      <c r="QZ1" s="122"/>
      <c r="RA1" s="1382" t="s">
        <v>7321</v>
      </c>
      <c r="RB1" s="122"/>
      <c r="RC1" s="122"/>
      <c r="RD1" s="122"/>
      <c r="RE1" s="416" t="s">
        <v>336</v>
      </c>
      <c r="RF1" s="122"/>
      <c r="RG1" s="1428" t="s">
        <v>5825</v>
      </c>
      <c r="RH1" s="122"/>
      <c r="RI1" s="122"/>
      <c r="RJ1" s="122"/>
      <c r="RK1" s="122"/>
      <c r="RL1" s="122"/>
      <c r="RM1" s="122"/>
      <c r="RN1" s="122"/>
      <c r="RO1" s="122"/>
      <c r="RP1" s="122"/>
      <c r="RQ1" s="122"/>
      <c r="RR1" s="122"/>
      <c r="RS1" s="122"/>
      <c r="RT1" s="122"/>
      <c r="RU1" s="122"/>
      <c r="RV1" s="122"/>
      <c r="RW1" s="122"/>
      <c r="RX1" s="122"/>
      <c r="RY1" s="122"/>
      <c r="RZ1" s="122"/>
      <c r="SA1" s="1065" t="s">
        <v>7397</v>
      </c>
      <c r="SB1" s="122"/>
      <c r="SC1" s="122"/>
      <c r="SD1" s="122"/>
      <c r="SE1" s="416" t="s">
        <v>336</v>
      </c>
      <c r="SF1" s="1410"/>
      <c r="SG1" s="122"/>
      <c r="SH1" s="122"/>
      <c r="SI1" s="122"/>
      <c r="SJ1" s="122"/>
      <c r="SK1" s="122"/>
      <c r="SL1" s="122"/>
      <c r="SM1" s="122"/>
      <c r="SN1" s="122"/>
      <c r="SO1" s="122"/>
      <c r="SP1" s="122"/>
      <c r="SQ1" s="122"/>
      <c r="SR1" s="122"/>
      <c r="SS1" s="122"/>
      <c r="ST1" s="122"/>
      <c r="SU1" s="122"/>
      <c r="SV1" s="122"/>
      <c r="SW1" s="122"/>
      <c r="SX1" s="122"/>
      <c r="SY1" s="122"/>
      <c r="SZ1" s="122"/>
      <c r="TA1" s="1065" t="s">
        <v>5525</v>
      </c>
      <c r="TB1" s="122"/>
      <c r="TC1" s="122"/>
      <c r="TD1" s="122"/>
      <c r="TE1" s="1410" t="s">
        <v>336</v>
      </c>
      <c r="TF1" s="122"/>
      <c r="TG1" s="122"/>
      <c r="TH1" s="122"/>
      <c r="TI1" s="122"/>
      <c r="TJ1" s="122"/>
      <c r="TK1" s="122"/>
      <c r="TL1" s="122"/>
      <c r="TM1" s="122"/>
      <c r="TN1" s="122"/>
      <c r="TO1" s="122"/>
      <c r="TP1" s="122"/>
      <c r="TQ1" s="122"/>
      <c r="TR1" s="122"/>
      <c r="TS1" s="122"/>
      <c r="TT1" s="122"/>
      <c r="TU1" s="122"/>
      <c r="TV1" s="122"/>
      <c r="TW1" s="122"/>
      <c r="TX1" s="122"/>
      <c r="TY1" s="122"/>
      <c r="TZ1" s="122"/>
      <c r="UA1" s="1065" t="s">
        <v>5526</v>
      </c>
      <c r="UB1" s="122"/>
      <c r="UC1" s="122"/>
      <c r="UD1" s="122"/>
      <c r="UE1" s="1410" t="s">
        <v>336</v>
      </c>
      <c r="UF1" s="122"/>
      <c r="UG1" s="122"/>
      <c r="UH1" s="122"/>
      <c r="UI1" s="122"/>
      <c r="UJ1" s="122"/>
      <c r="UK1" s="122"/>
      <c r="UL1" s="122"/>
      <c r="UM1" s="122"/>
      <c r="UN1" s="122"/>
      <c r="UO1" s="122"/>
      <c r="UP1" s="122"/>
      <c r="UQ1" s="122"/>
      <c r="UR1" s="122"/>
      <c r="US1" s="122"/>
      <c r="UT1" s="122"/>
      <c r="UU1" s="122"/>
      <c r="UV1" s="122"/>
      <c r="UW1" s="122"/>
      <c r="UX1" s="122"/>
      <c r="UY1" s="122"/>
      <c r="UZ1" s="122"/>
      <c r="VA1" s="1065" t="s">
        <v>5527</v>
      </c>
      <c r="VB1" s="122"/>
      <c r="VC1" s="122"/>
      <c r="VD1" s="122"/>
      <c r="VE1" s="1410" t="s">
        <v>336</v>
      </c>
      <c r="VF1" s="122"/>
      <c r="VG1" s="122"/>
      <c r="VH1" s="122"/>
      <c r="VI1" s="122"/>
      <c r="VJ1" s="122"/>
      <c r="VK1" s="122"/>
      <c r="VL1" s="122"/>
      <c r="VM1" s="122"/>
      <c r="VN1" s="122"/>
      <c r="VO1" s="122"/>
      <c r="VP1" s="122"/>
      <c r="VQ1" s="122"/>
      <c r="VR1" s="122"/>
      <c r="VS1" s="122"/>
      <c r="VT1" s="122"/>
      <c r="VU1" s="122"/>
      <c r="VV1" s="122"/>
      <c r="VW1" s="122"/>
      <c r="VX1" s="122"/>
      <c r="VY1" s="122"/>
      <c r="VZ1" s="122"/>
      <c r="WA1" s="1065" t="s">
        <v>5532</v>
      </c>
      <c r="WB1" s="122"/>
      <c r="WC1" s="1410" t="s">
        <v>336</v>
      </c>
      <c r="WD1" s="122"/>
      <c r="WF1" s="122"/>
      <c r="WG1" s="122"/>
      <c r="WH1" s="122"/>
      <c r="WI1" s="122"/>
      <c r="WJ1" s="122"/>
      <c r="WK1" s="122"/>
      <c r="WL1" s="122"/>
      <c r="WM1" s="122"/>
      <c r="WN1" s="122"/>
      <c r="WO1" s="122"/>
      <c r="WP1" s="122"/>
      <c r="WQ1" s="122"/>
      <c r="WR1" s="122"/>
      <c r="WS1" s="122"/>
      <c r="WT1" s="122"/>
      <c r="WU1" s="122"/>
      <c r="WV1" s="122"/>
      <c r="WW1" s="122"/>
      <c r="WX1" s="122"/>
      <c r="WY1" s="122"/>
      <c r="WZ1" s="122"/>
      <c r="XA1" s="1065" t="s">
        <v>5533</v>
      </c>
      <c r="XB1" s="122"/>
      <c r="XC1" s="122"/>
      <c r="XD1" s="122"/>
      <c r="XE1" s="1410" t="s">
        <v>336</v>
      </c>
      <c r="XF1" s="122"/>
      <c r="XG1" s="122"/>
      <c r="XH1" s="122"/>
      <c r="XI1" s="122"/>
      <c r="XJ1" s="122"/>
      <c r="XK1" s="122"/>
      <c r="XL1" s="122"/>
      <c r="XM1" s="122"/>
      <c r="XN1" s="122"/>
      <c r="XO1" s="122"/>
      <c r="XP1" s="122"/>
      <c r="XQ1" s="122"/>
      <c r="XR1" s="122"/>
      <c r="XS1" s="122"/>
      <c r="XT1" s="122"/>
      <c r="XU1" s="122"/>
      <c r="XV1" s="122"/>
      <c r="XW1" s="122"/>
      <c r="XX1" s="122"/>
      <c r="XY1" s="122"/>
      <c r="XZ1" s="122"/>
      <c r="YA1" s="1065" t="s">
        <v>5534</v>
      </c>
      <c r="YB1" s="122"/>
      <c r="YC1" s="122"/>
      <c r="YD1" s="122"/>
      <c r="YE1" s="1410" t="s">
        <v>336</v>
      </c>
      <c r="YF1" s="122"/>
      <c r="YG1" s="122"/>
      <c r="YH1" s="122"/>
      <c r="YI1" s="122"/>
      <c r="YJ1" s="122"/>
      <c r="YK1" s="122"/>
      <c r="YL1" s="122"/>
      <c r="YM1" s="122"/>
      <c r="YN1" s="122"/>
      <c r="YO1" s="122"/>
      <c r="YP1" s="122"/>
      <c r="YQ1" s="122"/>
      <c r="YR1" s="122"/>
      <c r="YS1" s="122"/>
      <c r="YT1" s="122"/>
      <c r="YU1" s="122"/>
      <c r="YV1" s="122"/>
      <c r="YW1" s="122"/>
      <c r="YX1" s="122"/>
      <c r="YY1" s="122"/>
      <c r="YZ1" s="122"/>
      <c r="ZA1" s="1065" t="s">
        <v>5536</v>
      </c>
      <c r="ZB1" s="122"/>
      <c r="ZC1" s="122"/>
      <c r="ZD1" s="122"/>
      <c r="ZE1" s="1410" t="s">
        <v>336</v>
      </c>
      <c r="ZF1" s="122"/>
      <c r="ZG1" s="122"/>
      <c r="ZH1" s="122"/>
      <c r="ZI1" s="122"/>
      <c r="ZJ1" s="122"/>
      <c r="ZK1" s="122"/>
      <c r="ZL1" s="122"/>
      <c r="ZM1" s="122"/>
      <c r="ZN1" s="122"/>
      <c r="ZO1" s="122"/>
      <c r="ZP1" s="122"/>
      <c r="ZQ1" s="122"/>
      <c r="ZR1" s="122"/>
      <c r="ZS1" s="122"/>
      <c r="ZT1" s="122"/>
      <c r="ZU1" s="122"/>
      <c r="ZV1" s="122"/>
      <c r="ZW1" s="122"/>
      <c r="ZX1" s="122"/>
      <c r="ZY1" s="122"/>
      <c r="ZZ1" s="122"/>
      <c r="AAA1" s="1065" t="s">
        <v>5538</v>
      </c>
      <c r="AAB1" s="122"/>
      <c r="AAC1" s="122"/>
      <c r="AAD1" s="122"/>
      <c r="AAE1" s="1410" t="s">
        <v>336</v>
      </c>
      <c r="AAF1" s="122"/>
      <c r="AAG1" s="122"/>
      <c r="AAH1" s="122"/>
      <c r="AAI1" s="122"/>
      <c r="AAJ1" s="122"/>
      <c r="AAK1" s="122"/>
      <c r="AAL1" s="122"/>
      <c r="AAM1" s="122"/>
      <c r="AAN1" s="122"/>
      <c r="AAO1" s="122"/>
      <c r="AAP1" s="122"/>
      <c r="AAQ1" s="122"/>
      <c r="AAR1" s="122"/>
      <c r="AAS1" s="122"/>
      <c r="AAT1" s="122"/>
      <c r="AAU1" s="122"/>
      <c r="AAV1" s="122"/>
      <c r="AAW1" s="122"/>
      <c r="AAX1" s="122"/>
      <c r="AAY1" s="122"/>
      <c r="AAZ1" s="122"/>
      <c r="ABA1" s="1065" t="s">
        <v>5539</v>
      </c>
      <c r="ABB1" s="122"/>
      <c r="ABC1" s="122"/>
      <c r="ABD1" s="122"/>
      <c r="ABE1" s="1410" t="s">
        <v>336</v>
      </c>
      <c r="ABF1" s="122"/>
      <c r="ABG1" s="122"/>
      <c r="ABH1" s="122"/>
      <c r="ABI1" s="122"/>
      <c r="ABJ1" s="122"/>
      <c r="ABK1" s="122"/>
      <c r="ABL1" s="122"/>
      <c r="ABM1" s="122"/>
      <c r="ABN1" s="122"/>
      <c r="ABO1" s="122"/>
      <c r="ABP1" s="122"/>
      <c r="ABQ1" s="122"/>
      <c r="ABR1" s="122"/>
      <c r="ABS1" s="122"/>
      <c r="ABT1" s="122"/>
      <c r="ABU1" s="122"/>
      <c r="ABV1" s="122"/>
      <c r="ABW1" s="122"/>
      <c r="ABX1" s="122"/>
      <c r="ABY1" s="122"/>
      <c r="ABZ1" s="122"/>
      <c r="ACA1" s="1065" t="s">
        <v>5540</v>
      </c>
      <c r="ACB1" s="122"/>
      <c r="ACC1" s="122"/>
      <c r="ACD1" s="122"/>
      <c r="ACE1" s="1410" t="s">
        <v>336</v>
      </c>
      <c r="ACF1" s="122"/>
      <c r="ACG1" s="122"/>
      <c r="ACH1" s="122"/>
      <c r="ACI1" s="122"/>
      <c r="ACJ1" s="122"/>
      <c r="ACK1" s="122"/>
      <c r="ACL1" s="122"/>
      <c r="ACM1" s="122"/>
      <c r="ACN1" s="122"/>
      <c r="ACO1" s="122"/>
      <c r="ACP1" s="122"/>
      <c r="ACQ1" s="122"/>
      <c r="ACR1" s="122"/>
      <c r="ACS1" s="122"/>
      <c r="ACT1" s="122"/>
      <c r="ACU1" s="122"/>
      <c r="ACV1" s="122"/>
      <c r="ACW1" s="122"/>
      <c r="ACX1" s="122"/>
      <c r="ACY1" s="122"/>
      <c r="ACZ1" s="122"/>
      <c r="ADA1" s="1065" t="s">
        <v>5541</v>
      </c>
      <c r="ADB1" s="122"/>
      <c r="ADC1" s="122"/>
      <c r="ADD1" s="122"/>
      <c r="ADE1" s="1410" t="s">
        <v>336</v>
      </c>
      <c r="ADF1" s="122"/>
      <c r="ADG1" s="122"/>
      <c r="ADH1" s="122"/>
      <c r="ADI1" s="122"/>
      <c r="ADJ1" s="122"/>
      <c r="ADK1" s="122"/>
      <c r="ADL1" s="122"/>
      <c r="ADM1" s="122"/>
      <c r="ADN1" s="122"/>
      <c r="ADO1" s="122"/>
      <c r="ADP1" s="122"/>
      <c r="ADQ1" s="122"/>
      <c r="ADR1" s="122"/>
      <c r="ADS1" s="122"/>
      <c r="ADT1" s="122"/>
      <c r="ADU1" s="122"/>
      <c r="ADV1" s="122"/>
      <c r="ADW1" s="122"/>
      <c r="ADX1" s="122"/>
      <c r="ADY1" s="122"/>
      <c r="ADZ1" s="122"/>
      <c r="AEA1" s="1065" t="s">
        <v>5545</v>
      </c>
      <c r="AEB1" s="122"/>
      <c r="AEC1" s="122"/>
      <c r="AED1" s="122"/>
      <c r="AEE1" s="1410" t="s">
        <v>336</v>
      </c>
      <c r="AEF1" s="122"/>
      <c r="AEG1" s="122"/>
      <c r="AEH1" s="122"/>
      <c r="AEI1" s="122"/>
      <c r="AEJ1" s="122"/>
      <c r="AEK1" s="122"/>
      <c r="AEL1" s="122"/>
      <c r="AEM1" s="122"/>
      <c r="AEN1" s="122"/>
      <c r="AEO1" s="122"/>
      <c r="AEP1" s="122"/>
      <c r="AEQ1" s="122"/>
      <c r="AER1" s="122"/>
      <c r="AES1" s="122"/>
      <c r="AET1" s="122"/>
      <c r="AEU1" s="122"/>
      <c r="AEV1" s="122"/>
      <c r="AEW1" s="122"/>
      <c r="AEX1" s="122"/>
      <c r="AEY1" s="122"/>
      <c r="AEZ1" s="122"/>
      <c r="AFA1" s="1065" t="s">
        <v>5546</v>
      </c>
      <c r="AFB1" s="122"/>
      <c r="AFC1" s="122"/>
      <c r="AFD1" s="122"/>
      <c r="AFE1" s="1410" t="s">
        <v>336</v>
      </c>
      <c r="AFF1" s="122"/>
      <c r="AFG1" s="122"/>
      <c r="AFH1" s="122"/>
      <c r="AFI1" s="122"/>
      <c r="AFJ1" s="122"/>
      <c r="AFK1" s="122"/>
      <c r="AFL1" s="122"/>
      <c r="AFM1" s="122"/>
      <c r="AFN1" s="122"/>
      <c r="AFO1" s="122"/>
      <c r="AFP1" s="122"/>
      <c r="AFQ1" s="122"/>
      <c r="AFR1" s="122"/>
      <c r="AFS1" s="122"/>
      <c r="AFT1" s="122"/>
      <c r="AFU1" s="122"/>
      <c r="AFV1" s="122"/>
      <c r="AFW1" s="122"/>
      <c r="AFX1" s="122"/>
      <c r="AFY1" s="122"/>
      <c r="AFZ1" s="122"/>
      <c r="AGA1" s="1065" t="s">
        <v>5547</v>
      </c>
      <c r="AGB1" s="122"/>
      <c r="AGC1" s="122"/>
      <c r="AGD1" s="122"/>
      <c r="AGE1" s="1410" t="s">
        <v>336</v>
      </c>
      <c r="AGF1" s="122"/>
      <c r="AGG1" s="122"/>
      <c r="AGH1" s="122"/>
      <c r="AGI1" s="122"/>
      <c r="AGJ1" s="122"/>
      <c r="AGK1" s="122"/>
      <c r="AGL1" s="122"/>
      <c r="AGM1" s="122"/>
      <c r="AGN1" s="122"/>
      <c r="AGO1" s="122"/>
      <c r="AGP1" s="122"/>
      <c r="AGQ1" s="122"/>
      <c r="AGR1" s="122"/>
      <c r="AGS1" s="122"/>
      <c r="AGT1" s="122"/>
      <c r="AGU1" s="122"/>
      <c r="AGV1" s="122"/>
      <c r="AGW1" s="122"/>
      <c r="AGX1" s="122"/>
      <c r="AGY1" s="122"/>
      <c r="AGZ1" s="122"/>
      <c r="AHA1" s="1065" t="s">
        <v>5548</v>
      </c>
      <c r="AHB1" s="122"/>
      <c r="AHC1" s="122"/>
      <c r="AHD1" s="122"/>
      <c r="AHE1" s="1410" t="s">
        <v>336</v>
      </c>
      <c r="AHF1" s="122"/>
      <c r="AHG1" s="122"/>
      <c r="AHH1" s="122"/>
      <c r="AHI1" s="122"/>
      <c r="AHJ1" s="122"/>
      <c r="AHK1" s="122"/>
      <c r="AHL1" s="122"/>
      <c r="AHM1" s="122"/>
      <c r="AHN1" s="122"/>
      <c r="AHO1" s="122"/>
      <c r="AHP1" s="122"/>
      <c r="AHQ1" s="122"/>
      <c r="AHR1" s="122"/>
      <c r="AHS1" s="122"/>
      <c r="AHT1" s="122"/>
      <c r="AHU1" s="122"/>
      <c r="AHV1" s="122"/>
      <c r="AHW1" s="122"/>
      <c r="AHX1" s="122"/>
      <c r="AHY1" s="122"/>
      <c r="AHZ1" s="122"/>
      <c r="AIA1" s="1065" t="s">
        <v>5559</v>
      </c>
      <c r="AIB1" s="122"/>
      <c r="AIC1" s="122"/>
      <c r="AID1" s="122"/>
      <c r="AIE1" s="1410" t="s">
        <v>336</v>
      </c>
      <c r="AIF1" s="122"/>
      <c r="AIG1" s="122"/>
      <c r="AIH1" s="122"/>
      <c r="AII1" s="122"/>
      <c r="AIJ1" s="122"/>
      <c r="AIK1" s="122"/>
      <c r="AIL1" s="122"/>
      <c r="AIM1" s="122"/>
      <c r="AIN1" s="122"/>
      <c r="AIO1" s="122"/>
      <c r="AIP1" s="122"/>
      <c r="AIQ1" s="122"/>
      <c r="AIR1" s="122"/>
      <c r="AIS1" s="122"/>
      <c r="AIT1" s="122"/>
      <c r="AIU1" s="122"/>
      <c r="AIV1" s="122"/>
      <c r="AIW1" s="122"/>
      <c r="AIX1" s="122"/>
      <c r="AIY1" s="122"/>
      <c r="AIZ1" s="122"/>
      <c r="AJA1" s="1065" t="s">
        <v>5606</v>
      </c>
      <c r="AJB1" s="122"/>
      <c r="AJC1" s="122"/>
      <c r="AJD1" s="122"/>
      <c r="AJE1" s="1410" t="s">
        <v>336</v>
      </c>
      <c r="AJF1" s="122"/>
      <c r="AJG1" s="122"/>
      <c r="AJH1" s="122"/>
      <c r="AJI1" s="122"/>
      <c r="AJJ1" s="122"/>
      <c r="AJK1" s="122"/>
      <c r="AJL1" s="122"/>
      <c r="AJM1" s="122"/>
      <c r="AJN1" s="122"/>
      <c r="AJO1" s="122"/>
      <c r="AJP1" s="122"/>
      <c r="AJQ1" s="122"/>
      <c r="AJR1" s="122"/>
      <c r="AJS1" s="122"/>
      <c r="AJT1" s="122"/>
      <c r="AJU1" s="122"/>
      <c r="AJV1" s="122"/>
      <c r="AJW1" s="122"/>
      <c r="AJX1" s="122"/>
      <c r="AJY1" s="122"/>
      <c r="AJZ1" s="122"/>
      <c r="AKA1" s="1065" t="s">
        <v>5607</v>
      </c>
      <c r="AKB1" s="122"/>
      <c r="AKC1" s="122"/>
      <c r="AKD1" s="122"/>
      <c r="AKE1" s="1410" t="s">
        <v>336</v>
      </c>
      <c r="AKF1" s="122"/>
      <c r="AKG1" s="122"/>
      <c r="AKH1" s="122"/>
      <c r="AKI1" s="122"/>
      <c r="AKJ1" s="122"/>
      <c r="AKK1" s="122"/>
      <c r="AKL1" s="122"/>
      <c r="AKM1" s="122"/>
      <c r="AKN1" s="122"/>
      <c r="AKO1" s="122"/>
      <c r="AKP1" s="122"/>
      <c r="AKQ1" s="122"/>
      <c r="AKR1" s="122"/>
      <c r="AKS1" s="122"/>
      <c r="AKT1" s="122"/>
      <c r="AKU1" s="122"/>
      <c r="AKV1" s="122"/>
      <c r="AKW1" s="122"/>
      <c r="AKX1" s="122"/>
      <c r="AKY1" s="122"/>
      <c r="AKZ1" s="122"/>
      <c r="ALA1" s="1065" t="s">
        <v>5560</v>
      </c>
      <c r="ALB1" s="122"/>
      <c r="ALC1" s="122"/>
      <c r="ALD1" s="122"/>
      <c r="ALE1" s="1410" t="s">
        <v>336</v>
      </c>
      <c r="AMA1" s="1065" t="s">
        <v>5561</v>
      </c>
      <c r="AME1" s="1410" t="s">
        <v>336</v>
      </c>
      <c r="ANA1" s="1065" t="s">
        <v>5562</v>
      </c>
      <c r="ANE1" s="1410" t="s">
        <v>336</v>
      </c>
      <c r="AOA1" s="1065" t="s">
        <v>5563</v>
      </c>
      <c r="AOE1" s="1410" t="s">
        <v>336</v>
      </c>
      <c r="APA1" s="1065" t="s">
        <v>5564</v>
      </c>
      <c r="APE1" s="1410" t="s">
        <v>336</v>
      </c>
      <c r="AQA1" s="1065" t="s">
        <v>5565</v>
      </c>
      <c r="AQE1" s="1410" t="s">
        <v>336</v>
      </c>
      <c r="ARA1" s="1065" t="s">
        <v>155</v>
      </c>
      <c r="ARE1" s="1410" t="s">
        <v>336</v>
      </c>
      <c r="ASA1" s="1065" t="s">
        <v>5514</v>
      </c>
      <c r="ASE1" s="1410" t="s">
        <v>336</v>
      </c>
      <c r="ATA1" s="1065" t="s">
        <v>3736</v>
      </c>
      <c r="ATE1" s="1410" t="s">
        <v>336</v>
      </c>
      <c r="AUA1" s="1065" t="s">
        <v>5513</v>
      </c>
      <c r="AUE1" s="1410" t="s">
        <v>336</v>
      </c>
    </row>
    <row r="2" spans="1:1022 1041:1228" ht="19.95" customHeight="1" thickBot="1">
      <c r="BH2" s="237"/>
      <c r="FA2" s="1163"/>
      <c r="FB2" s="1163"/>
      <c r="FC2" s="1989"/>
      <c r="FD2" s="1989"/>
      <c r="FE2" s="1989"/>
      <c r="FF2" s="1989"/>
      <c r="FG2" s="1325"/>
      <c r="IH2" s="1087" t="s">
        <v>5736</v>
      </c>
      <c r="JI2" s="1399" t="s">
        <v>5736</v>
      </c>
      <c r="JJ2" s="1399" t="s">
        <v>5736</v>
      </c>
      <c r="KA2" s="1163"/>
      <c r="KB2" s="1163"/>
      <c r="KC2" s="1989"/>
      <c r="KD2" s="1989"/>
      <c r="KE2" s="1989"/>
      <c r="KF2" s="1989"/>
      <c r="KG2" s="1325"/>
      <c r="NH2" s="1399" t="s">
        <v>5736</v>
      </c>
      <c r="RG2" s="1399" t="s">
        <v>5736</v>
      </c>
    </row>
    <row r="3" spans="1:1022 1041:1228" ht="30" customHeight="1" thickBot="1">
      <c r="B3" s="403" t="s">
        <v>345</v>
      </c>
      <c r="C3" s="404" t="s">
        <v>122</v>
      </c>
      <c r="D3" s="404" t="s">
        <v>346</v>
      </c>
      <c r="E3" s="463" t="s">
        <v>347</v>
      </c>
      <c r="F3" s="405" t="s">
        <v>233</v>
      </c>
      <c r="G3" s="1059"/>
      <c r="H3" s="1059"/>
      <c r="I3" s="1059"/>
      <c r="J3" s="1059"/>
      <c r="K3" s="1059"/>
      <c r="L3" s="1059"/>
      <c r="M3" s="1059"/>
      <c r="N3" s="1059"/>
      <c r="O3" s="1059"/>
      <c r="P3" s="1059"/>
      <c r="Q3" s="1059"/>
      <c r="R3" s="1059"/>
      <c r="S3" s="1059"/>
      <c r="T3" s="1059"/>
      <c r="U3" s="1059"/>
      <c r="V3" s="1059"/>
      <c r="W3" s="1059"/>
      <c r="AA3" s="1933" t="s">
        <v>6397</v>
      </c>
      <c r="AB3" s="1934"/>
      <c r="AC3" s="1118" t="s">
        <v>4115</v>
      </c>
      <c r="AD3" s="608" t="s">
        <v>5642</v>
      </c>
      <c r="AE3" s="1118" t="s">
        <v>1122</v>
      </c>
      <c r="AF3" s="1982" t="s">
        <v>234</v>
      </c>
      <c r="AG3" s="1982"/>
      <c r="BA3" s="612" t="s">
        <v>5519</v>
      </c>
      <c r="BB3" s="434"/>
      <c r="BC3" s="487" t="s">
        <v>4115</v>
      </c>
      <c r="BD3" s="487" t="s">
        <v>5643</v>
      </c>
      <c r="BH3" s="129"/>
      <c r="CA3" s="612" t="s">
        <v>3694</v>
      </c>
      <c r="CB3" s="434"/>
      <c r="CC3" s="487" t="s">
        <v>4115</v>
      </c>
      <c r="CD3" s="487" t="s">
        <v>5643</v>
      </c>
      <c r="CZ3" s="1933" t="s">
        <v>7049</v>
      </c>
      <c r="DA3" s="1934"/>
      <c r="DB3" s="487" t="s">
        <v>4115</v>
      </c>
      <c r="DC3" s="487" t="s">
        <v>5645</v>
      </c>
      <c r="DD3" s="225" t="s">
        <v>1122</v>
      </c>
      <c r="DE3" s="1740" t="s">
        <v>234</v>
      </c>
      <c r="DF3" s="1741"/>
      <c r="DY3" s="1933" t="s">
        <v>6270</v>
      </c>
      <c r="DZ3" s="1934"/>
      <c r="EA3" s="487" t="s">
        <v>4115</v>
      </c>
      <c r="EB3" s="487"/>
      <c r="EC3" s="487"/>
      <c r="ED3" s="487" t="s">
        <v>6265</v>
      </c>
      <c r="EE3" s="487"/>
      <c r="EF3" s="225" t="s">
        <v>1122</v>
      </c>
      <c r="EG3" s="1953" t="s">
        <v>234</v>
      </c>
      <c r="EH3" s="1954"/>
      <c r="FA3" s="1991" t="s">
        <v>7164</v>
      </c>
      <c r="FB3" s="1992"/>
      <c r="FC3" s="1117" t="s">
        <v>4115</v>
      </c>
      <c r="FD3" s="1117" t="s">
        <v>6272</v>
      </c>
      <c r="FE3" s="1982"/>
      <c r="FF3" s="1982"/>
      <c r="FG3" s="1982"/>
      <c r="FH3" s="1117" t="s">
        <v>1122</v>
      </c>
      <c r="FI3" s="1953" t="s">
        <v>234</v>
      </c>
      <c r="FJ3" s="1954"/>
      <c r="GA3" s="1202" t="s">
        <v>6497</v>
      </c>
      <c r="GC3" s="229" t="s">
        <v>6503</v>
      </c>
      <c r="HA3" s="1933" t="s">
        <v>6292</v>
      </c>
      <c r="HB3" s="1934"/>
      <c r="HC3" s="1118" t="s">
        <v>4115</v>
      </c>
      <c r="HD3" s="608" t="s">
        <v>7198</v>
      </c>
      <c r="HE3" s="1118" t="s">
        <v>1122</v>
      </c>
      <c r="HF3" s="1982" t="s">
        <v>234</v>
      </c>
      <c r="HG3" s="1982"/>
      <c r="IA3" s="452" t="s">
        <v>5524</v>
      </c>
      <c r="IB3" s="157"/>
      <c r="IC3" s="225" t="s">
        <v>4115</v>
      </c>
      <c r="ID3" s="225" t="s">
        <v>7201</v>
      </c>
      <c r="IH3" s="1201" t="s">
        <v>5753</v>
      </c>
      <c r="JA3" s="452" t="s">
        <v>5535</v>
      </c>
      <c r="JB3" s="157"/>
      <c r="JC3" s="225" t="s">
        <v>4115</v>
      </c>
      <c r="JD3" s="225" t="s">
        <v>7199</v>
      </c>
      <c r="JI3" s="1398" t="s">
        <v>7272</v>
      </c>
      <c r="JJ3" s="1398" t="s">
        <v>7272</v>
      </c>
      <c r="JK3" s="1393" t="s">
        <v>1122</v>
      </c>
      <c r="JL3" s="2021" t="s">
        <v>234</v>
      </c>
      <c r="JM3" s="2021"/>
      <c r="KA3" s="1933" t="s">
        <v>7208</v>
      </c>
      <c r="KB3" s="1934"/>
      <c r="KC3" s="1118"/>
      <c r="KD3" s="1118"/>
      <c r="KE3" s="608"/>
      <c r="KF3" s="1354" t="s">
        <v>4115</v>
      </c>
      <c r="KG3" s="1354" t="s">
        <v>7200</v>
      </c>
      <c r="KH3" s="1117" t="s">
        <v>1122</v>
      </c>
      <c r="KI3" s="1953" t="s">
        <v>234</v>
      </c>
      <c r="KJ3" s="1954"/>
      <c r="LA3" s="1933" t="s">
        <v>7188</v>
      </c>
      <c r="LB3" s="1934"/>
      <c r="LC3" s="1118" t="s">
        <v>4115</v>
      </c>
      <c r="LD3" s="1118" t="s">
        <v>5644</v>
      </c>
      <c r="LE3" s="1118"/>
      <c r="LF3" s="114"/>
      <c r="LG3" s="1118" t="s">
        <v>1122</v>
      </c>
      <c r="LH3" s="2012" t="s">
        <v>234</v>
      </c>
      <c r="LI3" s="2013"/>
      <c r="MA3" s="1933" t="s">
        <v>7189</v>
      </c>
      <c r="MB3" s="1934"/>
      <c r="MC3" s="225" t="s">
        <v>4115</v>
      </c>
      <c r="MD3" s="225" t="s">
        <v>7197</v>
      </c>
      <c r="NA3" s="1991" t="s">
        <v>7190</v>
      </c>
      <c r="NB3" s="2011"/>
      <c r="NC3" s="487" t="s">
        <v>4115</v>
      </c>
      <c r="ND3" s="487" t="s">
        <v>5646</v>
      </c>
      <c r="NH3" s="1398" t="s">
        <v>7272</v>
      </c>
      <c r="OA3" s="1933" t="s">
        <v>7318</v>
      </c>
      <c r="OB3" s="1934"/>
      <c r="OC3" s="225" t="s">
        <v>4115</v>
      </c>
      <c r="OD3" s="452" t="s">
        <v>5647</v>
      </c>
      <c r="OF3" s="2030" t="s">
        <v>7299</v>
      </c>
      <c r="OG3" s="2064" t="s">
        <v>7401</v>
      </c>
      <c r="OH3" s="225" t="s">
        <v>1122</v>
      </c>
      <c r="OI3" s="1740" t="s">
        <v>234</v>
      </c>
      <c r="OJ3" s="1741"/>
      <c r="PA3" s="2058" t="s">
        <v>7319</v>
      </c>
      <c r="PB3" s="2059"/>
      <c r="PC3" s="2060"/>
      <c r="PD3" s="608" t="s">
        <v>4115</v>
      </c>
      <c r="PE3" s="1411" t="s">
        <v>5648</v>
      </c>
      <c r="PF3" s="608" t="s">
        <v>1122</v>
      </c>
      <c r="PG3" s="1991" t="s">
        <v>234</v>
      </c>
      <c r="PH3" s="1992"/>
      <c r="QA3" s="1933" t="s">
        <v>7367</v>
      </c>
      <c r="QB3" s="1934"/>
      <c r="QC3" s="225" t="s">
        <v>4115</v>
      </c>
      <c r="QD3" s="225" t="s">
        <v>7322</v>
      </c>
      <c r="RA3" s="1933" t="s">
        <v>7321</v>
      </c>
      <c r="RB3" s="1934"/>
      <c r="RC3" s="225" t="s">
        <v>4115</v>
      </c>
      <c r="RD3" s="225" t="s">
        <v>5649</v>
      </c>
      <c r="RG3" s="1398" t="s">
        <v>7272</v>
      </c>
      <c r="SA3" s="1933" t="s">
        <v>7397</v>
      </c>
      <c r="SB3" s="1934"/>
      <c r="SC3" s="225" t="s">
        <v>4115</v>
      </c>
      <c r="SD3" s="452" t="s">
        <v>5647</v>
      </c>
      <c r="SF3" s="2030" t="s">
        <v>7299</v>
      </c>
      <c r="SG3" s="2064" t="s">
        <v>7401</v>
      </c>
      <c r="SH3" s="225" t="s">
        <v>1122</v>
      </c>
      <c r="SI3" s="1740" t="s">
        <v>234</v>
      </c>
      <c r="SJ3" s="1741"/>
      <c r="TA3" s="452" t="s">
        <v>5525</v>
      </c>
      <c r="TB3" s="157"/>
      <c r="TC3" s="225" t="s">
        <v>4115</v>
      </c>
      <c r="TD3" s="225" t="s">
        <v>5648</v>
      </c>
      <c r="TE3" s="225" t="s">
        <v>1122</v>
      </c>
      <c r="TF3" s="1075" t="s">
        <v>234</v>
      </c>
      <c r="UA3" s="452" t="s">
        <v>5526</v>
      </c>
      <c r="UB3" s="157"/>
      <c r="UC3" s="225" t="s">
        <v>4115</v>
      </c>
      <c r="UD3" s="225" t="s">
        <v>5649</v>
      </c>
      <c r="VA3" s="452" t="s">
        <v>5527</v>
      </c>
      <c r="VB3" s="157"/>
      <c r="VC3" s="225" t="s">
        <v>4115</v>
      </c>
      <c r="VD3" s="225" t="s">
        <v>5649</v>
      </c>
      <c r="WA3" s="452" t="s">
        <v>5532</v>
      </c>
      <c r="WB3" s="157"/>
      <c r="WC3" s="225" t="s">
        <v>4115</v>
      </c>
      <c r="WD3" s="225" t="s">
        <v>5650</v>
      </c>
      <c r="WE3" s="225" t="s">
        <v>1122</v>
      </c>
      <c r="WF3" s="1075" t="s">
        <v>234</v>
      </c>
      <c r="XA3" s="452" t="s">
        <v>5533</v>
      </c>
      <c r="XB3" s="157"/>
      <c r="XC3" s="225" t="s">
        <v>4115</v>
      </c>
      <c r="XD3" s="225" t="s">
        <v>5651</v>
      </c>
      <c r="YA3" s="452" t="s">
        <v>5534</v>
      </c>
      <c r="YB3" s="157"/>
      <c r="YC3" s="225" t="s">
        <v>4115</v>
      </c>
      <c r="YD3" s="225" t="s">
        <v>5651</v>
      </c>
      <c r="ZA3" s="452" t="s">
        <v>5536</v>
      </c>
      <c r="ZB3" s="157"/>
      <c r="ZC3" s="225" t="s">
        <v>4115</v>
      </c>
      <c r="ZD3" s="225" t="s">
        <v>7067</v>
      </c>
      <c r="ZE3" s="225" t="s">
        <v>1122</v>
      </c>
      <c r="ZF3" s="1075" t="s">
        <v>234</v>
      </c>
      <c r="AAA3" s="452" t="s">
        <v>5538</v>
      </c>
      <c r="AAB3" s="157"/>
      <c r="AAC3" s="225" t="s">
        <v>4115</v>
      </c>
      <c r="AAD3" s="225" t="s">
        <v>5653</v>
      </c>
      <c r="AAE3" s="225" t="s">
        <v>1122</v>
      </c>
      <c r="AAF3" s="1075" t="s">
        <v>234</v>
      </c>
      <c r="ABA3" s="452" t="s">
        <v>5539</v>
      </c>
      <c r="ABB3" s="157"/>
      <c r="ABC3" s="225" t="s">
        <v>4115</v>
      </c>
      <c r="ABD3" s="225" t="s">
        <v>5654</v>
      </c>
      <c r="ACA3" s="452" t="s">
        <v>5540</v>
      </c>
      <c r="ACB3" s="157"/>
      <c r="ACC3" s="225" t="s">
        <v>4115</v>
      </c>
      <c r="ACD3" s="225" t="s">
        <v>5654</v>
      </c>
      <c r="ADA3" s="452" t="s">
        <v>5541</v>
      </c>
      <c r="ADB3" s="157"/>
      <c r="ADC3" s="225" t="s">
        <v>4115</v>
      </c>
      <c r="ADD3" s="225" t="s">
        <v>7068</v>
      </c>
      <c r="ADE3" s="225" t="s">
        <v>1122</v>
      </c>
      <c r="ADF3" s="1075" t="s">
        <v>234</v>
      </c>
      <c r="AEA3" s="452" t="s">
        <v>5545</v>
      </c>
      <c r="AEB3" s="157"/>
      <c r="AEC3" s="225" t="s">
        <v>4115</v>
      </c>
      <c r="AED3" s="225" t="s">
        <v>5655</v>
      </c>
      <c r="AEE3" s="225" t="s">
        <v>1122</v>
      </c>
      <c r="AEF3" s="1075" t="s">
        <v>234</v>
      </c>
      <c r="AFA3" s="452" t="s">
        <v>5546</v>
      </c>
      <c r="AFB3" s="157"/>
      <c r="AFC3" s="225" t="s">
        <v>4115</v>
      </c>
      <c r="AFD3" s="225" t="s">
        <v>5656</v>
      </c>
      <c r="AGA3" s="452" t="s">
        <v>5547</v>
      </c>
      <c r="AGB3" s="157"/>
      <c r="AGC3" s="225" t="s">
        <v>4115</v>
      </c>
      <c r="AGD3" s="225" t="s">
        <v>5656</v>
      </c>
      <c r="AHA3" s="452" t="s">
        <v>5548</v>
      </c>
      <c r="AHB3" s="157"/>
      <c r="AHC3" s="225" t="s">
        <v>4115</v>
      </c>
      <c r="AHD3" s="225" t="s">
        <v>7069</v>
      </c>
      <c r="AHE3" s="225" t="s">
        <v>1122</v>
      </c>
      <c r="AHF3" s="1075" t="s">
        <v>234</v>
      </c>
      <c r="AIA3" s="452" t="s">
        <v>5559</v>
      </c>
      <c r="AIB3" s="157"/>
      <c r="AIC3" s="225" t="s">
        <v>4115</v>
      </c>
      <c r="AID3" s="225" t="s">
        <v>5658</v>
      </c>
      <c r="AIE3" s="225" t="s">
        <v>1122</v>
      </c>
      <c r="AIF3" s="1075" t="s">
        <v>234</v>
      </c>
      <c r="AJA3" s="452" t="s">
        <v>5606</v>
      </c>
      <c r="AJB3" s="157"/>
      <c r="AJC3" s="225" t="s">
        <v>4115</v>
      </c>
      <c r="AJD3" s="225" t="s">
        <v>5659</v>
      </c>
      <c r="AKA3" s="452" t="s">
        <v>5607</v>
      </c>
      <c r="AKB3" s="157"/>
      <c r="AKC3" s="225" t="s">
        <v>4115</v>
      </c>
      <c r="AKD3" s="225" t="s">
        <v>5659</v>
      </c>
      <c r="ALA3" s="452" t="s">
        <v>5560</v>
      </c>
      <c r="ALB3" s="157"/>
      <c r="ALC3" s="225" t="s">
        <v>4115</v>
      </c>
      <c r="ALD3" s="225" t="s">
        <v>5660</v>
      </c>
      <c r="ALE3" s="225" t="s">
        <v>1122</v>
      </c>
      <c r="ALF3" s="1075" t="s">
        <v>234</v>
      </c>
      <c r="AMA3" s="452" t="s">
        <v>5561</v>
      </c>
      <c r="AMB3" s="157"/>
      <c r="AMC3" s="225" t="s">
        <v>4115</v>
      </c>
      <c r="AMD3" s="225" t="s">
        <v>5661</v>
      </c>
      <c r="ANA3" s="452" t="s">
        <v>5562</v>
      </c>
      <c r="ANB3" s="157"/>
      <c r="ANC3" s="225" t="s">
        <v>4115</v>
      </c>
      <c r="AND3" s="225" t="s">
        <v>5661</v>
      </c>
      <c r="AOA3" s="452" t="s">
        <v>5563</v>
      </c>
      <c r="AOB3" s="157"/>
      <c r="AOC3" s="225" t="s">
        <v>4115</v>
      </c>
      <c r="AOD3" s="225" t="s">
        <v>5662</v>
      </c>
      <c r="AOE3" s="225" t="s">
        <v>1122</v>
      </c>
      <c r="AOF3" s="1075" t="s">
        <v>234</v>
      </c>
      <c r="APA3" s="452" t="s">
        <v>5564</v>
      </c>
      <c r="APB3" s="157"/>
      <c r="APC3" s="225" t="s">
        <v>4115</v>
      </c>
      <c r="APD3" s="225" t="s">
        <v>7070</v>
      </c>
      <c r="AQA3" s="452" t="s">
        <v>5565</v>
      </c>
      <c r="AQB3" s="157"/>
      <c r="AQC3" s="225" t="s">
        <v>4115</v>
      </c>
      <c r="AQD3" s="225" t="s">
        <v>7070</v>
      </c>
      <c r="ARA3" s="452" t="s">
        <v>155</v>
      </c>
      <c r="ARB3" s="157"/>
      <c r="ARC3" s="225" t="s">
        <v>4115</v>
      </c>
      <c r="ARD3" s="225" t="s">
        <v>5662</v>
      </c>
      <c r="ARE3" s="225" t="s">
        <v>1122</v>
      </c>
      <c r="ARF3" s="1075" t="s">
        <v>234</v>
      </c>
      <c r="ASA3" s="452" t="s">
        <v>5514</v>
      </c>
      <c r="ASB3" s="157"/>
      <c r="ASC3" s="225" t="s">
        <v>4115</v>
      </c>
      <c r="ASD3" s="225" t="s">
        <v>5663</v>
      </c>
      <c r="ASE3" s="225" t="s">
        <v>1122</v>
      </c>
      <c r="ASF3" s="1075" t="s">
        <v>234</v>
      </c>
      <c r="ATA3" s="452" t="s">
        <v>3736</v>
      </c>
      <c r="ATB3" s="157"/>
      <c r="ATC3" s="225" t="s">
        <v>4115</v>
      </c>
      <c r="ATD3" s="225" t="s">
        <v>5673</v>
      </c>
      <c r="ATE3" s="225" t="s">
        <v>1122</v>
      </c>
      <c r="ATF3" s="1075" t="s">
        <v>234</v>
      </c>
      <c r="AUA3" s="452" t="s">
        <v>5513</v>
      </c>
      <c r="AUB3" s="157"/>
      <c r="AUC3" s="225" t="s">
        <v>4115</v>
      </c>
      <c r="AUD3" s="225" t="s">
        <v>5672</v>
      </c>
      <c r="AUE3" s="225" t="s">
        <v>1122</v>
      </c>
      <c r="AUF3" s="1075" t="s">
        <v>234</v>
      </c>
    </row>
    <row r="4" spans="1:1022 1041:1228" ht="26.4" customHeight="1" thickBot="1">
      <c r="B4" s="290">
        <v>1</v>
      </c>
      <c r="C4" s="1359" t="s">
        <v>5522</v>
      </c>
      <c r="D4" s="1159" t="s">
        <v>5642</v>
      </c>
      <c r="E4" s="1160" t="s">
        <v>5530</v>
      </c>
      <c r="F4" s="1058" t="s">
        <v>233</v>
      </c>
      <c r="AA4" s="498" t="s">
        <v>350</v>
      </c>
      <c r="AB4" s="1984" t="s">
        <v>351</v>
      </c>
      <c r="AC4" s="1985"/>
      <c r="AD4" s="1497" t="s">
        <v>7019</v>
      </c>
      <c r="AE4" s="129"/>
      <c r="AF4" s="1969"/>
      <c r="AG4" s="1969"/>
      <c r="BA4" s="1041" t="s">
        <v>5726</v>
      </c>
      <c r="BB4" s="1041" t="s">
        <v>5728</v>
      </c>
      <c r="BC4" s="1041" t="s">
        <v>5728</v>
      </c>
      <c r="BD4" s="1041" t="s">
        <v>5729</v>
      </c>
      <c r="BE4" s="1041" t="s">
        <v>5730</v>
      </c>
      <c r="BF4" s="1041" t="s">
        <v>5731</v>
      </c>
      <c r="BG4" s="1041" t="s">
        <v>5732</v>
      </c>
      <c r="BH4" s="1041" t="s">
        <v>5733</v>
      </c>
      <c r="CA4" s="1041" t="s">
        <v>5726</v>
      </c>
      <c r="CB4" s="1041" t="s">
        <v>5728</v>
      </c>
      <c r="CC4" s="1041" t="s">
        <v>5728</v>
      </c>
      <c r="CD4" s="1041" t="s">
        <v>5729</v>
      </c>
      <c r="CE4" s="1041" t="s">
        <v>5730</v>
      </c>
      <c r="CF4" s="1041" t="s">
        <v>5731</v>
      </c>
      <c r="CG4" s="1041" t="s">
        <v>5732</v>
      </c>
      <c r="CH4" s="1041" t="s">
        <v>5733</v>
      </c>
      <c r="CI4" s="237"/>
      <c r="CZ4" s="222" t="s">
        <v>6404</v>
      </c>
      <c r="DA4" s="1044" t="s">
        <v>6816</v>
      </c>
      <c r="DB4" s="1858" t="s">
        <v>6257</v>
      </c>
      <c r="DC4" s="1858"/>
      <c r="DD4" s="437" t="s">
        <v>6259</v>
      </c>
      <c r="DE4" t="s">
        <v>7050</v>
      </c>
      <c r="DY4" s="222" t="s">
        <v>6404</v>
      </c>
      <c r="DZ4" s="1370" t="s">
        <v>6824</v>
      </c>
      <c r="EA4" s="1371"/>
      <c r="EB4" s="1371"/>
      <c r="EC4" s="1372"/>
      <c r="ED4" s="501" t="s">
        <v>6266</v>
      </c>
      <c r="EE4" s="1157" t="s">
        <v>6273</v>
      </c>
      <c r="EF4" s="437" t="s">
        <v>6259</v>
      </c>
      <c r="EG4" s="1942" t="s">
        <v>6825</v>
      </c>
      <c r="EH4" s="1644"/>
      <c r="FA4" s="1375" t="s">
        <v>6404</v>
      </c>
      <c r="FB4" s="1975" t="s">
        <v>7146</v>
      </c>
      <c r="FC4" s="1976"/>
      <c r="FD4" s="1977"/>
      <c r="FE4" s="1375" t="s">
        <v>7141</v>
      </c>
      <c r="FF4" s="1978" t="s">
        <v>7140</v>
      </c>
      <c r="FG4" s="1979"/>
      <c r="FH4" s="594" t="s">
        <v>7158</v>
      </c>
      <c r="FI4" s="1544" t="s">
        <v>7147</v>
      </c>
      <c r="FJ4" s="1544"/>
      <c r="HA4" s="498" t="s">
        <v>350</v>
      </c>
      <c r="HB4" s="1984" t="s">
        <v>351</v>
      </c>
      <c r="HC4" s="1985"/>
      <c r="HD4" s="501" t="s">
        <v>6522</v>
      </c>
      <c r="HE4" s="1205"/>
      <c r="HF4" s="1996"/>
      <c r="HG4" s="1996"/>
      <c r="IA4" s="1041" t="s">
        <v>5726</v>
      </c>
      <c r="IB4" s="1041" t="s">
        <v>5728</v>
      </c>
      <c r="IC4" s="1041" t="s">
        <v>5728</v>
      </c>
      <c r="ID4" s="1041" t="s">
        <v>5729</v>
      </c>
      <c r="IE4" s="1041" t="s">
        <v>5730</v>
      </c>
      <c r="IF4" s="1041" t="s">
        <v>5731</v>
      </c>
      <c r="IG4" s="1041" t="s">
        <v>5732</v>
      </c>
      <c r="IH4" s="1041" t="s">
        <v>5733</v>
      </c>
      <c r="II4" s="1041" t="s">
        <v>6042</v>
      </c>
      <c r="JA4" s="2023" t="s">
        <v>4553</v>
      </c>
      <c r="JB4" s="2024"/>
      <c r="JC4" s="2025" t="s">
        <v>7219</v>
      </c>
      <c r="JD4" s="2026"/>
      <c r="JE4" s="2027"/>
      <c r="JF4" s="373" t="s">
        <v>6431</v>
      </c>
      <c r="JG4" s="1351" t="s">
        <v>7001</v>
      </c>
      <c r="JI4" s="1398"/>
      <c r="JK4" s="237" t="s">
        <v>6259</v>
      </c>
      <c r="JL4" s="1394" t="s">
        <v>7254</v>
      </c>
      <c r="JM4" s="1394" t="s">
        <v>7255</v>
      </c>
      <c r="KA4" s="2034" t="s">
        <v>4553</v>
      </c>
      <c r="KB4" s="2034"/>
      <c r="KC4" s="2025" t="s">
        <v>7219</v>
      </c>
      <c r="KD4" s="2026"/>
      <c r="KF4" s="2030" t="s">
        <v>7305</v>
      </c>
      <c r="KG4" s="2032" t="s">
        <v>7308</v>
      </c>
      <c r="KH4" s="1353" t="s">
        <v>6259</v>
      </c>
      <c r="KI4" s="1544" t="s">
        <v>7306</v>
      </c>
      <c r="KJ4" s="1544"/>
      <c r="LA4" s="498" t="s">
        <v>350</v>
      </c>
      <c r="LB4" s="1586" t="s">
        <v>351</v>
      </c>
      <c r="LC4" s="1587"/>
      <c r="LD4" s="255"/>
      <c r="LE4" s="255"/>
      <c r="LF4" s="593" t="s">
        <v>6531</v>
      </c>
      <c r="LG4" s="1205"/>
      <c r="LH4" s="1996"/>
      <c r="LI4" s="1996"/>
      <c r="MA4" s="1041" t="s">
        <v>5726</v>
      </c>
      <c r="MB4" s="1041" t="s">
        <v>5727</v>
      </c>
      <c r="MC4" s="1041" t="s">
        <v>5728</v>
      </c>
      <c r="MD4" s="1041" t="s">
        <v>5729</v>
      </c>
      <c r="ME4" s="1041" t="s">
        <v>5730</v>
      </c>
      <c r="MF4" s="1041" t="s">
        <v>5731</v>
      </c>
      <c r="MG4" s="1041" t="s">
        <v>5732</v>
      </c>
      <c r="MH4" s="1041" t="s">
        <v>5733</v>
      </c>
      <c r="MI4" s="1041" t="s">
        <v>6042</v>
      </c>
      <c r="NA4" s="1041" t="s">
        <v>5726</v>
      </c>
      <c r="NB4" s="1041" t="s">
        <v>5727</v>
      </c>
      <c r="NC4" s="1041" t="s">
        <v>5728</v>
      </c>
      <c r="ND4" s="1041" t="s">
        <v>5729</v>
      </c>
      <c r="NE4" s="1041" t="s">
        <v>5730</v>
      </c>
      <c r="NF4" s="1041" t="s">
        <v>5731</v>
      </c>
      <c r="NG4" s="1041" t="s">
        <v>5732</v>
      </c>
      <c r="NH4" s="1041" t="s">
        <v>5733</v>
      </c>
      <c r="NI4" s="1041" t="s">
        <v>6042</v>
      </c>
      <c r="NJ4" s="1041" t="s">
        <v>6043</v>
      </c>
      <c r="OA4" s="222" t="s">
        <v>151</v>
      </c>
      <c r="OB4" s="2028" t="s">
        <v>7206</v>
      </c>
      <c r="OC4" s="2029"/>
      <c r="OD4" s="2029"/>
      <c r="OE4" s="1405"/>
      <c r="OF4" s="2031"/>
      <c r="OG4" s="2065"/>
      <c r="OH4" s="1403" t="s">
        <v>6259</v>
      </c>
      <c r="OI4" s="1644" t="s">
        <v>7301</v>
      </c>
      <c r="OJ4" s="1644"/>
      <c r="PA4" s="52" t="s">
        <v>350</v>
      </c>
      <c r="PB4" s="1685" t="s">
        <v>351</v>
      </c>
      <c r="PC4" s="1588"/>
      <c r="PD4" s="1425" t="s">
        <v>7377</v>
      </c>
      <c r="PF4" s="1015"/>
      <c r="PG4" s="2061" t="s">
        <v>7378</v>
      </c>
      <c r="PH4" s="2061"/>
      <c r="QA4" s="1041" t="s">
        <v>5726</v>
      </c>
      <c r="QB4" s="1041" t="s">
        <v>5727</v>
      </c>
      <c r="QC4" s="1041" t="s">
        <v>5728</v>
      </c>
      <c r="QD4" s="1041" t="s">
        <v>5729</v>
      </c>
      <c r="QE4" s="1041" t="s">
        <v>5730</v>
      </c>
      <c r="QF4" s="1041" t="s">
        <v>5731</v>
      </c>
      <c r="QG4" s="1041" t="s">
        <v>5732</v>
      </c>
      <c r="QH4" s="1041" t="s">
        <v>5733</v>
      </c>
      <c r="QI4" s="1041" t="s">
        <v>6042</v>
      </c>
      <c r="RA4" s="1041" t="s">
        <v>5726</v>
      </c>
      <c r="RB4" s="1041" t="s">
        <v>5727</v>
      </c>
      <c r="RC4" s="1041" t="s">
        <v>5728</v>
      </c>
      <c r="RD4" s="1041" t="s">
        <v>5729</v>
      </c>
      <c r="RE4" s="1041" t="s">
        <v>5730</v>
      </c>
      <c r="RF4" s="1041" t="s">
        <v>5731</v>
      </c>
      <c r="RG4" s="1041" t="s">
        <v>5732</v>
      </c>
      <c r="RH4" s="1041" t="s">
        <v>5733</v>
      </c>
      <c r="RI4" s="1041" t="s">
        <v>6042</v>
      </c>
      <c r="RJ4" s="237"/>
      <c r="RK4" s="237"/>
      <c r="RL4" s="237"/>
      <c r="RM4" s="237"/>
      <c r="RN4" s="237"/>
      <c r="RO4" s="237"/>
      <c r="RP4" s="237"/>
      <c r="RQ4" s="237"/>
      <c r="RR4" s="237"/>
      <c r="RS4" s="237"/>
      <c r="RT4" s="237"/>
      <c r="RU4" s="237"/>
      <c r="RV4" s="237"/>
      <c r="RW4" s="237"/>
      <c r="RX4" s="237"/>
      <c r="RY4" s="237"/>
      <c r="SA4" s="222" t="s">
        <v>113</v>
      </c>
      <c r="SB4" s="2028" t="s">
        <v>7399</v>
      </c>
      <c r="SC4" s="2029"/>
      <c r="SD4" s="2029"/>
      <c r="SE4" s="1405"/>
      <c r="SF4" s="2031"/>
      <c r="SG4" s="2065"/>
      <c r="SH4" s="1403" t="s">
        <v>6259</v>
      </c>
      <c r="SI4" s="1644" t="s">
        <v>7301</v>
      </c>
      <c r="SJ4" s="1644"/>
      <c r="UA4" s="1041" t="s">
        <v>5726</v>
      </c>
      <c r="UB4" s="1041" t="s">
        <v>5728</v>
      </c>
      <c r="UC4" s="1041" t="s">
        <v>5728</v>
      </c>
      <c r="UD4" s="1041" t="s">
        <v>5729</v>
      </c>
      <c r="UE4" s="1041" t="s">
        <v>5730</v>
      </c>
      <c r="UF4" s="1041" t="s">
        <v>5731</v>
      </c>
      <c r="UG4" s="1041" t="s">
        <v>5732</v>
      </c>
      <c r="UH4" s="1041" t="s">
        <v>5733</v>
      </c>
      <c r="VA4" s="1041" t="s">
        <v>5726</v>
      </c>
      <c r="VB4" s="1041" t="s">
        <v>5728</v>
      </c>
      <c r="VC4" s="1041" t="s">
        <v>5728</v>
      </c>
      <c r="VD4" s="1041" t="s">
        <v>5729</v>
      </c>
      <c r="VE4" s="702" t="s">
        <v>5730</v>
      </c>
      <c r="VF4" s="1041" t="s">
        <v>5731</v>
      </c>
      <c r="VG4" s="702" t="s">
        <v>5732</v>
      </c>
      <c r="VH4" s="1041" t="s">
        <v>5733</v>
      </c>
      <c r="XA4" s="1041" t="s">
        <v>5726</v>
      </c>
      <c r="XB4" s="1041" t="s">
        <v>5728</v>
      </c>
      <c r="XC4" s="1041" t="s">
        <v>5728</v>
      </c>
      <c r="XD4" s="1041" t="s">
        <v>5729</v>
      </c>
      <c r="XE4" s="1041" t="s">
        <v>5730</v>
      </c>
      <c r="XF4" s="1041" t="s">
        <v>5731</v>
      </c>
      <c r="XG4" s="1041" t="s">
        <v>5732</v>
      </c>
      <c r="XH4" s="1041" t="s">
        <v>5733</v>
      </c>
      <c r="YA4" s="1041" t="s">
        <v>5726</v>
      </c>
      <c r="YB4" s="1041" t="s">
        <v>5728</v>
      </c>
      <c r="YC4" s="1041" t="s">
        <v>5728</v>
      </c>
      <c r="YD4" s="1041" t="s">
        <v>5729</v>
      </c>
      <c r="YE4" s="702" t="s">
        <v>5730</v>
      </c>
      <c r="YF4" s="1041" t="s">
        <v>5731</v>
      </c>
      <c r="YG4" s="702" t="s">
        <v>5732</v>
      </c>
      <c r="YH4" s="1041" t="s">
        <v>5733</v>
      </c>
      <c r="ABA4" s="1041" t="s">
        <v>5726</v>
      </c>
      <c r="ABB4" s="1041" t="s">
        <v>5728</v>
      </c>
      <c r="ABC4" s="1041" t="s">
        <v>5728</v>
      </c>
      <c r="ABD4" s="1041" t="s">
        <v>5729</v>
      </c>
      <c r="ABE4" s="1041" t="s">
        <v>5730</v>
      </c>
      <c r="ABF4" s="1041" t="s">
        <v>5731</v>
      </c>
      <c r="ABG4" s="1041" t="s">
        <v>5732</v>
      </c>
      <c r="ABH4" s="1041" t="s">
        <v>5733</v>
      </c>
      <c r="ACA4" s="1041" t="s">
        <v>5726</v>
      </c>
      <c r="ACB4" s="1041" t="s">
        <v>5728</v>
      </c>
      <c r="ACC4" s="1041" t="s">
        <v>5728</v>
      </c>
      <c r="ACD4" s="1041" t="s">
        <v>5729</v>
      </c>
      <c r="ACE4" s="702" t="s">
        <v>5730</v>
      </c>
      <c r="ACF4" s="1041" t="s">
        <v>5731</v>
      </c>
      <c r="ACG4" s="702" t="s">
        <v>5732</v>
      </c>
      <c r="ACH4" s="1041" t="s">
        <v>5733</v>
      </c>
      <c r="AFA4" s="1041" t="s">
        <v>5726</v>
      </c>
      <c r="AFB4" s="1041" t="s">
        <v>5728</v>
      </c>
      <c r="AFC4" s="1041" t="s">
        <v>5728</v>
      </c>
      <c r="AFD4" s="1041" t="s">
        <v>5729</v>
      </c>
      <c r="AFE4" s="1041" t="s">
        <v>5730</v>
      </c>
      <c r="AFF4" s="1041" t="s">
        <v>5731</v>
      </c>
      <c r="AFG4" s="1041" t="s">
        <v>5732</v>
      </c>
      <c r="AFH4" s="1041" t="s">
        <v>5733</v>
      </c>
      <c r="AGA4" s="1041" t="s">
        <v>5726</v>
      </c>
      <c r="AGB4" s="1041" t="s">
        <v>5728</v>
      </c>
      <c r="AGC4" s="1041" t="s">
        <v>5728</v>
      </c>
      <c r="AGD4" s="1041" t="s">
        <v>5729</v>
      </c>
      <c r="AGE4" s="702" t="s">
        <v>5730</v>
      </c>
      <c r="AGF4" s="1041" t="s">
        <v>5731</v>
      </c>
      <c r="AGG4" s="702" t="s">
        <v>5732</v>
      </c>
      <c r="AGH4" s="1041" t="s">
        <v>5733</v>
      </c>
      <c r="AJA4" s="1041" t="s">
        <v>5726</v>
      </c>
      <c r="AJB4" s="1041" t="s">
        <v>5728</v>
      </c>
      <c r="AJC4" s="1041" t="s">
        <v>5728</v>
      </c>
      <c r="AJD4" s="1041" t="s">
        <v>5729</v>
      </c>
      <c r="AJE4" s="1041" t="s">
        <v>5730</v>
      </c>
      <c r="AJF4" s="1041" t="s">
        <v>5731</v>
      </c>
      <c r="AJG4" s="1041" t="s">
        <v>5732</v>
      </c>
      <c r="AJH4" s="1041" t="s">
        <v>5733</v>
      </c>
      <c r="AKA4" s="1041" t="s">
        <v>5726</v>
      </c>
      <c r="AKB4" s="1041" t="s">
        <v>5728</v>
      </c>
      <c r="AKC4" s="1041" t="s">
        <v>5728</v>
      </c>
      <c r="AKD4" s="1041" t="s">
        <v>5729</v>
      </c>
      <c r="AKE4" s="702" t="s">
        <v>5730</v>
      </c>
      <c r="AKF4" s="1041" t="s">
        <v>5731</v>
      </c>
      <c r="AKG4" s="702" t="s">
        <v>5732</v>
      </c>
      <c r="AKH4" s="1041" t="s">
        <v>5733</v>
      </c>
      <c r="AMA4" s="1041" t="s">
        <v>5726</v>
      </c>
      <c r="AMB4" s="1041" t="s">
        <v>5728</v>
      </c>
      <c r="AMC4" s="1041" t="s">
        <v>5728</v>
      </c>
      <c r="AMD4" s="1041" t="s">
        <v>5729</v>
      </c>
      <c r="AME4" s="1041" t="s">
        <v>5730</v>
      </c>
      <c r="AMF4" s="1041" t="s">
        <v>5731</v>
      </c>
      <c r="AMG4" s="1041" t="s">
        <v>5732</v>
      </c>
      <c r="AMH4" s="1041" t="s">
        <v>5733</v>
      </c>
      <c r="ANA4" s="1041" t="s">
        <v>5726</v>
      </c>
      <c r="ANB4" s="1041" t="s">
        <v>5728</v>
      </c>
      <c r="ANC4" s="1041" t="s">
        <v>5728</v>
      </c>
      <c r="AND4" s="1041" t="s">
        <v>5729</v>
      </c>
      <c r="ANE4" s="702" t="s">
        <v>5730</v>
      </c>
      <c r="ANF4" s="1041" t="s">
        <v>5731</v>
      </c>
      <c r="ANG4" s="702" t="s">
        <v>5732</v>
      </c>
      <c r="ANH4" s="1041" t="s">
        <v>5733</v>
      </c>
      <c r="APA4" s="1041" t="s">
        <v>5726</v>
      </c>
      <c r="APB4" s="1041" t="s">
        <v>5728</v>
      </c>
      <c r="APC4" s="1041" t="s">
        <v>5728</v>
      </c>
      <c r="APD4" s="1041" t="s">
        <v>5729</v>
      </c>
      <c r="APE4" s="1041" t="s">
        <v>5730</v>
      </c>
      <c r="APF4" s="1041" t="s">
        <v>5731</v>
      </c>
      <c r="APG4" s="1041" t="s">
        <v>5732</v>
      </c>
      <c r="APH4" s="1041" t="s">
        <v>5733</v>
      </c>
      <c r="AQA4" s="1041" t="s">
        <v>5726</v>
      </c>
      <c r="AQB4" s="1041" t="s">
        <v>5728</v>
      </c>
      <c r="AQC4" s="1041" t="s">
        <v>5728</v>
      </c>
      <c r="AQD4" s="1041" t="s">
        <v>5729</v>
      </c>
      <c r="AQE4" s="702" t="s">
        <v>5730</v>
      </c>
      <c r="AQF4" s="1041" t="s">
        <v>5731</v>
      </c>
      <c r="AQG4" s="702" t="s">
        <v>5732</v>
      </c>
      <c r="AQH4" s="1041" t="s">
        <v>5733</v>
      </c>
    </row>
    <row r="5" spans="1:1022 1041:1228" ht="30" customHeight="1" thickBot="1">
      <c r="B5" s="290">
        <v>2</v>
      </c>
      <c r="C5" s="1359" t="s">
        <v>5519</v>
      </c>
      <c r="D5" s="1159" t="s">
        <v>7335</v>
      </c>
      <c r="E5" s="1160" t="s">
        <v>5664</v>
      </c>
      <c r="F5" s="1058" t="s">
        <v>233</v>
      </c>
      <c r="AA5" s="222" t="s">
        <v>6063</v>
      </c>
      <c r="AB5" s="1943" t="s">
        <v>6396</v>
      </c>
      <c r="AC5" s="1944"/>
      <c r="AD5" s="1498"/>
      <c r="AE5" s="437">
        <v>1</v>
      </c>
      <c r="AF5" s="1970" t="s">
        <v>7015</v>
      </c>
      <c r="AG5" s="1755"/>
      <c r="BA5" s="378" t="s">
        <v>7037</v>
      </c>
      <c r="BB5" t="s">
        <v>5789</v>
      </c>
      <c r="BC5" s="129" t="s">
        <v>6436</v>
      </c>
      <c r="BD5" t="s">
        <v>259</v>
      </c>
      <c r="BE5" s="129" t="s">
        <v>1463</v>
      </c>
      <c r="BF5" s="129" t="s">
        <v>6818</v>
      </c>
      <c r="BG5" s="1085" t="s">
        <v>5739</v>
      </c>
      <c r="BH5" s="129" t="s">
        <v>6251</v>
      </c>
      <c r="CA5" s="378" t="s">
        <v>7037</v>
      </c>
      <c r="CB5" t="s">
        <v>5789</v>
      </c>
      <c r="CC5" s="129" t="s">
        <v>6436</v>
      </c>
      <c r="CD5" t="s">
        <v>259</v>
      </c>
      <c r="CE5" s="129" t="s">
        <v>1463</v>
      </c>
      <c r="CF5" s="129" t="s">
        <v>6818</v>
      </c>
      <c r="CG5" s="1085" t="s">
        <v>5739</v>
      </c>
      <c r="CH5" s="129" t="s">
        <v>6251</v>
      </c>
      <c r="CI5" s="129"/>
      <c r="CZ5" s="222" t="s">
        <v>6401</v>
      </c>
      <c r="DA5" s="1044" t="s">
        <v>6817</v>
      </c>
      <c r="DB5" s="1980" t="s">
        <v>6400</v>
      </c>
      <c r="DC5" s="1980"/>
      <c r="DD5" s="437">
        <v>3</v>
      </c>
      <c r="DY5" s="1365" t="s">
        <v>1261</v>
      </c>
      <c r="DZ5" s="1365" t="s">
        <v>3768</v>
      </c>
      <c r="EA5" s="1365" t="s">
        <v>1269</v>
      </c>
      <c r="EB5" s="1365" t="s">
        <v>1278</v>
      </c>
      <c r="EC5" s="1365" t="s">
        <v>3769</v>
      </c>
      <c r="ED5" s="1365" t="s">
        <v>1291</v>
      </c>
      <c r="EE5" s="1365" t="s">
        <v>723</v>
      </c>
      <c r="EF5" s="222"/>
      <c r="EG5" s="1298"/>
      <c r="EH5" s="1294"/>
      <c r="EI5" s="1170"/>
      <c r="FA5" s="1990" t="s">
        <v>6279</v>
      </c>
      <c r="FB5" s="1990"/>
      <c r="FC5" s="1990" t="s">
        <v>5789</v>
      </c>
      <c r="FD5" s="1990"/>
      <c r="FE5" s="1990" t="s">
        <v>259</v>
      </c>
      <c r="FF5" s="1990"/>
      <c r="GA5" s="1202" t="s">
        <v>6498</v>
      </c>
      <c r="HA5" s="501" t="s">
        <v>4553</v>
      </c>
      <c r="HB5" s="1933" t="s">
        <v>6515</v>
      </c>
      <c r="HC5" s="1997"/>
      <c r="HD5" s="1208" t="s">
        <v>6523</v>
      </c>
      <c r="HE5" s="1207" t="s">
        <v>6259</v>
      </c>
      <c r="HF5" s="1543" t="s">
        <v>6524</v>
      </c>
      <c r="HG5" s="1544"/>
      <c r="IA5" s="415" t="s">
        <v>6526</v>
      </c>
      <c r="IB5" s="415" t="s">
        <v>5462</v>
      </c>
      <c r="IC5" s="415" t="s">
        <v>6404</v>
      </c>
      <c r="ID5" s="415" t="s">
        <v>6445</v>
      </c>
      <c r="IE5" s="415" t="s">
        <v>6258</v>
      </c>
      <c r="IF5" s="415" t="s">
        <v>4456</v>
      </c>
      <c r="IG5" s="1209" t="s">
        <v>6440</v>
      </c>
      <c r="IH5" s="1209" t="s">
        <v>6441</v>
      </c>
      <c r="II5" s="1209" t="s">
        <v>6442</v>
      </c>
      <c r="JA5" s="1041" t="s">
        <v>5726</v>
      </c>
      <c r="JB5" s="1041" t="s">
        <v>5727</v>
      </c>
      <c r="JC5" s="1041" t="s">
        <v>5728</v>
      </c>
      <c r="JD5" s="1041" t="s">
        <v>5729</v>
      </c>
      <c r="JE5" s="1041" t="s">
        <v>5730</v>
      </c>
      <c r="JF5" s="1041" t="s">
        <v>5731</v>
      </c>
      <c r="JG5" s="1041" t="s">
        <v>5732</v>
      </c>
      <c r="JH5" s="1041" t="s">
        <v>5733</v>
      </c>
      <c r="JI5" s="1041" t="s">
        <v>6042</v>
      </c>
      <c r="JJ5" s="1041" t="s">
        <v>6043</v>
      </c>
      <c r="JL5" s="1209"/>
      <c r="KA5" s="1991" t="s">
        <v>6529</v>
      </c>
      <c r="KB5" s="2035"/>
      <c r="KC5" s="2035"/>
      <c r="KD5" s="2035"/>
      <c r="KF5" s="2031"/>
      <c r="KG5" s="2033"/>
      <c r="KH5" s="192"/>
      <c r="KI5" s="2014" t="s">
        <v>7307</v>
      </c>
      <c r="KJ5" s="2014"/>
      <c r="LA5" s="501" t="s">
        <v>7172</v>
      </c>
      <c r="LB5" s="2010" t="s">
        <v>7173</v>
      </c>
      <c r="LC5" s="2010"/>
      <c r="LD5" s="2010"/>
      <c r="LE5" s="2010"/>
      <c r="LF5" s="1218" t="s">
        <v>6532</v>
      </c>
      <c r="LG5" s="258" t="s">
        <v>6259</v>
      </c>
      <c r="LH5" s="1376" t="s">
        <v>7165</v>
      </c>
      <c r="LI5" s="1091" t="s">
        <v>7179</v>
      </c>
      <c r="MA5" s="1396" t="s">
        <v>6540</v>
      </c>
      <c r="MB5" s="171" t="s">
        <v>7266</v>
      </c>
      <c r="MC5" s="171" t="s">
        <v>6436</v>
      </c>
      <c r="MD5" s="171" t="s">
        <v>961</v>
      </c>
      <c r="ME5" s="171" t="s">
        <v>1463</v>
      </c>
      <c r="MF5" s="1211" t="s">
        <v>7268</v>
      </c>
      <c r="MG5" s="1085" t="s">
        <v>5739</v>
      </c>
      <c r="MH5" s="129" t="s">
        <v>5757</v>
      </c>
      <c r="MI5" s="129" t="s">
        <v>6237</v>
      </c>
      <c r="NA5" s="1396" t="s">
        <v>6540</v>
      </c>
      <c r="NB5" s="171" t="s">
        <v>7266</v>
      </c>
      <c r="NC5" s="171" t="s">
        <v>6436</v>
      </c>
      <c r="ND5" s="171" t="s">
        <v>961</v>
      </c>
      <c r="NE5" s="171" t="s">
        <v>1463</v>
      </c>
      <c r="NF5" s="1211" t="s">
        <v>7268</v>
      </c>
      <c r="NG5" s="1085" t="s">
        <v>5739</v>
      </c>
      <c r="NH5" s="129" t="s">
        <v>5757</v>
      </c>
      <c r="NI5" s="129" t="s">
        <v>6237</v>
      </c>
      <c r="NJ5" s="1209" t="s">
        <v>6442</v>
      </c>
      <c r="OA5" s="1990" t="s">
        <v>6279</v>
      </c>
      <c r="OB5" s="1990"/>
      <c r="OC5" s="2005" t="s">
        <v>7260</v>
      </c>
      <c r="OD5" s="2006"/>
      <c r="OE5" s="2006"/>
      <c r="OF5" s="1406" t="s">
        <v>7310</v>
      </c>
      <c r="OG5" s="828" t="s">
        <v>6404</v>
      </c>
      <c r="OH5" s="1403"/>
      <c r="OI5" s="1294"/>
      <c r="PA5" s="1414" t="s">
        <v>5789</v>
      </c>
      <c r="PB5" s="2050" t="s">
        <v>7342</v>
      </c>
      <c r="PC5" s="2051"/>
      <c r="PD5" s="1421" t="s">
        <v>6063</v>
      </c>
      <c r="PE5" s="2040" t="s">
        <v>7366</v>
      </c>
      <c r="PF5" s="608" t="s">
        <v>6003</v>
      </c>
      <c r="PG5" s="1738"/>
      <c r="PH5" s="1738"/>
      <c r="QA5" s="1426" t="s">
        <v>7376</v>
      </c>
      <c r="QB5" s="171" t="s">
        <v>5789</v>
      </c>
      <c r="QC5" s="171" t="s">
        <v>6436</v>
      </c>
      <c r="QD5" s="171" t="s">
        <v>961</v>
      </c>
      <c r="QE5" s="171" t="s">
        <v>259</v>
      </c>
      <c r="QF5" s="171" t="s">
        <v>1463</v>
      </c>
      <c r="QG5" s="1085" t="s">
        <v>5739</v>
      </c>
      <c r="QH5" s="129" t="s">
        <v>5757</v>
      </c>
      <c r="QI5" s="129" t="s">
        <v>6237</v>
      </c>
      <c r="RA5" s="1426" t="s">
        <v>7376</v>
      </c>
      <c r="RB5" s="171" t="s">
        <v>5789</v>
      </c>
      <c r="RC5" s="171" t="s">
        <v>6436</v>
      </c>
      <c r="RD5" s="171" t="s">
        <v>961</v>
      </c>
      <c r="RE5" s="171" t="s">
        <v>259</v>
      </c>
      <c r="RF5" s="171" t="s">
        <v>1463</v>
      </c>
      <c r="RG5" s="1085" t="s">
        <v>5739</v>
      </c>
      <c r="RH5" s="129" t="s">
        <v>5757</v>
      </c>
      <c r="RI5" s="129" t="s">
        <v>6237</v>
      </c>
      <c r="RJ5" s="129"/>
      <c r="RK5" s="129"/>
      <c r="RL5" s="129"/>
      <c r="RM5" s="129"/>
      <c r="RN5" s="129"/>
      <c r="RO5" s="129"/>
      <c r="RP5" s="129"/>
      <c r="RQ5" s="129"/>
      <c r="RR5" s="129"/>
      <c r="RS5" s="129"/>
      <c r="RT5" s="129"/>
      <c r="RU5" s="129"/>
      <c r="RV5" s="129"/>
      <c r="RW5" s="129"/>
      <c r="RX5" s="129"/>
      <c r="RY5" s="129"/>
      <c r="SA5" s="1990" t="s">
        <v>6279</v>
      </c>
      <c r="SB5" s="1990"/>
      <c r="SC5" s="2005" t="s">
        <v>7260</v>
      </c>
      <c r="SD5" s="2006"/>
      <c r="SE5" s="2006"/>
      <c r="SF5" s="1406" t="s">
        <v>5789</v>
      </c>
      <c r="SG5" s="828" t="s">
        <v>6404</v>
      </c>
      <c r="SH5" s="1403"/>
      <c r="SI5" s="1294"/>
      <c r="UA5" s="1087" t="s">
        <v>5736</v>
      </c>
      <c r="UB5" s="129" t="s">
        <v>5723</v>
      </c>
      <c r="UC5" s="129" t="s">
        <v>5462</v>
      </c>
      <c r="UD5" s="129" t="s">
        <v>5454</v>
      </c>
      <c r="UE5" s="129" t="s">
        <v>5453</v>
      </c>
      <c r="UF5" s="1085" t="s">
        <v>5739</v>
      </c>
      <c r="UG5" s="129" t="s">
        <v>5757</v>
      </c>
      <c r="UH5" s="129" t="s">
        <v>6237</v>
      </c>
      <c r="VA5" s="1087" t="s">
        <v>5736</v>
      </c>
      <c r="VB5" s="129" t="s">
        <v>5723</v>
      </c>
      <c r="VC5" s="129" t="str">
        <f>$AA$6</f>
        <v>Stakeholder Name</v>
      </c>
      <c r="VD5" s="129" t="s">
        <v>5454</v>
      </c>
      <c r="VE5" s="129" t="s">
        <v>5453</v>
      </c>
      <c r="VF5" s="1085" t="s">
        <v>5739</v>
      </c>
      <c r="VG5" s="129" t="s">
        <v>5757</v>
      </c>
      <c r="VH5" s="129" t="s">
        <v>6237</v>
      </c>
      <c r="XA5" s="1087" t="s">
        <v>5736</v>
      </c>
      <c r="XB5" s="129" t="s">
        <v>5723</v>
      </c>
      <c r="XC5" s="129" t="s">
        <v>5462</v>
      </c>
      <c r="XD5" s="129" t="s">
        <v>5454</v>
      </c>
      <c r="XE5" s="129" t="s">
        <v>5453</v>
      </c>
      <c r="XF5" s="1085" t="s">
        <v>5739</v>
      </c>
      <c r="XG5" s="129" t="s">
        <v>5757</v>
      </c>
      <c r="XH5" s="129" t="s">
        <v>6237</v>
      </c>
      <c r="YA5" s="1087" t="s">
        <v>5736</v>
      </c>
      <c r="YB5" s="129" t="s">
        <v>5723</v>
      </c>
      <c r="YC5" s="129" t="str">
        <f>$AA$6</f>
        <v>Stakeholder Name</v>
      </c>
      <c r="YD5" s="129" t="s">
        <v>5454</v>
      </c>
      <c r="YE5" s="129" t="s">
        <v>5453</v>
      </c>
      <c r="YF5" s="1085" t="s">
        <v>5739</v>
      </c>
      <c r="YG5" s="129" t="s">
        <v>5757</v>
      </c>
      <c r="YH5" s="129" t="s">
        <v>6237</v>
      </c>
      <c r="ABA5" s="1087" t="s">
        <v>5736</v>
      </c>
      <c r="ABB5" s="129" t="s">
        <v>5723</v>
      </c>
      <c r="ABC5" s="129" t="s">
        <v>5462</v>
      </c>
      <c r="ABD5" s="129" t="s">
        <v>5454</v>
      </c>
      <c r="ABE5" s="129" t="s">
        <v>5453</v>
      </c>
      <c r="ABF5" s="1085" t="s">
        <v>5739</v>
      </c>
      <c r="ABG5" s="129" t="s">
        <v>5757</v>
      </c>
      <c r="ABH5" s="129" t="s">
        <v>6237</v>
      </c>
      <c r="ACA5" s="1087" t="s">
        <v>5736</v>
      </c>
      <c r="ACB5" s="129" t="s">
        <v>5723</v>
      </c>
      <c r="ACC5" s="129" t="str">
        <f>$AA$6</f>
        <v>Stakeholder Name</v>
      </c>
      <c r="ACD5" s="129" t="s">
        <v>5454</v>
      </c>
      <c r="ACE5" s="129" t="s">
        <v>5453</v>
      </c>
      <c r="ACF5" s="1085" t="s">
        <v>5739</v>
      </c>
      <c r="ACG5" s="129" t="s">
        <v>5757</v>
      </c>
      <c r="ACH5" s="129" t="s">
        <v>6237</v>
      </c>
      <c r="AFA5" s="1087" t="s">
        <v>5736</v>
      </c>
      <c r="AFB5" s="129" t="s">
        <v>5723</v>
      </c>
      <c r="AFC5" s="129" t="s">
        <v>5462</v>
      </c>
      <c r="AFD5" s="129" t="s">
        <v>5454</v>
      </c>
      <c r="AFE5" s="129" t="s">
        <v>5453</v>
      </c>
      <c r="AFF5" s="1085" t="s">
        <v>5739</v>
      </c>
      <c r="AFG5" s="129" t="s">
        <v>5757</v>
      </c>
      <c r="AFH5" s="129" t="s">
        <v>6237</v>
      </c>
      <c r="AGA5" s="1087" t="s">
        <v>5736</v>
      </c>
      <c r="AGB5" s="129" t="s">
        <v>5723</v>
      </c>
      <c r="AGC5" s="129" t="str">
        <f>$AA$6</f>
        <v>Stakeholder Name</v>
      </c>
      <c r="AGD5" s="129" t="s">
        <v>5454</v>
      </c>
      <c r="AGE5" s="129" t="s">
        <v>5453</v>
      </c>
      <c r="AGF5" s="1085" t="s">
        <v>5739</v>
      </c>
      <c r="AGG5" s="129" t="s">
        <v>5757</v>
      </c>
      <c r="AGH5" s="129" t="s">
        <v>6237</v>
      </c>
      <c r="AJA5" s="1087" t="s">
        <v>5736</v>
      </c>
      <c r="AJB5" s="129" t="s">
        <v>5723</v>
      </c>
      <c r="AJC5" s="129" t="s">
        <v>5462</v>
      </c>
      <c r="AJD5" s="129" t="s">
        <v>5454</v>
      </c>
      <c r="AJE5" s="129" t="s">
        <v>5453</v>
      </c>
      <c r="AJF5" s="1085" t="s">
        <v>5739</v>
      </c>
      <c r="AJG5" s="129" t="s">
        <v>5757</v>
      </c>
      <c r="AJH5" s="129" t="s">
        <v>6237</v>
      </c>
      <c r="AKA5" s="1087" t="s">
        <v>5736</v>
      </c>
      <c r="AKB5" s="129" t="s">
        <v>5723</v>
      </c>
      <c r="AKC5" s="129" t="str">
        <f>$AA$6</f>
        <v>Stakeholder Name</v>
      </c>
      <c r="AKD5" s="129" t="s">
        <v>5454</v>
      </c>
      <c r="AKE5" s="129" t="s">
        <v>5453</v>
      </c>
      <c r="AKF5" s="1085" t="s">
        <v>5739</v>
      </c>
      <c r="AKG5" s="129" t="s">
        <v>5757</v>
      </c>
      <c r="AKH5" s="129" t="s">
        <v>6237</v>
      </c>
      <c r="AMA5" s="1087" t="s">
        <v>5736</v>
      </c>
      <c r="AMB5" s="129" t="s">
        <v>5723</v>
      </c>
      <c r="AMC5" s="129" t="s">
        <v>5462</v>
      </c>
      <c r="AMD5" s="129" t="s">
        <v>5454</v>
      </c>
      <c r="AME5" s="129" t="s">
        <v>5453</v>
      </c>
      <c r="AMF5" s="1085" t="s">
        <v>5739</v>
      </c>
      <c r="AMG5" s="129" t="s">
        <v>5757</v>
      </c>
      <c r="AMH5" s="129" t="s">
        <v>6237</v>
      </c>
      <c r="ANA5" s="1087" t="s">
        <v>5736</v>
      </c>
      <c r="ANB5" s="129" t="s">
        <v>5723</v>
      </c>
      <c r="ANC5" s="129" t="str">
        <f>$AA$6</f>
        <v>Stakeholder Name</v>
      </c>
      <c r="AND5" s="129" t="s">
        <v>5454</v>
      </c>
      <c r="ANE5" s="129" t="s">
        <v>5453</v>
      </c>
      <c r="ANF5" s="1085" t="s">
        <v>5739</v>
      </c>
      <c r="ANG5" s="129" t="s">
        <v>5757</v>
      </c>
      <c r="ANH5" s="129" t="s">
        <v>6237</v>
      </c>
      <c r="APA5" s="1087" t="s">
        <v>5736</v>
      </c>
      <c r="APB5" s="129" t="s">
        <v>5723</v>
      </c>
      <c r="APC5" s="129" t="s">
        <v>5462</v>
      </c>
      <c r="APD5" s="129" t="s">
        <v>5454</v>
      </c>
      <c r="APE5" s="129" t="s">
        <v>5453</v>
      </c>
      <c r="APF5" s="1085" t="s">
        <v>5739</v>
      </c>
      <c r="APG5" s="129" t="s">
        <v>5757</v>
      </c>
      <c r="APH5" s="129" t="s">
        <v>6237</v>
      </c>
      <c r="AQA5" s="1087" t="s">
        <v>5736</v>
      </c>
      <c r="AQB5" s="129" t="s">
        <v>5723</v>
      </c>
      <c r="AQC5" s="129" t="str">
        <f>$AA$6</f>
        <v>Stakeholder Name</v>
      </c>
      <c r="AQD5" s="129" t="s">
        <v>5454</v>
      </c>
      <c r="AQE5" s="129" t="s">
        <v>5453</v>
      </c>
      <c r="AQF5" s="1085" t="s">
        <v>5739</v>
      </c>
      <c r="AQG5" s="129" t="s">
        <v>5757</v>
      </c>
      <c r="AQH5" s="129" t="s">
        <v>6237</v>
      </c>
    </row>
    <row r="6" spans="1:1022 1041:1228" ht="30" customHeight="1" thickBot="1">
      <c r="B6" s="290">
        <v>3</v>
      </c>
      <c r="C6" s="1359" t="s">
        <v>3694</v>
      </c>
      <c r="D6" s="1159" t="s">
        <v>5643</v>
      </c>
      <c r="E6" s="1160" t="s">
        <v>7336</v>
      </c>
      <c r="F6" s="1058" t="s">
        <v>233</v>
      </c>
      <c r="AA6" s="501" t="s">
        <v>5462</v>
      </c>
      <c r="AB6" s="1986" t="s">
        <v>6317</v>
      </c>
      <c r="AC6" s="1987"/>
      <c r="AD6" s="1498"/>
      <c r="AE6" s="437">
        <v>3</v>
      </c>
      <c r="AF6" s="1970" t="s">
        <v>2332</v>
      </c>
      <c r="AG6" s="1755"/>
      <c r="BA6" s="129"/>
      <c r="BB6" s="129"/>
      <c r="BC6" s="378"/>
      <c r="BD6" s="129"/>
      <c r="BF6" t="s">
        <v>7031</v>
      </c>
      <c r="BH6" s="129"/>
      <c r="BI6" s="129"/>
      <c r="CA6" s="129"/>
      <c r="CB6" s="129"/>
      <c r="CC6" s="378"/>
      <c r="CD6" s="129"/>
      <c r="CF6" t="s">
        <v>7031</v>
      </c>
      <c r="CH6" s="129"/>
      <c r="CZ6" s="1971" t="s">
        <v>6258</v>
      </c>
      <c r="DA6" s="1972"/>
      <c r="DB6" s="1972"/>
      <c r="DC6" s="1973"/>
      <c r="DD6" s="1152"/>
      <c r="DY6" s="1297" t="s">
        <v>6269</v>
      </c>
      <c r="DZ6" s="1297" t="s">
        <v>5789</v>
      </c>
      <c r="EA6" s="1297" t="s">
        <v>7114</v>
      </c>
      <c r="EB6" s="1297" t="s">
        <v>6404</v>
      </c>
      <c r="EC6" s="1297" t="s">
        <v>1498</v>
      </c>
      <c r="ED6" s="1297" t="s">
        <v>6402</v>
      </c>
      <c r="EE6" s="1297" t="s">
        <v>6268</v>
      </c>
      <c r="EF6" s="1155"/>
      <c r="EG6" s="2019" t="s">
        <v>7064</v>
      </c>
      <c r="EH6" s="2020"/>
      <c r="EI6" s="1299"/>
      <c r="FA6" s="1162" t="s">
        <v>6280</v>
      </c>
      <c r="FB6" s="1162" t="s">
        <v>6281</v>
      </c>
      <c r="FC6" s="1956" t="s">
        <v>6282</v>
      </c>
      <c r="FD6" s="1956"/>
      <c r="FE6" s="1956" t="s">
        <v>6283</v>
      </c>
      <c r="FF6" s="1956"/>
      <c r="FH6" s="594" t="s">
        <v>7142</v>
      </c>
      <c r="HA6" s="501" t="s">
        <v>6063</v>
      </c>
      <c r="HB6" s="1943" t="s">
        <v>6426</v>
      </c>
      <c r="HC6" s="1944"/>
      <c r="HD6" s="1498" t="s">
        <v>6516</v>
      </c>
      <c r="HE6" s="437">
        <v>3</v>
      </c>
      <c r="HF6" s="1935" t="s">
        <v>7072</v>
      </c>
      <c r="HG6" s="1936"/>
      <c r="IA6" s="129"/>
      <c r="IB6" s="129"/>
      <c r="IC6" s="378"/>
      <c r="ID6" s="129"/>
      <c r="IE6" s="129"/>
      <c r="IF6" s="129"/>
      <c r="IG6" s="129"/>
      <c r="IH6" s="129"/>
      <c r="II6" s="129"/>
      <c r="IJ6" s="129"/>
      <c r="IK6" s="129"/>
      <c r="IL6" s="129"/>
      <c r="JA6" s="415" t="s">
        <v>6526</v>
      </c>
      <c r="JB6" s="415" t="s">
        <v>5462</v>
      </c>
      <c r="JC6" s="415" t="s">
        <v>6404</v>
      </c>
      <c r="JD6" s="415" t="s">
        <v>6445</v>
      </c>
      <c r="JE6" s="415" t="s">
        <v>6258</v>
      </c>
      <c r="JF6" s="415" t="s">
        <v>4456</v>
      </c>
      <c r="JG6" s="415" t="s">
        <v>7216</v>
      </c>
      <c r="JH6" s="1209" t="s">
        <v>6440</v>
      </c>
      <c r="JI6" s="1209" t="s">
        <v>6441</v>
      </c>
      <c r="JJ6" s="1209" t="s">
        <v>6442</v>
      </c>
      <c r="JK6" s="129"/>
      <c r="JL6" s="129"/>
      <c r="KA6" s="1990" t="s">
        <v>6279</v>
      </c>
      <c r="KB6" s="1990"/>
      <c r="KC6" s="2005" t="s">
        <v>7260</v>
      </c>
      <c r="KD6" s="2006"/>
      <c r="KE6" s="2006"/>
      <c r="KF6" s="2007" t="s">
        <v>5789</v>
      </c>
      <c r="KG6" s="1990"/>
      <c r="KI6" s="1501" t="s">
        <v>7009</v>
      </c>
      <c r="KJ6" s="1501"/>
      <c r="LA6" s="501" t="s">
        <v>5462</v>
      </c>
      <c r="LB6" s="1948" t="s">
        <v>7174</v>
      </c>
      <c r="LC6" s="1949"/>
      <c r="LD6" s="1949"/>
      <c r="LE6" s="1949"/>
      <c r="LF6" s="1497" t="s">
        <v>7168</v>
      </c>
      <c r="LG6" s="437">
        <v>2</v>
      </c>
      <c r="LH6" s="1543" t="s">
        <v>7175</v>
      </c>
      <c r="LI6" s="1544"/>
      <c r="MA6" s="129"/>
      <c r="MB6" s="129"/>
      <c r="MC6" s="171" t="s">
        <v>7172</v>
      </c>
      <c r="MD6" s="129"/>
      <c r="ME6" s="129"/>
      <c r="MF6" s="129"/>
      <c r="MG6" s="129"/>
      <c r="MH6" s="129"/>
      <c r="NA6" s="129"/>
      <c r="NB6" s="129"/>
      <c r="NC6" s="1397" t="s">
        <v>7172</v>
      </c>
      <c r="ND6" s="129"/>
      <c r="NE6" s="129"/>
      <c r="NF6" s="129"/>
      <c r="NG6" s="129"/>
      <c r="NH6" s="129"/>
      <c r="OA6" s="1162" t="s">
        <v>6280</v>
      </c>
      <c r="OB6" s="1162" t="s">
        <v>6281</v>
      </c>
      <c r="OC6" s="1374" t="s">
        <v>7263</v>
      </c>
      <c r="OD6" s="1162" t="s">
        <v>7261</v>
      </c>
      <c r="OE6" s="1395" t="s">
        <v>7262</v>
      </c>
      <c r="OF6" s="1395" t="s">
        <v>7312</v>
      </c>
      <c r="OG6" s="1395" t="s">
        <v>7311</v>
      </c>
      <c r="OH6" s="1403" t="s">
        <v>7313</v>
      </c>
      <c r="OI6" s="1935" t="s">
        <v>7315</v>
      </c>
      <c r="OJ6" s="1936"/>
      <c r="PA6" s="1415" t="s">
        <v>7337</v>
      </c>
      <c r="PB6" s="2052" t="s">
        <v>7354</v>
      </c>
      <c r="PC6" s="2053"/>
      <c r="PD6" s="1420" t="s">
        <v>7364</v>
      </c>
      <c r="PE6" s="2042"/>
      <c r="PF6" s="608" t="s">
        <v>6152</v>
      </c>
      <c r="PG6" s="1413" t="s">
        <v>233</v>
      </c>
      <c r="PH6" s="1334" t="s">
        <v>7368</v>
      </c>
      <c r="QA6" s="1427"/>
      <c r="QB6" s="171"/>
      <c r="QC6" s="171"/>
      <c r="QD6" s="171"/>
      <c r="QE6" s="171"/>
      <c r="QF6" s="171"/>
      <c r="QG6" s="1085"/>
      <c r="QH6" s="129"/>
      <c r="QI6" s="129"/>
      <c r="RA6" s="129"/>
      <c r="RB6" s="129"/>
      <c r="RC6" s="171"/>
      <c r="RD6" s="129"/>
      <c r="RE6" s="129"/>
      <c r="RF6" s="129"/>
      <c r="RG6" s="129"/>
      <c r="RH6" s="129"/>
      <c r="SA6" s="1162" t="s">
        <v>6280</v>
      </c>
      <c r="SB6" s="1162" t="s">
        <v>6281</v>
      </c>
      <c r="SC6" s="1374" t="s">
        <v>7263</v>
      </c>
      <c r="SD6" s="1162" t="s">
        <v>7261</v>
      </c>
      <c r="SE6" s="1395" t="s">
        <v>7262</v>
      </c>
      <c r="SF6" s="1395" t="s">
        <v>7312</v>
      </c>
      <c r="SG6" s="1395" t="s">
        <v>7311</v>
      </c>
      <c r="SH6" s="1403" t="s">
        <v>7313</v>
      </c>
      <c r="SI6" s="1935" t="s">
        <v>7315</v>
      </c>
      <c r="SJ6" s="1936"/>
      <c r="UA6" s="129"/>
      <c r="UB6" s="129"/>
      <c r="UC6" s="378"/>
      <c r="UD6" s="129"/>
      <c r="UE6" s="129"/>
      <c r="UF6" s="129"/>
      <c r="UG6" s="129"/>
      <c r="UH6" s="129"/>
      <c r="VA6" s="129"/>
      <c r="VB6" s="129"/>
      <c r="VC6" s="378"/>
      <c r="VD6" s="129"/>
      <c r="VE6" s="129"/>
      <c r="VF6" s="129"/>
      <c r="VG6" s="129"/>
      <c r="VH6" s="129"/>
      <c r="XA6" s="129"/>
      <c r="XB6" s="129"/>
      <c r="XC6" s="378"/>
      <c r="XD6" s="129"/>
      <c r="XE6" s="129"/>
      <c r="XF6" s="129"/>
      <c r="XG6" s="129"/>
      <c r="XH6" s="129"/>
      <c r="YA6" s="129"/>
      <c r="YB6" s="129"/>
      <c r="YC6" s="378"/>
      <c r="YD6" s="129"/>
      <c r="YE6" s="129"/>
      <c r="YF6" s="129"/>
      <c r="YG6" s="129"/>
      <c r="YH6" s="129"/>
      <c r="ABA6" s="129"/>
      <c r="ABB6" s="129"/>
      <c r="ABC6" s="378"/>
      <c r="ABD6" s="129"/>
      <c r="ABE6" s="129"/>
      <c r="ABF6" s="129"/>
      <c r="ABG6" s="129"/>
      <c r="ABH6" s="129"/>
      <c r="ACA6" s="129"/>
      <c r="ACB6" s="129"/>
      <c r="ACC6" s="378"/>
      <c r="ACD6" s="129"/>
      <c r="ACE6" s="129"/>
      <c r="ACF6" s="129"/>
      <c r="ACG6" s="129"/>
      <c r="ACH6" s="129"/>
      <c r="AFA6" s="129"/>
      <c r="AFB6" s="129"/>
      <c r="AFC6" s="378"/>
      <c r="AFD6" s="129"/>
      <c r="AFE6" s="129"/>
      <c r="AFF6" s="129"/>
      <c r="AFG6" s="129"/>
      <c r="AFH6" s="129"/>
      <c r="AGA6" s="129"/>
      <c r="AGB6" s="129"/>
      <c r="AGC6" s="378"/>
      <c r="AGD6" s="129"/>
      <c r="AGE6" s="129"/>
      <c r="AGF6" s="129"/>
      <c r="AGG6" s="129"/>
      <c r="AGH6" s="129"/>
      <c r="AJA6" s="129"/>
      <c r="AJB6" s="129"/>
      <c r="AJC6" s="378"/>
      <c r="AJD6" s="129"/>
      <c r="AJE6" s="129"/>
      <c r="AJF6" s="129"/>
      <c r="AJG6" s="129"/>
      <c r="AJH6" s="129"/>
      <c r="AKA6" s="129"/>
      <c r="AKB6" s="129"/>
      <c r="AKC6" s="378"/>
      <c r="AKD6" s="129"/>
      <c r="AKE6" s="129"/>
      <c r="AKF6" s="129"/>
      <c r="AKG6" s="129"/>
      <c r="AKH6" s="129"/>
      <c r="AMA6" s="129"/>
      <c r="AMB6" s="129"/>
      <c r="AMC6" s="378"/>
      <c r="AMD6" s="129"/>
      <c r="AME6" s="129"/>
      <c r="AMF6" s="129"/>
      <c r="AMG6" s="129"/>
      <c r="AMH6" s="129"/>
      <c r="ANA6" s="129"/>
      <c r="ANB6" s="129"/>
      <c r="ANC6" s="378"/>
      <c r="AND6" s="129"/>
      <c r="ANE6" s="129"/>
      <c r="ANF6" s="129"/>
      <c r="ANG6" s="129"/>
      <c r="ANH6" s="129"/>
      <c r="APA6" s="129"/>
      <c r="APB6" s="129"/>
      <c r="APC6" s="378"/>
      <c r="APD6" s="129"/>
      <c r="APE6" s="129"/>
      <c r="APF6" s="129"/>
      <c r="APG6" s="129"/>
      <c r="APH6" s="129"/>
      <c r="AQA6" s="129"/>
      <c r="AQB6" s="129"/>
      <c r="AQC6" s="378"/>
      <c r="AQD6" s="129"/>
      <c r="AQE6" s="129"/>
      <c r="AQF6" s="129"/>
      <c r="AQG6" s="129"/>
      <c r="AQH6" s="129"/>
    </row>
    <row r="7" spans="1:1022 1041:1228" ht="30" customHeight="1" thickBot="1">
      <c r="B7" s="290">
        <v>4</v>
      </c>
      <c r="C7" s="1359" t="s">
        <v>7049</v>
      </c>
      <c r="D7" s="1159" t="s">
        <v>5645</v>
      </c>
      <c r="E7" s="1160" t="s">
        <v>6267</v>
      </c>
      <c r="F7" s="1058" t="s">
        <v>233</v>
      </c>
      <c r="AA7" s="222" t="s">
        <v>6245</v>
      </c>
      <c r="AB7" s="1777"/>
      <c r="AC7" s="1988"/>
      <c r="AD7" s="1497" t="s">
        <v>6420</v>
      </c>
      <c r="AE7" s="437">
        <v>3</v>
      </c>
      <c r="AF7" s="1970" t="s">
        <v>6425</v>
      </c>
      <c r="AG7" s="1755"/>
      <c r="BA7" s="129" t="s">
        <v>5726</v>
      </c>
      <c r="BB7" s="1846" t="s">
        <v>6249</v>
      </c>
      <c r="BC7" s="1846"/>
      <c r="BD7" s="1846"/>
      <c r="BE7" s="1846"/>
      <c r="BF7" s="1846"/>
      <c r="BG7" s="1846"/>
      <c r="BH7" s="1846"/>
      <c r="BI7" s="129"/>
      <c r="CA7" s="129" t="s">
        <v>5726</v>
      </c>
      <c r="CB7" s="1846" t="s">
        <v>6249</v>
      </c>
      <c r="CC7" s="1846"/>
      <c r="CD7" s="1846"/>
      <c r="CE7" s="1846"/>
      <c r="CF7" s="1846"/>
      <c r="CG7" s="1846"/>
      <c r="CH7" s="1846"/>
      <c r="CZ7" s="222" t="s">
        <v>6436</v>
      </c>
      <c r="DA7" s="1153" t="s">
        <v>6260</v>
      </c>
      <c r="DB7" s="1974" t="s">
        <v>7051</v>
      </c>
      <c r="DC7" s="1974"/>
      <c r="DD7" s="258">
        <v>3</v>
      </c>
      <c r="DY7" s="1363" t="s">
        <v>4593</v>
      </c>
      <c r="DZ7" s="1153" t="s">
        <v>6834</v>
      </c>
      <c r="EA7" s="1153" t="s">
        <v>7065</v>
      </c>
      <c r="EB7" s="1362" t="s">
        <v>6443</v>
      </c>
      <c r="EC7" s="1362" t="s">
        <v>6836</v>
      </c>
      <c r="ED7" s="1363" t="s">
        <v>7063</v>
      </c>
      <c r="EE7" s="1153" t="s">
        <v>7109</v>
      </c>
      <c r="EF7" s="1364" t="s">
        <v>7066</v>
      </c>
      <c r="EG7" s="1744" t="s">
        <v>7138</v>
      </c>
      <c r="EH7" s="1745"/>
      <c r="EI7" s="1294"/>
      <c r="FA7" s="1374" t="s">
        <v>6266</v>
      </c>
      <c r="FB7" s="1374" t="s">
        <v>6268</v>
      </c>
      <c r="FC7" s="1374" t="s">
        <v>5789</v>
      </c>
      <c r="FD7" s="1352" t="s">
        <v>259</v>
      </c>
      <c r="FE7" s="1374" t="s">
        <v>6404</v>
      </c>
      <c r="FF7" s="1374" t="s">
        <v>1498</v>
      </c>
      <c r="FG7" s="1374" t="s">
        <v>4593</v>
      </c>
      <c r="FH7" s="594"/>
      <c r="GA7" s="1202" t="s">
        <v>6499</v>
      </c>
      <c r="HA7" s="501" t="s">
        <v>5462</v>
      </c>
      <c r="HB7" s="1943" t="s">
        <v>6427</v>
      </c>
      <c r="HC7" s="1944"/>
      <c r="HD7" s="1499"/>
      <c r="HE7" s="437">
        <v>3</v>
      </c>
      <c r="HF7" s="1970" t="s">
        <v>6517</v>
      </c>
      <c r="HG7" s="1755"/>
      <c r="IA7" s="133" t="s">
        <v>5726</v>
      </c>
      <c r="IB7" s="1846" t="s">
        <v>5735</v>
      </c>
      <c r="IC7" s="1846"/>
      <c r="ID7" s="1846"/>
      <c r="IE7" s="1846"/>
      <c r="IF7" s="129"/>
      <c r="IG7" s="129"/>
      <c r="IH7" s="129"/>
      <c r="II7" s="129"/>
      <c r="IJ7" s="129"/>
      <c r="IK7" s="129"/>
      <c r="IL7" s="129"/>
      <c r="JA7" s="129"/>
      <c r="JB7" s="129"/>
      <c r="JC7" s="378"/>
      <c r="JD7" s="129"/>
      <c r="JE7" s="129"/>
      <c r="JF7" s="129"/>
      <c r="JG7" s="129"/>
      <c r="JH7" s="129"/>
      <c r="JI7" s="129"/>
      <c r="JJ7" s="129"/>
      <c r="JK7" s="129"/>
      <c r="JL7" s="129"/>
      <c r="KA7" s="1162" t="s">
        <v>6280</v>
      </c>
      <c r="KB7" s="1162" t="s">
        <v>6281</v>
      </c>
      <c r="KC7" s="1374" t="s">
        <v>7263</v>
      </c>
      <c r="KD7" s="1162" t="s">
        <v>7261</v>
      </c>
      <c r="KE7" s="1395" t="s">
        <v>7262</v>
      </c>
      <c r="KF7" s="2008" t="s">
        <v>6282</v>
      </c>
      <c r="KG7" s="2009"/>
      <c r="KH7" t="s">
        <v>7073</v>
      </c>
      <c r="KI7" t="s">
        <v>7264</v>
      </c>
      <c r="LA7" s="1212" t="s">
        <v>6548</v>
      </c>
      <c r="LB7" s="1793" t="s">
        <v>6549</v>
      </c>
      <c r="LC7" s="2016"/>
      <c r="LD7" s="1213"/>
      <c r="LE7" s="1213"/>
      <c r="LF7" s="1499"/>
      <c r="LG7" s="437">
        <v>3</v>
      </c>
      <c r="LH7" s="1667" t="s">
        <v>7166</v>
      </c>
      <c r="LI7" s="1668"/>
      <c r="MA7" s="1387" t="s">
        <v>2369</v>
      </c>
      <c r="MB7" s="129"/>
      <c r="MC7" s="1388" t="s">
        <v>6264</v>
      </c>
      <c r="MD7" s="129"/>
      <c r="ME7" s="129"/>
      <c r="MF7" s="129"/>
      <c r="MG7" s="129"/>
      <c r="MH7" s="129"/>
      <c r="NA7" s="1387" t="s">
        <v>2369</v>
      </c>
      <c r="NB7" s="129"/>
      <c r="NC7" s="1388" t="s">
        <v>6264</v>
      </c>
      <c r="ND7" s="129"/>
      <c r="NE7" s="129"/>
      <c r="NF7" s="129"/>
      <c r="NG7" s="129"/>
      <c r="NH7" s="129"/>
      <c r="OA7" s="1365" t="s">
        <v>1261</v>
      </c>
      <c r="OB7" s="1365" t="s">
        <v>3768</v>
      </c>
      <c r="OC7" s="1365" t="s">
        <v>1269</v>
      </c>
      <c r="OD7" s="1365" t="s">
        <v>1278</v>
      </c>
      <c r="OE7" s="1404" t="s">
        <v>3769</v>
      </c>
      <c r="OF7" s="1404" t="s">
        <v>1291</v>
      </c>
      <c r="OG7" s="1404" t="s">
        <v>723</v>
      </c>
      <c r="OH7" s="1298"/>
      <c r="PA7" s="1414" t="s">
        <v>6404</v>
      </c>
      <c r="PB7" s="2054" t="s">
        <v>7341</v>
      </c>
      <c r="PC7" s="2055"/>
      <c r="PD7" s="1421" t="s">
        <v>5811</v>
      </c>
      <c r="PE7" s="2040" t="s">
        <v>7359</v>
      </c>
      <c r="PF7" s="608">
        <v>3</v>
      </c>
      <c r="PG7" s="2062" t="s">
        <v>7355</v>
      </c>
      <c r="PH7" s="2062"/>
      <c r="QA7" s="1387" t="s">
        <v>2369</v>
      </c>
      <c r="QB7" s="129"/>
      <c r="QC7" s="1388" t="s">
        <v>6264</v>
      </c>
      <c r="QD7" s="129"/>
      <c r="QE7" s="129"/>
      <c r="QF7" s="129"/>
      <c r="QG7" s="129"/>
      <c r="QH7" s="129"/>
      <c r="RA7" s="1387" t="s">
        <v>2369</v>
      </c>
      <c r="RB7" s="129"/>
      <c r="RC7" s="1388" t="s">
        <v>6264</v>
      </c>
      <c r="SA7" s="1365" t="s">
        <v>1261</v>
      </c>
      <c r="SB7" s="1365" t="s">
        <v>3768</v>
      </c>
      <c r="SC7" s="1365" t="s">
        <v>1269</v>
      </c>
      <c r="SD7" s="1365" t="s">
        <v>1278</v>
      </c>
      <c r="SE7" s="1404" t="s">
        <v>3769</v>
      </c>
      <c r="SF7" s="1404" t="s">
        <v>1291</v>
      </c>
      <c r="SG7" s="1404" t="s">
        <v>723</v>
      </c>
      <c r="SH7" s="1298"/>
      <c r="UA7" s="129" t="s">
        <v>5726</v>
      </c>
      <c r="UB7" s="129" t="s">
        <v>6541</v>
      </c>
      <c r="UC7" s="129"/>
      <c r="UD7" s="129"/>
      <c r="UE7" s="129"/>
      <c r="UF7" s="129"/>
      <c r="UG7" s="129"/>
      <c r="UH7" s="129"/>
      <c r="VA7" s="129" t="s">
        <v>5726</v>
      </c>
      <c r="VB7" s="129" t="s">
        <v>6541</v>
      </c>
      <c r="VC7" s="129"/>
      <c r="VD7" s="129"/>
      <c r="VE7" s="129"/>
      <c r="VF7" s="129"/>
      <c r="VG7" s="129"/>
      <c r="VH7" s="129"/>
      <c r="XA7" s="129" t="s">
        <v>5726</v>
      </c>
      <c r="XB7" s="129" t="s">
        <v>6541</v>
      </c>
      <c r="XC7" s="129"/>
      <c r="XD7" s="129"/>
      <c r="XE7" s="129"/>
      <c r="XF7" s="129"/>
      <c r="XG7" s="129"/>
      <c r="XH7" s="129"/>
      <c r="YA7" s="129" t="s">
        <v>5726</v>
      </c>
      <c r="YB7" s="129" t="s">
        <v>6541</v>
      </c>
      <c r="YC7" s="129"/>
      <c r="YD7" s="129"/>
      <c r="YE7" s="129"/>
      <c r="YF7" s="129"/>
      <c r="YG7" s="129"/>
      <c r="YH7" s="129"/>
      <c r="ABA7" s="129" t="s">
        <v>5726</v>
      </c>
      <c r="ABB7" s="129" t="s">
        <v>6541</v>
      </c>
      <c r="ABC7" s="129"/>
      <c r="ABD7" s="129"/>
      <c r="ABE7" s="129"/>
      <c r="ABF7" s="129"/>
      <c r="ABG7" s="129"/>
      <c r="ABH7" s="129"/>
      <c r="ACA7" s="129" t="s">
        <v>5726</v>
      </c>
      <c r="ACB7" s="129" t="s">
        <v>6541</v>
      </c>
      <c r="ACC7" s="129"/>
      <c r="ACD7" s="129"/>
      <c r="ACE7" s="129"/>
      <c r="ACF7" s="129"/>
      <c r="ACG7" s="129"/>
      <c r="ACH7" s="129"/>
      <c r="AFA7" s="129" t="s">
        <v>5726</v>
      </c>
      <c r="AFB7" s="129" t="s">
        <v>6541</v>
      </c>
      <c r="AFC7" s="129"/>
      <c r="AFD7" s="129"/>
      <c r="AFE7" s="129"/>
      <c r="AFF7" s="129"/>
      <c r="AFG7" s="129"/>
      <c r="AFH7" s="129"/>
      <c r="AGA7" s="129" t="s">
        <v>5726</v>
      </c>
      <c r="AGB7" s="129" t="s">
        <v>6541</v>
      </c>
      <c r="AGC7" s="129"/>
      <c r="AGD7" s="129"/>
      <c r="AGE7" s="129"/>
      <c r="AGF7" s="129"/>
      <c r="AGG7" s="129"/>
      <c r="AGH7" s="129"/>
      <c r="AJA7" s="129" t="s">
        <v>5726</v>
      </c>
      <c r="AJB7" s="129" t="s">
        <v>6541</v>
      </c>
      <c r="AJC7" s="129"/>
      <c r="AJD7" s="129"/>
      <c r="AJE7" s="129"/>
      <c r="AJF7" s="129"/>
      <c r="AJG7" s="129"/>
      <c r="AJH7" s="129"/>
      <c r="AKA7" s="129" t="s">
        <v>5726</v>
      </c>
      <c r="AKB7" s="129" t="s">
        <v>6541</v>
      </c>
      <c r="AKC7" s="129"/>
      <c r="AKD7" s="129"/>
      <c r="AKE7" s="129"/>
      <c r="AKF7" s="129"/>
      <c r="AKG7" s="129"/>
      <c r="AKH7" s="129"/>
      <c r="AMA7" s="129" t="s">
        <v>5726</v>
      </c>
      <c r="AMB7" s="129" t="s">
        <v>6541</v>
      </c>
      <c r="AMC7" s="129"/>
      <c r="AMD7" s="129"/>
      <c r="AME7" s="129"/>
      <c r="AMF7" s="129"/>
      <c r="AMG7" s="129"/>
      <c r="AMH7" s="129"/>
      <c r="ANA7" s="129" t="s">
        <v>5726</v>
      </c>
      <c r="ANB7" s="129" t="s">
        <v>6541</v>
      </c>
      <c r="ANC7" s="129"/>
      <c r="AND7" s="129"/>
      <c r="ANE7" s="129"/>
      <c r="ANF7" s="129"/>
      <c r="ANG7" s="129"/>
      <c r="ANH7" s="129"/>
      <c r="APA7" s="129" t="s">
        <v>5726</v>
      </c>
      <c r="APB7" s="129" t="s">
        <v>6541</v>
      </c>
      <c r="APC7" s="129"/>
      <c r="APD7" s="129"/>
      <c r="APE7" s="129"/>
      <c r="APF7" s="129"/>
      <c r="APG7" s="129"/>
      <c r="APH7" s="129"/>
      <c r="AQA7" s="129" t="s">
        <v>5726</v>
      </c>
      <c r="AQB7" s="129" t="s">
        <v>6541</v>
      </c>
      <c r="AQC7" s="129"/>
      <c r="AQD7" s="129"/>
      <c r="AQE7" s="129"/>
      <c r="AQF7" s="129"/>
      <c r="AQG7" s="129"/>
      <c r="AQH7" s="129"/>
    </row>
    <row r="8" spans="1:1022 1041:1228" ht="30" customHeight="1" thickBot="1">
      <c r="B8" s="290">
        <v>5</v>
      </c>
      <c r="C8" s="1359" t="s">
        <v>6270</v>
      </c>
      <c r="D8" s="1159" t="s">
        <v>6265</v>
      </c>
      <c r="E8" s="1160" t="s">
        <v>6399</v>
      </c>
      <c r="F8" s="1058" t="s">
        <v>233</v>
      </c>
      <c r="AA8" s="222" t="s">
        <v>6404</v>
      </c>
      <c r="AB8" s="1296"/>
      <c r="AC8" s="1356"/>
      <c r="AD8" s="1498"/>
      <c r="AE8" s="437">
        <v>4</v>
      </c>
      <c r="AF8" s="1970" t="s">
        <v>7016</v>
      </c>
      <c r="AG8" s="1755"/>
      <c r="BA8" s="129" t="s">
        <v>5728</v>
      </c>
      <c r="BB8" s="1846" t="s">
        <v>6250</v>
      </c>
      <c r="BC8" s="1846"/>
      <c r="BD8" s="1846"/>
      <c r="BE8" s="1846"/>
      <c r="BF8" s="1846"/>
      <c r="BG8" s="1846"/>
      <c r="BH8" s="1846"/>
      <c r="BI8" s="129"/>
      <c r="CA8" s="129" t="s">
        <v>5728</v>
      </c>
      <c r="CB8" s="1846" t="s">
        <v>6250</v>
      </c>
      <c r="CC8" s="1846"/>
      <c r="CD8" s="1846"/>
      <c r="CE8" s="1846"/>
      <c r="CF8" s="1846"/>
      <c r="CG8" s="1846"/>
      <c r="CH8" s="1846"/>
      <c r="CZ8" s="501" t="s">
        <v>5462</v>
      </c>
      <c r="DA8" s="1153" t="s">
        <v>6260</v>
      </c>
      <c r="DB8" s="1974"/>
      <c r="DC8" s="1974"/>
      <c r="DD8" s="258">
        <v>4</v>
      </c>
      <c r="DY8" s="1363" t="s">
        <v>4593</v>
      </c>
      <c r="DZ8" s="1153" t="s">
        <v>6834</v>
      </c>
      <c r="EA8" s="1153" t="s">
        <v>7065</v>
      </c>
      <c r="EB8" s="1362" t="s">
        <v>6443</v>
      </c>
      <c r="EC8" s="1362" t="s">
        <v>6836</v>
      </c>
      <c r="ED8" s="1363" t="s">
        <v>7063</v>
      </c>
      <c r="EE8" s="1153" t="s">
        <v>7109</v>
      </c>
      <c r="EF8" s="1364" t="s">
        <v>7071</v>
      </c>
      <c r="EG8" s="1744" t="s">
        <v>7138</v>
      </c>
      <c r="EH8" s="1745"/>
      <c r="EI8" s="1294"/>
      <c r="FA8" s="71" t="s">
        <v>6833</v>
      </c>
      <c r="FB8" s="71" t="s">
        <v>6832</v>
      </c>
      <c r="FC8" s="71" t="s">
        <v>6834</v>
      </c>
      <c r="FD8" s="71" t="s">
        <v>6835</v>
      </c>
      <c r="FE8" s="1373" t="s">
        <v>7139</v>
      </c>
      <c r="FF8" s="71" t="s">
        <v>6836</v>
      </c>
      <c r="FG8" s="10" t="s">
        <v>4593</v>
      </c>
      <c r="FH8" s="594">
        <v>3</v>
      </c>
      <c r="FI8" s="1501" t="s">
        <v>7143</v>
      </c>
      <c r="FJ8" s="1501"/>
      <c r="HA8" s="501" t="s">
        <v>6245</v>
      </c>
      <c r="HB8" s="1994" t="s">
        <v>6393</v>
      </c>
      <c r="HC8" s="1995"/>
      <c r="HD8" s="1497" t="s">
        <v>6428</v>
      </c>
      <c r="HE8" s="437">
        <v>4</v>
      </c>
      <c r="HF8" s="1895" t="s">
        <v>6999</v>
      </c>
      <c r="HG8" s="1501"/>
      <c r="IA8" s="597" t="s">
        <v>5728</v>
      </c>
      <c r="IB8" s="1846" t="s">
        <v>5743</v>
      </c>
      <c r="IC8" s="1846"/>
      <c r="ID8" s="1846"/>
      <c r="IE8" s="1846"/>
      <c r="IF8" s="129"/>
      <c r="IG8" s="129"/>
      <c r="IH8" s="129"/>
      <c r="II8" s="129"/>
      <c r="IJ8" s="129"/>
      <c r="IK8" s="129"/>
      <c r="IL8" s="129"/>
      <c r="JA8" s="1387" t="s">
        <v>2369</v>
      </c>
      <c r="JB8" s="129"/>
      <c r="JC8" s="1388" t="s">
        <v>6264</v>
      </c>
      <c r="JD8" s="129"/>
      <c r="JE8" s="129"/>
      <c r="JF8" s="129"/>
      <c r="JG8" s="129"/>
      <c r="JH8" s="129"/>
      <c r="JI8" s="129"/>
      <c r="JJ8" s="129"/>
      <c r="JK8" s="129"/>
      <c r="JL8" s="1103"/>
      <c r="KA8" s="1355" t="s">
        <v>6266</v>
      </c>
      <c r="KB8" s="1355" t="s">
        <v>6268</v>
      </c>
      <c r="KC8" s="1355" t="s">
        <v>5789</v>
      </c>
      <c r="KD8" s="1352" t="s">
        <v>6404</v>
      </c>
      <c r="KE8" s="1355" t="s">
        <v>1498</v>
      </c>
      <c r="KF8" s="1401" t="s">
        <v>377</v>
      </c>
      <c r="KG8" s="1402"/>
      <c r="LA8" s="1217" t="s">
        <v>6402</v>
      </c>
      <c r="LB8" s="1377" t="s">
        <v>7170</v>
      </c>
      <c r="LC8" s="501" t="s">
        <v>7169</v>
      </c>
      <c r="LD8" s="1793" t="s">
        <v>7169</v>
      </c>
      <c r="LE8" s="1793"/>
      <c r="LF8" s="214"/>
      <c r="LG8" s="258" t="s">
        <v>4919</v>
      </c>
      <c r="LH8" s="1206" t="s">
        <v>7180</v>
      </c>
      <c r="LI8" s="1061" t="s">
        <v>7171</v>
      </c>
      <c r="MA8" s="129"/>
      <c r="MB8" s="129"/>
      <c r="MC8" s="171"/>
      <c r="MD8" s="129"/>
      <c r="ME8" s="129"/>
      <c r="MF8" s="129"/>
      <c r="MG8" s="129"/>
      <c r="MH8" s="129"/>
      <c r="NA8" s="129"/>
      <c r="NB8" s="129"/>
      <c r="NC8" s="1397"/>
      <c r="ND8" s="129"/>
      <c r="NE8" s="129"/>
      <c r="NF8" s="129"/>
      <c r="NG8" s="129"/>
      <c r="NH8" s="129"/>
      <c r="OA8" s="1297" t="s">
        <v>6540</v>
      </c>
      <c r="OB8" s="1297" t="s">
        <v>7207</v>
      </c>
      <c r="OC8" s="1297" t="s">
        <v>7309</v>
      </c>
      <c r="OD8" s="1297" t="s">
        <v>6404</v>
      </c>
      <c r="OE8" s="1297" t="s">
        <v>1498</v>
      </c>
      <c r="OF8" s="1297" t="s">
        <v>6402</v>
      </c>
      <c r="OG8" s="1297" t="s">
        <v>377</v>
      </c>
      <c r="OH8" s="1155"/>
      <c r="PA8" s="1415" t="s">
        <v>259</v>
      </c>
      <c r="PB8" s="2036" t="s">
        <v>7360</v>
      </c>
      <c r="PC8" s="2037"/>
      <c r="PD8" s="1420" t="s">
        <v>7365</v>
      </c>
      <c r="PE8" s="2041"/>
      <c r="PF8" s="608" t="s">
        <v>6153</v>
      </c>
      <c r="PG8" s="112" t="s">
        <v>7369</v>
      </c>
      <c r="PH8" s="1334" t="s">
        <v>7370</v>
      </c>
      <c r="QA8" s="1402"/>
      <c r="QB8" s="129"/>
      <c r="QC8" s="1402"/>
      <c r="QD8" s="129"/>
      <c r="QE8" s="129"/>
      <c r="QF8" s="129"/>
      <c r="QG8" s="129"/>
      <c r="QH8" s="129"/>
      <c r="SA8" s="1297" t="s">
        <v>6266</v>
      </c>
      <c r="SB8" s="1297" t="s">
        <v>6268</v>
      </c>
      <c r="SC8" s="1297" t="s">
        <v>5789</v>
      </c>
      <c r="SD8" s="1297" t="s">
        <v>6404</v>
      </c>
      <c r="SE8" s="1297" t="s">
        <v>1498</v>
      </c>
      <c r="SF8" s="1297" t="s">
        <v>1251</v>
      </c>
      <c r="SG8" s="1297" t="s">
        <v>377</v>
      </c>
      <c r="SH8" s="1155"/>
      <c r="UA8" s="129" t="s">
        <v>5728</v>
      </c>
      <c r="UB8" s="129" t="s">
        <v>5735</v>
      </c>
      <c r="UC8" s="129"/>
      <c r="UD8" s="129"/>
      <c r="UE8" s="129"/>
      <c r="UF8" s="129"/>
      <c r="UG8" s="129"/>
      <c r="UH8" s="129"/>
      <c r="VA8" s="129" t="s">
        <v>5728</v>
      </c>
      <c r="VB8" s="129" t="s">
        <v>5735</v>
      </c>
      <c r="VC8" s="129"/>
      <c r="VD8" s="129"/>
      <c r="VE8" s="129"/>
      <c r="VF8" s="129"/>
      <c r="VG8" s="129"/>
      <c r="VH8" s="129"/>
      <c r="XA8" s="129" t="s">
        <v>5728</v>
      </c>
      <c r="XB8" s="129" t="s">
        <v>5735</v>
      </c>
      <c r="XC8" s="129"/>
      <c r="XD8" s="129"/>
      <c r="XE8" s="129"/>
      <c r="XF8" s="129"/>
      <c r="XG8" s="129"/>
      <c r="XH8" s="129"/>
      <c r="YA8" s="129" t="s">
        <v>5728</v>
      </c>
      <c r="YB8" s="129" t="s">
        <v>5735</v>
      </c>
      <c r="YC8" s="129"/>
      <c r="YD8" s="129"/>
      <c r="YE8" s="129"/>
      <c r="YF8" s="129"/>
      <c r="YG8" s="129"/>
      <c r="YH8" s="129"/>
      <c r="ABA8" s="129" t="s">
        <v>5728</v>
      </c>
      <c r="ABB8" s="129" t="s">
        <v>5735</v>
      </c>
      <c r="ABC8" s="129"/>
      <c r="ABD8" s="129"/>
      <c r="ABE8" s="129"/>
      <c r="ABF8" s="129"/>
      <c r="ABG8" s="129"/>
      <c r="ABH8" s="129"/>
      <c r="ACA8" s="129" t="s">
        <v>5728</v>
      </c>
      <c r="ACB8" s="129" t="s">
        <v>5735</v>
      </c>
      <c r="ACC8" s="129"/>
      <c r="ACD8" s="129"/>
      <c r="ACE8" s="129"/>
      <c r="ACF8" s="129"/>
      <c r="ACG8" s="129"/>
      <c r="ACH8" s="129"/>
      <c r="AFA8" s="129" t="s">
        <v>5728</v>
      </c>
      <c r="AFB8" s="129" t="s">
        <v>5735</v>
      </c>
      <c r="AFC8" s="129"/>
      <c r="AFD8" s="129"/>
      <c r="AFE8" s="129"/>
      <c r="AFF8" s="129"/>
      <c r="AFG8" s="129"/>
      <c r="AFH8" s="129"/>
      <c r="AGA8" s="129" t="s">
        <v>5728</v>
      </c>
      <c r="AGB8" s="129" t="s">
        <v>5735</v>
      </c>
      <c r="AGC8" s="129"/>
      <c r="AGD8" s="129"/>
      <c r="AGE8" s="129"/>
      <c r="AGF8" s="129"/>
      <c r="AGG8" s="129"/>
      <c r="AGH8" s="129"/>
      <c r="AJA8" s="129" t="s">
        <v>5728</v>
      </c>
      <c r="AJB8" s="129" t="s">
        <v>5735</v>
      </c>
      <c r="AJC8" s="129"/>
      <c r="AJD8" s="129"/>
      <c r="AJE8" s="129"/>
      <c r="AJF8" s="129"/>
      <c r="AJG8" s="129"/>
      <c r="AJH8" s="129"/>
      <c r="AKA8" s="129" t="s">
        <v>5728</v>
      </c>
      <c r="AKB8" s="129" t="s">
        <v>5735</v>
      </c>
      <c r="AKC8" s="129"/>
      <c r="AKD8" s="129"/>
      <c r="AKE8" s="129"/>
      <c r="AKF8" s="129"/>
      <c r="AKG8" s="129"/>
      <c r="AKH8" s="129"/>
      <c r="AMA8" s="129" t="s">
        <v>5728</v>
      </c>
      <c r="AMB8" s="129" t="s">
        <v>5735</v>
      </c>
      <c r="AMC8" s="129"/>
      <c r="AMD8" s="129"/>
      <c r="AME8" s="129"/>
      <c r="AMF8" s="129"/>
      <c r="AMG8" s="129"/>
      <c r="AMH8" s="129"/>
      <c r="ANA8" s="129" t="s">
        <v>5728</v>
      </c>
      <c r="ANB8" s="129" t="s">
        <v>5735</v>
      </c>
      <c r="ANC8" s="129"/>
      <c r="AND8" s="129"/>
      <c r="ANE8" s="129"/>
      <c r="ANF8" s="129"/>
      <c r="ANG8" s="129"/>
      <c r="ANH8" s="129"/>
      <c r="APA8" s="129" t="s">
        <v>5728</v>
      </c>
      <c r="APB8" s="129" t="s">
        <v>5735</v>
      </c>
      <c r="APC8" s="129"/>
      <c r="APD8" s="129"/>
      <c r="APE8" s="129"/>
      <c r="APF8" s="129"/>
      <c r="APG8" s="129"/>
      <c r="APH8" s="129"/>
      <c r="AQA8" s="129" t="s">
        <v>5728</v>
      </c>
      <c r="AQB8" s="129" t="s">
        <v>5735</v>
      </c>
      <c r="AQC8" s="129"/>
      <c r="AQD8" s="129"/>
      <c r="AQE8" s="129"/>
      <c r="AQF8" s="129"/>
      <c r="AQG8" s="129"/>
      <c r="AQH8" s="129"/>
    </row>
    <row r="9" spans="1:1022 1041:1228" ht="30" customHeight="1" thickBot="1">
      <c r="B9" s="290">
        <v>6</v>
      </c>
      <c r="C9" s="1359" t="s">
        <v>7164</v>
      </c>
      <c r="D9" s="1159" t="s">
        <v>6272</v>
      </c>
      <c r="E9" s="1160" t="s">
        <v>6271</v>
      </c>
      <c r="F9" s="1058" t="s">
        <v>233</v>
      </c>
      <c r="G9" s="598"/>
      <c r="H9" s="598"/>
      <c r="I9" s="598"/>
      <c r="J9" s="598"/>
      <c r="K9" s="598"/>
      <c r="L9" s="598"/>
      <c r="M9" s="598"/>
      <c r="N9" s="598"/>
      <c r="O9" s="598"/>
      <c r="P9" s="598"/>
      <c r="Q9" s="598"/>
      <c r="R9" s="598"/>
      <c r="S9" s="598"/>
      <c r="T9" s="598"/>
      <c r="U9" s="598"/>
      <c r="V9" s="598"/>
      <c r="W9" s="598"/>
      <c r="AA9" s="501" t="s">
        <v>6392</v>
      </c>
      <c r="AB9" s="1943" t="s">
        <v>7017</v>
      </c>
      <c r="AC9" s="1944"/>
      <c r="AD9" s="1499"/>
      <c r="AE9" s="437">
        <v>5</v>
      </c>
      <c r="AF9" s="1970" t="s">
        <v>7020</v>
      </c>
      <c r="AG9" s="1755"/>
      <c r="BA9" s="129" t="s">
        <v>5728</v>
      </c>
      <c r="BB9" s="1846" t="s">
        <v>6443</v>
      </c>
      <c r="BC9" s="1846"/>
      <c r="BD9" s="1846"/>
      <c r="BE9" s="1846"/>
      <c r="BF9" s="1846"/>
      <c r="BG9" s="1846"/>
      <c r="BH9" s="1846"/>
      <c r="BI9" s="129"/>
      <c r="CA9" s="129" t="s">
        <v>5728</v>
      </c>
      <c r="CB9" s="1846" t="s">
        <v>6443</v>
      </c>
      <c r="CC9" s="1846"/>
      <c r="CD9" s="1846"/>
      <c r="CE9" s="1846"/>
      <c r="CF9" s="1846"/>
      <c r="CG9" s="1846"/>
      <c r="CH9" s="1846"/>
      <c r="CZ9" s="501" t="s">
        <v>259</v>
      </c>
      <c r="DA9" s="1153" t="s">
        <v>6260</v>
      </c>
      <c r="DB9" s="1974"/>
      <c r="DC9" s="1974"/>
      <c r="DD9" s="258">
        <v>5</v>
      </c>
      <c r="DY9" s="1363" t="s">
        <v>4593</v>
      </c>
      <c r="DZ9" s="1153" t="s">
        <v>6834</v>
      </c>
      <c r="EA9" s="1153" t="s">
        <v>7065</v>
      </c>
      <c r="EB9" s="1362" t="s">
        <v>6443</v>
      </c>
      <c r="EC9" s="1362" t="s">
        <v>6836</v>
      </c>
      <c r="ED9" s="1363" t="s">
        <v>7063</v>
      </c>
      <c r="EE9" s="1153" t="s">
        <v>7109</v>
      </c>
      <c r="EF9" s="1364" t="s">
        <v>7100</v>
      </c>
      <c r="EG9" s="1744" t="s">
        <v>7138</v>
      </c>
      <c r="EH9" s="1745"/>
      <c r="EI9" s="1170"/>
      <c r="FA9" s="71" t="s">
        <v>6833</v>
      </c>
      <c r="FB9" s="71" t="s">
        <v>6832</v>
      </c>
      <c r="FC9" s="71" t="s">
        <v>6834</v>
      </c>
      <c r="FD9" s="71" t="s">
        <v>6835</v>
      </c>
      <c r="FE9" s="1373" t="s">
        <v>7139</v>
      </c>
      <c r="FF9" s="71" t="s">
        <v>6836</v>
      </c>
      <c r="FG9" s="10" t="s">
        <v>4593</v>
      </c>
      <c r="FH9" s="594">
        <v>4</v>
      </c>
      <c r="FI9" s="1501" t="s">
        <v>7144</v>
      </c>
      <c r="FJ9" s="1501"/>
      <c r="HA9" s="501" t="s">
        <v>6404</v>
      </c>
      <c r="HB9" s="1994" t="s">
        <v>6518</v>
      </c>
      <c r="HC9" s="1995"/>
      <c r="HD9" s="1498"/>
      <c r="HE9" s="437">
        <v>5</v>
      </c>
      <c r="HF9" s="1543" t="s">
        <v>7074</v>
      </c>
      <c r="HG9" s="1544"/>
      <c r="IA9" s="133" t="s">
        <v>5728</v>
      </c>
      <c r="IB9" s="1846" t="s">
        <v>6443</v>
      </c>
      <c r="IC9" s="1846"/>
      <c r="ID9" s="1846"/>
      <c r="IE9" s="1846"/>
      <c r="IF9" s="1103"/>
      <c r="IG9" s="1103"/>
      <c r="IH9" s="1103"/>
      <c r="II9" s="1103"/>
      <c r="IJ9" s="1103"/>
      <c r="IK9" s="1103"/>
      <c r="IL9" s="1103"/>
      <c r="JA9" s="129"/>
      <c r="JB9" s="129"/>
      <c r="JC9" s="378"/>
      <c r="JD9" s="129"/>
      <c r="JE9" s="129"/>
      <c r="JF9" s="129"/>
      <c r="JG9" s="129"/>
      <c r="JH9" s="129"/>
      <c r="JI9" s="129"/>
      <c r="JJ9" s="129"/>
      <c r="JK9" s="1103"/>
      <c r="JL9" s="129"/>
      <c r="KA9" s="10" t="s">
        <v>7002</v>
      </c>
      <c r="KB9" s="10"/>
      <c r="KC9" s="10"/>
      <c r="KD9" s="10"/>
      <c r="KE9" s="10"/>
      <c r="KF9" s="291" t="s">
        <v>4593</v>
      </c>
      <c r="KH9">
        <v>1</v>
      </c>
      <c r="KI9" t="s">
        <v>7013</v>
      </c>
      <c r="LA9" s="501" t="s">
        <v>6245</v>
      </c>
      <c r="LB9" s="1793" t="s">
        <v>7167</v>
      </c>
      <c r="LC9" s="1793"/>
      <c r="LD9" s="1793"/>
      <c r="LE9" s="1793"/>
      <c r="LF9" s="1793"/>
      <c r="LG9" s="258">
        <v>5</v>
      </c>
      <c r="LH9" s="1550" t="s">
        <v>7177</v>
      </c>
      <c r="LI9" s="1551"/>
      <c r="MA9" s="377" t="s">
        <v>5726</v>
      </c>
      <c r="MB9" s="1787" t="s">
        <v>6542</v>
      </c>
      <c r="MC9" s="1787"/>
      <c r="MD9" s="1787"/>
      <c r="ME9" s="1787"/>
      <c r="MF9" s="129"/>
      <c r="MG9" s="129"/>
      <c r="MH9" s="129"/>
      <c r="NA9" s="377" t="s">
        <v>5726</v>
      </c>
      <c r="NB9" s="1787" t="s">
        <v>7265</v>
      </c>
      <c r="NC9" s="1787"/>
      <c r="ND9" s="1787"/>
      <c r="NE9" s="1787"/>
      <c r="NF9" s="129"/>
      <c r="NG9" s="129"/>
      <c r="NH9" s="129"/>
      <c r="OA9" s="1362" t="s">
        <v>7280</v>
      </c>
      <c r="OB9" s="1362" t="s">
        <v>7300</v>
      </c>
      <c r="OC9" s="1362" t="s">
        <v>7290</v>
      </c>
      <c r="OD9" s="1362" t="s">
        <v>7281</v>
      </c>
      <c r="OE9" s="1362" t="s">
        <v>6836</v>
      </c>
      <c r="OF9" s="1362" t="s">
        <v>7141</v>
      </c>
      <c r="OG9" s="1400" t="s">
        <v>4593</v>
      </c>
      <c r="OH9" s="1364" t="s">
        <v>7302</v>
      </c>
      <c r="PA9" s="1415" t="s">
        <v>7338</v>
      </c>
      <c r="PB9" s="2056"/>
      <c r="PC9" s="2057"/>
      <c r="PE9" s="2041"/>
      <c r="PF9" s="608">
        <v>4</v>
      </c>
      <c r="PG9" s="2063" t="s">
        <v>7356</v>
      </c>
      <c r="PH9" s="2062"/>
      <c r="QA9" s="377" t="s">
        <v>5726</v>
      </c>
      <c r="QB9" s="1787" t="s">
        <v>6833</v>
      </c>
      <c r="QC9" s="1787"/>
      <c r="QD9" s="1787"/>
      <c r="QE9" s="1787"/>
      <c r="QF9" s="129"/>
      <c r="QG9" s="129"/>
      <c r="QH9" s="129"/>
      <c r="RA9" s="377" t="s">
        <v>5726</v>
      </c>
      <c r="RB9" s="1787" t="s">
        <v>6833</v>
      </c>
      <c r="RC9" s="1787"/>
      <c r="RD9" s="1787"/>
      <c r="RE9" s="1787"/>
      <c r="RF9" s="129"/>
      <c r="RG9" s="129"/>
      <c r="RH9" s="129"/>
      <c r="SA9" s="1362" t="s">
        <v>7280</v>
      </c>
      <c r="SB9" s="1362" t="s">
        <v>7300</v>
      </c>
      <c r="SC9" s="1362" t="s">
        <v>7290</v>
      </c>
      <c r="SD9" s="1362" t="s">
        <v>7281</v>
      </c>
      <c r="SE9" s="1362" t="s">
        <v>6836</v>
      </c>
      <c r="SF9" s="1362" t="s">
        <v>7141</v>
      </c>
      <c r="SG9" s="1400" t="s">
        <v>4593</v>
      </c>
      <c r="SH9" s="1364" t="s">
        <v>7302</v>
      </c>
      <c r="UA9" s="378"/>
      <c r="UB9" s="129" t="s">
        <v>5754</v>
      </c>
      <c r="UC9" s="129"/>
      <c r="UD9" s="129"/>
      <c r="UE9" s="129"/>
      <c r="UF9" s="129"/>
      <c r="UG9" s="129"/>
      <c r="UH9" s="129"/>
      <c r="VA9" s="378"/>
      <c r="VB9" s="129" t="s">
        <v>5754</v>
      </c>
      <c r="VC9" s="129"/>
      <c r="VD9" s="129"/>
      <c r="VE9" s="129"/>
      <c r="VF9" s="129"/>
      <c r="VG9" s="129"/>
      <c r="VH9" s="129"/>
      <c r="XA9" s="378"/>
      <c r="XB9" s="129" t="s">
        <v>5754</v>
      </c>
      <c r="XC9" s="129"/>
      <c r="XD9" s="129"/>
      <c r="XE9" s="129"/>
      <c r="XF9" s="129"/>
      <c r="XG9" s="129"/>
      <c r="XH9" s="129"/>
      <c r="YA9" s="378"/>
      <c r="YB9" s="129" t="s">
        <v>5754</v>
      </c>
      <c r="YC9" s="129"/>
      <c r="YD9" s="129"/>
      <c r="YE9" s="129"/>
      <c r="YF9" s="129"/>
      <c r="YG9" s="129"/>
      <c r="YH9" s="129"/>
      <c r="ABA9" s="378"/>
      <c r="ABB9" s="129" t="s">
        <v>5754</v>
      </c>
      <c r="ABC9" s="129"/>
      <c r="ABD9" s="129"/>
      <c r="ABE9" s="129"/>
      <c r="ABF9" s="129"/>
      <c r="ABG9" s="129"/>
      <c r="ABH9" s="129"/>
      <c r="ACA9" s="378"/>
      <c r="ACB9" s="129" t="s">
        <v>5754</v>
      </c>
      <c r="ACC9" s="129"/>
      <c r="ACD9" s="129"/>
      <c r="ACE9" s="129"/>
      <c r="ACF9" s="129"/>
      <c r="ACG9" s="129"/>
      <c r="ACH9" s="129"/>
      <c r="AFA9" s="378"/>
      <c r="AFB9" s="129" t="s">
        <v>5754</v>
      </c>
      <c r="AFC9" s="129"/>
      <c r="AFD9" s="129"/>
      <c r="AFE9" s="129"/>
      <c r="AFF9" s="129"/>
      <c r="AFG9" s="129"/>
      <c r="AFH9" s="129"/>
      <c r="AGA9" s="378"/>
      <c r="AGB9" s="129" t="s">
        <v>5754</v>
      </c>
      <c r="AGC9" s="129"/>
      <c r="AGD9" s="129"/>
      <c r="AGE9" s="129"/>
      <c r="AGF9" s="129"/>
      <c r="AGG9" s="129"/>
      <c r="AGH9" s="129"/>
      <c r="AJA9" s="378"/>
      <c r="AJB9" s="129" t="s">
        <v>5754</v>
      </c>
      <c r="AJC9" s="129"/>
      <c r="AJD9" s="129"/>
      <c r="AJE9" s="129"/>
      <c r="AJF9" s="129"/>
      <c r="AJG9" s="129"/>
      <c r="AJH9" s="129"/>
      <c r="AKA9" s="378"/>
      <c r="AKB9" s="129" t="s">
        <v>5754</v>
      </c>
      <c r="AKC9" s="129"/>
      <c r="AKD9" s="129"/>
      <c r="AKE9" s="129"/>
      <c r="AKF9" s="129"/>
      <c r="AKG9" s="129"/>
      <c r="AKH9" s="129"/>
      <c r="AMA9" s="378"/>
      <c r="AMB9" s="129" t="s">
        <v>5754</v>
      </c>
      <c r="AMC9" s="129"/>
      <c r="AMD9" s="129"/>
      <c r="AME9" s="129"/>
      <c r="AMF9" s="129"/>
      <c r="AMG9" s="129"/>
      <c r="AMH9" s="129"/>
      <c r="ANA9" s="378"/>
      <c r="ANB9" s="129" t="s">
        <v>5754</v>
      </c>
      <c r="ANC9" s="129"/>
      <c r="AND9" s="129"/>
      <c r="ANE9" s="129"/>
      <c r="ANF9" s="129"/>
      <c r="ANG9" s="129"/>
      <c r="ANH9" s="129"/>
      <c r="APA9" s="378"/>
      <c r="APB9" s="129" t="s">
        <v>5754</v>
      </c>
      <c r="APC9" s="129"/>
      <c r="APD9" s="129"/>
      <c r="APE9" s="129"/>
      <c r="APF9" s="129"/>
      <c r="APG9" s="129"/>
      <c r="APH9" s="129"/>
      <c r="AQA9" s="378"/>
      <c r="AQB9" s="129" t="s">
        <v>5754</v>
      </c>
      <c r="AQC9" s="129"/>
      <c r="AQD9" s="129"/>
      <c r="AQE9" s="129"/>
      <c r="AQF9" s="129"/>
      <c r="AQG9" s="129"/>
      <c r="AQH9" s="129"/>
    </row>
    <row r="10" spans="1:1022 1041:1228" s="1148" customFormat="1" ht="30" customHeight="1" thickBot="1">
      <c r="B10" s="290">
        <v>7</v>
      </c>
      <c r="C10" s="1359" t="s">
        <v>5523</v>
      </c>
      <c r="D10" s="1159" t="s">
        <v>7198</v>
      </c>
      <c r="E10" s="1171" t="s">
        <v>6336</v>
      </c>
      <c r="F10" s="1058" t="s">
        <v>233</v>
      </c>
      <c r="AA10" s="222" t="s">
        <v>423</v>
      </c>
      <c r="AB10" s="1944" t="s">
        <v>6243</v>
      </c>
      <c r="AC10" s="1983"/>
      <c r="AD10" s="1497" t="s">
        <v>7018</v>
      </c>
      <c r="AE10" s="437">
        <v>6</v>
      </c>
      <c r="AF10" s="1895" t="s">
        <v>7075</v>
      </c>
      <c r="AG10" s="1501"/>
      <c r="BA10" s="129" t="s">
        <v>5729</v>
      </c>
      <c r="BB10" s="1846" t="s">
        <v>7032</v>
      </c>
      <c r="BC10" s="1846"/>
      <c r="BD10" s="1846"/>
      <c r="BE10" s="1846"/>
      <c r="BF10" s="1846"/>
      <c r="BG10" s="1846"/>
      <c r="BH10" s="1846"/>
      <c r="BI10" s="1103"/>
      <c r="CA10" s="129" t="s">
        <v>5729</v>
      </c>
      <c r="CB10" s="1846" t="s">
        <v>7032</v>
      </c>
      <c r="CC10" s="1846"/>
      <c r="CD10" s="1846"/>
      <c r="CE10" s="1846"/>
      <c r="CF10" s="1846"/>
      <c r="CG10" s="1846"/>
      <c r="CH10" s="1846"/>
      <c r="CZ10" s="222" t="s">
        <v>6822</v>
      </c>
      <c r="DA10" s="1153" t="s">
        <v>6260</v>
      </c>
      <c r="DB10" s="1974"/>
      <c r="DC10" s="1974"/>
      <c r="DD10" s="258">
        <v>6</v>
      </c>
      <c r="DE10"/>
      <c r="DY10" s="1363" t="s">
        <v>4593</v>
      </c>
      <c r="DZ10" s="1153" t="s">
        <v>6834</v>
      </c>
      <c r="EA10" s="1153" t="s">
        <v>7065</v>
      </c>
      <c r="EB10" s="1362" t="s">
        <v>6443</v>
      </c>
      <c r="EC10" s="1362" t="s">
        <v>6836</v>
      </c>
      <c r="ED10" s="1363" t="s">
        <v>7063</v>
      </c>
      <c r="EE10" s="1153" t="s">
        <v>7109</v>
      </c>
      <c r="EF10" s="1364" t="s">
        <v>7101</v>
      </c>
      <c r="EG10" s="1744" t="s">
        <v>7138</v>
      </c>
      <c r="EH10" s="1745"/>
      <c r="EI10" s="1294"/>
      <c r="FA10" s="71" t="s">
        <v>6833</v>
      </c>
      <c r="FB10" s="71" t="s">
        <v>6832</v>
      </c>
      <c r="FC10" s="71" t="s">
        <v>6834</v>
      </c>
      <c r="FD10" s="71" t="s">
        <v>6835</v>
      </c>
      <c r="FE10" s="1373" t="s">
        <v>7139</v>
      </c>
      <c r="FF10" s="71" t="s">
        <v>6836</v>
      </c>
      <c r="FG10" s="10" t="s">
        <v>4593</v>
      </c>
      <c r="FH10" s="594">
        <v>5</v>
      </c>
      <c r="FI10" s="1501" t="s">
        <v>7145</v>
      </c>
      <c r="FJ10" s="1501"/>
      <c r="HA10" s="501" t="s">
        <v>423</v>
      </c>
      <c r="HB10" s="1993">
        <v>46113</v>
      </c>
      <c r="HC10" s="1944"/>
      <c r="HD10" s="1499"/>
      <c r="HE10" s="437"/>
      <c r="HF10" s="1543" t="s">
        <v>6998</v>
      </c>
      <c r="HG10" s="1544"/>
      <c r="IA10" s="597" t="s">
        <v>5729</v>
      </c>
      <c r="IB10" s="1846" t="s">
        <v>6445</v>
      </c>
      <c r="IC10" s="1846"/>
      <c r="ID10" s="1846"/>
      <c r="IE10" s="1846"/>
      <c r="IF10" s="129"/>
      <c r="IG10" s="129"/>
      <c r="IH10" s="129"/>
      <c r="II10" s="129"/>
      <c r="IJ10" s="129"/>
      <c r="IK10" s="129"/>
      <c r="IL10" s="129"/>
      <c r="JA10" s="129"/>
      <c r="JB10" s="129"/>
      <c r="JC10" s="378"/>
      <c r="JD10" s="129"/>
      <c r="JE10" s="129"/>
      <c r="JF10" s="129"/>
      <c r="JG10" s="129"/>
      <c r="JH10" s="129"/>
      <c r="JI10" s="129"/>
      <c r="JJ10" s="129"/>
      <c r="JK10" s="129"/>
      <c r="JL10" s="129"/>
      <c r="KA10" s="10" t="s">
        <v>7003</v>
      </c>
      <c r="KB10" s="10"/>
      <c r="KC10" s="10"/>
      <c r="KD10" s="10"/>
      <c r="KE10" s="10"/>
      <c r="KF10" s="291" t="s">
        <v>4593</v>
      </c>
      <c r="KG10"/>
      <c r="KH10">
        <v>3</v>
      </c>
      <c r="KI10" s="1" t="s">
        <v>7014</v>
      </c>
      <c r="LA10" s="501" t="s">
        <v>6404</v>
      </c>
      <c r="LB10" s="2002" t="s">
        <v>7176</v>
      </c>
      <c r="LC10" s="2003"/>
      <c r="LD10" s="2003"/>
      <c r="LE10" s="2004"/>
      <c r="LF10" s="2000"/>
      <c r="LG10" s="437">
        <v>6</v>
      </c>
      <c r="LH10" s="1206" t="s">
        <v>7178</v>
      </c>
      <c r="LI10" s="1061"/>
      <c r="MA10" s="377" t="s">
        <v>5728</v>
      </c>
      <c r="MB10" s="1787" t="s">
        <v>7267</v>
      </c>
      <c r="MC10" s="1787"/>
      <c r="MD10" s="1787"/>
      <c r="ME10" s="1787"/>
      <c r="MF10" s="129"/>
      <c r="MG10" s="129"/>
      <c r="MH10" s="129"/>
      <c r="MI10"/>
      <c r="NA10" s="377" t="s">
        <v>5728</v>
      </c>
      <c r="NB10" s="1787" t="s">
        <v>7267</v>
      </c>
      <c r="NC10" s="1787"/>
      <c r="ND10" s="1787"/>
      <c r="NE10" s="1787"/>
      <c r="NF10" s="129"/>
      <c r="NG10" s="129"/>
      <c r="NH10" s="129"/>
      <c r="NI10"/>
      <c r="NJ10"/>
      <c r="OA10" s="1153" t="s">
        <v>7280</v>
      </c>
      <c r="OB10" s="1362" t="s">
        <v>7300</v>
      </c>
      <c r="OC10" s="1362" t="s">
        <v>7291</v>
      </c>
      <c r="OD10" s="1362" t="s">
        <v>7282</v>
      </c>
      <c r="OE10" s="1362" t="s">
        <v>6836</v>
      </c>
      <c r="OF10" s="1362" t="s">
        <v>7141</v>
      </c>
      <c r="OG10" s="1363" t="s">
        <v>4593</v>
      </c>
      <c r="OH10" s="1364" t="s">
        <v>7303</v>
      </c>
      <c r="PA10" s="1417" t="s">
        <v>1251</v>
      </c>
      <c r="PB10" s="2038" t="s">
        <v>7372</v>
      </c>
      <c r="PC10" s="2039"/>
      <c r="PE10" s="2042"/>
      <c r="PF10" s="608">
        <v>5</v>
      </c>
      <c r="PG10" s="1419" t="s">
        <v>7373</v>
      </c>
      <c r="PH10" s="1418"/>
      <c r="QA10" s="377" t="s">
        <v>5728</v>
      </c>
      <c r="QB10" s="1787" t="s">
        <v>7379</v>
      </c>
      <c r="QC10" s="1787"/>
      <c r="QD10" s="1787"/>
      <c r="QE10" s="1787"/>
      <c r="QF10" s="129"/>
      <c r="QG10" s="129"/>
      <c r="QH10" s="129"/>
      <c r="QI10"/>
      <c r="RA10" s="377" t="s">
        <v>5728</v>
      </c>
      <c r="RB10" s="1787" t="s">
        <v>7379</v>
      </c>
      <c r="RC10" s="1787"/>
      <c r="RD10" s="1787"/>
      <c r="RE10" s="1787"/>
      <c r="RF10" s="129"/>
      <c r="RG10" s="129"/>
      <c r="RH10" s="129"/>
      <c r="RI10"/>
      <c r="RJ10"/>
      <c r="RK10"/>
      <c r="RL10"/>
      <c r="RM10"/>
      <c r="RN10"/>
      <c r="RO10"/>
      <c r="RP10"/>
      <c r="RQ10"/>
      <c r="RR10"/>
      <c r="RS10"/>
      <c r="RT10"/>
      <c r="RU10"/>
      <c r="RV10"/>
      <c r="RW10"/>
      <c r="RX10"/>
      <c r="RY10"/>
      <c r="SA10" s="1153" t="s">
        <v>7280</v>
      </c>
      <c r="SB10" s="1362" t="s">
        <v>7300</v>
      </c>
      <c r="SC10" s="1362" t="s">
        <v>7291</v>
      </c>
      <c r="SD10" s="1362" t="s">
        <v>7282</v>
      </c>
      <c r="SE10" s="1362" t="s">
        <v>6836</v>
      </c>
      <c r="SF10" s="1362" t="s">
        <v>7141</v>
      </c>
      <c r="SG10" s="1363" t="s">
        <v>4593</v>
      </c>
      <c r="SH10" s="1364" t="s">
        <v>7303</v>
      </c>
      <c r="UA10" s="1103" t="s">
        <v>5728</v>
      </c>
      <c r="UB10" s="1103" t="s">
        <v>5766</v>
      </c>
      <c r="UC10" s="1103"/>
      <c r="UD10" s="1103"/>
      <c r="UE10" s="1103"/>
      <c r="UF10" s="1103"/>
      <c r="UG10" s="1103"/>
      <c r="UH10" s="1103"/>
      <c r="VA10" s="1103" t="s">
        <v>5728</v>
      </c>
      <c r="VB10" s="1103" t="s">
        <v>5766</v>
      </c>
      <c r="VC10" s="1103"/>
      <c r="VD10" s="1103"/>
      <c r="VE10" s="1103"/>
      <c r="VF10" s="1103"/>
      <c r="VG10" s="1103"/>
      <c r="VH10" s="1103"/>
      <c r="XA10" s="1103" t="s">
        <v>5728</v>
      </c>
      <c r="XB10" s="1103" t="s">
        <v>5766</v>
      </c>
      <c r="XC10" s="1103"/>
      <c r="XD10" s="1103"/>
      <c r="XE10" s="1103"/>
      <c r="XF10" s="1103"/>
      <c r="XG10" s="1103"/>
      <c r="XH10" s="1103"/>
      <c r="YA10" s="1103" t="s">
        <v>5728</v>
      </c>
      <c r="YB10" s="1103" t="s">
        <v>5766</v>
      </c>
      <c r="YC10" s="1103"/>
      <c r="YD10" s="1103"/>
      <c r="YE10" s="1103"/>
      <c r="YF10" s="1103"/>
      <c r="YG10" s="1103"/>
      <c r="YH10" s="1103"/>
      <c r="ABA10" s="1103" t="s">
        <v>5728</v>
      </c>
      <c r="ABB10" s="1103" t="s">
        <v>5766</v>
      </c>
      <c r="ABC10" s="1103"/>
      <c r="ABD10" s="1103"/>
      <c r="ABE10" s="1103"/>
      <c r="ABF10" s="1103"/>
      <c r="ABG10" s="1103"/>
      <c r="ABH10" s="1103"/>
      <c r="ACA10" s="1103" t="s">
        <v>5728</v>
      </c>
      <c r="ACB10" s="1103" t="s">
        <v>5766</v>
      </c>
      <c r="ACC10" s="1103"/>
      <c r="ACD10" s="1103"/>
      <c r="ACE10" s="1103"/>
      <c r="ACF10" s="1103"/>
      <c r="ACG10" s="1103"/>
      <c r="ACH10" s="1103"/>
      <c r="AFA10" s="1103" t="s">
        <v>5728</v>
      </c>
      <c r="AFB10" s="1103" t="s">
        <v>5766</v>
      </c>
      <c r="AFC10" s="1103"/>
      <c r="AFD10" s="1103"/>
      <c r="AFE10" s="1103"/>
      <c r="AFF10" s="1103"/>
      <c r="AFG10" s="1103"/>
      <c r="AFH10" s="1103"/>
      <c r="AGA10" s="1103" t="s">
        <v>5728</v>
      </c>
      <c r="AGB10" s="1103" t="s">
        <v>5766</v>
      </c>
      <c r="AGC10" s="1103"/>
      <c r="AGD10" s="1103"/>
      <c r="AGE10" s="1103"/>
      <c r="AGF10" s="1103"/>
      <c r="AGG10" s="1103"/>
      <c r="AGH10" s="1103"/>
      <c r="AJA10" s="1103" t="s">
        <v>5728</v>
      </c>
      <c r="AJB10" s="1103" t="s">
        <v>5766</v>
      </c>
      <c r="AJC10" s="1103"/>
      <c r="AJD10" s="1103"/>
      <c r="AJE10" s="1103"/>
      <c r="AJF10" s="1103"/>
      <c r="AJG10" s="1103"/>
      <c r="AJH10" s="1103"/>
      <c r="AKA10" s="1103" t="s">
        <v>5728</v>
      </c>
      <c r="AKB10" s="1103" t="s">
        <v>5766</v>
      </c>
      <c r="AKC10" s="1103"/>
      <c r="AKD10" s="1103"/>
      <c r="AKE10" s="1103"/>
      <c r="AKF10" s="1103"/>
      <c r="AKG10" s="1103"/>
      <c r="AKH10" s="1103"/>
      <c r="AMA10" s="1103" t="s">
        <v>5728</v>
      </c>
      <c r="AMB10" s="1103" t="s">
        <v>5766</v>
      </c>
      <c r="AMC10" s="1103"/>
      <c r="AMD10" s="1103"/>
      <c r="AME10" s="1103"/>
      <c r="AMF10" s="1103"/>
      <c r="AMG10" s="1103"/>
      <c r="AMH10" s="1103"/>
      <c r="ANA10" s="1103" t="s">
        <v>5728</v>
      </c>
      <c r="ANB10" s="1103" t="s">
        <v>5766</v>
      </c>
      <c r="ANC10" s="1103"/>
      <c r="AND10" s="1103"/>
      <c r="ANE10" s="1103"/>
      <c r="ANF10" s="1103"/>
      <c r="ANG10" s="1103"/>
      <c r="ANH10" s="1103"/>
      <c r="APA10" s="1103" t="s">
        <v>5728</v>
      </c>
      <c r="APB10" s="1103" t="s">
        <v>5766</v>
      </c>
      <c r="APC10" s="1103"/>
      <c r="APD10" s="1103"/>
      <c r="APE10" s="1103"/>
      <c r="APF10" s="1103"/>
      <c r="APG10" s="1103"/>
      <c r="APH10" s="1103"/>
      <c r="AQA10" s="1103" t="s">
        <v>5728</v>
      </c>
      <c r="AQB10" s="1103" t="s">
        <v>5766</v>
      </c>
      <c r="AQC10" s="1103"/>
      <c r="AQD10" s="1103"/>
      <c r="AQE10" s="1103"/>
      <c r="AQF10" s="1103"/>
      <c r="AQG10" s="1103"/>
      <c r="AQH10" s="1103"/>
    </row>
    <row r="11" spans="1:1022 1041:1228" ht="30" customHeight="1" thickBot="1">
      <c r="B11" s="290">
        <v>8</v>
      </c>
      <c r="C11" s="1359" t="s">
        <v>5524</v>
      </c>
      <c r="D11" s="1159" t="s">
        <v>7201</v>
      </c>
      <c r="E11" s="1160" t="s">
        <v>7334</v>
      </c>
      <c r="F11" s="1058" t="s">
        <v>233</v>
      </c>
      <c r="AA11" s="222" t="s">
        <v>1498</v>
      </c>
      <c r="AB11" s="1943" t="s">
        <v>5790</v>
      </c>
      <c r="AC11" s="1944"/>
      <c r="AD11" s="1498"/>
      <c r="AE11" s="437">
        <v>7</v>
      </c>
      <c r="AF11" s="1970" t="s">
        <v>7021</v>
      </c>
      <c r="AG11" s="1755"/>
      <c r="BA11" s="129" t="s">
        <v>5730</v>
      </c>
      <c r="BB11" s="1846" t="s">
        <v>6819</v>
      </c>
      <c r="BC11" s="1846"/>
      <c r="BD11" s="1846"/>
      <c r="BE11" s="1846"/>
      <c r="BF11" s="1846"/>
      <c r="BG11" s="1846"/>
      <c r="BH11" s="1846"/>
      <c r="BI11" s="129"/>
      <c r="CA11" s="129" t="s">
        <v>5730</v>
      </c>
      <c r="CB11" s="1846" t="s">
        <v>6819</v>
      </c>
      <c r="CC11" s="1846"/>
      <c r="CD11" s="1846"/>
      <c r="CE11" s="1846"/>
      <c r="CF11" s="1846"/>
      <c r="CG11" s="1846"/>
      <c r="CH11" s="1846"/>
      <c r="CZ11" s="222" t="s">
        <v>6244</v>
      </c>
      <c r="DA11" s="1153" t="s">
        <v>6260</v>
      </c>
      <c r="DB11" s="1974"/>
      <c r="DC11" s="1974"/>
      <c r="DD11" s="258">
        <v>7</v>
      </c>
      <c r="DE11" s="1148"/>
      <c r="DY11" s="1363" t="s">
        <v>4593</v>
      </c>
      <c r="DZ11" s="1153" t="s">
        <v>6834</v>
      </c>
      <c r="EA11" s="1153" t="s">
        <v>7065</v>
      </c>
      <c r="EB11" s="1362" t="s">
        <v>6443</v>
      </c>
      <c r="EC11" s="1362" t="s">
        <v>6836</v>
      </c>
      <c r="ED11" s="1363" t="s">
        <v>7063</v>
      </c>
      <c r="EE11" s="1153" t="s">
        <v>7109</v>
      </c>
      <c r="EF11" s="1364" t="s">
        <v>7102</v>
      </c>
      <c r="EG11" s="1744" t="s">
        <v>7138</v>
      </c>
      <c r="EH11" s="1745"/>
      <c r="EI11" s="1170"/>
      <c r="FA11" s="71" t="s">
        <v>6833</v>
      </c>
      <c r="FB11" s="71" t="s">
        <v>6832</v>
      </c>
      <c r="FC11" s="71" t="s">
        <v>6834</v>
      </c>
      <c r="FD11" s="71" t="s">
        <v>6835</v>
      </c>
      <c r="FE11" s="1373" t="s">
        <v>7139</v>
      </c>
      <c r="FF11" s="71" t="s">
        <v>6836</v>
      </c>
      <c r="FG11" s="10" t="s">
        <v>4593</v>
      </c>
      <c r="FH11" s="594">
        <v>6</v>
      </c>
      <c r="FI11" s="1955"/>
      <c r="FJ11" s="1955"/>
      <c r="HA11" s="501" t="s">
        <v>6244</v>
      </c>
      <c r="HB11" s="1944" t="s">
        <v>6243</v>
      </c>
      <c r="HC11" s="1983"/>
      <c r="HD11" s="1947"/>
      <c r="HE11" s="437">
        <v>6</v>
      </c>
      <c r="HF11" s="1942" t="s">
        <v>6519</v>
      </c>
      <c r="HG11" s="1644"/>
      <c r="IA11" s="133" t="s">
        <v>5730</v>
      </c>
      <c r="IB11" s="1532" t="s">
        <v>6258</v>
      </c>
      <c r="IC11" s="1532"/>
      <c r="ID11" s="1532"/>
      <c r="IE11" s="1532"/>
      <c r="IF11" s="129"/>
      <c r="IG11" s="129"/>
      <c r="IH11" s="129"/>
      <c r="II11" s="129"/>
      <c r="IJ11" s="129"/>
      <c r="IK11" s="129"/>
      <c r="IL11" s="129"/>
      <c r="JA11" s="455" t="s">
        <v>5726</v>
      </c>
      <c r="JB11" s="1846" t="s">
        <v>5735</v>
      </c>
      <c r="JC11" s="1846"/>
      <c r="JD11" s="1846"/>
      <c r="JE11" s="1846"/>
      <c r="JF11" s="129"/>
      <c r="JG11" s="129"/>
      <c r="JH11" s="129"/>
      <c r="JI11" s="129"/>
      <c r="JJ11" s="129"/>
      <c r="JK11" s="129"/>
      <c r="JL11" s="129"/>
      <c r="KA11" s="10"/>
      <c r="KB11" s="10"/>
      <c r="KC11" s="10"/>
      <c r="KD11" s="1149"/>
      <c r="KE11" s="10"/>
      <c r="KF11" s="291" t="s">
        <v>4593</v>
      </c>
      <c r="KH11">
        <v>3</v>
      </c>
      <c r="LA11" s="501" t="s">
        <v>6244</v>
      </c>
      <c r="LB11" s="1793" t="s">
        <v>6550</v>
      </c>
      <c r="LC11" s="1793"/>
      <c r="LD11" s="1793"/>
      <c r="LE11" s="1793"/>
      <c r="LF11" s="2001"/>
      <c r="LG11" s="437">
        <v>7</v>
      </c>
      <c r="LH11" s="1543" t="s">
        <v>7181</v>
      </c>
      <c r="LI11" s="1544"/>
      <c r="MA11" s="377" t="s">
        <v>5728</v>
      </c>
      <c r="MB11" s="1787" t="s">
        <v>7184</v>
      </c>
      <c r="MC11" s="1787"/>
      <c r="MD11" s="1787"/>
      <c r="ME11" s="1787"/>
      <c r="MF11" s="129"/>
      <c r="MG11" s="129"/>
      <c r="MH11" s="129"/>
      <c r="NA11" s="377" t="s">
        <v>5728</v>
      </c>
      <c r="NB11" s="1787" t="s">
        <v>7184</v>
      </c>
      <c r="NC11" s="1787"/>
      <c r="ND11" s="1787"/>
      <c r="NE11" s="1787"/>
      <c r="NF11" s="129"/>
      <c r="NG11" s="129"/>
      <c r="NH11" s="129"/>
      <c r="OA11" s="1153" t="s">
        <v>7280</v>
      </c>
      <c r="OB11" s="1362" t="s">
        <v>7300</v>
      </c>
      <c r="OC11" s="1362" t="s">
        <v>7292</v>
      </c>
      <c r="OD11" s="1362" t="s">
        <v>7283</v>
      </c>
      <c r="OE11" s="1362" t="s">
        <v>6836</v>
      </c>
      <c r="OF11" s="1362" t="s">
        <v>7141</v>
      </c>
      <c r="OG11" s="1363" t="s">
        <v>4593</v>
      </c>
      <c r="OH11" s="1364" t="s">
        <v>7304</v>
      </c>
      <c r="PA11" s="1415" t="s">
        <v>7361</v>
      </c>
      <c r="PB11" s="1422" t="s">
        <v>7363</v>
      </c>
      <c r="PC11" s="1423" t="s">
        <v>7362</v>
      </c>
      <c r="PD11" s="1422" t="s">
        <v>7363</v>
      </c>
      <c r="PF11" s="608">
        <v>6</v>
      </c>
      <c r="PG11" s="2046" t="s">
        <v>7371</v>
      </c>
      <c r="PH11" s="2047"/>
      <c r="QA11" s="377" t="s">
        <v>5728</v>
      </c>
      <c r="QB11" s="1787" t="s">
        <v>6404</v>
      </c>
      <c r="QC11" s="1787"/>
      <c r="QD11" s="1787"/>
      <c r="QE11" s="1787"/>
      <c r="QF11" s="129"/>
      <c r="QG11" s="129"/>
      <c r="QH11" s="129"/>
      <c r="RA11" s="377" t="s">
        <v>5728</v>
      </c>
      <c r="RB11" s="1368" t="s">
        <v>6404</v>
      </c>
      <c r="RC11" s="1368"/>
      <c r="RD11" s="1368"/>
      <c r="RE11" s="1368"/>
      <c r="RF11" s="129"/>
      <c r="RG11" s="129"/>
      <c r="RH11" s="129"/>
      <c r="SA11" s="1153" t="s">
        <v>7280</v>
      </c>
      <c r="SB11" s="1362" t="s">
        <v>7300</v>
      </c>
      <c r="SC11" s="1362" t="s">
        <v>7292</v>
      </c>
      <c r="SD11" s="1362" t="s">
        <v>7283</v>
      </c>
      <c r="SE11" s="1362" t="s">
        <v>6836</v>
      </c>
      <c r="SF11" s="1362" t="s">
        <v>7141</v>
      </c>
      <c r="SG11" s="1363" t="s">
        <v>4593</v>
      </c>
      <c r="SH11" s="1364" t="s">
        <v>7304</v>
      </c>
      <c r="UA11" s="129" t="s">
        <v>5729</v>
      </c>
      <c r="UB11" s="129" t="s">
        <v>5764</v>
      </c>
      <c r="UC11" s="129"/>
      <c r="UD11" s="129"/>
      <c r="UE11" s="129"/>
      <c r="UF11" s="129"/>
      <c r="UG11" s="129"/>
      <c r="UH11" s="129"/>
      <c r="VA11" s="129" t="s">
        <v>5729</v>
      </c>
      <c r="VB11" s="129" t="s">
        <v>5764</v>
      </c>
      <c r="VC11" s="129"/>
      <c r="VD11" s="129"/>
      <c r="VE11" s="129"/>
      <c r="VF11" s="129"/>
      <c r="VG11" s="129"/>
      <c r="VH11" s="129"/>
      <c r="XA11" s="129" t="s">
        <v>5729</v>
      </c>
      <c r="XB11" s="129" t="s">
        <v>5764</v>
      </c>
      <c r="XC11" s="129"/>
      <c r="XD11" s="129"/>
      <c r="XE11" s="129"/>
      <c r="XF11" s="129"/>
      <c r="XG11" s="129"/>
      <c r="XH11" s="129"/>
      <c r="YA11" s="129" t="s">
        <v>5729</v>
      </c>
      <c r="YB11" s="129" t="s">
        <v>5764</v>
      </c>
      <c r="YC11" s="129"/>
      <c r="YD11" s="129"/>
      <c r="YE11" s="129"/>
      <c r="YF11" s="129"/>
      <c r="YG11" s="129"/>
      <c r="YH11" s="129"/>
      <c r="ABA11" s="129" t="s">
        <v>5729</v>
      </c>
      <c r="ABB11" s="129" t="s">
        <v>5764</v>
      </c>
      <c r="ABC11" s="129"/>
      <c r="ABD11" s="129"/>
      <c r="ABE11" s="129"/>
      <c r="ABF11" s="129"/>
      <c r="ABG11" s="129"/>
      <c r="ABH11" s="129"/>
      <c r="ACA11" s="129" t="s">
        <v>5729</v>
      </c>
      <c r="ACB11" s="129" t="s">
        <v>5764</v>
      </c>
      <c r="ACC11" s="129"/>
      <c r="ACD11" s="129"/>
      <c r="ACE11" s="129"/>
      <c r="ACF11" s="129"/>
      <c r="ACG11" s="129"/>
      <c r="ACH11" s="129"/>
      <c r="AFA11" s="129" t="s">
        <v>5729</v>
      </c>
      <c r="AFB11" s="129" t="s">
        <v>5764</v>
      </c>
      <c r="AFC11" s="129"/>
      <c r="AFD11" s="129"/>
      <c r="AFE11" s="129"/>
      <c r="AFF11" s="129"/>
      <c r="AFG11" s="129"/>
      <c r="AFH11" s="129"/>
      <c r="AGA11" s="129" t="s">
        <v>5729</v>
      </c>
      <c r="AGB11" s="129" t="s">
        <v>5764</v>
      </c>
      <c r="AGC11" s="129"/>
      <c r="AGD11" s="129"/>
      <c r="AGE11" s="129"/>
      <c r="AGF11" s="129"/>
      <c r="AGG11" s="129"/>
      <c r="AGH11" s="129"/>
      <c r="AJA11" s="129" t="s">
        <v>5729</v>
      </c>
      <c r="AJB11" s="129" t="s">
        <v>5764</v>
      </c>
      <c r="AJC11" s="129"/>
      <c r="AJD11" s="129"/>
      <c r="AJE11" s="129"/>
      <c r="AJF11" s="129"/>
      <c r="AJG11" s="129"/>
      <c r="AJH11" s="129"/>
      <c r="AKA11" s="129" t="s">
        <v>5729</v>
      </c>
      <c r="AKB11" s="129" t="s">
        <v>5764</v>
      </c>
      <c r="AKC11" s="129"/>
      <c r="AKD11" s="129"/>
      <c r="AKE11" s="129"/>
      <c r="AKF11" s="129"/>
      <c r="AKG11" s="129"/>
      <c r="AKH11" s="129"/>
      <c r="AMA11" s="129" t="s">
        <v>5729</v>
      </c>
      <c r="AMB11" s="129" t="s">
        <v>5764</v>
      </c>
      <c r="AMC11" s="129"/>
      <c r="AMD11" s="129"/>
      <c r="AME11" s="129"/>
      <c r="AMF11" s="129"/>
      <c r="AMG11" s="129"/>
      <c r="AMH11" s="129"/>
      <c r="ANA11" s="129" t="s">
        <v>5729</v>
      </c>
      <c r="ANB11" s="129" t="s">
        <v>5764</v>
      </c>
      <c r="ANC11" s="129"/>
      <c r="AND11" s="129"/>
      <c r="ANE11" s="129"/>
      <c r="ANF11" s="129"/>
      <c r="ANG11" s="129"/>
      <c r="ANH11" s="129"/>
      <c r="APA11" s="129" t="s">
        <v>5729</v>
      </c>
      <c r="APB11" s="129" t="s">
        <v>5764</v>
      </c>
      <c r="APC11" s="129"/>
      <c r="APD11" s="129"/>
      <c r="APE11" s="129"/>
      <c r="APF11" s="129"/>
      <c r="APG11" s="129"/>
      <c r="APH11" s="129"/>
      <c r="AQA11" s="129" t="s">
        <v>5729</v>
      </c>
      <c r="AQB11" s="129" t="s">
        <v>5764</v>
      </c>
      <c r="AQC11" s="129"/>
      <c r="AQD11" s="129"/>
      <c r="AQE11" s="129"/>
      <c r="AQF11" s="129"/>
      <c r="AQG11" s="129"/>
      <c r="AQH11" s="129"/>
    </row>
    <row r="12" spans="1:1022 1041:1228" ht="30" customHeight="1" thickBot="1">
      <c r="B12" s="290">
        <v>9</v>
      </c>
      <c r="C12" s="1359" t="s">
        <v>5535</v>
      </c>
      <c r="D12" s="1159" t="s">
        <v>7199</v>
      </c>
      <c r="E12" s="1160" t="s">
        <v>7333</v>
      </c>
      <c r="F12" s="1164" t="s">
        <v>233</v>
      </c>
      <c r="AA12" s="222" t="s">
        <v>428</v>
      </c>
      <c r="AB12" s="1150" t="s">
        <v>5578</v>
      </c>
      <c r="AC12" s="1151"/>
      <c r="AD12" s="1499"/>
      <c r="AE12" s="437">
        <v>8</v>
      </c>
      <c r="AF12" s="1895" t="s">
        <v>6394</v>
      </c>
      <c r="AG12" s="1501"/>
      <c r="BA12" s="129" t="s">
        <v>5731</v>
      </c>
      <c r="BB12" s="1846" t="s">
        <v>6820</v>
      </c>
      <c r="BC12" s="1846"/>
      <c r="BD12" s="1846"/>
      <c r="BE12" s="1846"/>
      <c r="BF12" s="1846"/>
      <c r="BG12" s="1846"/>
      <c r="BH12" s="1846"/>
      <c r="BI12" s="129"/>
      <c r="CA12" s="129" t="s">
        <v>5731</v>
      </c>
      <c r="CB12" s="1846" t="s">
        <v>6820</v>
      </c>
      <c r="CC12" s="1846"/>
      <c r="CD12" s="1846"/>
      <c r="CE12" s="1846"/>
      <c r="CF12" s="1846"/>
      <c r="CG12" s="1846"/>
      <c r="CH12" s="1846"/>
      <c r="CZ12" s="222" t="s">
        <v>428</v>
      </c>
      <c r="DA12" s="1153" t="s">
        <v>6260</v>
      </c>
      <c r="DB12" s="1974"/>
      <c r="DC12" s="1974"/>
      <c r="DD12" s="258">
        <v>8</v>
      </c>
      <c r="DY12" s="1363" t="s">
        <v>4593</v>
      </c>
      <c r="DZ12" s="1153" t="s">
        <v>6834</v>
      </c>
      <c r="EA12" s="1153" t="s">
        <v>7065</v>
      </c>
      <c r="EB12" s="1362" t="s">
        <v>6443</v>
      </c>
      <c r="EC12" s="1362" t="s">
        <v>6836</v>
      </c>
      <c r="ED12" s="1363" t="s">
        <v>7063</v>
      </c>
      <c r="EE12" s="1153" t="s">
        <v>7109</v>
      </c>
      <c r="EF12" s="1364" t="s">
        <v>7103</v>
      </c>
      <c r="EG12" s="1744" t="s">
        <v>7138</v>
      </c>
      <c r="EH12" s="1745"/>
      <c r="EI12" s="1170"/>
      <c r="FA12" s="71" t="s">
        <v>6833</v>
      </c>
      <c r="FB12" s="71" t="s">
        <v>6832</v>
      </c>
      <c r="FC12" s="71" t="s">
        <v>6834</v>
      </c>
      <c r="FD12" s="71" t="s">
        <v>6835</v>
      </c>
      <c r="FE12" s="1373" t="s">
        <v>7139</v>
      </c>
      <c r="FF12" s="71" t="s">
        <v>6836</v>
      </c>
      <c r="FG12" s="10" t="s">
        <v>4593</v>
      </c>
      <c r="FH12" s="594">
        <v>7</v>
      </c>
      <c r="HA12" s="501" t="s">
        <v>1498</v>
      </c>
      <c r="HB12" s="1943" t="s">
        <v>5790</v>
      </c>
      <c r="HC12" s="1944"/>
      <c r="HD12" s="1947"/>
      <c r="HE12" s="437">
        <v>7</v>
      </c>
      <c r="HF12" s="1945" t="s">
        <v>6520</v>
      </c>
      <c r="HG12" s="1946"/>
      <c r="IA12" s="597" t="s">
        <v>5731</v>
      </c>
      <c r="IB12" s="1846" t="s">
        <v>6444</v>
      </c>
      <c r="IC12" s="1846"/>
      <c r="ID12" s="1846"/>
      <c r="IE12" s="1846"/>
      <c r="IF12" s="129"/>
      <c r="IG12" s="129"/>
      <c r="IH12" s="129"/>
      <c r="II12" s="129"/>
      <c r="IJ12" s="129"/>
      <c r="IK12" s="129"/>
      <c r="IL12" s="129"/>
      <c r="JA12" s="1210" t="s">
        <v>5728</v>
      </c>
      <c r="JB12" s="1846" t="s">
        <v>5743</v>
      </c>
      <c r="JC12" s="1846"/>
      <c r="JD12" s="1846"/>
      <c r="JE12" s="1846"/>
      <c r="JF12" s="129"/>
      <c r="JG12" s="129"/>
      <c r="JH12" s="129"/>
      <c r="JI12" s="129"/>
      <c r="JJ12" s="129"/>
      <c r="JK12" s="129"/>
      <c r="JL12" s="129"/>
      <c r="KA12" s="1149"/>
      <c r="KB12" s="1149"/>
      <c r="KC12" s="1149"/>
      <c r="KD12" s="10"/>
      <c r="KE12" s="1149"/>
      <c r="KF12" s="291" t="s">
        <v>4593</v>
      </c>
      <c r="KH12">
        <v>4</v>
      </c>
      <c r="KI12" s="1148"/>
      <c r="LA12" s="1214" t="s">
        <v>428</v>
      </c>
      <c r="LB12" s="1793" t="s">
        <v>5578</v>
      </c>
      <c r="LC12" s="1793"/>
      <c r="LD12" s="1793"/>
      <c r="LE12" s="1793"/>
      <c r="LF12" s="1215"/>
      <c r="LG12" s="258">
        <v>8</v>
      </c>
      <c r="LH12" s="1544" t="s">
        <v>6525</v>
      </c>
      <c r="LI12" s="1544"/>
      <c r="MA12" s="377" t="s">
        <v>5729</v>
      </c>
      <c r="MB12" s="1787" t="s">
        <v>6543</v>
      </c>
      <c r="MC12" s="1787"/>
      <c r="MD12" s="1787"/>
      <c r="ME12" s="1787"/>
      <c r="MF12" s="1103"/>
      <c r="MG12" s="1103"/>
      <c r="MH12" s="1103"/>
      <c r="MI12" s="1148"/>
      <c r="NA12" s="377" t="s">
        <v>5729</v>
      </c>
      <c r="NB12" s="1787" t="s">
        <v>6543</v>
      </c>
      <c r="NC12" s="1787"/>
      <c r="ND12" s="1787"/>
      <c r="NE12" s="1787"/>
      <c r="NF12" s="1103"/>
      <c r="NG12" s="1103"/>
      <c r="NH12" s="1103"/>
      <c r="NI12" s="1148"/>
      <c r="NJ12" s="1148"/>
      <c r="OA12" s="1153" t="s">
        <v>7280</v>
      </c>
      <c r="OB12" s="1362" t="s">
        <v>7300</v>
      </c>
      <c r="OC12" s="1362" t="s">
        <v>7293</v>
      </c>
      <c r="OD12" s="1362" t="s">
        <v>7284</v>
      </c>
      <c r="OE12" s="1362" t="s">
        <v>6836</v>
      </c>
      <c r="OF12" s="1362" t="s">
        <v>7141</v>
      </c>
      <c r="OG12" s="1363" t="s">
        <v>4593</v>
      </c>
      <c r="OH12" s="1364" t="s">
        <v>7314</v>
      </c>
      <c r="PA12" s="1415" t="s">
        <v>423</v>
      </c>
      <c r="PB12" s="2043"/>
      <c r="PC12" s="2044"/>
      <c r="PD12" s="2045"/>
      <c r="PF12" s="608">
        <v>7</v>
      </c>
      <c r="PG12" s="2048" t="s">
        <v>7357</v>
      </c>
      <c r="PH12" s="2049"/>
      <c r="QA12" s="377" t="s">
        <v>5729</v>
      </c>
      <c r="QB12" s="1787" t="s">
        <v>7380</v>
      </c>
      <c r="QC12" s="1787"/>
      <c r="QD12" s="1787"/>
      <c r="QE12" s="1787"/>
      <c r="QF12" s="1103"/>
      <c r="QG12" s="1103"/>
      <c r="QH12" s="1103"/>
      <c r="QI12" s="1148"/>
      <c r="RA12" s="377" t="s">
        <v>5729</v>
      </c>
      <c r="RB12" s="1368" t="s">
        <v>7380</v>
      </c>
      <c r="RC12" s="1368"/>
      <c r="RD12" s="1368"/>
      <c r="RE12" s="1368"/>
      <c r="RF12" s="1103"/>
      <c r="RG12" s="1103"/>
      <c r="RH12" s="1103"/>
      <c r="RI12" s="1148"/>
      <c r="RJ12" s="1148"/>
      <c r="RK12" s="1148"/>
      <c r="RL12" s="1148"/>
      <c r="RM12" s="1148"/>
      <c r="RN12" s="1148"/>
      <c r="RO12" s="1148"/>
      <c r="RP12" s="1148"/>
      <c r="RQ12" s="1148"/>
      <c r="RR12" s="1148"/>
      <c r="RS12" s="1148"/>
      <c r="RT12" s="1148"/>
      <c r="RU12" s="1148"/>
      <c r="RV12" s="1148"/>
      <c r="RW12" s="1148"/>
      <c r="RX12" s="1148"/>
      <c r="RY12" s="1148"/>
      <c r="SA12" s="1153" t="s">
        <v>7280</v>
      </c>
      <c r="SB12" s="1362" t="s">
        <v>7300</v>
      </c>
      <c r="SC12" s="1362" t="s">
        <v>7293</v>
      </c>
      <c r="SD12" s="1362" t="s">
        <v>7284</v>
      </c>
      <c r="SE12" s="1362" t="s">
        <v>6836</v>
      </c>
      <c r="SF12" s="1362" t="s">
        <v>7141</v>
      </c>
      <c r="SG12" s="1363" t="s">
        <v>4593</v>
      </c>
      <c r="SH12" s="1364" t="s">
        <v>7314</v>
      </c>
      <c r="UA12" s="129" t="s">
        <v>5730</v>
      </c>
      <c r="UB12" s="129" t="s">
        <v>5765</v>
      </c>
      <c r="UC12" s="129"/>
      <c r="UD12" s="129"/>
      <c r="UE12" s="129"/>
      <c r="UF12" s="129"/>
      <c r="UG12" s="129"/>
      <c r="UH12" s="129"/>
      <c r="VA12" s="129" t="s">
        <v>5730</v>
      </c>
      <c r="VB12" s="129" t="s">
        <v>5765</v>
      </c>
      <c r="VC12" s="129"/>
      <c r="VD12" s="129"/>
      <c r="VE12" s="129"/>
      <c r="VF12" s="129"/>
      <c r="VG12" s="129"/>
      <c r="VH12" s="129"/>
      <c r="XA12" s="129" t="s">
        <v>5730</v>
      </c>
      <c r="XB12" s="129" t="s">
        <v>5765</v>
      </c>
      <c r="XC12" s="129"/>
      <c r="XD12" s="129"/>
      <c r="XE12" s="129"/>
      <c r="XF12" s="129"/>
      <c r="XG12" s="129"/>
      <c r="XH12" s="129"/>
      <c r="YA12" s="129" t="s">
        <v>5730</v>
      </c>
      <c r="YB12" s="129" t="s">
        <v>5765</v>
      </c>
      <c r="YC12" s="129"/>
      <c r="YD12" s="129"/>
      <c r="YE12" s="129"/>
      <c r="YF12" s="129"/>
      <c r="YG12" s="129"/>
      <c r="YH12" s="129"/>
      <c r="ABA12" s="129" t="s">
        <v>5730</v>
      </c>
      <c r="ABB12" s="129" t="s">
        <v>5765</v>
      </c>
      <c r="ABC12" s="129"/>
      <c r="ABD12" s="129"/>
      <c r="ABE12" s="129"/>
      <c r="ABF12" s="129"/>
      <c r="ABG12" s="129"/>
      <c r="ABH12" s="129"/>
      <c r="ACA12" s="129" t="s">
        <v>5730</v>
      </c>
      <c r="ACB12" s="129" t="s">
        <v>5765</v>
      </c>
      <c r="ACC12" s="129"/>
      <c r="ACD12" s="129"/>
      <c r="ACE12" s="129"/>
      <c r="ACF12" s="129"/>
      <c r="ACG12" s="129"/>
      <c r="ACH12" s="129"/>
      <c r="AFA12" s="129" t="s">
        <v>5730</v>
      </c>
      <c r="AFB12" s="129" t="s">
        <v>5765</v>
      </c>
      <c r="AFC12" s="129"/>
      <c r="AFD12" s="129"/>
      <c r="AFE12" s="129"/>
      <c r="AFF12" s="129"/>
      <c r="AFG12" s="129"/>
      <c r="AFH12" s="129"/>
      <c r="AGA12" s="129" t="s">
        <v>5730</v>
      </c>
      <c r="AGB12" s="129" t="s">
        <v>5765</v>
      </c>
      <c r="AGC12" s="129"/>
      <c r="AGD12" s="129"/>
      <c r="AGE12" s="129"/>
      <c r="AGF12" s="129"/>
      <c r="AGG12" s="129"/>
      <c r="AGH12" s="129"/>
      <c r="AJA12" s="129" t="s">
        <v>5730</v>
      </c>
      <c r="AJB12" s="129" t="s">
        <v>5765</v>
      </c>
      <c r="AJC12" s="129"/>
      <c r="AJD12" s="129"/>
      <c r="AJE12" s="129"/>
      <c r="AJF12" s="129"/>
      <c r="AJG12" s="129"/>
      <c r="AJH12" s="129"/>
      <c r="AKA12" s="129" t="s">
        <v>5730</v>
      </c>
      <c r="AKB12" s="129" t="s">
        <v>5765</v>
      </c>
      <c r="AKC12" s="129"/>
      <c r="AKD12" s="129"/>
      <c r="AKE12" s="129"/>
      <c r="AKF12" s="129"/>
      <c r="AKG12" s="129"/>
      <c r="AKH12" s="129"/>
      <c r="AMA12" s="129" t="s">
        <v>5730</v>
      </c>
      <c r="AMB12" s="129" t="s">
        <v>5765</v>
      </c>
      <c r="AMC12" s="129"/>
      <c r="AMD12" s="129"/>
      <c r="AME12" s="129"/>
      <c r="AMF12" s="129"/>
      <c r="AMG12" s="129"/>
      <c r="AMH12" s="129"/>
      <c r="ANA12" s="129" t="s">
        <v>5730</v>
      </c>
      <c r="ANB12" s="129" t="s">
        <v>5765</v>
      </c>
      <c r="ANC12" s="129"/>
      <c r="AND12" s="129"/>
      <c r="ANE12" s="129"/>
      <c r="ANF12" s="129"/>
      <c r="ANG12" s="129"/>
      <c r="ANH12" s="129"/>
      <c r="APA12" s="129" t="s">
        <v>5730</v>
      </c>
      <c r="APB12" s="129" t="s">
        <v>5765</v>
      </c>
      <c r="APC12" s="129"/>
      <c r="APD12" s="129"/>
      <c r="APE12" s="129"/>
      <c r="APF12" s="129"/>
      <c r="APG12" s="129"/>
      <c r="APH12" s="129"/>
      <c r="AQA12" s="129" t="s">
        <v>5730</v>
      </c>
      <c r="AQB12" s="129" t="s">
        <v>5765</v>
      </c>
      <c r="AQC12" s="129"/>
      <c r="AQD12" s="129"/>
      <c r="AQE12" s="129"/>
      <c r="AQF12" s="129"/>
      <c r="AQG12" s="129"/>
      <c r="AQH12" s="129"/>
    </row>
    <row r="13" spans="1:1022 1041:1228" ht="25.05" customHeight="1" thickBot="1">
      <c r="B13" s="290">
        <v>10</v>
      </c>
      <c r="C13" s="1359" t="s">
        <v>7208</v>
      </c>
      <c r="D13" s="1159" t="s">
        <v>7200</v>
      </c>
      <c r="E13" s="1160" t="s">
        <v>6530</v>
      </c>
      <c r="F13" s="1058" t="s">
        <v>233</v>
      </c>
      <c r="G13" s="598"/>
      <c r="H13" s="598"/>
      <c r="I13" s="598"/>
      <c r="J13" s="598"/>
      <c r="K13" s="598"/>
      <c r="L13" s="598"/>
      <c r="M13" s="598"/>
      <c r="N13" s="598"/>
      <c r="O13" s="598"/>
      <c r="P13" s="598"/>
      <c r="Q13" s="598"/>
      <c r="R13" s="598"/>
      <c r="S13" s="598"/>
      <c r="T13" s="598"/>
      <c r="U13" s="598"/>
      <c r="V13" s="598"/>
      <c r="W13" s="598"/>
      <c r="AF13" t="s">
        <v>7022</v>
      </c>
      <c r="BA13" s="129" t="s">
        <v>5732</v>
      </c>
      <c r="BB13" s="1846" t="s">
        <v>7033</v>
      </c>
      <c r="BC13" s="1846"/>
      <c r="BD13" s="1846"/>
      <c r="BE13" s="1846"/>
      <c r="BF13" s="1846"/>
      <c r="BG13" s="1846"/>
      <c r="BH13" s="1846"/>
      <c r="BI13" s="129"/>
      <c r="CA13" s="129" t="s">
        <v>5732</v>
      </c>
      <c r="CB13" s="1846" t="s">
        <v>7038</v>
      </c>
      <c r="CC13" s="1846"/>
      <c r="CD13" s="1846"/>
      <c r="CE13" s="1846"/>
      <c r="CF13" s="1846"/>
      <c r="CG13" s="1846"/>
      <c r="CH13" s="1846"/>
      <c r="CZ13" s="129"/>
      <c r="DA13" s="1154"/>
      <c r="DB13" s="236"/>
      <c r="DC13" s="236"/>
      <c r="DD13" s="439"/>
      <c r="DE13" s="1148"/>
      <c r="DY13" s="1363" t="s">
        <v>4593</v>
      </c>
      <c r="DZ13" s="1153" t="s">
        <v>6834</v>
      </c>
      <c r="EA13" s="1153" t="s">
        <v>7065</v>
      </c>
      <c r="EB13" s="1362" t="s">
        <v>6443</v>
      </c>
      <c r="EC13" s="1362" t="s">
        <v>6836</v>
      </c>
      <c r="ED13" s="1363" t="s">
        <v>7063</v>
      </c>
      <c r="EE13" s="1153" t="s">
        <v>7109</v>
      </c>
      <c r="EF13" s="1364" t="s">
        <v>7104</v>
      </c>
      <c r="EG13" s="1744" t="s">
        <v>7138</v>
      </c>
      <c r="EH13" s="1745"/>
      <c r="EI13" s="1170"/>
      <c r="FA13" s="71" t="s">
        <v>6833</v>
      </c>
      <c r="FB13" s="71" t="s">
        <v>6832</v>
      </c>
      <c r="FC13" s="71" t="s">
        <v>6834</v>
      </c>
      <c r="FD13" s="71" t="s">
        <v>6835</v>
      </c>
      <c r="FE13" s="1373" t="s">
        <v>7139</v>
      </c>
      <c r="FF13" s="71" t="s">
        <v>6836</v>
      </c>
      <c r="FG13" s="10" t="s">
        <v>4593</v>
      </c>
      <c r="FH13" s="594">
        <v>8</v>
      </c>
      <c r="HA13" s="501" t="s">
        <v>428</v>
      </c>
      <c r="HB13" s="1948" t="s">
        <v>5578</v>
      </c>
      <c r="HC13" s="1949"/>
      <c r="HD13" s="1215"/>
      <c r="HE13" s="437">
        <v>9</v>
      </c>
      <c r="HF13" s="1942" t="s">
        <v>6525</v>
      </c>
      <c r="HG13" s="1644"/>
      <c r="IA13" s="133" t="s">
        <v>5732</v>
      </c>
      <c r="IB13" s="1846" t="s">
        <v>5762</v>
      </c>
      <c r="IC13" s="1846"/>
      <c r="ID13" s="1846"/>
      <c r="IE13" s="1846"/>
      <c r="IH13" s="129"/>
      <c r="II13" s="129"/>
      <c r="IJ13" s="129"/>
      <c r="IK13" s="129"/>
      <c r="IL13" s="129"/>
      <c r="JA13" s="455" t="s">
        <v>5728</v>
      </c>
      <c r="JB13" s="1846" t="s">
        <v>6443</v>
      </c>
      <c r="JC13" s="1846"/>
      <c r="JD13" s="1846"/>
      <c r="JE13" s="1846"/>
      <c r="JF13" s="1103"/>
      <c r="JG13" s="1103"/>
      <c r="JH13" s="1103"/>
      <c r="JI13" s="1103"/>
      <c r="JJ13" s="1103"/>
      <c r="JK13" s="129"/>
      <c r="JL13" s="129"/>
      <c r="KA13" s="10"/>
      <c r="KB13" s="10"/>
      <c r="KC13" s="10"/>
      <c r="KD13" s="10"/>
      <c r="KE13" s="10"/>
      <c r="KF13" s="291" t="s">
        <v>4593</v>
      </c>
      <c r="KH13">
        <v>5</v>
      </c>
      <c r="LA13" s="1091"/>
      <c r="LB13" s="1154"/>
      <c r="LC13" s="1154"/>
      <c r="LD13" s="1213"/>
      <c r="LE13" s="1213"/>
      <c r="LF13" s="1215"/>
      <c r="LG13" s="439"/>
      <c r="MA13" s="377" t="s">
        <v>5730</v>
      </c>
      <c r="MB13" s="1787" t="s">
        <v>6544</v>
      </c>
      <c r="MC13" s="1787"/>
      <c r="MD13" s="1787"/>
      <c r="ME13" s="1787"/>
      <c r="MF13" s="129"/>
      <c r="MG13" s="129"/>
      <c r="MH13" s="129"/>
      <c r="NA13" s="377" t="s">
        <v>5730</v>
      </c>
      <c r="NB13" s="1787" t="s">
        <v>6544</v>
      </c>
      <c r="NC13" s="1787"/>
      <c r="ND13" s="1787"/>
      <c r="NE13" s="1787"/>
      <c r="NF13" s="129"/>
      <c r="NG13" s="129"/>
      <c r="NH13" s="129"/>
      <c r="OA13" s="1153" t="s">
        <v>7280</v>
      </c>
      <c r="OB13" s="1362" t="s">
        <v>7300</v>
      </c>
      <c r="OC13" s="1362" t="s">
        <v>7294</v>
      </c>
      <c r="OD13" s="1362" t="s">
        <v>7285</v>
      </c>
      <c r="OE13" s="1362" t="s">
        <v>6836</v>
      </c>
      <c r="OF13" s="1362" t="s">
        <v>7141</v>
      </c>
      <c r="OG13" s="1363" t="s">
        <v>4593</v>
      </c>
      <c r="OH13" s="1364"/>
      <c r="PA13" s="1415" t="s">
        <v>7340</v>
      </c>
      <c r="PB13" s="1424"/>
      <c r="PC13" s="1416"/>
      <c r="PD13" s="210"/>
      <c r="PF13" s="608">
        <v>8</v>
      </c>
      <c r="PG13" s="2062" t="s">
        <v>7358</v>
      </c>
      <c r="PH13" s="2062"/>
      <c r="QA13" s="377" t="s">
        <v>5730</v>
      </c>
      <c r="QB13" s="1787" t="s">
        <v>7381</v>
      </c>
      <c r="QC13" s="1787"/>
      <c r="QD13" s="1787"/>
      <c r="QE13" s="1787"/>
      <c r="QF13" s="129"/>
      <c r="QG13" s="129"/>
      <c r="QH13" s="129"/>
      <c r="RA13" s="377" t="s">
        <v>5730</v>
      </c>
      <c r="RB13" s="1368" t="s">
        <v>7381</v>
      </c>
      <c r="RC13" s="1368"/>
      <c r="RD13" s="1368"/>
      <c r="RE13" s="1368"/>
      <c r="RF13" s="129"/>
      <c r="RG13" s="129"/>
      <c r="RH13" s="129"/>
      <c r="SA13" s="1153" t="s">
        <v>7280</v>
      </c>
      <c r="SB13" s="1362" t="s">
        <v>7300</v>
      </c>
      <c r="SC13" s="1362" t="s">
        <v>7294</v>
      </c>
      <c r="SD13" s="1362" t="s">
        <v>7285</v>
      </c>
      <c r="SE13" s="1362" t="s">
        <v>6836</v>
      </c>
      <c r="SF13" s="1362" t="s">
        <v>7141</v>
      </c>
      <c r="SG13" s="1363" t="s">
        <v>4593</v>
      </c>
      <c r="SH13" s="1364"/>
      <c r="UA13" s="129" t="s">
        <v>5731</v>
      </c>
      <c r="UB13" s="129" t="s">
        <v>5749</v>
      </c>
      <c r="UC13" s="129"/>
      <c r="UD13" s="129"/>
      <c r="UE13" s="129"/>
      <c r="UF13" s="129"/>
      <c r="UG13" s="129"/>
      <c r="UH13" s="129"/>
      <c r="VA13" s="129" t="s">
        <v>5731</v>
      </c>
      <c r="VB13" s="129" t="s">
        <v>5749</v>
      </c>
      <c r="VC13" s="129"/>
      <c r="VD13" s="129"/>
      <c r="VE13" s="129"/>
      <c r="VF13" s="129"/>
      <c r="VG13" s="129"/>
      <c r="VH13" s="129"/>
      <c r="XA13" s="129" t="s">
        <v>5731</v>
      </c>
      <c r="XB13" s="129" t="s">
        <v>5749</v>
      </c>
      <c r="XC13" s="129"/>
      <c r="XD13" s="129"/>
      <c r="XE13" s="129"/>
      <c r="XF13" s="129"/>
      <c r="XG13" s="129"/>
      <c r="XH13" s="129"/>
      <c r="YA13" s="129" t="s">
        <v>5731</v>
      </c>
      <c r="YB13" s="129" t="s">
        <v>5749</v>
      </c>
      <c r="YC13" s="129"/>
      <c r="YD13" s="129"/>
      <c r="YE13" s="129"/>
      <c r="YF13" s="129"/>
      <c r="YG13" s="129"/>
      <c r="YH13" s="129"/>
      <c r="ABA13" s="129" t="s">
        <v>5731</v>
      </c>
      <c r="ABB13" s="129" t="s">
        <v>5749</v>
      </c>
      <c r="ABC13" s="129"/>
      <c r="ABD13" s="129"/>
      <c r="ABE13" s="129"/>
      <c r="ABF13" s="129"/>
      <c r="ABG13" s="129"/>
      <c r="ABH13" s="129"/>
      <c r="ACA13" s="129" t="s">
        <v>5731</v>
      </c>
      <c r="ACB13" s="129" t="s">
        <v>5749</v>
      </c>
      <c r="ACC13" s="129"/>
      <c r="ACD13" s="129"/>
      <c r="ACE13" s="129"/>
      <c r="ACF13" s="129"/>
      <c r="ACG13" s="129"/>
      <c r="ACH13" s="129"/>
      <c r="AFA13" s="129" t="s">
        <v>5731</v>
      </c>
      <c r="AFB13" s="129" t="s">
        <v>5749</v>
      </c>
      <c r="AFC13" s="129"/>
      <c r="AFD13" s="129"/>
      <c r="AFE13" s="129"/>
      <c r="AFF13" s="129"/>
      <c r="AFG13" s="129"/>
      <c r="AFH13" s="129"/>
      <c r="AGA13" s="129" t="s">
        <v>5731</v>
      </c>
      <c r="AGB13" s="129" t="s">
        <v>5749</v>
      </c>
      <c r="AGC13" s="129"/>
      <c r="AGD13" s="129"/>
      <c r="AGE13" s="129"/>
      <c r="AGF13" s="129"/>
      <c r="AGG13" s="129"/>
      <c r="AGH13" s="129"/>
      <c r="AJA13" s="129" t="s">
        <v>5731</v>
      </c>
      <c r="AJB13" s="129" t="s">
        <v>5749</v>
      </c>
      <c r="AJC13" s="129"/>
      <c r="AJD13" s="129"/>
      <c r="AJE13" s="129"/>
      <c r="AJF13" s="129"/>
      <c r="AJG13" s="129"/>
      <c r="AJH13" s="129"/>
      <c r="AKA13" s="129" t="s">
        <v>5731</v>
      </c>
      <c r="AKB13" s="129" t="s">
        <v>5749</v>
      </c>
      <c r="AKC13" s="129"/>
      <c r="AKD13" s="129"/>
      <c r="AKE13" s="129"/>
      <c r="AKF13" s="129"/>
      <c r="AKG13" s="129"/>
      <c r="AKH13" s="129"/>
      <c r="AMA13" s="129" t="s">
        <v>5731</v>
      </c>
      <c r="AMB13" s="129" t="s">
        <v>5749</v>
      </c>
      <c r="AMC13" s="129"/>
      <c r="AMD13" s="129"/>
      <c r="AME13" s="129"/>
      <c r="AMF13" s="129"/>
      <c r="AMG13" s="129"/>
      <c r="AMH13" s="129"/>
      <c r="ANA13" s="129" t="s">
        <v>5731</v>
      </c>
      <c r="ANB13" s="129" t="s">
        <v>5749</v>
      </c>
      <c r="ANC13" s="129"/>
      <c r="AND13" s="129"/>
      <c r="ANE13" s="129"/>
      <c r="ANF13" s="129"/>
      <c r="ANG13" s="129"/>
      <c r="ANH13" s="129"/>
      <c r="APA13" s="129" t="s">
        <v>5731</v>
      </c>
      <c r="APB13" s="129" t="s">
        <v>5749</v>
      </c>
      <c r="APC13" s="129"/>
      <c r="APD13" s="129"/>
      <c r="APE13" s="129"/>
      <c r="APF13" s="129"/>
      <c r="APG13" s="129"/>
      <c r="APH13" s="129"/>
      <c r="AQA13" s="129" t="s">
        <v>5731</v>
      </c>
      <c r="AQB13" s="129" t="s">
        <v>5749</v>
      </c>
      <c r="AQC13" s="129"/>
      <c r="AQD13" s="129"/>
      <c r="AQE13" s="129"/>
      <c r="AQF13" s="129"/>
      <c r="AQG13" s="129"/>
      <c r="AQH13" s="129"/>
    </row>
    <row r="14" spans="1:1022 1041:1228" ht="25.05" customHeight="1" thickBot="1">
      <c r="B14" s="290">
        <v>11</v>
      </c>
      <c r="C14" s="1359" t="s">
        <v>7188</v>
      </c>
      <c r="D14" s="1159" t="s">
        <v>5644</v>
      </c>
      <c r="E14" s="1160" t="s">
        <v>5531</v>
      </c>
      <c r="F14" s="1058" t="s">
        <v>233</v>
      </c>
      <c r="AA14" s="106" t="s">
        <v>450</v>
      </c>
      <c r="AB14" s="1502" t="s">
        <v>6262</v>
      </c>
      <c r="AC14" s="1502"/>
      <c r="AD14" s="1502"/>
      <c r="AE14" s="1502"/>
      <c r="AF14" s="1502"/>
      <c r="BA14" s="129" t="s">
        <v>5733</v>
      </c>
      <c r="BB14" s="1846" t="s">
        <v>6252</v>
      </c>
      <c r="BC14" s="1846"/>
      <c r="BD14" s="1846"/>
      <c r="BE14" s="1846"/>
      <c r="BF14" s="1846"/>
      <c r="BG14" s="1846"/>
      <c r="BH14" s="1846"/>
      <c r="BI14" s="129"/>
      <c r="CA14" s="129" t="s">
        <v>5733</v>
      </c>
      <c r="CB14" s="1846" t="s">
        <v>6252</v>
      </c>
      <c r="CC14" s="1846"/>
      <c r="CD14" s="1846"/>
      <c r="CE14" s="1846"/>
      <c r="CF14" s="1846"/>
      <c r="CG14" s="1846"/>
      <c r="CH14" s="1846"/>
      <c r="CZ14" s="1998" t="s">
        <v>6261</v>
      </c>
      <c r="DB14" s="1965" t="s">
        <v>6264</v>
      </c>
      <c r="DC14" s="1966"/>
      <c r="DY14" s="1363" t="s">
        <v>4593</v>
      </c>
      <c r="DZ14" s="1153" t="s">
        <v>6834</v>
      </c>
      <c r="EA14" s="1153" t="s">
        <v>7065</v>
      </c>
      <c r="EB14" s="1362" t="s">
        <v>6443</v>
      </c>
      <c r="EC14" s="1362" t="s">
        <v>6836</v>
      </c>
      <c r="ED14" s="1363" t="s">
        <v>7063</v>
      </c>
      <c r="EE14" s="1153" t="s">
        <v>7109</v>
      </c>
      <c r="EF14" s="1364" t="s">
        <v>7105</v>
      </c>
      <c r="EG14" s="1744" t="s">
        <v>7138</v>
      </c>
      <c r="EH14" s="1745"/>
      <c r="EI14" s="1170"/>
      <c r="FA14" s="71" t="s">
        <v>6833</v>
      </c>
      <c r="FB14" s="71" t="s">
        <v>6832</v>
      </c>
      <c r="FC14" s="71" t="s">
        <v>6834</v>
      </c>
      <c r="FD14" s="71" t="s">
        <v>6835</v>
      </c>
      <c r="FE14" s="1373" t="s">
        <v>7139</v>
      </c>
      <c r="FF14" s="71" t="s">
        <v>6836</v>
      </c>
      <c r="FG14" s="10" t="s">
        <v>4593</v>
      </c>
      <c r="FH14" s="594">
        <v>9</v>
      </c>
      <c r="IA14" s="597"/>
      <c r="IB14" s="1941" t="s">
        <v>5763</v>
      </c>
      <c r="IC14" s="1941"/>
      <c r="ID14" s="1941"/>
      <c r="IE14" s="1941"/>
      <c r="IH14" s="129"/>
      <c r="II14" s="129"/>
      <c r="IJ14" s="129"/>
      <c r="IK14" s="129"/>
      <c r="IL14" s="129"/>
      <c r="JA14" s="1210" t="s">
        <v>5729</v>
      </c>
      <c r="JB14" s="1846" t="s">
        <v>6445</v>
      </c>
      <c r="JC14" s="1846"/>
      <c r="JD14" s="1846"/>
      <c r="JE14" s="1846"/>
      <c r="JF14" s="129"/>
      <c r="JG14" s="129"/>
      <c r="JH14" s="129"/>
      <c r="JI14" s="129"/>
      <c r="JJ14" s="129"/>
      <c r="JK14" s="129"/>
      <c r="KA14" s="10"/>
      <c r="KB14" s="10"/>
      <c r="KC14" s="10"/>
      <c r="KD14" s="10"/>
      <c r="KE14" s="10"/>
      <c r="KF14" s="291" t="s">
        <v>4593</v>
      </c>
      <c r="KH14">
        <v>6</v>
      </c>
      <c r="LA14" s="1216" t="s">
        <v>7108</v>
      </c>
      <c r="LC14" s="1216" t="s">
        <v>6264</v>
      </c>
      <c r="LD14" s="1213"/>
      <c r="LE14" s="1213"/>
      <c r="LF14" s="1215"/>
      <c r="MA14" s="377" t="s">
        <v>5731</v>
      </c>
      <c r="MB14" s="1787" t="s">
        <v>7269</v>
      </c>
      <c r="MC14" s="1787"/>
      <c r="MD14" s="1787"/>
      <c r="ME14" s="1787"/>
      <c r="MF14" s="1787"/>
      <c r="MG14" s="129"/>
      <c r="MH14" s="129"/>
      <c r="NA14" s="377" t="s">
        <v>5731</v>
      </c>
      <c r="NB14" s="1532" t="s">
        <v>7269</v>
      </c>
      <c r="NC14" s="1532"/>
      <c r="ND14" s="1532"/>
      <c r="NE14" s="1532"/>
      <c r="NF14" s="129"/>
      <c r="NG14" s="129"/>
      <c r="NH14" s="129"/>
      <c r="OA14" s="1153" t="s">
        <v>7280</v>
      </c>
      <c r="OB14" s="1362" t="s">
        <v>7300</v>
      </c>
      <c r="OC14" s="1362" t="s">
        <v>7295</v>
      </c>
      <c r="OD14" s="1362" t="s">
        <v>7286</v>
      </c>
      <c r="OE14" s="1362" t="s">
        <v>6836</v>
      </c>
      <c r="OF14" s="1362" t="s">
        <v>7141</v>
      </c>
      <c r="OG14" s="1363" t="s">
        <v>4593</v>
      </c>
      <c r="OH14" s="1364"/>
      <c r="QA14" s="377" t="s">
        <v>5731</v>
      </c>
      <c r="QB14" s="1787" t="s">
        <v>7382</v>
      </c>
      <c r="QC14" s="1787"/>
      <c r="QD14" s="1787"/>
      <c r="QE14" s="1787"/>
      <c r="QF14" s="1787"/>
      <c r="QG14" s="129"/>
      <c r="QH14" s="129"/>
      <c r="RA14" s="377" t="s">
        <v>5731</v>
      </c>
      <c r="RB14" s="1368" t="s">
        <v>7382</v>
      </c>
      <c r="RC14" s="1368"/>
      <c r="RD14" s="1368"/>
      <c r="RE14" s="1368"/>
      <c r="RF14" s="1368"/>
      <c r="RG14" s="129"/>
      <c r="RH14" s="129"/>
      <c r="SA14" s="1153" t="s">
        <v>7280</v>
      </c>
      <c r="SB14" s="1362" t="s">
        <v>7300</v>
      </c>
      <c r="SC14" s="1362" t="s">
        <v>7295</v>
      </c>
      <c r="SD14" s="1362" t="s">
        <v>7286</v>
      </c>
      <c r="SE14" s="1362" t="s">
        <v>6836</v>
      </c>
      <c r="SF14" s="1362" t="s">
        <v>7141</v>
      </c>
      <c r="SG14" s="1363" t="s">
        <v>4593</v>
      </c>
      <c r="SH14" s="1364"/>
      <c r="UA14" s="129"/>
      <c r="UB14" s="129" t="s">
        <v>5762</v>
      </c>
      <c r="UC14" s="129"/>
      <c r="UD14" s="129"/>
      <c r="UE14" s="129"/>
      <c r="UF14" s="129"/>
      <c r="UG14" s="129"/>
      <c r="UH14" s="129"/>
      <c r="VA14" s="129"/>
      <c r="VB14" s="522" t="s">
        <v>5752</v>
      </c>
      <c r="VC14" s="129"/>
      <c r="VD14" s="129"/>
      <c r="VE14" s="129"/>
      <c r="VF14" s="129"/>
      <c r="VG14" s="129"/>
      <c r="VH14" s="129"/>
      <c r="XA14" s="129"/>
      <c r="XB14" s="129" t="s">
        <v>5762</v>
      </c>
      <c r="XC14" s="129"/>
      <c r="XD14" s="129"/>
      <c r="XE14" s="129"/>
      <c r="XF14" s="129"/>
      <c r="XG14" s="129"/>
      <c r="XH14" s="129"/>
      <c r="YA14" s="129"/>
      <c r="YB14" s="522" t="s">
        <v>5752</v>
      </c>
      <c r="YC14" s="129"/>
      <c r="YD14" s="129"/>
      <c r="YE14" s="129"/>
      <c r="YF14" s="129"/>
      <c r="YG14" s="129"/>
      <c r="YH14" s="129"/>
      <c r="ABA14" s="129"/>
      <c r="ABB14" s="129" t="s">
        <v>5762</v>
      </c>
      <c r="ABC14" s="129"/>
      <c r="ABD14" s="129"/>
      <c r="ABE14" s="129"/>
      <c r="ABF14" s="129"/>
      <c r="ABG14" s="129"/>
      <c r="ABH14" s="129"/>
      <c r="ACA14" s="129"/>
      <c r="ACB14" s="522" t="s">
        <v>5752</v>
      </c>
      <c r="ACC14" s="129"/>
      <c r="ACD14" s="129"/>
      <c r="ACE14" s="129"/>
      <c r="ACF14" s="129"/>
      <c r="ACG14" s="129"/>
      <c r="ACH14" s="129"/>
      <c r="AFA14" s="129"/>
      <c r="AFB14" s="129" t="s">
        <v>5762</v>
      </c>
      <c r="AFC14" s="129"/>
      <c r="AFD14" s="129"/>
      <c r="AFE14" s="129"/>
      <c r="AFF14" s="129"/>
      <c r="AFG14" s="129"/>
      <c r="AFH14" s="129"/>
      <c r="AGA14" s="129"/>
      <c r="AGB14" s="522" t="s">
        <v>5752</v>
      </c>
      <c r="AGC14" s="129"/>
      <c r="AGD14" s="129"/>
      <c r="AGE14" s="129"/>
      <c r="AGF14" s="129"/>
      <c r="AGG14" s="129"/>
      <c r="AGH14" s="129"/>
      <c r="AJA14" s="129"/>
      <c r="AJB14" s="129" t="s">
        <v>5762</v>
      </c>
      <c r="AJC14" s="129"/>
      <c r="AJD14" s="129"/>
      <c r="AJE14" s="129"/>
      <c r="AJF14" s="129"/>
      <c r="AJG14" s="129"/>
      <c r="AJH14" s="129"/>
      <c r="AKA14" s="129"/>
      <c r="AKB14" s="522" t="s">
        <v>5752</v>
      </c>
      <c r="AKC14" s="129"/>
      <c r="AKD14" s="129"/>
      <c r="AKE14" s="129"/>
      <c r="AKF14" s="129"/>
      <c r="AKG14" s="129"/>
      <c r="AKH14" s="129"/>
      <c r="AMA14" s="129"/>
      <c r="AMB14" s="129" t="s">
        <v>5762</v>
      </c>
      <c r="AMC14" s="129"/>
      <c r="AMD14" s="129"/>
      <c r="AME14" s="129"/>
      <c r="AMF14" s="129"/>
      <c r="AMG14" s="129"/>
      <c r="AMH14" s="129"/>
      <c r="ANA14" s="129"/>
      <c r="ANB14" s="522" t="s">
        <v>5752</v>
      </c>
      <c r="ANC14" s="129"/>
      <c r="AND14" s="129"/>
      <c r="ANE14" s="129"/>
      <c r="ANF14" s="129"/>
      <c r="ANG14" s="129"/>
      <c r="ANH14" s="129"/>
      <c r="APA14" s="129"/>
      <c r="APB14" s="129" t="s">
        <v>5762</v>
      </c>
      <c r="APC14" s="129"/>
      <c r="APD14" s="129"/>
      <c r="APE14" s="129"/>
      <c r="APF14" s="129"/>
      <c r="APG14" s="129"/>
      <c r="APH14" s="129"/>
      <c r="AQA14" s="129"/>
      <c r="AQB14" s="522" t="s">
        <v>5752</v>
      </c>
      <c r="AQC14" s="129"/>
      <c r="AQD14" s="129"/>
      <c r="AQE14" s="129"/>
      <c r="AQF14" s="129"/>
      <c r="AQG14" s="129"/>
      <c r="AQH14" s="129"/>
    </row>
    <row r="15" spans="1:1022 1041:1228" ht="30" customHeight="1" thickBot="1">
      <c r="B15" s="290">
        <v>12</v>
      </c>
      <c r="C15" s="1359" t="s">
        <v>7189</v>
      </c>
      <c r="D15" s="1159" t="s">
        <v>7197</v>
      </c>
      <c r="E15" s="1160" t="s">
        <v>5665</v>
      </c>
      <c r="F15" s="1058" t="s">
        <v>233</v>
      </c>
      <c r="AA15" s="129"/>
      <c r="AB15" s="1532" t="s">
        <v>6398</v>
      </c>
      <c r="AC15" s="1532"/>
      <c r="AD15" s="1532"/>
      <c r="AE15" s="1532"/>
      <c r="AF15" s="1532"/>
      <c r="BA15" s="129"/>
      <c r="BB15" s="129"/>
      <c r="BC15" s="129"/>
      <c r="BD15" s="129"/>
      <c r="BE15" s="129"/>
      <c r="BF15" s="129"/>
      <c r="BG15" s="129"/>
      <c r="BH15" s="129"/>
      <c r="BI15" s="129"/>
      <c r="CB15" s="129"/>
      <c r="CZ15" s="1999"/>
      <c r="DB15" s="1967"/>
      <c r="DC15" s="1968"/>
      <c r="DY15" s="1363" t="s">
        <v>4593</v>
      </c>
      <c r="DZ15" s="1153" t="s">
        <v>6834</v>
      </c>
      <c r="EA15" s="1153" t="s">
        <v>7065</v>
      </c>
      <c r="EB15" s="1362" t="s">
        <v>6443</v>
      </c>
      <c r="EC15" s="1362" t="s">
        <v>6836</v>
      </c>
      <c r="ED15" s="1363" t="s">
        <v>7063</v>
      </c>
      <c r="EE15" s="1153" t="s">
        <v>7109</v>
      </c>
      <c r="EF15" s="1364" t="s">
        <v>7106</v>
      </c>
      <c r="EG15" s="1744" t="s">
        <v>7138</v>
      </c>
      <c r="EH15" s="1745"/>
      <c r="GA15" s="735" t="s">
        <v>450</v>
      </c>
      <c r="GB15" s="112" t="s">
        <v>6513</v>
      </c>
      <c r="HA15" s="735" t="s">
        <v>450</v>
      </c>
      <c r="HB15" s="1532" t="s">
        <v>6521</v>
      </c>
      <c r="HC15" s="1532"/>
      <c r="HD15" s="1532"/>
      <c r="HE15" s="1532"/>
      <c r="HF15" s="1532"/>
      <c r="HG15" s="1532"/>
      <c r="JA15" s="455" t="s">
        <v>5730</v>
      </c>
      <c r="JB15" s="1532" t="s">
        <v>6258</v>
      </c>
      <c r="JC15" s="1532"/>
      <c r="JD15" s="1532"/>
      <c r="JE15" s="1532"/>
      <c r="JF15" s="129"/>
      <c r="JG15" s="129"/>
      <c r="JH15" s="129"/>
      <c r="JI15" s="129"/>
      <c r="JJ15" s="129"/>
      <c r="KA15" s="10"/>
      <c r="KB15" s="10"/>
      <c r="KC15" s="10"/>
      <c r="KD15" s="10"/>
      <c r="KE15" s="136"/>
      <c r="KF15" s="1383" t="s">
        <v>4593</v>
      </c>
      <c r="KH15">
        <v>10</v>
      </c>
      <c r="LF15" s="1215"/>
      <c r="LG15" s="439"/>
      <c r="MA15" s="377" t="s">
        <v>5732</v>
      </c>
      <c r="MB15" s="1846" t="s">
        <v>7185</v>
      </c>
      <c r="MC15" s="1846"/>
      <c r="MD15" s="1846"/>
      <c r="ME15" s="1846"/>
      <c r="MF15" s="129"/>
      <c r="MG15" s="129"/>
      <c r="MH15" s="129"/>
      <c r="NA15" s="377" t="s">
        <v>5732</v>
      </c>
      <c r="NB15" s="1747" t="s">
        <v>7185</v>
      </c>
      <c r="NC15" s="1747"/>
      <c r="ND15" s="1747"/>
      <c r="NE15" s="1747"/>
      <c r="NF15" s="129"/>
      <c r="NG15" s="129"/>
      <c r="NH15" s="129"/>
      <c r="OA15" s="1153" t="s">
        <v>7280</v>
      </c>
      <c r="OB15" s="1362" t="s">
        <v>7300</v>
      </c>
      <c r="OC15" s="1362" t="s">
        <v>7296</v>
      </c>
      <c r="OD15" s="1362" t="s">
        <v>7287</v>
      </c>
      <c r="OE15" s="1362" t="s">
        <v>6836</v>
      </c>
      <c r="OF15" s="1362" t="s">
        <v>7141</v>
      </c>
      <c r="OG15" s="1363" t="s">
        <v>4593</v>
      </c>
      <c r="OH15" s="1364"/>
      <c r="PA15" s="1216" t="s">
        <v>7108</v>
      </c>
      <c r="PC15" s="1216" t="s">
        <v>6264</v>
      </c>
      <c r="PD15" s="1213"/>
      <c r="PE15" s="1213"/>
      <c r="PF15" s="1215"/>
      <c r="QA15" s="377" t="s">
        <v>5732</v>
      </c>
      <c r="QB15" s="1846" t="s">
        <v>7185</v>
      </c>
      <c r="QC15" s="1846"/>
      <c r="QD15" s="1846"/>
      <c r="QE15" s="1846"/>
      <c r="QF15" s="129"/>
      <c r="QG15" s="129"/>
      <c r="QH15" s="129"/>
      <c r="RA15" s="377" t="s">
        <v>5732</v>
      </c>
      <c r="RB15" s="1210" t="s">
        <v>7185</v>
      </c>
      <c r="RC15" s="1210"/>
      <c r="RD15" s="1210"/>
      <c r="RE15" s="1210"/>
      <c r="RF15" s="129"/>
      <c r="RG15" s="129"/>
      <c r="RH15" s="129"/>
      <c r="SA15" s="1153" t="s">
        <v>7280</v>
      </c>
      <c r="SB15" s="1362" t="s">
        <v>7300</v>
      </c>
      <c r="SC15" s="1362" t="s">
        <v>7296</v>
      </c>
      <c r="SD15" s="1362" t="s">
        <v>7287</v>
      </c>
      <c r="SE15" s="1362" t="s">
        <v>6836</v>
      </c>
      <c r="SF15" s="1362" t="s">
        <v>7141</v>
      </c>
      <c r="SG15" s="1363" t="s">
        <v>4593</v>
      </c>
      <c r="SH15" s="1364"/>
      <c r="UA15" s="129"/>
      <c r="UB15" s="522" t="s">
        <v>5763</v>
      </c>
      <c r="UC15" s="129"/>
      <c r="UD15" s="129"/>
      <c r="UE15" s="129"/>
      <c r="UF15" s="129"/>
      <c r="UG15" s="129"/>
      <c r="UH15" s="129"/>
      <c r="VA15" s="129"/>
      <c r="VB15" s="129" t="s">
        <v>5762</v>
      </c>
      <c r="VC15" s="129"/>
      <c r="VD15" s="129"/>
      <c r="VE15" s="129"/>
      <c r="VF15" s="129"/>
      <c r="VG15" s="129"/>
      <c r="VH15" s="129"/>
      <c r="XA15" s="129"/>
      <c r="XB15" s="522" t="s">
        <v>5763</v>
      </c>
      <c r="XC15" s="129"/>
      <c r="XD15" s="129"/>
      <c r="XE15" s="129"/>
      <c r="XF15" s="129"/>
      <c r="XG15" s="129"/>
      <c r="XH15" s="129"/>
      <c r="YA15" s="129"/>
      <c r="YB15" s="129" t="s">
        <v>5762</v>
      </c>
      <c r="YC15" s="129"/>
      <c r="YD15" s="129"/>
      <c r="YE15" s="129"/>
      <c r="YF15" s="129"/>
      <c r="YG15" s="129"/>
      <c r="YH15" s="129"/>
      <c r="ABA15" s="129"/>
      <c r="ABB15" s="522" t="s">
        <v>5763</v>
      </c>
      <c r="ABC15" s="129"/>
      <c r="ABD15" s="129"/>
      <c r="ABE15" s="129"/>
      <c r="ABF15" s="129"/>
      <c r="ABG15" s="129"/>
      <c r="ABH15" s="129"/>
      <c r="ACA15" s="129"/>
      <c r="ACB15" s="129" t="s">
        <v>5762</v>
      </c>
      <c r="ACC15" s="129"/>
      <c r="ACD15" s="129"/>
      <c r="ACE15" s="129"/>
      <c r="ACF15" s="129"/>
      <c r="ACG15" s="129"/>
      <c r="ACH15" s="129"/>
      <c r="AFA15" s="129"/>
      <c r="AFB15" s="522" t="s">
        <v>5763</v>
      </c>
      <c r="AFC15" s="129"/>
      <c r="AFD15" s="129"/>
      <c r="AFE15" s="129"/>
      <c r="AFF15" s="129"/>
      <c r="AFG15" s="129"/>
      <c r="AFH15" s="129"/>
      <c r="AGA15" s="129"/>
      <c r="AGB15" s="129" t="s">
        <v>5762</v>
      </c>
      <c r="AGC15" s="129"/>
      <c r="AGD15" s="129"/>
      <c r="AGE15" s="129"/>
      <c r="AGF15" s="129"/>
      <c r="AGG15" s="129"/>
      <c r="AGH15" s="129"/>
      <c r="AJA15" s="129"/>
      <c r="AJB15" s="522" t="s">
        <v>5763</v>
      </c>
      <c r="AJC15" s="129"/>
      <c r="AJD15" s="129"/>
      <c r="AJE15" s="129"/>
      <c r="AJF15" s="129"/>
      <c r="AJG15" s="129"/>
      <c r="AJH15" s="129"/>
      <c r="AKA15" s="129"/>
      <c r="AKB15" s="129" t="s">
        <v>5762</v>
      </c>
      <c r="AKC15" s="129"/>
      <c r="AKD15" s="129"/>
      <c r="AKE15" s="129"/>
      <c r="AKF15" s="129"/>
      <c r="AKG15" s="129"/>
      <c r="AKH15" s="129"/>
      <c r="AMA15" s="129"/>
      <c r="AMB15" s="522" t="s">
        <v>5763</v>
      </c>
      <c r="AMC15" s="129"/>
      <c r="AMD15" s="129"/>
      <c r="AME15" s="129"/>
      <c r="AMF15" s="129"/>
      <c r="AMG15" s="129"/>
      <c r="AMH15" s="129"/>
      <c r="ANA15" s="129"/>
      <c r="ANB15" s="129" t="s">
        <v>5762</v>
      </c>
      <c r="ANC15" s="129"/>
      <c r="AND15" s="129"/>
      <c r="ANE15" s="129"/>
      <c r="ANF15" s="129"/>
      <c r="ANG15" s="129"/>
      <c r="ANH15" s="129"/>
      <c r="APA15" s="129"/>
      <c r="APB15" s="522" t="s">
        <v>5763</v>
      </c>
      <c r="APC15" s="129"/>
      <c r="APD15" s="129"/>
      <c r="APE15" s="129"/>
      <c r="APF15" s="129"/>
      <c r="APG15" s="129"/>
      <c r="APH15" s="129"/>
      <c r="AQA15" s="129"/>
      <c r="AQB15" s="129" t="s">
        <v>5762</v>
      </c>
      <c r="AQC15" s="129"/>
      <c r="AQD15" s="129"/>
      <c r="AQE15" s="129"/>
      <c r="AQF15" s="129"/>
      <c r="AQG15" s="129"/>
      <c r="AQH15" s="129"/>
    </row>
    <row r="16" spans="1:1022 1041:1228" ht="25.05" customHeight="1">
      <c r="B16" s="290">
        <v>13</v>
      </c>
      <c r="C16" s="1359" t="s">
        <v>7190</v>
      </c>
      <c r="D16" s="1159" t="s">
        <v>5646</v>
      </c>
      <c r="E16" s="1160" t="s">
        <v>7076</v>
      </c>
      <c r="F16" s="1058" t="s">
        <v>233</v>
      </c>
      <c r="AA16" s="129"/>
      <c r="AB16" s="1645" t="s">
        <v>7023</v>
      </c>
      <c r="AC16" s="1645"/>
      <c r="AD16" s="1645"/>
      <c r="AE16" s="1645"/>
      <c r="AF16" s="1645"/>
      <c r="BA16" s="1358" t="s">
        <v>450</v>
      </c>
      <c r="BB16" s="1549" t="s">
        <v>7034</v>
      </c>
      <c r="BC16" s="1549"/>
      <c r="BD16" s="1549"/>
      <c r="BE16" s="1549"/>
      <c r="BF16" s="1549"/>
      <c r="BG16" s="1549"/>
      <c r="BH16" s="1549"/>
      <c r="BI16" s="1549"/>
      <c r="CA16" s="735" t="s">
        <v>450</v>
      </c>
      <c r="CB16" s="1502" t="s">
        <v>7039</v>
      </c>
      <c r="CC16" s="1502"/>
      <c r="CD16" s="1502"/>
      <c r="CE16" s="1502"/>
      <c r="CF16" s="1502"/>
      <c r="FA16" s="1951" t="s">
        <v>7156</v>
      </c>
      <c r="FC16" s="1951" t="s">
        <v>6264</v>
      </c>
      <c r="FE16" s="1959" t="s">
        <v>6284</v>
      </c>
      <c r="FG16" s="1957" t="s">
        <v>7162</v>
      </c>
      <c r="GB16" s="112"/>
      <c r="IA16" s="735" t="s">
        <v>450</v>
      </c>
      <c r="IB16" s="1532" t="s">
        <v>7000</v>
      </c>
      <c r="IC16" s="1532"/>
      <c r="ID16" s="1532"/>
      <c r="IE16" s="1532"/>
      <c r="IF16" s="1532"/>
      <c r="IG16" s="1532"/>
      <c r="IH16" s="1532"/>
      <c r="II16" s="1532"/>
      <c r="JA16" s="1210" t="s">
        <v>5731</v>
      </c>
      <c r="JB16" s="1846" t="s">
        <v>6444</v>
      </c>
      <c r="JC16" s="1846"/>
      <c r="JD16" s="1846"/>
      <c r="JE16" s="1846"/>
      <c r="JF16" s="129"/>
      <c r="JG16" s="129"/>
      <c r="JH16" s="129"/>
      <c r="JI16" s="129"/>
      <c r="JJ16" s="129"/>
      <c r="JK16" s="7"/>
      <c r="JL16" s="7"/>
      <c r="MA16" s="377" t="s">
        <v>5733</v>
      </c>
      <c r="MB16" s="1941" t="s">
        <v>7186</v>
      </c>
      <c r="MC16" s="1941"/>
      <c r="MD16" s="1941"/>
      <c r="ME16" s="1941"/>
      <c r="MF16" s="129"/>
      <c r="MG16" s="129"/>
      <c r="MH16" s="129"/>
      <c r="NB16" s="1941" t="s">
        <v>7186</v>
      </c>
      <c r="NC16" s="1941"/>
      <c r="ND16" s="1941"/>
      <c r="NE16" s="1941"/>
      <c r="NF16" s="129"/>
      <c r="NG16" s="129"/>
      <c r="NH16" s="129"/>
      <c r="OA16" s="1153" t="s">
        <v>7280</v>
      </c>
      <c r="OB16" s="1362" t="s">
        <v>7300</v>
      </c>
      <c r="OC16" s="1362" t="s">
        <v>7297</v>
      </c>
      <c r="OD16" s="1362" t="s">
        <v>7288</v>
      </c>
      <c r="OE16" s="1362" t="s">
        <v>6836</v>
      </c>
      <c r="OF16" s="1362" t="s">
        <v>7141</v>
      </c>
      <c r="OG16" s="1363" t="s">
        <v>4593</v>
      </c>
      <c r="OH16" s="1364"/>
      <c r="PF16" s="1215"/>
      <c r="PG16" s="439"/>
      <c r="QA16" s="377" t="s">
        <v>5733</v>
      </c>
      <c r="QB16" s="1941" t="s">
        <v>7186</v>
      </c>
      <c r="QC16" s="1941"/>
      <c r="QD16" s="1941"/>
      <c r="QE16" s="1941"/>
      <c r="QF16" s="129"/>
      <c r="QG16" s="129"/>
      <c r="QH16" s="129"/>
      <c r="RA16" s="377" t="s">
        <v>5733</v>
      </c>
      <c r="RB16" s="1369" t="s">
        <v>7186</v>
      </c>
      <c r="RC16" s="1369"/>
      <c r="RD16" s="1369"/>
      <c r="RE16" s="1369"/>
      <c r="RF16" s="129"/>
      <c r="RG16" s="129"/>
      <c r="RH16" s="129"/>
      <c r="SA16" s="1153" t="s">
        <v>7280</v>
      </c>
      <c r="SB16" s="1362" t="s">
        <v>7300</v>
      </c>
      <c r="SC16" s="1362" t="s">
        <v>7297</v>
      </c>
      <c r="SD16" s="1362" t="s">
        <v>7288</v>
      </c>
      <c r="SE16" s="1362" t="s">
        <v>6836</v>
      </c>
      <c r="SF16" s="1362" t="s">
        <v>7141</v>
      </c>
      <c r="SG16" s="1363" t="s">
        <v>4593</v>
      </c>
      <c r="SH16" s="1364"/>
      <c r="UA16" s="129" t="s">
        <v>5745</v>
      </c>
      <c r="UB16" s="129"/>
      <c r="VA16" s="378"/>
      <c r="VB16" s="129"/>
      <c r="VC16" s="129"/>
      <c r="VD16" s="129"/>
      <c r="VE16" s="129"/>
      <c r="VF16" s="129"/>
      <c r="VG16" s="129"/>
      <c r="VH16" s="129"/>
      <c r="XA16" s="129" t="s">
        <v>5745</v>
      </c>
      <c r="XB16" s="129"/>
      <c r="YA16" s="378"/>
      <c r="YB16" s="129"/>
      <c r="YC16" s="129"/>
      <c r="YD16" s="129"/>
      <c r="YE16" s="129"/>
      <c r="YF16" s="129"/>
      <c r="YG16" s="129"/>
      <c r="YH16" s="129"/>
      <c r="ABA16" s="129" t="s">
        <v>5745</v>
      </c>
      <c r="ABB16" s="129"/>
      <c r="ACA16" s="378"/>
      <c r="ACB16" s="129"/>
      <c r="ACC16" s="129"/>
      <c r="ACD16" s="129"/>
      <c r="ACE16" s="129"/>
      <c r="ACF16" s="129"/>
      <c r="ACG16" s="129"/>
      <c r="ACH16" s="129"/>
      <c r="AFA16" s="129" t="s">
        <v>5745</v>
      </c>
      <c r="AFB16" s="129"/>
      <c r="AGA16" s="378"/>
      <c r="AGB16" s="129"/>
      <c r="AGC16" s="129"/>
      <c r="AGD16" s="129"/>
      <c r="AGE16" s="129"/>
      <c r="AGF16" s="129"/>
      <c r="AGG16" s="129"/>
      <c r="AGH16" s="129"/>
      <c r="AJA16" s="129" t="s">
        <v>5745</v>
      </c>
      <c r="AJB16" s="129"/>
      <c r="AKA16" s="378"/>
      <c r="AKB16" s="129"/>
      <c r="AKC16" s="129"/>
      <c r="AKD16" s="129"/>
      <c r="AKE16" s="129"/>
      <c r="AKF16" s="129"/>
      <c r="AKG16" s="129"/>
      <c r="AKH16" s="129"/>
      <c r="AMA16" s="129" t="s">
        <v>5745</v>
      </c>
      <c r="AMB16" s="129"/>
      <c r="ANA16" s="378"/>
      <c r="ANB16" s="129"/>
      <c r="ANC16" s="129"/>
      <c r="AND16" s="129"/>
      <c r="ANE16" s="129"/>
      <c r="ANF16" s="129"/>
      <c r="ANG16" s="129"/>
      <c r="ANH16" s="129"/>
      <c r="APA16" s="129" t="s">
        <v>5745</v>
      </c>
      <c r="APB16" s="129"/>
      <c r="AQA16" s="378"/>
      <c r="AQB16" s="129"/>
      <c r="AQC16" s="129"/>
      <c r="AQD16" s="129"/>
      <c r="AQE16" s="129"/>
      <c r="AQF16" s="129"/>
      <c r="AQG16" s="129"/>
      <c r="AQH16" s="129"/>
    </row>
    <row r="17" spans="2:1016 1041:1126" ht="30" customHeight="1" thickBot="1">
      <c r="B17" s="290">
        <v>14</v>
      </c>
      <c r="C17" s="1359" t="s">
        <v>7318</v>
      </c>
      <c r="D17" s="1159" t="s">
        <v>5647</v>
      </c>
      <c r="E17" s="1160" t="s">
        <v>6530</v>
      </c>
      <c r="F17" s="1058" t="s">
        <v>233</v>
      </c>
      <c r="AA17" s="7"/>
      <c r="AB17" s="1532" t="s">
        <v>7024</v>
      </c>
      <c r="AC17" s="1532"/>
      <c r="AD17" s="1532"/>
      <c r="AE17" s="1532"/>
      <c r="AF17" s="1532"/>
      <c r="BA17" s="192"/>
      <c r="BB17" s="129"/>
      <c r="BC17" s="129"/>
      <c r="BD17" s="129"/>
      <c r="BE17" s="129"/>
      <c r="BF17" s="129"/>
      <c r="BG17" s="129"/>
      <c r="BH17" s="129"/>
      <c r="BI17" s="129"/>
      <c r="CB17" s="129"/>
      <c r="CZ17" s="735" t="s">
        <v>450</v>
      </c>
      <c r="DA17" s="1549" t="s">
        <v>7053</v>
      </c>
      <c r="DB17" s="1549"/>
      <c r="DC17" s="1549"/>
      <c r="DD17" s="1549"/>
      <c r="DE17" s="1549"/>
      <c r="DY17" s="1981" t="s">
        <v>7108</v>
      </c>
      <c r="EA17" s="1981" t="s">
        <v>7111</v>
      </c>
      <c r="EB17" s="1366"/>
      <c r="EC17" s="1981" t="s">
        <v>6264</v>
      </c>
      <c r="FA17" s="1952"/>
      <c r="FC17" s="1952"/>
      <c r="FE17" s="1960"/>
      <c r="FG17" s="1958"/>
      <c r="GA17" s="735" t="s">
        <v>4865</v>
      </c>
      <c r="GB17" s="112" t="s">
        <v>6514</v>
      </c>
      <c r="HA17" s="735" t="s">
        <v>4865</v>
      </c>
      <c r="HB17" s="1785" t="s">
        <v>6246</v>
      </c>
      <c r="HC17" s="1785"/>
      <c r="HD17" s="1785"/>
      <c r="HE17" s="1785"/>
      <c r="HF17" s="1785"/>
      <c r="HG17" s="1785"/>
      <c r="IJ17" s="7"/>
      <c r="IK17" s="7"/>
      <c r="JA17" s="455" t="s">
        <v>5732</v>
      </c>
      <c r="JB17" s="1846" t="s">
        <v>5762</v>
      </c>
      <c r="JC17" s="1846"/>
      <c r="JD17" s="1846"/>
      <c r="JE17" s="1846"/>
      <c r="JF17" s="455"/>
      <c r="JG17" s="455"/>
      <c r="JH17" s="455"/>
      <c r="JI17" s="455"/>
      <c r="JJ17" s="455"/>
      <c r="JK17" s="7"/>
      <c r="KB17" s="1951" t="s">
        <v>6264</v>
      </c>
      <c r="KD17" s="1959" t="s">
        <v>6284</v>
      </c>
      <c r="KF17" s="185"/>
      <c r="LA17" s="735" t="s">
        <v>450</v>
      </c>
      <c r="LB17" s="1501" t="s">
        <v>7183</v>
      </c>
      <c r="LC17" s="1501"/>
      <c r="LD17" s="1501"/>
      <c r="LE17" s="1501"/>
      <c r="LF17" s="1501"/>
      <c r="LG17" s="1501"/>
      <c r="LH17" s="1501"/>
      <c r="LI17" s="15"/>
      <c r="MA17" s="129"/>
      <c r="MB17" s="522"/>
      <c r="MC17" s="129"/>
      <c r="MD17" s="129"/>
      <c r="ME17" s="129"/>
      <c r="MF17" s="129"/>
      <c r="MG17" s="129"/>
      <c r="MH17" s="129"/>
      <c r="NA17" s="129"/>
      <c r="NB17" s="522"/>
      <c r="NC17" s="129"/>
      <c r="ND17" s="129"/>
      <c r="NE17" s="129"/>
      <c r="NF17" s="129"/>
      <c r="NG17" s="129"/>
      <c r="NH17" s="129"/>
      <c r="OA17" s="1153" t="s">
        <v>7280</v>
      </c>
      <c r="OB17" s="1362" t="s">
        <v>7300</v>
      </c>
      <c r="OC17" s="1362" t="s">
        <v>7298</v>
      </c>
      <c r="OD17" s="1362" t="s">
        <v>7289</v>
      </c>
      <c r="OE17" s="1362" t="s">
        <v>6836</v>
      </c>
      <c r="OF17" s="1362" t="s">
        <v>7141</v>
      </c>
      <c r="OG17" s="1363" t="s">
        <v>4593</v>
      </c>
      <c r="OH17" s="1364"/>
      <c r="PA17" s="735" t="s">
        <v>450</v>
      </c>
      <c r="PB17" s="1717" t="s">
        <v>7374</v>
      </c>
      <c r="PC17" s="1717"/>
      <c r="PD17" s="1717"/>
      <c r="PE17" s="1717"/>
      <c r="PF17" s="1717"/>
      <c r="PG17" s="922"/>
      <c r="QA17" s="129"/>
      <c r="QB17" s="522"/>
      <c r="QC17" s="129"/>
      <c r="QD17" s="129"/>
      <c r="QE17" s="129"/>
      <c r="QF17" s="129"/>
      <c r="QG17" s="129"/>
      <c r="QH17" s="129"/>
      <c r="RA17" s="129"/>
      <c r="RB17" s="522"/>
      <c r="RC17" s="129"/>
      <c r="RD17" s="129"/>
      <c r="RE17" s="129"/>
      <c r="RF17" s="129"/>
      <c r="RG17" s="129"/>
      <c r="RH17" s="129"/>
      <c r="SA17" s="1153" t="s">
        <v>7280</v>
      </c>
      <c r="SB17" s="1362" t="s">
        <v>7300</v>
      </c>
      <c r="SC17" s="1362" t="s">
        <v>7298</v>
      </c>
      <c r="SD17" s="1362" t="s">
        <v>7289</v>
      </c>
      <c r="SE17" s="1362" t="s">
        <v>6836</v>
      </c>
      <c r="SF17" s="1362" t="s">
        <v>7141</v>
      </c>
      <c r="SG17" s="1363" t="s">
        <v>4593</v>
      </c>
      <c r="SH17" s="1364"/>
      <c r="UA17" s="129" t="s">
        <v>5724</v>
      </c>
      <c r="UB17" s="129"/>
      <c r="VA17" s="129" t="s">
        <v>5745</v>
      </c>
      <c r="VB17" s="129"/>
      <c r="VC17" s="129"/>
      <c r="VD17" s="129"/>
      <c r="VE17" s="129"/>
      <c r="VF17" s="129"/>
      <c r="VG17" s="129"/>
      <c r="VH17" s="129"/>
      <c r="XA17" s="129" t="s">
        <v>5724</v>
      </c>
      <c r="XB17" s="129"/>
      <c r="YA17" s="129" t="s">
        <v>5745</v>
      </c>
      <c r="YB17" s="129"/>
      <c r="YC17" s="129"/>
      <c r="YD17" s="129"/>
      <c r="YE17" s="129"/>
      <c r="YF17" s="129"/>
      <c r="YG17" s="129"/>
      <c r="YH17" s="129"/>
      <c r="ABA17" s="129" t="s">
        <v>5724</v>
      </c>
      <c r="ABB17" s="129"/>
      <c r="ACA17" s="129" t="s">
        <v>5745</v>
      </c>
      <c r="ACB17" s="129"/>
      <c r="ACC17" s="129"/>
      <c r="ACD17" s="129"/>
      <c r="ACE17" s="129"/>
      <c r="ACF17" s="129"/>
      <c r="ACG17" s="129"/>
      <c r="ACH17" s="129"/>
      <c r="AFA17" s="129" t="s">
        <v>5724</v>
      </c>
      <c r="AFB17" s="129"/>
      <c r="AGA17" s="129" t="s">
        <v>5745</v>
      </c>
      <c r="AGB17" s="129"/>
      <c r="AGC17" s="129"/>
      <c r="AGD17" s="129"/>
      <c r="AGE17" s="129"/>
      <c r="AGF17" s="129"/>
      <c r="AGG17" s="129"/>
      <c r="AGH17" s="129"/>
      <c r="AJA17" s="129" t="s">
        <v>5724</v>
      </c>
      <c r="AJB17" s="129"/>
      <c r="AKA17" s="129" t="s">
        <v>5745</v>
      </c>
      <c r="AKB17" s="129"/>
      <c r="AKC17" s="129"/>
      <c r="AKD17" s="129"/>
      <c r="AKE17" s="129"/>
      <c r="AKF17" s="129"/>
      <c r="AKG17" s="129"/>
      <c r="AKH17" s="129"/>
      <c r="AMA17" s="129" t="s">
        <v>5724</v>
      </c>
      <c r="AMB17" s="129"/>
      <c r="ANA17" s="129" t="s">
        <v>5745</v>
      </c>
      <c r="ANB17" s="129"/>
      <c r="ANC17" s="129"/>
      <c r="AND17" s="129"/>
      <c r="ANE17" s="129"/>
      <c r="ANF17" s="129"/>
      <c r="ANG17" s="129"/>
      <c r="ANH17" s="129"/>
      <c r="APA17" s="129" t="s">
        <v>5724</v>
      </c>
      <c r="APB17" s="129"/>
      <c r="AQA17" s="129" t="s">
        <v>5745</v>
      </c>
      <c r="AQB17" s="129"/>
      <c r="AQC17" s="129"/>
      <c r="AQD17" s="129"/>
      <c r="AQE17" s="129"/>
      <c r="AQF17" s="129"/>
      <c r="AQG17" s="129"/>
      <c r="AQH17" s="129"/>
    </row>
    <row r="18" spans="2:1016 1041:1126" ht="30" customHeight="1">
      <c r="B18" s="290">
        <v>15</v>
      </c>
      <c r="C18" s="1359" t="s">
        <v>7319</v>
      </c>
      <c r="D18" s="1159" t="s">
        <v>5648</v>
      </c>
      <c r="E18" s="1407" t="s">
        <v>7332</v>
      </c>
      <c r="F18" s="1058" t="s">
        <v>233</v>
      </c>
      <c r="AA18" s="7"/>
      <c r="AB18" s="1532" t="s">
        <v>7025</v>
      </c>
      <c r="AC18" s="1532"/>
      <c r="AD18" s="1532"/>
      <c r="AE18" s="1532"/>
      <c r="AF18" s="1532"/>
      <c r="BA18" s="1358" t="s">
        <v>4865</v>
      </c>
      <c r="BB18" s="1846" t="s">
        <v>6446</v>
      </c>
      <c r="BC18" s="1846"/>
      <c r="BD18" s="1846"/>
      <c r="BE18" s="1846"/>
      <c r="BF18" s="1846"/>
      <c r="BG18" s="1846"/>
      <c r="BH18" s="1846"/>
      <c r="BI18" s="129"/>
      <c r="CA18" s="1358" t="s">
        <v>4865</v>
      </c>
      <c r="CB18" s="1787" t="s">
        <v>6254</v>
      </c>
      <c r="CC18" s="1787"/>
      <c r="CD18" s="1787"/>
      <c r="CE18" s="1787"/>
      <c r="CF18" s="1787"/>
      <c r="CG18" s="1787"/>
      <c r="DA18" s="1549" t="s">
        <v>6821</v>
      </c>
      <c r="DB18" s="1549"/>
      <c r="DC18" s="1549"/>
      <c r="DD18" s="1549"/>
      <c r="DE18" s="1549"/>
      <c r="DY18" s="1981"/>
      <c r="EA18" s="1981"/>
      <c r="EB18" s="1366"/>
      <c r="EC18" s="1981"/>
      <c r="GB18" s="112" t="s">
        <v>6501</v>
      </c>
      <c r="HB18" s="1785" t="s">
        <v>6429</v>
      </c>
      <c r="HC18" s="1785"/>
      <c r="HD18" s="1785"/>
      <c r="HE18" s="1785"/>
      <c r="HF18" s="1785"/>
      <c r="HG18" s="1785"/>
      <c r="IA18" s="735" t="s">
        <v>6263</v>
      </c>
      <c r="IB18" s="1532" t="s">
        <v>6448</v>
      </c>
      <c r="IC18" s="1532"/>
      <c r="ID18" s="1532"/>
      <c r="IE18" s="1532"/>
      <c r="IF18" s="1532"/>
      <c r="IG18" s="1532"/>
      <c r="IH18" s="1532"/>
      <c r="II18" s="1532"/>
      <c r="JA18" s="1210" t="s">
        <v>5733</v>
      </c>
      <c r="JB18" s="1941" t="s">
        <v>5763</v>
      </c>
      <c r="JC18" s="1941"/>
      <c r="JD18" s="1941"/>
      <c r="JE18" s="1941"/>
      <c r="JF18" s="1210"/>
      <c r="JG18" s="1210"/>
      <c r="JH18" s="1210"/>
      <c r="JI18" s="1210"/>
      <c r="JJ18" s="1210"/>
      <c r="JK18" s="7"/>
      <c r="JL18" s="7"/>
      <c r="KB18" s="1952"/>
      <c r="KD18" s="1960"/>
      <c r="KF18" s="185"/>
      <c r="MA18" s="1358" t="s">
        <v>450</v>
      </c>
      <c r="MB18" s="1549" t="s">
        <v>7202</v>
      </c>
      <c r="MC18" s="1549"/>
      <c r="MD18" s="1549"/>
      <c r="ME18" s="1549"/>
      <c r="MF18" s="1549"/>
      <c r="MG18" s="1549"/>
      <c r="NA18" s="1358" t="s">
        <v>450</v>
      </c>
      <c r="NB18" s="1938" t="s">
        <v>7279</v>
      </c>
      <c r="NC18" s="1938"/>
      <c r="ND18" s="1938"/>
      <c r="NE18" s="1938"/>
      <c r="NF18" s="1938"/>
      <c r="NG18" s="1938"/>
      <c r="PH18" s="922"/>
      <c r="QA18" s="1358" t="s">
        <v>450</v>
      </c>
      <c r="QB18" s="1549" t="s">
        <v>7383</v>
      </c>
      <c r="QC18" s="1549"/>
      <c r="QD18" s="1549"/>
      <c r="QE18" s="1549"/>
      <c r="QF18" s="1549"/>
      <c r="QG18" s="1549"/>
      <c r="RA18" s="1358" t="s">
        <v>450</v>
      </c>
      <c r="RB18" s="1295" t="s">
        <v>7386</v>
      </c>
      <c r="RC18" s="1295"/>
      <c r="RD18" s="1295"/>
      <c r="RE18" s="1295"/>
      <c r="RF18" s="1295"/>
      <c r="RG18" s="1295"/>
      <c r="UA18" s="129" t="s">
        <v>5737</v>
      </c>
      <c r="UB18" s="129"/>
      <c r="VA18" s="129" t="s">
        <v>5775</v>
      </c>
      <c r="VB18" s="129"/>
      <c r="VC18" s="129"/>
      <c r="VD18" s="129"/>
      <c r="VE18" s="129"/>
      <c r="VF18" s="129"/>
      <c r="VG18" s="129"/>
      <c r="VH18" s="129"/>
      <c r="XA18" s="129" t="s">
        <v>5737</v>
      </c>
      <c r="XB18" s="129"/>
      <c r="YA18" s="129" t="s">
        <v>5775</v>
      </c>
      <c r="YB18" s="129"/>
      <c r="YC18" s="129"/>
      <c r="YD18" s="129"/>
      <c r="YE18" s="129"/>
      <c r="YF18" s="129"/>
      <c r="YG18" s="129"/>
      <c r="YH18" s="129"/>
      <c r="ABA18" s="129" t="s">
        <v>5737</v>
      </c>
      <c r="ABB18" s="129"/>
      <c r="ACA18" s="129" t="s">
        <v>5775</v>
      </c>
      <c r="ACB18" s="129"/>
      <c r="ACC18" s="129"/>
      <c r="ACD18" s="129"/>
      <c r="ACE18" s="129"/>
      <c r="ACF18" s="129"/>
      <c r="ACG18" s="129"/>
      <c r="ACH18" s="129"/>
      <c r="AFA18" s="129" t="s">
        <v>5737</v>
      </c>
      <c r="AFB18" s="129"/>
      <c r="AGA18" s="129" t="s">
        <v>5775</v>
      </c>
      <c r="AGB18" s="129"/>
      <c r="AGC18" s="129"/>
      <c r="AGD18" s="129"/>
      <c r="AGE18" s="129"/>
      <c r="AGF18" s="129"/>
      <c r="AGG18" s="129"/>
      <c r="AGH18" s="129"/>
      <c r="AJA18" s="129" t="s">
        <v>5737</v>
      </c>
      <c r="AJB18" s="129"/>
      <c r="AKA18" s="129" t="s">
        <v>5775</v>
      </c>
      <c r="AKB18" s="129"/>
      <c r="AKC18" s="129"/>
      <c r="AKD18" s="129"/>
      <c r="AKE18" s="129"/>
      <c r="AKF18" s="129"/>
      <c r="AKG18" s="129"/>
      <c r="AKH18" s="129"/>
      <c r="AMA18" s="129" t="s">
        <v>5737</v>
      </c>
      <c r="AMB18" s="129"/>
      <c r="ANA18" s="129" t="s">
        <v>5775</v>
      </c>
      <c r="ANB18" s="129"/>
      <c r="ANC18" s="129"/>
      <c r="AND18" s="129"/>
      <c r="ANE18" s="129"/>
      <c r="ANF18" s="129"/>
      <c r="ANG18" s="129"/>
      <c r="ANH18" s="129"/>
      <c r="APA18" s="129" t="s">
        <v>5737</v>
      </c>
      <c r="APB18" s="129"/>
      <c r="AQA18" s="129" t="s">
        <v>5775</v>
      </c>
      <c r="AQB18" s="129"/>
      <c r="AQC18" s="129"/>
      <c r="AQD18" s="129"/>
      <c r="AQE18" s="129"/>
      <c r="AQF18" s="129"/>
      <c r="AQG18" s="129"/>
      <c r="AQH18" s="129"/>
    </row>
    <row r="19" spans="2:1016 1041:1126" ht="30" customHeight="1">
      <c r="B19" s="290">
        <v>16</v>
      </c>
      <c r="C19" s="1359" t="s">
        <v>7320</v>
      </c>
      <c r="D19" s="1159" t="s">
        <v>7322</v>
      </c>
      <c r="E19" s="1160" t="s">
        <v>5666</v>
      </c>
      <c r="F19" s="1058" t="s">
        <v>233</v>
      </c>
      <c r="AA19" s="7"/>
      <c r="AB19" s="1532" t="s">
        <v>7026</v>
      </c>
      <c r="AC19" s="1532"/>
      <c r="AD19" s="1532"/>
      <c r="AE19" s="1532"/>
      <c r="AF19" s="1532"/>
      <c r="BB19" s="1846" t="s">
        <v>7036</v>
      </c>
      <c r="BC19" s="1846"/>
      <c r="BD19" s="1846"/>
      <c r="BE19" s="1846"/>
      <c r="BF19" s="1846"/>
      <c r="BG19" s="1846"/>
      <c r="BH19" s="1846"/>
      <c r="CB19" s="1787" t="s">
        <v>7040</v>
      </c>
      <c r="CC19" s="1787"/>
      <c r="CD19" s="1787"/>
      <c r="CE19" s="1787"/>
      <c r="CF19" s="1787"/>
      <c r="CG19" s="1787"/>
      <c r="FA19" s="735" t="s">
        <v>450</v>
      </c>
      <c r="FB19" s="1532" t="s">
        <v>7148</v>
      </c>
      <c r="FC19" s="1532"/>
      <c r="FD19" s="1532"/>
      <c r="FE19" s="1532"/>
      <c r="FF19" s="1532"/>
      <c r="FG19" s="1532"/>
      <c r="GB19" s="112" t="s">
        <v>6502</v>
      </c>
      <c r="HB19" s="1785" t="s">
        <v>6430</v>
      </c>
      <c r="HC19" s="1785"/>
      <c r="HD19" s="1785"/>
      <c r="HE19" s="1785"/>
      <c r="HF19" s="1785"/>
      <c r="HG19" s="1785"/>
      <c r="IB19" s="1532" t="s">
        <v>6449</v>
      </c>
      <c r="IC19" s="1532"/>
      <c r="ID19" s="1532"/>
      <c r="IE19" s="1532"/>
      <c r="IF19" s="1532"/>
      <c r="IG19" s="1532"/>
      <c r="IH19" s="1532"/>
      <c r="II19" s="1532"/>
      <c r="IJ19" s="7"/>
      <c r="IK19" s="7"/>
      <c r="JA19" s="455"/>
      <c r="JB19" s="1846"/>
      <c r="JC19" s="1846"/>
      <c r="JD19" s="1846"/>
      <c r="JE19" s="1846"/>
      <c r="JF19" s="1846"/>
      <c r="JG19" s="1846"/>
      <c r="JH19" s="1846"/>
      <c r="JI19" s="1846"/>
      <c r="JJ19" s="1846"/>
      <c r="JK19" s="7"/>
      <c r="JL19" s="7"/>
      <c r="LA19" s="735" t="s">
        <v>4865</v>
      </c>
      <c r="LB19" s="1787" t="s">
        <v>7182</v>
      </c>
      <c r="LC19" s="1787"/>
      <c r="LD19" s="1787"/>
      <c r="LE19" s="1787"/>
      <c r="LF19" s="1787"/>
      <c r="LG19" s="1787"/>
      <c r="LH19" s="1787"/>
      <c r="LI19" s="377"/>
      <c r="MA19" s="1378"/>
      <c r="MB19" s="912"/>
      <c r="MC19" s="912"/>
      <c r="MD19" s="912"/>
      <c r="ME19" s="912"/>
      <c r="MF19" s="912"/>
      <c r="MG19" s="912"/>
      <c r="NA19" s="1378"/>
      <c r="NB19" s="1549" t="s">
        <v>7270</v>
      </c>
      <c r="NC19" s="1549"/>
      <c r="ND19" s="1549"/>
      <c r="NE19" s="1549"/>
      <c r="NF19" s="1549"/>
      <c r="NG19" s="1549"/>
      <c r="OA19" s="1951" t="s">
        <v>6264</v>
      </c>
      <c r="OC19" s="1959" t="s">
        <v>6284</v>
      </c>
      <c r="OD19" s="1366"/>
      <c r="OE19" s="185"/>
      <c r="OF19" s="1366"/>
      <c r="PA19" s="735" t="s">
        <v>4865</v>
      </c>
      <c r="PB19" s="1787" t="s">
        <v>7375</v>
      </c>
      <c r="PC19" s="1787"/>
      <c r="PD19" s="1787"/>
      <c r="PE19" s="1787"/>
      <c r="PF19" s="1787"/>
      <c r="PG19" s="1368"/>
      <c r="QA19" s="1378"/>
      <c r="QB19" s="1939" t="s">
        <v>7389</v>
      </c>
      <c r="QC19" s="1939"/>
      <c r="QD19" s="1939"/>
      <c r="QE19" s="1939"/>
      <c r="QF19" s="1939"/>
      <c r="QG19" s="1939"/>
      <c r="RA19" s="1378"/>
      <c r="RB19" s="1939" t="s">
        <v>7389</v>
      </c>
      <c r="RC19" s="1939"/>
      <c r="RD19" s="1939"/>
      <c r="RE19" s="1939"/>
      <c r="RF19" s="1939"/>
      <c r="RG19" s="1939"/>
      <c r="SA19" s="1951" t="s">
        <v>6264</v>
      </c>
      <c r="SC19" s="1959" t="s">
        <v>6284</v>
      </c>
      <c r="SD19" s="1366"/>
      <c r="SE19" s="185"/>
      <c r="SF19" s="1366"/>
      <c r="UA19" s="1089" t="s">
        <v>5750</v>
      </c>
      <c r="UB19" s="129"/>
      <c r="VA19" s="129" t="s">
        <v>5777</v>
      </c>
      <c r="VB19" s="129"/>
      <c r="VC19" s="129"/>
      <c r="VD19" s="129"/>
      <c r="VE19" s="129"/>
      <c r="VF19" s="129"/>
      <c r="VG19" s="129"/>
      <c r="VH19" s="129"/>
      <c r="XA19" s="1089" t="s">
        <v>5750</v>
      </c>
      <c r="XB19" s="129"/>
      <c r="YA19" s="129" t="s">
        <v>5777</v>
      </c>
      <c r="YB19" s="129"/>
      <c r="YC19" s="129"/>
      <c r="YD19" s="129"/>
      <c r="YE19" s="129"/>
      <c r="YF19" s="129"/>
      <c r="YG19" s="129"/>
      <c r="YH19" s="129"/>
      <c r="ABA19" s="1089" t="s">
        <v>5750</v>
      </c>
      <c r="ABB19" s="129"/>
      <c r="ACA19" s="129" t="s">
        <v>5777</v>
      </c>
      <c r="ACB19" s="129"/>
      <c r="ACC19" s="129"/>
      <c r="ACD19" s="129"/>
      <c r="ACE19" s="129"/>
      <c r="ACF19" s="129"/>
      <c r="ACG19" s="129"/>
      <c r="ACH19" s="129"/>
      <c r="AFA19" s="1089" t="s">
        <v>5750</v>
      </c>
      <c r="AFB19" s="129"/>
      <c r="AGA19" s="129" t="s">
        <v>5777</v>
      </c>
      <c r="AGB19" s="129"/>
      <c r="AGC19" s="129"/>
      <c r="AGD19" s="129"/>
      <c r="AGE19" s="129"/>
      <c r="AGF19" s="129"/>
      <c r="AGG19" s="129"/>
      <c r="AGH19" s="129"/>
      <c r="AJA19" s="1089" t="s">
        <v>5750</v>
      </c>
      <c r="AJB19" s="129"/>
      <c r="AKA19" s="129" t="s">
        <v>5777</v>
      </c>
      <c r="AKB19" s="129"/>
      <c r="AKC19" s="129"/>
      <c r="AKD19" s="129"/>
      <c r="AKE19" s="129"/>
      <c r="AKF19" s="129"/>
      <c r="AKG19" s="129"/>
      <c r="AKH19" s="129"/>
      <c r="AMA19" s="1089" t="s">
        <v>5750</v>
      </c>
      <c r="AMB19" s="129"/>
      <c r="ANA19" s="129" t="s">
        <v>5777</v>
      </c>
      <c r="ANB19" s="129"/>
      <c r="ANC19" s="129"/>
      <c r="AND19" s="129"/>
      <c r="ANE19" s="129"/>
      <c r="ANF19" s="129"/>
      <c r="ANG19" s="129"/>
      <c r="ANH19" s="129"/>
      <c r="APA19" s="1089" t="s">
        <v>5750</v>
      </c>
      <c r="APB19" s="129"/>
      <c r="AQA19" s="129" t="s">
        <v>5777</v>
      </c>
      <c r="AQB19" s="129"/>
      <c r="AQC19" s="129"/>
      <c r="AQD19" s="129"/>
      <c r="AQE19" s="129"/>
      <c r="AQF19" s="129"/>
      <c r="AQG19" s="129"/>
      <c r="AQH19" s="129"/>
    </row>
    <row r="20" spans="2:1016 1041:1126" ht="30" customHeight="1">
      <c r="B20" s="290">
        <v>17</v>
      </c>
      <c r="C20" s="1359" t="s">
        <v>7321</v>
      </c>
      <c r="D20" s="1159" t="s">
        <v>5649</v>
      </c>
      <c r="E20" s="1160" t="s">
        <v>7078</v>
      </c>
      <c r="F20" s="1058" t="s">
        <v>233</v>
      </c>
      <c r="AA20" s="7"/>
      <c r="AB20" s="1532" t="s">
        <v>7027</v>
      </c>
      <c r="AC20" s="1532"/>
      <c r="AD20" s="1532"/>
      <c r="AE20" s="1532"/>
      <c r="AF20" s="1532"/>
      <c r="BB20" s="1846" t="s">
        <v>6256</v>
      </c>
      <c r="BC20" s="1846"/>
      <c r="BD20" s="1846"/>
      <c r="BE20" s="1846"/>
      <c r="BF20" s="1846"/>
      <c r="BG20" s="1846"/>
      <c r="BH20" s="1846"/>
      <c r="CB20" s="1787" t="s">
        <v>6256</v>
      </c>
      <c r="CC20" s="1787"/>
      <c r="CD20" s="1787"/>
      <c r="CE20" s="1787"/>
      <c r="CF20" s="1787"/>
      <c r="CG20" s="1787"/>
      <c r="CZ20" s="735" t="s">
        <v>6263</v>
      </c>
      <c r="DA20" s="1549" t="s">
        <v>7077</v>
      </c>
      <c r="DB20" s="1549"/>
      <c r="DC20" s="1549"/>
      <c r="DD20" s="1549"/>
      <c r="DE20" s="1549"/>
      <c r="DY20" s="1357" t="s">
        <v>450</v>
      </c>
      <c r="DZ20" s="1549" t="s">
        <v>7059</v>
      </c>
      <c r="EA20" s="1549"/>
      <c r="EB20" s="1549"/>
      <c r="EC20" s="1549"/>
      <c r="ED20" s="1549"/>
      <c r="EE20" s="1549"/>
      <c r="EF20" s="1549"/>
      <c r="FB20" s="1532" t="s">
        <v>6837</v>
      </c>
      <c r="FC20" s="1532"/>
      <c r="FD20" s="1532"/>
      <c r="FE20" s="1532"/>
      <c r="FF20" s="1532"/>
      <c r="FG20" s="1532"/>
      <c r="GB20" s="112" t="s">
        <v>6504</v>
      </c>
      <c r="HB20" s="1785" t="s">
        <v>6248</v>
      </c>
      <c r="HC20" s="1785"/>
      <c r="HD20" s="1785"/>
      <c r="HE20" s="1785"/>
      <c r="HF20" s="1785"/>
      <c r="HG20" s="1785"/>
      <c r="IB20" s="1532" t="s">
        <v>6256</v>
      </c>
      <c r="IC20" s="1532"/>
      <c r="ID20" s="1532"/>
      <c r="IE20" s="1532"/>
      <c r="IF20" s="1532"/>
      <c r="IG20" s="1532"/>
      <c r="IH20" s="1532"/>
      <c r="II20" s="1532"/>
      <c r="IJ20" s="7"/>
      <c r="IK20" s="7"/>
      <c r="JA20" s="1358" t="s">
        <v>450</v>
      </c>
      <c r="JB20" s="1532" t="s">
        <v>6527</v>
      </c>
      <c r="JC20" s="1532"/>
      <c r="JD20" s="1532"/>
      <c r="JE20" s="1532"/>
      <c r="JF20" s="1532"/>
      <c r="JG20" s="1532"/>
      <c r="JH20" s="1532"/>
      <c r="JI20" s="1532"/>
      <c r="JK20" s="7"/>
      <c r="JL20" s="7"/>
      <c r="KA20" s="735" t="s">
        <v>450</v>
      </c>
      <c r="KB20" s="1532" t="s">
        <v>7004</v>
      </c>
      <c r="KC20" s="1532"/>
      <c r="KD20" s="1532"/>
      <c r="KE20" s="1532"/>
      <c r="KF20" s="1532"/>
      <c r="KG20" s="1532"/>
      <c r="LB20" s="1785"/>
      <c r="LC20" s="1785"/>
      <c r="LD20" s="1785"/>
      <c r="LE20" s="1785"/>
      <c r="LF20" s="1785"/>
      <c r="LG20" s="1785"/>
      <c r="LH20" s="1785"/>
      <c r="LI20" s="1785"/>
      <c r="MA20" s="1358" t="s">
        <v>4865</v>
      </c>
      <c r="MB20" s="1549" t="s">
        <v>7187</v>
      </c>
      <c r="MC20" s="1549"/>
      <c r="MD20" s="1549"/>
      <c r="ME20" s="1549"/>
      <c r="MF20" s="1549"/>
      <c r="MG20" s="1549"/>
      <c r="NA20" s="1358" t="s">
        <v>4865</v>
      </c>
      <c r="NB20" s="1939" t="s">
        <v>7203</v>
      </c>
      <c r="NC20" s="1939"/>
      <c r="ND20" s="1939"/>
      <c r="NE20" s="1939"/>
      <c r="NF20" s="1939"/>
      <c r="NG20" s="1939"/>
      <c r="OA20" s="1952"/>
      <c r="OC20" s="1960"/>
      <c r="OD20" s="1366"/>
      <c r="OE20" s="185"/>
      <c r="OF20" s="1366"/>
      <c r="PH20" s="1368"/>
      <c r="SA20" s="1952"/>
      <c r="SC20" s="1960"/>
      <c r="SD20" s="1366"/>
      <c r="SE20" s="185"/>
      <c r="SF20" s="1366"/>
      <c r="VA20" s="129" t="s">
        <v>5778</v>
      </c>
      <c r="VB20" s="129"/>
      <c r="VC20" s="129"/>
      <c r="VD20" s="129"/>
      <c r="VE20" s="129"/>
      <c r="VF20" s="129"/>
      <c r="VG20" s="129"/>
      <c r="VH20" s="129"/>
      <c r="YA20" s="129" t="s">
        <v>5778</v>
      </c>
      <c r="YB20" s="129"/>
      <c r="YC20" s="129"/>
      <c r="YD20" s="129"/>
      <c r="YE20" s="129"/>
      <c r="YF20" s="129"/>
      <c r="YG20" s="129"/>
      <c r="YH20" s="129"/>
      <c r="ACA20" s="129" t="s">
        <v>5778</v>
      </c>
      <c r="ACB20" s="129"/>
      <c r="ACC20" s="129"/>
      <c r="ACD20" s="129"/>
      <c r="ACE20" s="129"/>
      <c r="ACF20" s="129"/>
      <c r="ACG20" s="129"/>
      <c r="ACH20" s="129"/>
      <c r="AGA20" s="129" t="s">
        <v>5778</v>
      </c>
      <c r="AGB20" s="129"/>
      <c r="AGC20" s="129"/>
      <c r="AGD20" s="129"/>
      <c r="AGE20" s="129"/>
      <c r="AGF20" s="129"/>
      <c r="AGG20" s="129"/>
      <c r="AGH20" s="129"/>
      <c r="AKA20" s="129" t="s">
        <v>5778</v>
      </c>
      <c r="AKB20" s="129"/>
      <c r="AKC20" s="129"/>
      <c r="AKD20" s="129"/>
      <c r="AKE20" s="129"/>
      <c r="AKF20" s="129"/>
      <c r="AKG20" s="129"/>
      <c r="AKH20" s="129"/>
      <c r="ANA20" s="129" t="s">
        <v>5778</v>
      </c>
      <c r="ANB20" s="129"/>
      <c r="ANC20" s="129"/>
      <c r="AND20" s="129"/>
      <c r="ANE20" s="129"/>
      <c r="ANF20" s="129"/>
      <c r="ANG20" s="129"/>
      <c r="ANH20" s="129"/>
      <c r="AQA20" s="129" t="s">
        <v>5778</v>
      </c>
      <c r="AQB20" s="129"/>
      <c r="AQC20" s="129"/>
      <c r="AQD20" s="129"/>
      <c r="AQE20" s="129"/>
      <c r="AQF20" s="129"/>
      <c r="AQG20" s="129"/>
      <c r="AQH20" s="129"/>
    </row>
    <row r="21" spans="2:1016 1041:1126" ht="30" customHeight="1">
      <c r="B21" s="290">
        <v>46</v>
      </c>
      <c r="C21" s="1359" t="s">
        <v>7397</v>
      </c>
      <c r="D21" s="1159" t="s">
        <v>7339</v>
      </c>
      <c r="E21" s="1160" t="s">
        <v>7398</v>
      </c>
      <c r="F21" s="1058" t="s">
        <v>233</v>
      </c>
      <c r="AA21" s="7"/>
      <c r="AB21" s="1532" t="s">
        <v>7028</v>
      </c>
      <c r="AC21" s="1532"/>
      <c r="AD21" s="1532"/>
      <c r="AE21" s="1532"/>
      <c r="AF21" s="1532"/>
      <c r="BB21" s="1846" t="s">
        <v>6253</v>
      </c>
      <c r="BC21" s="1846"/>
      <c r="BD21" s="1846"/>
      <c r="BE21" s="1846"/>
      <c r="BF21" s="1846"/>
      <c r="BG21" s="1846"/>
      <c r="BH21" s="1846"/>
      <c r="CB21" s="1787" t="s">
        <v>6255</v>
      </c>
      <c r="CC21" s="1787"/>
      <c r="CD21" s="1787"/>
      <c r="CE21" s="1787"/>
      <c r="CF21" s="1787"/>
      <c r="CG21" s="1787"/>
      <c r="DA21" s="1549" t="s">
        <v>7057</v>
      </c>
      <c r="DB21" s="1549"/>
      <c r="DC21" s="1549"/>
      <c r="DD21" s="1549"/>
      <c r="DE21" s="1549"/>
      <c r="DZ21" s="1549" t="s">
        <v>7107</v>
      </c>
      <c r="EA21" s="1549"/>
      <c r="EB21" s="1549"/>
      <c r="EC21" s="1549"/>
      <c r="ED21" s="1549"/>
      <c r="EE21" s="1549"/>
      <c r="EF21" s="1549"/>
      <c r="HB21" s="1785"/>
      <c r="HC21" s="1785"/>
      <c r="HD21" s="1785"/>
      <c r="HE21" s="1785"/>
      <c r="HF21" s="1785"/>
      <c r="HG21" s="1785"/>
      <c r="IB21" s="1532" t="s">
        <v>6545</v>
      </c>
      <c r="IC21" s="1532"/>
      <c r="ID21" s="1532"/>
      <c r="IE21" s="1532"/>
      <c r="IF21" s="1532"/>
      <c r="IG21" s="1532"/>
      <c r="IH21" s="1532"/>
      <c r="II21" s="1532"/>
      <c r="IJ21" s="7"/>
      <c r="IK21" s="7"/>
      <c r="JB21" s="1532" t="s">
        <v>6528</v>
      </c>
      <c r="JC21" s="1532"/>
      <c r="JD21" s="1532"/>
      <c r="JE21" s="1532"/>
      <c r="JF21" s="1532"/>
      <c r="JG21" s="1532"/>
      <c r="JH21" s="1532"/>
      <c r="JI21" s="1532"/>
      <c r="JJ21" s="7"/>
      <c r="JK21" s="1077"/>
      <c r="JL21" s="7"/>
      <c r="KB21" s="1532" t="s">
        <v>7005</v>
      </c>
      <c r="KC21" s="1532"/>
      <c r="KD21" s="1532"/>
      <c r="KE21" s="1532"/>
      <c r="KF21" s="1532"/>
      <c r="KG21" s="1532"/>
      <c r="LB21" s="1785"/>
      <c r="LC21" s="1785"/>
      <c r="LD21" s="1785"/>
      <c r="LE21" s="1785"/>
      <c r="LF21" s="1785"/>
      <c r="LG21" s="1785"/>
      <c r="LH21" s="1785"/>
      <c r="LI21" s="1785"/>
      <c r="MB21" s="1549" t="s">
        <v>7195</v>
      </c>
      <c r="MC21" s="1549"/>
      <c r="MD21" s="1549"/>
      <c r="ME21" s="1549"/>
      <c r="MF21" s="1549"/>
      <c r="MG21" s="1549"/>
      <c r="MI21" s="112"/>
      <c r="NB21" s="1939" t="s">
        <v>7204</v>
      </c>
      <c r="NC21" s="1939"/>
      <c r="ND21" s="1939"/>
      <c r="NE21" s="1939"/>
      <c r="NF21" s="1939"/>
      <c r="NG21" s="1939"/>
      <c r="QA21" s="1358" t="s">
        <v>4865</v>
      </c>
      <c r="QB21" s="1295" t="s">
        <v>7384</v>
      </c>
      <c r="QC21" s="1295"/>
      <c r="QD21" s="1295"/>
      <c r="QE21" s="1295"/>
      <c r="QF21" s="1295"/>
      <c r="QG21" s="1295"/>
      <c r="QI21" s="112"/>
      <c r="RA21" s="1358" t="s">
        <v>4865</v>
      </c>
      <c r="RB21" s="1549" t="s">
        <v>7387</v>
      </c>
      <c r="RC21" s="1549"/>
      <c r="RD21" s="1549"/>
      <c r="RE21" s="1549"/>
      <c r="RF21" s="1549"/>
      <c r="RG21" s="1549"/>
      <c r="RI21" s="112"/>
      <c r="RJ21" s="112"/>
      <c r="RK21" s="112"/>
      <c r="RL21" s="112"/>
      <c r="RM21" s="112"/>
      <c r="RN21" s="112"/>
      <c r="RO21" s="112"/>
      <c r="RP21" s="112"/>
      <c r="RQ21" s="112"/>
      <c r="RR21" s="112"/>
      <c r="RS21" s="112"/>
      <c r="RT21" s="112"/>
      <c r="RU21" s="112"/>
      <c r="RV21" s="112"/>
      <c r="RW21" s="112"/>
      <c r="RX21" s="112"/>
      <c r="RY21" s="112"/>
      <c r="VA21" s="129" t="s">
        <v>5776</v>
      </c>
      <c r="VB21" s="129"/>
      <c r="VC21" s="129"/>
      <c r="VD21" s="129"/>
      <c r="VE21" s="129"/>
      <c r="VF21" s="129"/>
      <c r="VG21" s="129"/>
      <c r="VH21" s="129"/>
      <c r="YA21" s="129" t="s">
        <v>5776</v>
      </c>
      <c r="YB21" s="129"/>
      <c r="YC21" s="129"/>
      <c r="YD21" s="129"/>
      <c r="YE21" s="129"/>
      <c r="YF21" s="129"/>
      <c r="YG21" s="129"/>
      <c r="YH21" s="129"/>
      <c r="ACA21" s="129" t="s">
        <v>5776</v>
      </c>
      <c r="ACB21" s="129"/>
      <c r="ACC21" s="129"/>
      <c r="ACD21" s="129"/>
      <c r="ACE21" s="129"/>
      <c r="ACF21" s="129"/>
      <c r="ACG21" s="129"/>
      <c r="ACH21" s="129"/>
      <c r="AGA21" s="129" t="s">
        <v>5776</v>
      </c>
      <c r="AGB21" s="129"/>
      <c r="AGC21" s="129"/>
      <c r="AGD21" s="129"/>
      <c r="AGE21" s="129"/>
      <c r="AGF21" s="129"/>
      <c r="AGG21" s="129"/>
      <c r="AGH21" s="129"/>
      <c r="AKA21" s="129" t="s">
        <v>5776</v>
      </c>
      <c r="AKB21" s="129"/>
      <c r="AKC21" s="129"/>
      <c r="AKD21" s="129"/>
      <c r="AKE21" s="129"/>
      <c r="AKF21" s="129"/>
      <c r="AKG21" s="129"/>
      <c r="AKH21" s="129"/>
      <c r="ANA21" s="129" t="s">
        <v>5776</v>
      </c>
      <c r="ANB21" s="129"/>
      <c r="ANC21" s="129"/>
      <c r="AND21" s="129"/>
      <c r="ANE21" s="129"/>
      <c r="ANF21" s="129"/>
      <c r="ANG21" s="129"/>
      <c r="ANH21" s="129"/>
      <c r="AQA21" s="129" t="s">
        <v>5776</v>
      </c>
      <c r="AQB21" s="129"/>
      <c r="AQC21" s="129"/>
      <c r="AQD21" s="129"/>
      <c r="AQE21" s="129"/>
      <c r="AQF21" s="129"/>
      <c r="AQG21" s="129"/>
      <c r="AQH21" s="129"/>
    </row>
    <row r="22" spans="2:1016 1041:1126" ht="30" customHeight="1">
      <c r="B22" s="290">
        <v>18</v>
      </c>
      <c r="C22" s="1360" t="s">
        <v>5525</v>
      </c>
      <c r="D22" s="1159" t="s">
        <v>5650</v>
      </c>
      <c r="E22" s="1160" t="s">
        <v>5528</v>
      </c>
      <c r="F22" s="1058" t="s">
        <v>233</v>
      </c>
      <c r="AA22" s="106" t="s">
        <v>4865</v>
      </c>
      <c r="AB22" t="s">
        <v>6241</v>
      </c>
      <c r="BB22" s="1846" t="s">
        <v>7035</v>
      </c>
      <c r="BC22" s="1846"/>
      <c r="BD22" s="1846"/>
      <c r="BE22" s="1846"/>
      <c r="BF22" s="1846"/>
      <c r="BG22" s="1846"/>
      <c r="BH22" s="1846"/>
      <c r="CB22" s="1846" t="s">
        <v>7041</v>
      </c>
      <c r="CC22" s="1846"/>
      <c r="CD22" s="1846"/>
      <c r="CE22" s="1846"/>
      <c r="CF22" s="1846"/>
      <c r="CG22" s="1846"/>
      <c r="CH22" s="1846"/>
      <c r="DA22" s="1549" t="s">
        <v>7079</v>
      </c>
      <c r="DB22" s="1549"/>
      <c r="DC22" s="1549"/>
      <c r="DD22" s="1549"/>
      <c r="DE22" s="1549"/>
      <c r="DZ22" s="1938" t="s">
        <v>7209</v>
      </c>
      <c r="EA22" s="1938"/>
      <c r="EB22" s="1938"/>
      <c r="EC22" s="1938"/>
      <c r="ED22" s="1938"/>
      <c r="EE22" s="1938"/>
      <c r="EF22" s="1938"/>
      <c r="FA22" s="735" t="s">
        <v>6263</v>
      </c>
      <c r="FB22" s="1532" t="s">
        <v>7149</v>
      </c>
      <c r="FC22" s="1532"/>
      <c r="FD22" s="1532"/>
      <c r="FE22" s="1532"/>
      <c r="FF22" s="1532"/>
      <c r="FG22" s="1532"/>
      <c r="IB22" s="1532" t="s">
        <v>6546</v>
      </c>
      <c r="IC22" s="1532"/>
      <c r="ID22" s="1532"/>
      <c r="IE22" s="1532"/>
      <c r="IF22" s="1532"/>
      <c r="IG22" s="1532"/>
      <c r="IH22" s="1532"/>
      <c r="II22" s="1532"/>
      <c r="IJ22" s="7"/>
      <c r="IK22" s="7"/>
      <c r="JA22" s="1358" t="s">
        <v>6263</v>
      </c>
      <c r="JB22" s="1549" t="s">
        <v>6486</v>
      </c>
      <c r="JC22" s="1549"/>
      <c r="JD22" s="1549"/>
      <c r="JE22" s="1549"/>
      <c r="JF22" s="1549"/>
      <c r="JG22" s="1549"/>
      <c r="JH22" s="1549"/>
      <c r="JI22" s="1549"/>
      <c r="JJ22" s="7"/>
      <c r="JL22" s="7"/>
      <c r="KB22" s="1532" t="s">
        <v>7006</v>
      </c>
      <c r="KC22" s="1532"/>
      <c r="KD22" s="1532"/>
      <c r="KE22" s="1532"/>
      <c r="KF22" s="1532"/>
      <c r="KG22" s="1532"/>
      <c r="LB22" s="1785"/>
      <c r="LC22" s="1785"/>
      <c r="LD22" s="1785"/>
      <c r="LE22" s="1785"/>
      <c r="LF22" s="1785"/>
      <c r="LG22" s="1785"/>
      <c r="LH22" s="1785"/>
      <c r="LI22" s="1785"/>
      <c r="MB22" s="1549" t="s">
        <v>7192</v>
      </c>
      <c r="MC22" s="1549"/>
      <c r="MD22" s="1549"/>
      <c r="ME22" s="1549"/>
      <c r="MF22" s="1549"/>
      <c r="MG22" s="1549"/>
      <c r="MH22" s="112"/>
      <c r="MI22" s="112"/>
      <c r="NB22" s="1939" t="s">
        <v>7271</v>
      </c>
      <c r="NC22" s="1939"/>
      <c r="ND22" s="1939"/>
      <c r="NE22" s="1939"/>
      <c r="NF22" s="1939"/>
      <c r="NG22" s="1939"/>
      <c r="NH22" s="112"/>
      <c r="OA22" s="1357" t="s">
        <v>450</v>
      </c>
      <c r="OB22" s="1549" t="s">
        <v>7316</v>
      </c>
      <c r="OC22" s="1549"/>
      <c r="OD22" s="1549"/>
      <c r="OE22" s="1549"/>
      <c r="OF22" s="1549"/>
      <c r="OG22" s="1549"/>
      <c r="QB22" s="1295" t="s">
        <v>7385</v>
      </c>
      <c r="QC22" s="1295"/>
      <c r="QD22" s="1295"/>
      <c r="QE22" s="1295"/>
      <c r="QF22" s="1295"/>
      <c r="QG22" s="1295"/>
      <c r="QH22" s="112"/>
      <c r="QI22" s="112"/>
      <c r="RB22" s="1549" t="s">
        <v>7385</v>
      </c>
      <c r="RC22" s="1549"/>
      <c r="RD22" s="1549"/>
      <c r="RE22" s="1549"/>
      <c r="RF22" s="1549"/>
      <c r="RG22" s="1549"/>
      <c r="RH22" s="112"/>
      <c r="RI22" s="112"/>
      <c r="RJ22" s="112"/>
      <c r="RK22" s="112"/>
      <c r="RL22" s="112"/>
      <c r="RM22" s="112"/>
      <c r="RN22" s="112"/>
      <c r="RO22" s="112"/>
      <c r="RP22" s="112"/>
      <c r="RQ22" s="112"/>
      <c r="RR22" s="112"/>
      <c r="RS22" s="112"/>
      <c r="RT22" s="112"/>
      <c r="RU22" s="112"/>
      <c r="RV22" s="112"/>
      <c r="RW22" s="112"/>
      <c r="RX22" s="112"/>
      <c r="RY22" s="112"/>
      <c r="SA22" s="1357" t="s">
        <v>450</v>
      </c>
      <c r="SB22" s="1549" t="s">
        <v>7400</v>
      </c>
      <c r="SC22" s="1549"/>
      <c r="SD22" s="1549"/>
      <c r="SE22" s="1549"/>
      <c r="SF22" s="1549"/>
      <c r="SG22" s="1549"/>
      <c r="VA22" s="1089" t="s">
        <v>5750</v>
      </c>
      <c r="VB22" s="129"/>
      <c r="VC22" s="129"/>
      <c r="VD22" s="129"/>
      <c r="VE22" s="129"/>
      <c r="VF22" s="129"/>
      <c r="VG22" s="129"/>
      <c r="VH22" s="129"/>
      <c r="YA22" s="1089" t="s">
        <v>5750</v>
      </c>
      <c r="YB22" s="129"/>
      <c r="YC22" s="129"/>
      <c r="YD22" s="129"/>
      <c r="YE22" s="129"/>
      <c r="YF22" s="129"/>
      <c r="YG22" s="129"/>
      <c r="YH22" s="129"/>
      <c r="ACA22" s="1089" t="s">
        <v>5750</v>
      </c>
      <c r="ACB22" s="129"/>
      <c r="ACC22" s="129"/>
      <c r="ACD22" s="129"/>
      <c r="ACE22" s="129"/>
      <c r="ACF22" s="129"/>
      <c r="ACG22" s="129"/>
      <c r="ACH22" s="129"/>
      <c r="AGA22" s="1089" t="s">
        <v>5750</v>
      </c>
      <c r="AGB22" s="129"/>
      <c r="AGC22" s="129"/>
      <c r="AGD22" s="129"/>
      <c r="AGE22" s="129"/>
      <c r="AGF22" s="129"/>
      <c r="AGG22" s="129"/>
      <c r="AGH22" s="129"/>
      <c r="AKA22" s="1089" t="s">
        <v>5750</v>
      </c>
      <c r="AKB22" s="129"/>
      <c r="AKC22" s="129"/>
      <c r="AKD22" s="129"/>
      <c r="AKE22" s="129"/>
      <c r="AKF22" s="129"/>
      <c r="AKG22" s="129"/>
      <c r="AKH22" s="129"/>
      <c r="ANA22" s="1089" t="s">
        <v>5750</v>
      </c>
      <c r="ANB22" s="129"/>
      <c r="ANC22" s="129"/>
      <c r="AND22" s="129"/>
      <c r="ANE22" s="129"/>
      <c r="ANF22" s="129"/>
      <c r="ANG22" s="129"/>
      <c r="ANH22" s="129"/>
      <c r="AQA22" s="1089" t="s">
        <v>5750</v>
      </c>
      <c r="AQB22" s="129"/>
      <c r="AQC22" s="129"/>
      <c r="AQD22" s="129"/>
      <c r="AQE22" s="129"/>
      <c r="AQF22" s="129"/>
      <c r="AQG22" s="129"/>
      <c r="AQH22" s="129"/>
    </row>
    <row r="23" spans="2:1016 1041:1126" ht="30" customHeight="1">
      <c r="B23" s="290">
        <v>19</v>
      </c>
      <c r="C23" s="1360" t="s">
        <v>5526</v>
      </c>
      <c r="D23" s="1159" t="s">
        <v>7331</v>
      </c>
      <c r="E23" s="1160" t="s">
        <v>5666</v>
      </c>
      <c r="F23" s="1058" t="s">
        <v>233</v>
      </c>
      <c r="AB23" s="129" t="s">
        <v>6246</v>
      </c>
      <c r="BB23" s="1846" t="s">
        <v>7043</v>
      </c>
      <c r="BC23" s="1846"/>
      <c r="BD23" s="1846"/>
      <c r="BE23" s="1846"/>
      <c r="BF23" s="1846"/>
      <c r="BG23" s="1846"/>
      <c r="BH23" s="1846"/>
      <c r="CB23" s="1846" t="s">
        <v>7045</v>
      </c>
      <c r="CC23" s="1846"/>
      <c r="CD23" s="1846"/>
      <c r="CE23" s="1846"/>
      <c r="CF23" s="1846"/>
      <c r="CG23" s="1846"/>
      <c r="CH23" s="1846"/>
      <c r="DA23" s="2017" t="s">
        <v>7054</v>
      </c>
      <c r="DB23" s="2017"/>
      <c r="DC23" s="2017"/>
      <c r="DD23" s="2017"/>
      <c r="DE23" s="2017"/>
      <c r="DZ23" s="1549" t="s">
        <v>7061</v>
      </c>
      <c r="EA23" s="1549"/>
      <c r="EB23" s="1549"/>
      <c r="EC23" s="1549"/>
      <c r="ED23" s="1549"/>
      <c r="EE23" s="1549"/>
      <c r="EF23" s="1549"/>
      <c r="FB23" s="1532" t="s">
        <v>7160</v>
      </c>
      <c r="FC23" s="1532"/>
      <c r="FD23" s="1532"/>
      <c r="FE23" s="1532"/>
      <c r="FF23" s="1532"/>
      <c r="FG23" s="1532"/>
      <c r="IB23" s="1532" t="s">
        <v>6547</v>
      </c>
      <c r="IC23" s="1532"/>
      <c r="ID23" s="1532"/>
      <c r="IE23" s="1532"/>
      <c r="IF23" s="1532"/>
      <c r="IG23" s="1532"/>
      <c r="IH23" s="1532"/>
      <c r="II23" s="1532"/>
      <c r="IJ23" s="7"/>
      <c r="IK23" s="7"/>
      <c r="JB23" s="1549" t="s">
        <v>6487</v>
      </c>
      <c r="JC23" s="1549"/>
      <c r="JD23" s="1549"/>
      <c r="JE23" s="1549"/>
      <c r="JF23" s="1549"/>
      <c r="JG23" s="1549"/>
      <c r="JH23" s="1549"/>
      <c r="JI23" s="1549"/>
      <c r="JJ23" s="7"/>
      <c r="JL23" s="1077"/>
      <c r="KA23" s="735" t="s">
        <v>6263</v>
      </c>
      <c r="KB23" s="2015" t="s">
        <v>7007</v>
      </c>
      <c r="KC23" s="1532"/>
      <c r="KD23" s="1532"/>
      <c r="KE23" s="1532"/>
      <c r="KF23" s="1532"/>
      <c r="KG23" s="1532"/>
      <c r="MB23" s="1549" t="s">
        <v>7196</v>
      </c>
      <c r="MC23" s="1549"/>
      <c r="MD23" s="1549"/>
      <c r="ME23" s="1549"/>
      <c r="MF23" s="1549"/>
      <c r="MG23" s="1549"/>
      <c r="MH23" s="112"/>
      <c r="NB23" s="1532" t="s">
        <v>7396</v>
      </c>
      <c r="NC23" s="1532"/>
      <c r="ND23" s="1532"/>
      <c r="NE23" s="1532"/>
      <c r="NF23" s="1532"/>
      <c r="NG23" s="1532"/>
      <c r="NH23" s="1532"/>
      <c r="NI23" s="1532"/>
      <c r="OB23" s="1549" t="s">
        <v>7317</v>
      </c>
      <c r="OC23" s="1549"/>
      <c r="OD23" s="1549"/>
      <c r="OE23" s="1549"/>
      <c r="OF23" s="1549"/>
      <c r="OG23" s="1549"/>
      <c r="QB23" s="1295" t="s">
        <v>7196</v>
      </c>
      <c r="QC23" s="1295"/>
      <c r="QD23" s="1295"/>
      <c r="QE23" s="1295"/>
      <c r="QF23" s="1295"/>
      <c r="QG23" s="1295"/>
      <c r="QH23" s="112"/>
      <c r="RB23" s="1549" t="s">
        <v>7205</v>
      </c>
      <c r="RC23" s="1549"/>
      <c r="RD23" s="1549"/>
      <c r="RE23" s="1549"/>
      <c r="RF23" s="1549"/>
      <c r="RG23" s="1549"/>
      <c r="RH23" s="112"/>
      <c r="SB23" s="1549" t="s">
        <v>7317</v>
      </c>
      <c r="SC23" s="1549"/>
      <c r="SD23" s="1549"/>
      <c r="SE23" s="1549"/>
      <c r="SF23" s="1549"/>
      <c r="SG23" s="1549"/>
    </row>
    <row r="24" spans="2:1016 1041:1126" ht="30" customHeight="1">
      <c r="B24" s="290">
        <v>20</v>
      </c>
      <c r="C24" s="1360" t="s">
        <v>5527</v>
      </c>
      <c r="D24" s="1159" t="s">
        <v>5651</v>
      </c>
      <c r="E24" s="1160" t="s">
        <v>7078</v>
      </c>
      <c r="F24" s="1058" t="s">
        <v>233</v>
      </c>
      <c r="AB24" s="129" t="s">
        <v>6247</v>
      </c>
      <c r="BB24" s="1846" t="s">
        <v>7044</v>
      </c>
      <c r="BC24" s="1846"/>
      <c r="BD24" s="1846"/>
      <c r="BE24" s="1846"/>
      <c r="BF24" s="1846"/>
      <c r="BG24" s="1846"/>
      <c r="BH24" s="1846"/>
      <c r="DA24" s="1549" t="s">
        <v>7081</v>
      </c>
      <c r="DB24" s="1549"/>
      <c r="DC24" s="1549"/>
      <c r="DD24" s="1549"/>
      <c r="DE24" s="1549"/>
      <c r="FB24" s="1532" t="s">
        <v>7161</v>
      </c>
      <c r="FC24" s="1532"/>
      <c r="FD24" s="1532"/>
      <c r="FE24" s="1532"/>
      <c r="FF24" s="1532"/>
      <c r="FG24" s="1532"/>
      <c r="HB24" s="1785"/>
      <c r="HC24" s="1785"/>
      <c r="HD24" s="1785"/>
      <c r="HE24" s="1785"/>
      <c r="HF24" s="1785"/>
      <c r="HG24" s="1785"/>
      <c r="IB24" s="1940" t="s">
        <v>5750</v>
      </c>
      <c r="IC24" s="1940"/>
      <c r="ID24" s="1940"/>
      <c r="IE24" s="1940"/>
      <c r="IF24" s="1940"/>
      <c r="IG24" s="1940"/>
      <c r="IH24" s="1940"/>
      <c r="II24" s="1940"/>
      <c r="IJ24" s="7"/>
      <c r="IK24" s="7"/>
      <c r="JB24" s="1549" t="s">
        <v>6256</v>
      </c>
      <c r="JC24" s="1549"/>
      <c r="JD24" s="1549"/>
      <c r="JE24" s="1549"/>
      <c r="JF24" s="1549"/>
      <c r="JG24" s="1549"/>
      <c r="JH24" s="1549"/>
      <c r="JI24" s="1549"/>
      <c r="KB24" s="1532" t="s">
        <v>7008</v>
      </c>
      <c r="KC24" s="1532"/>
      <c r="KD24" s="1532"/>
      <c r="KE24" s="1532"/>
      <c r="KF24" s="1532"/>
      <c r="KG24" s="1532"/>
      <c r="MB24" s="1549" t="s">
        <v>7193</v>
      </c>
      <c r="MC24" s="1549"/>
      <c r="MD24" s="1549"/>
      <c r="ME24" s="1549"/>
      <c r="MF24" s="1549"/>
      <c r="MG24" s="1549"/>
      <c r="MH24" s="112"/>
      <c r="NB24" s="1549" t="s">
        <v>7273</v>
      </c>
      <c r="NC24" s="1549"/>
      <c r="ND24" s="1549"/>
      <c r="NE24" s="1549"/>
      <c r="NF24" s="1549"/>
      <c r="NG24" s="1549"/>
      <c r="NH24" s="1549"/>
      <c r="NI24" s="1549"/>
      <c r="NJ24" s="1077"/>
      <c r="OA24" s="1357" t="s">
        <v>6263</v>
      </c>
      <c r="OB24" s="1549"/>
      <c r="OC24" s="1549"/>
      <c r="OD24" s="1549"/>
      <c r="OE24" s="1549"/>
      <c r="OF24" s="1549"/>
      <c r="OG24" s="1549"/>
      <c r="OH24" s="1549"/>
      <c r="QB24" s="1295" t="s">
        <v>7194</v>
      </c>
      <c r="QC24" s="1295"/>
      <c r="QD24" s="1295"/>
      <c r="QE24" s="1295"/>
      <c r="QF24" s="1295"/>
      <c r="QG24" s="1295"/>
      <c r="QH24" s="112"/>
      <c r="RB24" s="1549" t="s">
        <v>7388</v>
      </c>
      <c r="RC24" s="1549"/>
      <c r="RD24" s="1549"/>
      <c r="RE24" s="1549"/>
      <c r="RF24" s="1549"/>
      <c r="RG24" s="1549"/>
      <c r="RH24" s="112"/>
      <c r="SA24" s="1357" t="s">
        <v>6263</v>
      </c>
      <c r="SB24" s="1549"/>
      <c r="SC24" s="1549"/>
      <c r="SD24" s="1549"/>
      <c r="SE24" s="1549"/>
      <c r="SF24" s="1549"/>
      <c r="SG24" s="1549"/>
      <c r="SH24" s="1549"/>
    </row>
    <row r="25" spans="2:1016 1041:1126" ht="30" customHeight="1">
      <c r="B25" s="290">
        <v>21</v>
      </c>
      <c r="C25" s="1360" t="s">
        <v>5532</v>
      </c>
      <c r="D25" s="1159" t="s">
        <v>5652</v>
      </c>
      <c r="E25" s="1160" t="s">
        <v>5537</v>
      </c>
      <c r="F25" s="1058" t="s">
        <v>233</v>
      </c>
      <c r="AB25" s="129" t="s">
        <v>7029</v>
      </c>
      <c r="CZ25" s="2018" t="s">
        <v>7058</v>
      </c>
      <c r="DA25" s="1939" t="s">
        <v>7055</v>
      </c>
      <c r="DB25" s="1939"/>
      <c r="DC25" s="1939"/>
      <c r="DD25" s="1939"/>
      <c r="DE25" s="1939"/>
      <c r="DY25" s="1357" t="s">
        <v>6263</v>
      </c>
      <c r="DZ25" s="1549" t="s">
        <v>7062</v>
      </c>
      <c r="EA25" s="1549"/>
      <c r="EB25" s="1549"/>
      <c r="EC25" s="1549"/>
      <c r="ED25" s="1549"/>
      <c r="EE25" s="1549"/>
      <c r="EF25" s="1549"/>
      <c r="EG25" s="1384"/>
      <c r="FB25" s="1532" t="s">
        <v>7150</v>
      </c>
      <c r="FC25" s="1532"/>
      <c r="FD25" s="1532"/>
      <c r="FE25" s="1532"/>
      <c r="FF25" s="1532"/>
      <c r="FG25" s="1532"/>
      <c r="HB25" s="1785"/>
      <c r="HC25" s="1785"/>
      <c r="HD25" s="1785"/>
      <c r="HE25" s="1785"/>
      <c r="HF25" s="1785"/>
      <c r="HG25" s="1785"/>
      <c r="IJ25" s="1077"/>
      <c r="IK25" s="1077"/>
      <c r="JB25" s="1549" t="s">
        <v>6488</v>
      </c>
      <c r="JC25" s="1549"/>
      <c r="JD25" s="1549"/>
      <c r="JE25" s="1549"/>
      <c r="JF25" s="1549"/>
      <c r="JG25" s="1549"/>
      <c r="JH25" s="1549"/>
      <c r="JI25" s="1549"/>
      <c r="JJ25" s="7"/>
      <c r="KB25" s="1532" t="s">
        <v>7082</v>
      </c>
      <c r="KC25" s="1532"/>
      <c r="KD25" s="1532"/>
      <c r="KE25" s="1532"/>
      <c r="KF25" s="1532"/>
      <c r="KG25" s="1532"/>
      <c r="MB25" s="1549" t="s">
        <v>7194</v>
      </c>
      <c r="MC25" s="1549"/>
      <c r="MD25" s="1549"/>
      <c r="ME25" s="1549"/>
      <c r="MF25" s="1549"/>
      <c r="MG25" s="1549"/>
      <c r="NB25" s="1549" t="s">
        <v>7278</v>
      </c>
      <c r="NC25" s="1549"/>
      <c r="ND25" s="1549"/>
      <c r="NE25" s="1549"/>
      <c r="NF25" s="1549"/>
      <c r="NG25" s="1549"/>
      <c r="NH25" s="1549"/>
      <c r="NI25" s="1549"/>
      <c r="NJ25" s="1384"/>
      <c r="OB25" s="1549"/>
      <c r="OC25" s="1549"/>
      <c r="OD25" s="1549"/>
      <c r="OE25" s="1549"/>
      <c r="OF25" s="1549"/>
      <c r="OG25" s="1549"/>
      <c r="OH25" s="1549"/>
      <c r="QB25" s="1937" t="s">
        <v>5750</v>
      </c>
      <c r="QC25" s="1937"/>
      <c r="QD25" s="1937"/>
      <c r="QE25" s="1937"/>
      <c r="QF25" s="1937"/>
      <c r="QG25" s="1937"/>
      <c r="RB25" s="1938" t="s">
        <v>7390</v>
      </c>
      <c r="RC25" s="1938"/>
      <c r="RD25" s="1938"/>
      <c r="RE25" s="1938"/>
      <c r="RF25" s="1938"/>
      <c r="RG25" s="1938"/>
      <c r="SB25" s="1549"/>
      <c r="SC25" s="1549"/>
      <c r="SD25" s="1549"/>
      <c r="SE25" s="1549"/>
      <c r="SF25" s="1549"/>
      <c r="SG25" s="1549"/>
      <c r="SH25" s="1549"/>
    </row>
    <row r="26" spans="2:1016 1041:1126" ht="30" customHeight="1">
      <c r="B26" s="290">
        <v>22</v>
      </c>
      <c r="C26" s="1360" t="s">
        <v>5533</v>
      </c>
      <c r="D26" s="1159" t="s">
        <v>7323</v>
      </c>
      <c r="E26" s="1160" t="s">
        <v>5667</v>
      </c>
      <c r="F26" s="1058" t="s">
        <v>233</v>
      </c>
      <c r="AB26" s="129" t="s">
        <v>6421</v>
      </c>
      <c r="CZ26" s="2018"/>
      <c r="DA26" s="1938" t="s">
        <v>7052</v>
      </c>
      <c r="DB26" s="1938"/>
      <c r="DC26" s="1938"/>
      <c r="DD26" s="1938"/>
      <c r="DE26" s="1938"/>
      <c r="DZ26" s="1549" t="s">
        <v>7110</v>
      </c>
      <c r="EA26" s="1549"/>
      <c r="EB26" s="1549"/>
      <c r="EC26" s="1549"/>
      <c r="ED26" s="1549"/>
      <c r="EE26" s="1549"/>
      <c r="EF26" s="1549"/>
      <c r="EG26" s="1384"/>
      <c r="FB26" s="1532" t="s">
        <v>7151</v>
      </c>
      <c r="FC26" s="1532"/>
      <c r="FD26" s="1532"/>
      <c r="FE26" s="1532"/>
      <c r="FF26" s="1532"/>
      <c r="FG26" s="1532"/>
      <c r="HB26" s="1785"/>
      <c r="HC26" s="1785"/>
      <c r="HD26" s="1785"/>
      <c r="HE26" s="1785"/>
      <c r="HF26" s="1785"/>
      <c r="HG26" s="1785"/>
      <c r="IC26" s="129"/>
      <c r="ID26" s="129"/>
      <c r="IE26" s="129"/>
      <c r="IF26" s="129"/>
      <c r="JB26" s="1532" t="s">
        <v>7396</v>
      </c>
      <c r="JC26" s="1532"/>
      <c r="JD26" s="1532"/>
      <c r="JE26" s="1532"/>
      <c r="JF26" s="1532"/>
      <c r="JG26" s="1532"/>
      <c r="JH26" s="1532"/>
      <c r="JI26" s="1532"/>
      <c r="JJ26" s="7"/>
      <c r="KB26" s="1501" t="s">
        <v>7011</v>
      </c>
      <c r="KC26" s="1501"/>
      <c r="KD26" s="1501"/>
      <c r="KE26" s="1501"/>
      <c r="KF26" s="1501"/>
      <c r="KG26" s="1501"/>
      <c r="MB26" s="1937" t="s">
        <v>5750</v>
      </c>
      <c r="MC26" s="1937"/>
      <c r="MD26" s="1937"/>
      <c r="ME26" s="1937"/>
      <c r="MF26" s="1937"/>
      <c r="MG26" s="1937"/>
      <c r="MH26" s="91"/>
      <c r="NB26" s="229" t="s">
        <v>7222</v>
      </c>
      <c r="OB26" s="1549"/>
      <c r="OC26" s="1549"/>
      <c r="OD26" s="1549"/>
      <c r="OE26" s="1549"/>
      <c r="OF26" s="1549"/>
      <c r="OG26" s="1549"/>
      <c r="OH26" s="1549"/>
      <c r="QH26" s="91"/>
      <c r="RB26" s="1532" t="s">
        <v>7396</v>
      </c>
      <c r="RC26" s="1532"/>
      <c r="RD26" s="1532"/>
      <c r="RE26" s="1532"/>
      <c r="RF26" s="1532"/>
      <c r="RG26" s="1532"/>
    </row>
    <row r="27" spans="2:1016 1041:1126" ht="30" customHeight="1">
      <c r="B27" s="290">
        <v>23</v>
      </c>
      <c r="C27" s="1360" t="s">
        <v>5534</v>
      </c>
      <c r="D27" s="1159" t="s">
        <v>7324</v>
      </c>
      <c r="E27" s="1160" t="s">
        <v>7080</v>
      </c>
      <c r="F27" s="1058" t="s">
        <v>233</v>
      </c>
      <c r="AB27" s="1785" t="s">
        <v>6422</v>
      </c>
      <c r="AC27" s="1785"/>
      <c r="AD27" s="1785"/>
      <c r="AE27" s="1785"/>
      <c r="AF27" s="1785"/>
      <c r="CZ27" s="2018"/>
      <c r="DA27" s="1938" t="s">
        <v>6823</v>
      </c>
      <c r="DB27" s="1938"/>
      <c r="DC27" s="1938"/>
      <c r="DD27" s="1938"/>
      <c r="DE27" s="1938"/>
      <c r="DZ27" s="1549" t="s">
        <v>7112</v>
      </c>
      <c r="EA27" s="1549"/>
      <c r="EB27" s="1549"/>
      <c r="EC27" s="1549"/>
      <c r="ED27" s="1549"/>
      <c r="EE27" s="1549"/>
      <c r="EF27" s="1549"/>
      <c r="EG27" s="1384"/>
      <c r="FB27" s="1532" t="s">
        <v>7152</v>
      </c>
      <c r="FC27" s="1532"/>
      <c r="FD27" s="1532"/>
      <c r="FE27" s="1532"/>
      <c r="FF27" s="1532"/>
      <c r="FG27" s="1532"/>
      <c r="HB27" s="1785"/>
      <c r="HC27" s="1785"/>
      <c r="HD27" s="1785"/>
      <c r="HE27" s="1785"/>
      <c r="HF27" s="1785"/>
      <c r="HG27" s="1785"/>
      <c r="IB27" s="129"/>
      <c r="JB27" s="1549" t="s">
        <v>7217</v>
      </c>
      <c r="JC27" s="1549"/>
      <c r="JD27" s="1549"/>
      <c r="JE27" s="1549"/>
      <c r="JF27" s="1549"/>
      <c r="JG27" s="1549"/>
      <c r="JH27" s="1549"/>
      <c r="JI27" s="1549"/>
      <c r="JJ27" s="1077"/>
      <c r="KB27" s="1532" t="s">
        <v>7012</v>
      </c>
      <c r="KC27" s="1532"/>
      <c r="KD27" s="1532"/>
      <c r="KE27" s="1532"/>
      <c r="KF27" s="1532"/>
      <c r="KG27" s="1532"/>
      <c r="MA27" s="91"/>
      <c r="MB27" s="91"/>
      <c r="MC27" s="91"/>
      <c r="MD27" s="91"/>
      <c r="ME27" s="91"/>
      <c r="MF27" s="91"/>
      <c r="MG27" s="91"/>
      <c r="MH27" s="91"/>
      <c r="NA27" s="91"/>
      <c r="NB27" s="1938" t="s">
        <v>7275</v>
      </c>
      <c r="NC27" s="1938"/>
      <c r="ND27" s="1938"/>
      <c r="NE27" s="1938"/>
      <c r="NF27" s="1938"/>
      <c r="NG27" s="1938"/>
      <c r="NH27" s="1938"/>
      <c r="NI27" s="1938"/>
      <c r="NJ27" s="1385" t="s">
        <v>233</v>
      </c>
      <c r="OB27" s="1549"/>
      <c r="OC27" s="1549"/>
      <c r="OD27" s="1549"/>
      <c r="OE27" s="1549"/>
      <c r="OF27" s="1549"/>
      <c r="OG27" s="1549"/>
      <c r="OH27" s="1549"/>
      <c r="QA27" s="91"/>
      <c r="QB27" s="91"/>
      <c r="QC27" s="91"/>
      <c r="QD27" s="91"/>
      <c r="QE27" s="91"/>
      <c r="QF27" s="91"/>
      <c r="QG27" s="91"/>
      <c r="QH27" s="91"/>
      <c r="RB27" s="1549" t="s">
        <v>7391</v>
      </c>
      <c r="RC27" s="1549"/>
      <c r="RD27" s="1549"/>
      <c r="RE27" s="1549"/>
      <c r="RF27" s="1549"/>
      <c r="RG27" s="1549"/>
      <c r="RH27" s="1549"/>
      <c r="RI27" s="1549"/>
      <c r="RJ27" s="1295"/>
      <c r="RK27" s="1295"/>
      <c r="RL27" s="1295"/>
      <c r="RM27" s="1295"/>
      <c r="RN27" s="1295"/>
      <c r="RO27" s="1295"/>
      <c r="RP27" s="1295"/>
      <c r="RQ27" s="1295"/>
      <c r="RR27" s="1295"/>
      <c r="RS27" s="1295"/>
      <c r="RT27" s="1295"/>
      <c r="RU27" s="1295"/>
      <c r="RV27" s="1295"/>
      <c r="RW27" s="1295"/>
      <c r="RX27" s="1295"/>
      <c r="RY27" s="1295"/>
      <c r="RZ27" s="1077"/>
    </row>
    <row r="28" spans="2:1016 1041:1126" ht="30" customHeight="1">
      <c r="B28" s="290">
        <v>24</v>
      </c>
      <c r="C28" s="1360" t="s">
        <v>5787</v>
      </c>
      <c r="D28" s="1159" t="s">
        <v>7325</v>
      </c>
      <c r="E28" s="1160" t="s">
        <v>5544</v>
      </c>
      <c r="F28" s="1058" t="s">
        <v>233</v>
      </c>
      <c r="AB28" s="1785" t="s">
        <v>7030</v>
      </c>
      <c r="AC28" s="1785"/>
      <c r="AD28" s="1785"/>
      <c r="AE28" s="1785"/>
      <c r="AF28" s="1785"/>
      <c r="CZ28" s="2018"/>
      <c r="DA28" s="1938" t="s">
        <v>7056</v>
      </c>
      <c r="DB28" s="1938"/>
      <c r="DC28" s="1938"/>
      <c r="DD28" s="1938"/>
      <c r="DE28" s="1938"/>
      <c r="DZ28" s="2017" t="s">
        <v>7113</v>
      </c>
      <c r="EA28" s="2017"/>
      <c r="EB28" s="2017"/>
      <c r="EC28" s="2017"/>
      <c r="ED28" s="2017"/>
      <c r="EE28" s="2017"/>
      <c r="EF28" s="2017"/>
      <c r="EG28" s="1385" t="s">
        <v>233</v>
      </c>
      <c r="FB28" s="1532" t="s">
        <v>6286</v>
      </c>
      <c r="FC28" s="1532"/>
      <c r="FD28" s="1532"/>
      <c r="FE28" s="1532"/>
      <c r="FF28" s="1532"/>
      <c r="FG28" s="1532"/>
      <c r="JB28" s="1549" t="s">
        <v>7218</v>
      </c>
      <c r="JC28" s="1549"/>
      <c r="JD28" s="1549"/>
      <c r="JE28" s="1549"/>
      <c r="JF28" s="1549"/>
      <c r="JG28" s="1549"/>
      <c r="JH28" s="1549"/>
      <c r="JI28" s="1549"/>
      <c r="JJ28" s="1384"/>
      <c r="KB28" s="1532" t="s">
        <v>7084</v>
      </c>
      <c r="KC28" s="1532"/>
      <c r="KD28" s="1532"/>
      <c r="KE28" s="1532"/>
      <c r="KF28" s="1532"/>
      <c r="KG28" s="1532"/>
      <c r="MB28" s="1326"/>
      <c r="MC28" s="1326"/>
      <c r="MD28" s="1326"/>
      <c r="ME28" s="1326"/>
      <c r="MF28" s="1326"/>
      <c r="MG28" s="1326"/>
      <c r="MH28" s="1326"/>
      <c r="NB28" s="1938" t="s">
        <v>7274</v>
      </c>
      <c r="NC28" s="1938"/>
      <c r="ND28" s="1938"/>
      <c r="NE28" s="1938"/>
      <c r="NF28" s="1938"/>
      <c r="NG28" s="1938"/>
      <c r="NH28" s="1938"/>
      <c r="NI28" s="1938"/>
      <c r="NJ28" s="1385" t="s">
        <v>233</v>
      </c>
      <c r="OB28" s="1549"/>
      <c r="OC28" s="1549"/>
      <c r="OD28" s="1549"/>
      <c r="OE28" s="1549"/>
      <c r="OF28" s="1549"/>
      <c r="OG28" s="1549"/>
      <c r="OH28" s="1549"/>
      <c r="QB28" s="1326"/>
      <c r="QC28" s="1326"/>
      <c r="QD28" s="1326"/>
      <c r="QE28" s="1326"/>
      <c r="QF28" s="1326"/>
      <c r="QG28" s="1326"/>
      <c r="QH28" s="1326"/>
      <c r="RB28" s="1549" t="s">
        <v>7392</v>
      </c>
      <c r="RC28" s="1549"/>
      <c r="RD28" s="1549"/>
      <c r="RE28" s="1549"/>
      <c r="RF28" s="1549"/>
      <c r="RG28" s="1549"/>
      <c r="RH28" s="1549"/>
      <c r="RI28" s="1549"/>
      <c r="RJ28" s="1295"/>
      <c r="RK28" s="1295"/>
      <c r="RL28" s="1295"/>
      <c r="RM28" s="1295"/>
      <c r="RN28" s="1295"/>
      <c r="RO28" s="1295"/>
      <c r="RP28" s="1295"/>
      <c r="RQ28" s="1295"/>
      <c r="RR28" s="1295"/>
      <c r="RS28" s="1295"/>
      <c r="RT28" s="1295"/>
      <c r="RU28" s="1295"/>
      <c r="RV28" s="1295"/>
      <c r="RW28" s="1295"/>
      <c r="RX28" s="1295"/>
      <c r="RY28" s="1295"/>
      <c r="RZ28" s="1384"/>
    </row>
    <row r="29" spans="2:1016 1041:1126" ht="30" customHeight="1">
      <c r="B29" s="290">
        <v>25</v>
      </c>
      <c r="C29" s="1360" t="s">
        <v>5538</v>
      </c>
      <c r="D29" s="1159" t="s">
        <v>7328</v>
      </c>
      <c r="E29" s="1160" t="s">
        <v>5542</v>
      </c>
      <c r="F29" s="1058" t="s">
        <v>233</v>
      </c>
      <c r="AB29" s="1502" t="s">
        <v>6423</v>
      </c>
      <c r="AC29" s="1502"/>
      <c r="AD29" s="1502"/>
      <c r="AE29" s="1502"/>
      <c r="AF29" s="1502"/>
      <c r="DZ29" s="1938" t="s">
        <v>7213</v>
      </c>
      <c r="EA29" s="1938"/>
      <c r="EB29" s="1938"/>
      <c r="EC29" s="1938"/>
      <c r="ED29" s="1938"/>
      <c r="EE29" s="1938"/>
      <c r="EF29" s="1938"/>
      <c r="EG29" s="1385" t="s">
        <v>233</v>
      </c>
      <c r="FB29" s="1532" t="s">
        <v>6838</v>
      </c>
      <c r="FC29" s="1532"/>
      <c r="FD29" s="1532"/>
      <c r="FE29" s="1532"/>
      <c r="FF29" s="1532"/>
      <c r="FG29" s="1532"/>
      <c r="JB29" s="229" t="s">
        <v>7222</v>
      </c>
      <c r="KB29" s="1532" t="s">
        <v>7085</v>
      </c>
      <c r="KC29" s="1532"/>
      <c r="KD29" s="1532"/>
      <c r="KE29" s="1532"/>
      <c r="KF29" s="1532"/>
      <c r="KG29" s="1532"/>
      <c r="NB29" s="2022" t="s">
        <v>7256</v>
      </c>
      <c r="NC29" s="2022"/>
      <c r="OB29" s="1549"/>
      <c r="OC29" s="1549"/>
      <c r="OD29" s="1549"/>
      <c r="OE29" s="1549"/>
      <c r="OF29" s="1549"/>
      <c r="OG29" s="1549"/>
      <c r="OH29" s="1549"/>
      <c r="RB29" s="229" t="s">
        <v>7222</v>
      </c>
    </row>
    <row r="30" spans="2:1016 1041:1126" ht="30" customHeight="1">
      <c r="B30" s="290">
        <v>26</v>
      </c>
      <c r="C30" s="1360" t="s">
        <v>5539</v>
      </c>
      <c r="D30" s="1159" t="s">
        <v>7329</v>
      </c>
      <c r="E30" s="1160" t="s">
        <v>5668</v>
      </c>
      <c r="F30" s="1058" t="s">
        <v>233</v>
      </c>
      <c r="AB30" s="1785" t="s">
        <v>6424</v>
      </c>
      <c r="AC30" s="1785"/>
      <c r="AD30" s="1785"/>
      <c r="AE30" s="1785"/>
      <c r="AF30" s="1785"/>
      <c r="DZ30" s="1549" t="s">
        <v>7115</v>
      </c>
      <c r="EA30" s="1549"/>
      <c r="EB30" s="1549"/>
      <c r="EC30" s="1549"/>
      <c r="ED30" s="1549"/>
      <c r="EE30" s="1549"/>
      <c r="EF30" s="1549"/>
      <c r="EG30" s="1549"/>
      <c r="FB30" s="1532" t="s">
        <v>7153</v>
      </c>
      <c r="FC30" s="1532"/>
      <c r="FD30" s="1532"/>
      <c r="FE30" s="1532"/>
      <c r="FF30" s="1532"/>
      <c r="FG30" s="1532"/>
      <c r="JB30" s="1938" t="s">
        <v>7221</v>
      </c>
      <c r="JC30" s="1938"/>
      <c r="JD30" s="1938"/>
      <c r="JE30" s="1938"/>
      <c r="JF30" s="1938"/>
      <c r="JG30" s="1938"/>
      <c r="JH30" s="1938"/>
      <c r="JI30" s="1938"/>
      <c r="JJ30" s="1385" t="s">
        <v>233</v>
      </c>
      <c r="KB30" s="1532" t="s">
        <v>7086</v>
      </c>
      <c r="KC30" s="1532"/>
      <c r="KD30" s="1532"/>
      <c r="KE30" s="1532"/>
      <c r="KF30" s="1532"/>
      <c r="KG30" s="1532"/>
      <c r="NB30" s="1938" t="s">
        <v>7258</v>
      </c>
      <c r="NC30" s="1938"/>
      <c r="ND30" s="1938"/>
      <c r="NE30" s="1938"/>
      <c r="NF30" s="1938"/>
      <c r="NG30" s="1938"/>
      <c r="NH30" s="1938"/>
      <c r="NI30" s="1938"/>
      <c r="NJ30" s="1385" t="s">
        <v>233</v>
      </c>
      <c r="OB30" s="1513"/>
      <c r="OC30" s="1513"/>
      <c r="OD30" s="1513"/>
      <c r="OE30" s="1513"/>
      <c r="OF30" s="1513"/>
      <c r="OG30" s="1513"/>
      <c r="OH30" s="1513"/>
      <c r="RB30" s="1938" t="s">
        <v>7395</v>
      </c>
      <c r="RC30" s="1938"/>
      <c r="RD30" s="1938"/>
      <c r="RE30" s="1938"/>
      <c r="RF30" s="1938"/>
      <c r="RG30" s="1938"/>
      <c r="RH30" s="1938"/>
      <c r="RI30" s="1938"/>
      <c r="RJ30" s="1381"/>
      <c r="RK30" s="1381"/>
      <c r="RL30" s="1381"/>
      <c r="RM30" s="1381"/>
      <c r="RN30" s="1381"/>
      <c r="RO30" s="1381"/>
      <c r="RP30" s="1381"/>
      <c r="RQ30" s="1381"/>
      <c r="RR30" s="1381"/>
      <c r="RS30" s="1381"/>
      <c r="RT30" s="1381"/>
      <c r="RU30" s="1381"/>
      <c r="RV30" s="1381"/>
      <c r="RW30" s="1381"/>
      <c r="RX30" s="1381"/>
      <c r="RY30" s="1381"/>
      <c r="RZ30" s="1385" t="s">
        <v>233</v>
      </c>
    </row>
    <row r="31" spans="2:1016 1041:1126" ht="30" customHeight="1">
      <c r="B31" s="290">
        <v>27</v>
      </c>
      <c r="C31" s="1360" t="s">
        <v>5540</v>
      </c>
      <c r="D31" s="1159" t="s">
        <v>7326</v>
      </c>
      <c r="E31" s="1160" t="s">
        <v>7083</v>
      </c>
      <c r="F31" s="1058" t="s">
        <v>233</v>
      </c>
      <c r="DZ31" s="1513" t="s">
        <v>7060</v>
      </c>
      <c r="EA31" s="1513"/>
      <c r="EB31" s="1513"/>
      <c r="EC31" s="1513"/>
      <c r="ED31" s="1513"/>
      <c r="EE31" s="1513"/>
      <c r="EF31" s="1513"/>
      <c r="EG31" s="1513"/>
      <c r="FB31" s="1532" t="s">
        <v>7154</v>
      </c>
      <c r="FC31" s="1532"/>
      <c r="FD31" s="1532"/>
      <c r="FE31" s="1532"/>
      <c r="FF31" s="1532"/>
      <c r="FG31" s="1532"/>
      <c r="JB31" s="1938" t="s">
        <v>7220</v>
      </c>
      <c r="JC31" s="1938"/>
      <c r="JD31" s="1938"/>
      <c r="JE31" s="1938"/>
      <c r="JF31" s="1938"/>
      <c r="JG31" s="1938"/>
      <c r="JH31" s="1938"/>
      <c r="JI31" s="1938"/>
      <c r="JJ31" s="1385" t="s">
        <v>233</v>
      </c>
      <c r="KB31" s="1532" t="s">
        <v>7087</v>
      </c>
      <c r="KC31" s="1532"/>
      <c r="KD31" s="1532"/>
      <c r="KE31" s="1532"/>
      <c r="KF31" s="1532"/>
      <c r="KG31" s="1532"/>
      <c r="NB31" s="1938" t="s">
        <v>7259</v>
      </c>
      <c r="NC31" s="1938"/>
      <c r="ND31" s="1938"/>
      <c r="NE31" s="1938"/>
      <c r="NF31" s="1938"/>
      <c r="NG31" s="1938"/>
      <c r="NH31" s="1938"/>
      <c r="NI31" s="1938"/>
      <c r="NJ31" s="1385" t="s">
        <v>233</v>
      </c>
      <c r="OB31" s="1549"/>
      <c r="OC31" s="1549"/>
      <c r="OD31" s="1549"/>
      <c r="OE31" s="1549"/>
      <c r="OF31" s="1549"/>
      <c r="OG31" s="1549"/>
      <c r="OH31" s="1549"/>
      <c r="RB31" s="1938" t="s">
        <v>7394</v>
      </c>
      <c r="RC31" s="1938"/>
      <c r="RD31" s="1938"/>
      <c r="RE31" s="1938"/>
      <c r="RF31" s="1938"/>
      <c r="RG31" s="1938"/>
      <c r="RH31" s="1938"/>
      <c r="RI31" s="1938"/>
      <c r="RJ31" s="1381"/>
      <c r="RK31" s="1381"/>
      <c r="RL31" s="1381"/>
      <c r="RM31" s="1381"/>
      <c r="RN31" s="1381"/>
      <c r="RO31" s="1381"/>
      <c r="RP31" s="1381"/>
      <c r="RQ31" s="1381"/>
      <c r="RR31" s="1381"/>
      <c r="RS31" s="1381"/>
      <c r="RT31" s="1381"/>
      <c r="RU31" s="1381"/>
      <c r="RV31" s="1381"/>
      <c r="RW31" s="1381"/>
      <c r="RX31" s="1381"/>
      <c r="RY31" s="1381"/>
      <c r="RZ31" s="1385" t="s">
        <v>233</v>
      </c>
    </row>
    <row r="32" spans="2:1016 1041:1126" ht="30" customHeight="1">
      <c r="B32" s="290">
        <v>28</v>
      </c>
      <c r="C32" s="1360" t="s">
        <v>5788</v>
      </c>
      <c r="D32" s="1159" t="s">
        <v>7327</v>
      </c>
      <c r="E32" s="1160" t="s">
        <v>5543</v>
      </c>
      <c r="F32" s="1058" t="s">
        <v>233</v>
      </c>
      <c r="DZ32" s="1549" t="s">
        <v>6831</v>
      </c>
      <c r="EA32" s="1549"/>
      <c r="EB32" s="1549"/>
      <c r="EC32" s="1549"/>
      <c r="ED32" s="1549"/>
      <c r="EE32" s="1549"/>
      <c r="EF32" s="1549"/>
      <c r="EG32" s="1549"/>
      <c r="FB32" s="1532" t="s">
        <v>7155</v>
      </c>
      <c r="FC32" s="1532"/>
      <c r="FD32" s="1532"/>
      <c r="FE32" s="1532"/>
      <c r="FF32" s="1532"/>
      <c r="FG32" s="1532"/>
      <c r="JB32" s="2022" t="s">
        <v>7256</v>
      </c>
      <c r="JC32" s="2022"/>
      <c r="KB32" s="1940" t="s">
        <v>7010</v>
      </c>
      <c r="KC32" s="1940"/>
      <c r="KD32" s="1940"/>
      <c r="KE32" s="1940"/>
      <c r="KF32" s="1940"/>
      <c r="KG32" s="1940"/>
      <c r="NB32" s="2022" t="s">
        <v>7257</v>
      </c>
      <c r="NC32" s="2022"/>
      <c r="RB32" s="2022" t="s">
        <v>7256</v>
      </c>
      <c r="RC32" s="2022"/>
    </row>
    <row r="33" spans="2:494" ht="30" customHeight="1">
      <c r="B33" s="290">
        <v>29</v>
      </c>
      <c r="C33" s="1360" t="s">
        <v>5545</v>
      </c>
      <c r="D33" s="1159" t="s">
        <v>5655</v>
      </c>
      <c r="E33" s="1160" t="s">
        <v>6447</v>
      </c>
      <c r="F33" s="1058" t="s">
        <v>233</v>
      </c>
      <c r="DZ33" s="1513"/>
      <c r="EA33" s="1513"/>
      <c r="EB33" s="1513"/>
      <c r="EC33" s="1513"/>
      <c r="ED33" s="1513"/>
      <c r="EE33" s="1513"/>
      <c r="EF33" s="1513"/>
      <c r="EG33" s="1513"/>
      <c r="FB33" s="1532" t="s">
        <v>7157</v>
      </c>
      <c r="FC33" s="1532"/>
      <c r="FD33" s="1532"/>
      <c r="FE33" s="1532"/>
      <c r="FF33" s="1532"/>
      <c r="FG33" s="1532"/>
      <c r="JB33" s="1938" t="s">
        <v>7258</v>
      </c>
      <c r="JC33" s="1938"/>
      <c r="JD33" s="1938"/>
      <c r="JE33" s="1938"/>
      <c r="JF33" s="1938"/>
      <c r="JG33" s="1938"/>
      <c r="JH33" s="1938"/>
      <c r="JI33" s="1938"/>
      <c r="JJ33" s="1385" t="s">
        <v>233</v>
      </c>
      <c r="KB33" s="91" t="s">
        <v>6285</v>
      </c>
      <c r="KC33" s="91"/>
      <c r="KD33" s="91"/>
      <c r="KE33" s="91"/>
      <c r="KF33" s="91"/>
      <c r="KG33" s="91"/>
      <c r="NB33" s="1938" t="s">
        <v>7276</v>
      </c>
      <c r="NC33" s="1938"/>
      <c r="ND33" s="1938"/>
      <c r="NE33" s="1938"/>
      <c r="NF33" s="1938"/>
      <c r="NG33" s="1938"/>
      <c r="NH33" s="1938"/>
      <c r="NI33" s="1938"/>
      <c r="NJ33" s="1385" t="s">
        <v>233</v>
      </c>
      <c r="RB33" s="1938" t="s">
        <v>7258</v>
      </c>
      <c r="RC33" s="1938"/>
      <c r="RD33" s="1938"/>
      <c r="RE33" s="1938"/>
      <c r="RF33" s="1938"/>
      <c r="RG33" s="1938"/>
      <c r="RH33" s="1938"/>
      <c r="RI33" s="1938"/>
      <c r="RJ33" s="1381"/>
      <c r="RK33" s="1381"/>
      <c r="RL33" s="1381"/>
      <c r="RM33" s="1381"/>
      <c r="RN33" s="1381"/>
      <c r="RO33" s="1381"/>
      <c r="RP33" s="1381"/>
      <c r="RQ33" s="1381"/>
      <c r="RR33" s="1381"/>
      <c r="RS33" s="1381"/>
      <c r="RT33" s="1381"/>
      <c r="RU33" s="1381"/>
      <c r="RV33" s="1381"/>
      <c r="RW33" s="1381"/>
      <c r="RX33" s="1381"/>
      <c r="RY33" s="1381"/>
      <c r="RZ33" s="1385" t="s">
        <v>233</v>
      </c>
    </row>
    <row r="34" spans="2:494" ht="30" customHeight="1">
      <c r="B34" s="290">
        <v>30</v>
      </c>
      <c r="C34" s="1360" t="s">
        <v>5546</v>
      </c>
      <c r="D34" s="1159" t="s">
        <v>7330</v>
      </c>
      <c r="E34" s="1160" t="s">
        <v>5669</v>
      </c>
      <c r="F34" s="1058" t="s">
        <v>233</v>
      </c>
      <c r="DZ34" s="1295"/>
      <c r="EA34" s="1295"/>
      <c r="EB34" s="1295"/>
      <c r="EC34" s="1295"/>
      <c r="ED34" s="1295"/>
      <c r="EE34" s="1295"/>
      <c r="EF34" s="1295"/>
      <c r="EG34" s="1295"/>
      <c r="FB34" s="1532" t="s">
        <v>7159</v>
      </c>
      <c r="FC34" s="1532"/>
      <c r="FD34" s="1532"/>
      <c r="FE34" s="1532"/>
      <c r="FF34" s="1532"/>
      <c r="FG34" s="1532"/>
      <c r="JB34" s="1938" t="s">
        <v>7259</v>
      </c>
      <c r="JC34" s="1938"/>
      <c r="JD34" s="1938"/>
      <c r="JE34" s="1938"/>
      <c r="JF34" s="1938"/>
      <c r="JG34" s="1938"/>
      <c r="JH34" s="1938"/>
      <c r="JI34" s="1938"/>
      <c r="JJ34" s="1385" t="s">
        <v>233</v>
      </c>
      <c r="KB34" s="91" t="s">
        <v>6287</v>
      </c>
      <c r="KC34" s="91"/>
      <c r="KD34" s="91"/>
      <c r="KE34" s="91"/>
      <c r="KF34" s="91"/>
      <c r="KG34" s="91"/>
      <c r="NB34" s="1938" t="s">
        <v>7277</v>
      </c>
      <c r="NC34" s="1938"/>
      <c r="ND34" s="1938"/>
      <c r="NE34" s="1938"/>
      <c r="NF34" s="1938"/>
      <c r="NG34" s="1938"/>
      <c r="NH34" s="1938"/>
      <c r="NI34" s="1938"/>
      <c r="NJ34" s="1385" t="s">
        <v>233</v>
      </c>
      <c r="RB34" s="1938" t="s">
        <v>7259</v>
      </c>
      <c r="RC34" s="1938"/>
      <c r="RD34" s="1938"/>
      <c r="RE34" s="1938"/>
      <c r="RF34" s="1938"/>
      <c r="RG34" s="1938"/>
      <c r="RH34" s="1938"/>
      <c r="RI34" s="1938"/>
      <c r="RJ34" s="1381"/>
      <c r="RK34" s="1381"/>
      <c r="RL34" s="1381"/>
      <c r="RM34" s="1381"/>
      <c r="RN34" s="1381"/>
      <c r="RO34" s="1381"/>
      <c r="RP34" s="1381"/>
      <c r="RQ34" s="1381"/>
      <c r="RR34" s="1381"/>
      <c r="RS34" s="1381"/>
      <c r="RT34" s="1381"/>
      <c r="RU34" s="1381"/>
      <c r="RV34" s="1381"/>
      <c r="RW34" s="1381"/>
      <c r="RX34" s="1381"/>
      <c r="RY34" s="1381"/>
      <c r="RZ34" s="1385" t="s">
        <v>233</v>
      </c>
    </row>
    <row r="35" spans="2:494" ht="30" customHeight="1">
      <c r="B35" s="290">
        <v>31</v>
      </c>
      <c r="C35" s="1360" t="s">
        <v>5547</v>
      </c>
      <c r="D35" s="1159" t="s">
        <v>5656</v>
      </c>
      <c r="E35" s="1160" t="s">
        <v>7088</v>
      </c>
      <c r="F35" s="1058" t="s">
        <v>233</v>
      </c>
      <c r="DZ35" s="1295"/>
      <c r="EA35" s="1295"/>
      <c r="EB35" s="1295"/>
      <c r="EC35" s="1295"/>
      <c r="ED35" s="1295"/>
      <c r="EE35" s="1295"/>
      <c r="EF35" s="1295"/>
      <c r="EG35" s="1295"/>
      <c r="FB35" s="1532" t="s">
        <v>7163</v>
      </c>
      <c r="FC35" s="1532"/>
      <c r="FD35" s="1532"/>
      <c r="FE35" s="1532"/>
      <c r="FF35" s="1532"/>
      <c r="FG35" s="1532"/>
      <c r="JB35" s="2022" t="s">
        <v>7257</v>
      </c>
      <c r="JC35" s="2022"/>
      <c r="KB35" s="91" t="s">
        <v>6288</v>
      </c>
      <c r="KC35" s="91"/>
      <c r="KD35" s="91"/>
      <c r="KE35" s="91"/>
      <c r="KF35" s="91"/>
      <c r="KG35" s="91"/>
      <c r="NB35" s="1389" t="s">
        <v>5750</v>
      </c>
      <c r="RB35" s="2022" t="s">
        <v>7257</v>
      </c>
      <c r="RC35" s="2022"/>
    </row>
    <row r="36" spans="2:494" ht="30" customHeight="1">
      <c r="B36" s="290">
        <v>32</v>
      </c>
      <c r="C36" s="1360" t="s">
        <v>5548</v>
      </c>
      <c r="D36" s="1159" t="s">
        <v>5657</v>
      </c>
      <c r="E36" s="1160" t="s">
        <v>5549</v>
      </c>
      <c r="F36" s="1058" t="s">
        <v>233</v>
      </c>
      <c r="DZ36" s="1295"/>
      <c r="EA36" s="1295"/>
      <c r="EB36" s="1295"/>
      <c r="EC36" s="1295"/>
      <c r="ED36" s="1295"/>
      <c r="EE36" s="1295"/>
      <c r="EF36" s="1295"/>
      <c r="EG36" s="1295"/>
      <c r="FB36" s="1950" t="s">
        <v>6839</v>
      </c>
      <c r="FC36" s="1532"/>
      <c r="FD36" s="1532"/>
      <c r="FE36" s="1532"/>
      <c r="FF36" s="1532"/>
      <c r="FG36" s="1532"/>
      <c r="JB36" s="1938" t="s">
        <v>7276</v>
      </c>
      <c r="JC36" s="1938"/>
      <c r="JD36" s="1938"/>
      <c r="JE36" s="1938"/>
      <c r="JF36" s="1938"/>
      <c r="JG36" s="1938"/>
      <c r="JH36" s="1938"/>
      <c r="JI36" s="1938"/>
      <c r="JJ36" s="1385" t="s">
        <v>233</v>
      </c>
      <c r="KB36" s="91" t="s">
        <v>6289</v>
      </c>
      <c r="KC36" s="91"/>
      <c r="KD36" s="91"/>
      <c r="KE36" s="91"/>
      <c r="KF36" s="91"/>
      <c r="KG36" s="91"/>
      <c r="RB36" s="1938" t="s">
        <v>7276</v>
      </c>
      <c r="RC36" s="1938"/>
      <c r="RD36" s="1938"/>
      <c r="RE36" s="1938"/>
      <c r="RF36" s="1938"/>
      <c r="RG36" s="1938"/>
      <c r="RH36" s="1938"/>
      <c r="RI36" s="1938"/>
      <c r="RJ36" s="1381"/>
      <c r="RK36" s="1381"/>
      <c r="RL36" s="1381"/>
      <c r="RM36" s="1381"/>
      <c r="RN36" s="1381"/>
      <c r="RO36" s="1381"/>
      <c r="RP36" s="1381"/>
      <c r="RQ36" s="1381"/>
      <c r="RR36" s="1381"/>
      <c r="RS36" s="1381"/>
      <c r="RT36" s="1381"/>
      <c r="RU36" s="1381"/>
      <c r="RV36" s="1381"/>
      <c r="RW36" s="1381"/>
      <c r="RX36" s="1381"/>
      <c r="RY36" s="1381"/>
      <c r="RZ36" s="1385" t="s">
        <v>233</v>
      </c>
    </row>
    <row r="37" spans="2:494" ht="30" customHeight="1">
      <c r="B37" s="290">
        <v>40</v>
      </c>
      <c r="C37" s="1360" t="s">
        <v>5559</v>
      </c>
      <c r="D37" s="1159" t="s">
        <v>7403</v>
      </c>
      <c r="E37" s="1160" t="s">
        <v>5550</v>
      </c>
      <c r="F37" s="1058" t="s">
        <v>233</v>
      </c>
      <c r="DZ37" s="1361"/>
      <c r="EA37" s="1295"/>
      <c r="EB37" s="1295"/>
      <c r="EC37" s="1295"/>
      <c r="ED37" s="1295"/>
      <c r="EE37" s="1295"/>
      <c r="EF37" s="1295"/>
      <c r="EG37" s="1295"/>
      <c r="JB37" s="1938" t="s">
        <v>7277</v>
      </c>
      <c r="JC37" s="1938"/>
      <c r="JD37" s="1938"/>
      <c r="JE37" s="1938"/>
      <c r="JF37" s="1938"/>
      <c r="JG37" s="1938"/>
      <c r="JH37" s="1938"/>
      <c r="JI37" s="1938"/>
      <c r="JJ37" s="1385" t="s">
        <v>233</v>
      </c>
      <c r="KB37" s="91" t="s">
        <v>6290</v>
      </c>
      <c r="KC37" s="91"/>
      <c r="KD37" s="91"/>
      <c r="KE37" s="91"/>
      <c r="KF37" s="91"/>
      <c r="KG37" s="91"/>
      <c r="RB37" s="1938" t="s">
        <v>7277</v>
      </c>
      <c r="RC37" s="1938"/>
      <c r="RD37" s="1938"/>
      <c r="RE37" s="1938"/>
      <c r="RF37" s="1938"/>
      <c r="RG37" s="1938"/>
      <c r="RH37" s="1938"/>
      <c r="RI37" s="1938"/>
      <c r="RJ37" s="1381"/>
      <c r="RK37" s="1381"/>
      <c r="RL37" s="1381"/>
      <c r="RM37" s="1381"/>
      <c r="RN37" s="1381"/>
      <c r="RO37" s="1381"/>
      <c r="RP37" s="1381"/>
      <c r="RQ37" s="1381"/>
      <c r="RR37" s="1381"/>
      <c r="RS37" s="1381"/>
      <c r="RT37" s="1381"/>
      <c r="RU37" s="1381"/>
      <c r="RV37" s="1381"/>
      <c r="RW37" s="1381"/>
      <c r="RX37" s="1381"/>
      <c r="RY37" s="1381"/>
      <c r="RZ37" s="1385" t="s">
        <v>233</v>
      </c>
    </row>
    <row r="38" spans="2:494" ht="30" customHeight="1">
      <c r="B38" s="290">
        <v>41</v>
      </c>
      <c r="C38" s="1360" t="s">
        <v>5606</v>
      </c>
      <c r="D38" s="1159" t="s">
        <v>7404</v>
      </c>
      <c r="E38" s="1160" t="s">
        <v>5671</v>
      </c>
      <c r="F38" s="1058" t="s">
        <v>233</v>
      </c>
      <c r="DZ38" s="1295"/>
      <c r="EA38" s="1295"/>
      <c r="EB38" s="1295"/>
      <c r="EC38" s="1295"/>
      <c r="ED38" s="1295"/>
      <c r="EE38" s="1295"/>
      <c r="EF38" s="1295"/>
      <c r="EG38" s="1295"/>
      <c r="JB38" s="1389" t="s">
        <v>5750</v>
      </c>
      <c r="KB38" s="91" t="s">
        <v>6291</v>
      </c>
      <c r="KC38" s="91"/>
      <c r="KD38" s="91"/>
      <c r="KE38" s="91"/>
      <c r="KF38" s="91"/>
      <c r="KG38" s="91"/>
    </row>
    <row r="39" spans="2:494" ht="30" customHeight="1">
      <c r="B39" s="290">
        <v>42</v>
      </c>
      <c r="C39" s="1360" t="s">
        <v>5607</v>
      </c>
      <c r="D39" s="1159" t="s">
        <v>7405</v>
      </c>
      <c r="E39" s="1160" t="s">
        <v>7091</v>
      </c>
      <c r="F39" s="1058" t="s">
        <v>233</v>
      </c>
      <c r="KC39" s="91"/>
      <c r="KD39" s="91"/>
      <c r="KE39" s="91"/>
      <c r="KF39" s="91"/>
      <c r="KG39" s="91"/>
    </row>
    <row r="40" spans="2:494" ht="30" customHeight="1">
      <c r="B40" s="290">
        <v>43</v>
      </c>
      <c r="C40" s="1360" t="s">
        <v>5560</v>
      </c>
      <c r="D40" s="1159" t="s">
        <v>7406</v>
      </c>
      <c r="E40" s="1160" t="s">
        <v>5551</v>
      </c>
      <c r="F40" s="1058" t="s">
        <v>233</v>
      </c>
      <c r="KC40" s="91"/>
      <c r="KD40" s="91"/>
      <c r="KE40" s="91"/>
      <c r="KF40" s="91"/>
      <c r="KG40" s="91"/>
    </row>
    <row r="41" spans="2:494" ht="30" customHeight="1">
      <c r="B41" s="290">
        <v>44</v>
      </c>
      <c r="C41" s="1360" t="s">
        <v>5561</v>
      </c>
      <c r="D41" s="1159" t="s">
        <v>7407</v>
      </c>
      <c r="E41" s="1160" t="s">
        <v>5670</v>
      </c>
      <c r="F41" s="1058" t="s">
        <v>233</v>
      </c>
      <c r="KC41" s="91"/>
      <c r="KD41" s="91"/>
      <c r="KE41" s="91"/>
      <c r="KF41" s="91"/>
      <c r="KG41" s="91"/>
    </row>
    <row r="42" spans="2:494" ht="30" customHeight="1">
      <c r="B42" s="290">
        <v>45</v>
      </c>
      <c r="C42" s="1360" t="s">
        <v>5562</v>
      </c>
      <c r="D42" s="1159" t="s">
        <v>7408</v>
      </c>
      <c r="E42" s="1160" t="s">
        <v>7092</v>
      </c>
      <c r="F42" s="1058" t="s">
        <v>233</v>
      </c>
      <c r="KB42" s="91"/>
      <c r="KC42" s="91"/>
      <c r="KD42" s="91"/>
      <c r="KE42" s="91"/>
      <c r="KF42" s="91"/>
      <c r="KG42" s="91"/>
    </row>
    <row r="43" spans="2:494" ht="30" customHeight="1">
      <c r="B43" s="290">
        <v>33</v>
      </c>
      <c r="C43" s="1360" t="s">
        <v>5563</v>
      </c>
      <c r="D43" s="1159" t="s">
        <v>5658</v>
      </c>
      <c r="E43" s="1160" t="s">
        <v>5552</v>
      </c>
      <c r="F43" s="1058" t="s">
        <v>233</v>
      </c>
    </row>
    <row r="44" spans="2:494" ht="30" customHeight="1">
      <c r="B44" s="290">
        <v>34</v>
      </c>
      <c r="C44" s="1360" t="s">
        <v>5564</v>
      </c>
      <c r="D44" s="1159" t="s">
        <v>7402</v>
      </c>
      <c r="E44" s="1160" t="s">
        <v>7089</v>
      </c>
      <c r="F44" s="1058" t="s">
        <v>233</v>
      </c>
    </row>
    <row r="45" spans="2:494" ht="30" customHeight="1">
      <c r="B45" s="290">
        <v>35</v>
      </c>
      <c r="C45" s="1360" t="s">
        <v>5565</v>
      </c>
      <c r="D45" s="1159" t="s">
        <v>5659</v>
      </c>
      <c r="E45" s="1160" t="s">
        <v>7090</v>
      </c>
      <c r="F45" s="1058" t="s">
        <v>233</v>
      </c>
    </row>
    <row r="46" spans="2:494" ht="30" customHeight="1">
      <c r="B46" s="290">
        <v>36</v>
      </c>
      <c r="C46" s="1360" t="s">
        <v>155</v>
      </c>
      <c r="D46" s="1159" t="s">
        <v>5660</v>
      </c>
      <c r="E46" s="1160" t="s">
        <v>272</v>
      </c>
      <c r="F46" s="1058" t="s">
        <v>233</v>
      </c>
    </row>
    <row r="47" spans="2:494" ht="30" customHeight="1">
      <c r="B47" s="290">
        <v>37</v>
      </c>
      <c r="C47" s="1360" t="s">
        <v>5514</v>
      </c>
      <c r="D47" s="1159" t="s">
        <v>7409</v>
      </c>
      <c r="E47" s="1160" t="s">
        <v>5515</v>
      </c>
      <c r="F47" s="1058" t="s">
        <v>233</v>
      </c>
    </row>
    <row r="48" spans="2:494" ht="30" customHeight="1">
      <c r="B48" s="290">
        <v>38</v>
      </c>
      <c r="C48" s="1360" t="s">
        <v>3736</v>
      </c>
      <c r="D48" s="1159" t="s">
        <v>7410</v>
      </c>
      <c r="E48" s="1160" t="s">
        <v>5516</v>
      </c>
      <c r="F48" s="1058" t="s">
        <v>233</v>
      </c>
    </row>
    <row r="49" spans="2:6" ht="30" customHeight="1">
      <c r="B49" s="290">
        <v>39</v>
      </c>
      <c r="C49" s="1429" t="s">
        <v>5513</v>
      </c>
      <c r="D49" s="1159" t="s">
        <v>7411</v>
      </c>
      <c r="E49" s="1160" t="s">
        <v>5517</v>
      </c>
      <c r="F49" s="1058" t="s">
        <v>233</v>
      </c>
    </row>
    <row r="50" spans="2:6" ht="15.6">
      <c r="B50" s="290">
        <v>47</v>
      </c>
      <c r="C50" s="1159"/>
      <c r="D50" s="1159"/>
      <c r="E50" s="1160"/>
      <c r="F50" s="1058"/>
    </row>
    <row r="51" spans="2:6" ht="15.6">
      <c r="B51" s="290">
        <v>48</v>
      </c>
      <c r="C51" s="1279"/>
      <c r="D51" s="1279"/>
      <c r="E51" s="1161"/>
      <c r="F51" s="1280"/>
    </row>
    <row r="52" spans="2:6">
      <c r="D52" s="7"/>
    </row>
    <row r="53" spans="2:6">
      <c r="D53" s="7"/>
    </row>
    <row r="54" spans="2:6">
      <c r="D54" s="7"/>
    </row>
    <row r="55" spans="2:6">
      <c r="B55" s="822"/>
      <c r="C55" s="822" t="s">
        <v>5518</v>
      </c>
    </row>
    <row r="56" spans="2:6">
      <c r="B56" s="7" t="s">
        <v>5685</v>
      </c>
    </row>
    <row r="57" spans="2:6">
      <c r="B57" s="7" t="s">
        <v>7093</v>
      </c>
    </row>
    <row r="58" spans="2:6">
      <c r="B58" s="7" t="s">
        <v>5521</v>
      </c>
      <c r="C58" s="7"/>
    </row>
    <row r="59" spans="2:6">
      <c r="B59" s="7" t="s">
        <v>5700</v>
      </c>
      <c r="C59" s="7"/>
    </row>
    <row r="60" spans="2:6">
      <c r="B60" s="7" t="s">
        <v>7094</v>
      </c>
      <c r="C60" s="7"/>
    </row>
    <row r="61" spans="2:6">
      <c r="B61" s="7" t="s">
        <v>5529</v>
      </c>
      <c r="C61" s="7"/>
    </row>
    <row r="63" spans="2:6">
      <c r="B63" s="1077" t="s">
        <v>5683</v>
      </c>
    </row>
    <row r="64" spans="2:6">
      <c r="B64" s="1077"/>
    </row>
    <row r="65" spans="2:5">
      <c r="B65" s="1963" t="s">
        <v>6452</v>
      </c>
      <c r="C65" s="1963"/>
      <c r="D65" s="1963"/>
      <c r="E65" s="1963"/>
    </row>
    <row r="66" spans="2:5">
      <c r="B66" s="1502" t="s">
        <v>6450</v>
      </c>
      <c r="C66" s="1502"/>
      <c r="D66" s="1502"/>
      <c r="E66" s="1502"/>
    </row>
    <row r="67" spans="2:5">
      <c r="B67" s="1502" t="s">
        <v>6451</v>
      </c>
      <c r="C67" s="1502"/>
      <c r="D67" s="1502"/>
      <c r="E67" s="1502"/>
    </row>
    <row r="68" spans="2:5">
      <c r="B68" s="1502" t="s">
        <v>6454</v>
      </c>
      <c r="C68" s="1502"/>
      <c r="D68" s="1502"/>
      <c r="E68" s="1502"/>
    </row>
    <row r="70" spans="2:5">
      <c r="B70" s="1963" t="s">
        <v>7095</v>
      </c>
      <c r="C70" s="1963"/>
      <c r="D70" s="1963"/>
      <c r="E70" s="1963"/>
    </row>
    <row r="71" spans="2:5">
      <c r="B71" s="1502" t="s">
        <v>6450</v>
      </c>
      <c r="C71" s="1502"/>
      <c r="D71" s="1502"/>
      <c r="E71" s="1502"/>
    </row>
    <row r="72" spans="2:5">
      <c r="B72" s="1502" t="s">
        <v>6453</v>
      </c>
      <c r="C72" s="1502"/>
      <c r="D72" s="1502"/>
      <c r="E72" s="1502"/>
    </row>
    <row r="73" spans="2:5">
      <c r="B73" s="1502" t="s">
        <v>6454</v>
      </c>
      <c r="C73" s="1502"/>
      <c r="D73" s="1502"/>
      <c r="E73" s="1502"/>
    </row>
    <row r="75" spans="2:5">
      <c r="B75" s="1963" t="s">
        <v>6455</v>
      </c>
      <c r="C75" s="1963"/>
      <c r="D75" s="1963"/>
      <c r="E75" s="1963"/>
    </row>
    <row r="76" spans="2:5">
      <c r="B76" s="1502" t="s">
        <v>6456</v>
      </c>
      <c r="C76" s="1502"/>
      <c r="D76" s="1502"/>
      <c r="E76" s="1502"/>
    </row>
    <row r="77" spans="2:5">
      <c r="B77" s="1502" t="s">
        <v>6457</v>
      </c>
      <c r="C77" s="1502"/>
      <c r="D77" s="1502"/>
      <c r="E77" s="1502"/>
    </row>
    <row r="78" spans="2:5">
      <c r="B78" s="1502" t="s">
        <v>6458</v>
      </c>
      <c r="C78" s="1502"/>
      <c r="D78" s="1502"/>
      <c r="E78" s="1502"/>
    </row>
    <row r="79" spans="2:5">
      <c r="B79" s="7"/>
      <c r="C79" s="7"/>
      <c r="D79" s="7"/>
      <c r="E79" s="7"/>
    </row>
    <row r="80" spans="2:5">
      <c r="B80" s="1963" t="s">
        <v>6459</v>
      </c>
      <c r="C80" s="1963"/>
      <c r="D80" s="1963"/>
      <c r="E80" s="1963"/>
    </row>
    <row r="81" spans="2:9">
      <c r="B81" s="1502" t="s">
        <v>6460</v>
      </c>
      <c r="C81" s="1502"/>
      <c r="D81" s="1502"/>
      <c r="E81" s="1502"/>
    </row>
    <row r="82" spans="2:9">
      <c r="B82" s="1502" t="s">
        <v>6461</v>
      </c>
      <c r="C82" s="1502"/>
      <c r="D82" s="1502"/>
      <c r="E82" s="1502"/>
    </row>
    <row r="83" spans="2:9">
      <c r="B83" s="1502" t="s">
        <v>6462</v>
      </c>
      <c r="C83" s="1502"/>
      <c r="D83" s="1502"/>
      <c r="E83" s="1502"/>
    </row>
    <row r="84" spans="2:9">
      <c r="B84" s="1502" t="s">
        <v>6463</v>
      </c>
      <c r="C84" s="1502"/>
      <c r="D84" s="1502"/>
      <c r="E84" s="1502"/>
    </row>
    <row r="86" spans="2:9">
      <c r="B86" s="1963" t="s">
        <v>7096</v>
      </c>
      <c r="C86" s="1963"/>
      <c r="D86" s="1963"/>
      <c r="E86" s="1963"/>
    </row>
    <row r="87" spans="2:9">
      <c r="B87" s="1502" t="s">
        <v>6460</v>
      </c>
      <c r="C87" s="1502"/>
      <c r="D87" s="1502"/>
      <c r="E87" s="1502"/>
    </row>
    <row r="88" spans="2:9">
      <c r="B88" s="1502" t="s">
        <v>6461</v>
      </c>
      <c r="C88" s="1502"/>
      <c r="D88" s="1502"/>
      <c r="E88" s="1502"/>
    </row>
    <row r="89" spans="2:9">
      <c r="B89" s="1502" t="s">
        <v>6462</v>
      </c>
      <c r="C89" s="1502"/>
      <c r="D89" s="1502"/>
      <c r="E89" s="1502"/>
    </row>
    <row r="90" spans="2:9">
      <c r="B90" s="1502" t="s">
        <v>6463</v>
      </c>
      <c r="C90" s="1502"/>
      <c r="D90" s="1502"/>
      <c r="E90" s="1502"/>
    </row>
    <row r="92" spans="2:9">
      <c r="B92" s="1963" t="s">
        <v>6464</v>
      </c>
      <c r="C92" s="1963"/>
      <c r="D92" s="1963"/>
      <c r="E92" s="1963"/>
    </row>
    <row r="93" spans="2:9">
      <c r="B93" s="1502" t="s">
        <v>6465</v>
      </c>
      <c r="C93" s="1502"/>
      <c r="D93" s="1502"/>
      <c r="E93" s="1502"/>
    </row>
    <row r="94" spans="2:9">
      <c r="B94" s="1502" t="s">
        <v>6475</v>
      </c>
      <c r="C94" s="1502"/>
      <c r="D94" s="1502"/>
      <c r="E94" s="1502"/>
    </row>
    <row r="95" spans="2:9">
      <c r="B95" s="1962" t="s">
        <v>6466</v>
      </c>
      <c r="C95" s="1962"/>
      <c r="D95" s="1962"/>
      <c r="E95" s="1962"/>
      <c r="G95" s="7"/>
      <c r="H95" s="7"/>
      <c r="I95" s="7"/>
    </row>
    <row r="96" spans="2:9">
      <c r="B96" s="7"/>
      <c r="C96" s="7"/>
      <c r="D96" s="7"/>
      <c r="E96" s="7"/>
      <c r="G96" s="7"/>
      <c r="H96" s="7"/>
      <c r="I96" s="7"/>
    </row>
    <row r="97" spans="2:21">
      <c r="B97" s="1963" t="s">
        <v>6467</v>
      </c>
      <c r="C97" s="1963"/>
      <c r="D97" s="1963"/>
      <c r="E97" s="1963"/>
      <c r="F97" s="7"/>
      <c r="G97" s="7"/>
      <c r="H97" s="7"/>
      <c r="I97" s="7"/>
    </row>
    <row r="98" spans="2:21">
      <c r="B98" s="1502" t="s">
        <v>6470</v>
      </c>
      <c r="C98" s="1502"/>
      <c r="D98" s="1502"/>
      <c r="E98" s="1502"/>
      <c r="F98" s="7"/>
      <c r="G98" s="7"/>
      <c r="H98" s="7"/>
      <c r="I98" s="7"/>
    </row>
    <row r="99" spans="2:21">
      <c r="B99" s="1502" t="s">
        <v>6468</v>
      </c>
      <c r="C99" s="1502"/>
      <c r="D99" s="1502"/>
      <c r="E99" s="1502"/>
      <c r="F99" s="7"/>
      <c r="G99" s="7"/>
      <c r="H99" s="7"/>
      <c r="I99" s="7"/>
      <c r="U99" s="129"/>
    </row>
    <row r="100" spans="2:21">
      <c r="B100" s="1502" t="s">
        <v>6471</v>
      </c>
      <c r="C100" s="1502"/>
      <c r="D100" s="1502"/>
      <c r="E100" s="1502"/>
      <c r="F100" s="7"/>
      <c r="G100" s="7"/>
      <c r="H100" s="7"/>
      <c r="I100" s="7"/>
      <c r="U100" s="129"/>
    </row>
    <row r="101" spans="2:21">
      <c r="B101" s="1502" t="s">
        <v>6468</v>
      </c>
      <c r="C101" s="1502"/>
      <c r="D101" s="1502"/>
      <c r="E101" s="1502"/>
      <c r="F101" s="7"/>
      <c r="G101" s="7"/>
      <c r="H101" s="7"/>
      <c r="I101" s="7"/>
      <c r="U101" s="129"/>
    </row>
    <row r="102" spans="2:21">
      <c r="B102" s="1502" t="s">
        <v>6469</v>
      </c>
      <c r="C102" s="1502"/>
      <c r="D102" s="1502"/>
      <c r="E102" s="1502"/>
      <c r="F102" s="7"/>
      <c r="G102" s="7"/>
      <c r="H102" s="7"/>
      <c r="I102" s="7"/>
      <c r="U102" s="129"/>
    </row>
    <row r="103" spans="2:21">
      <c r="B103" s="1502" t="s">
        <v>6472</v>
      </c>
      <c r="C103" s="1502"/>
      <c r="D103" s="1502"/>
      <c r="E103" s="1502"/>
      <c r="F103" s="7"/>
      <c r="G103" s="7"/>
      <c r="H103" s="7"/>
      <c r="I103" s="7"/>
      <c r="U103" s="129"/>
    </row>
    <row r="104" spans="2:21">
      <c r="B104" s="1502" t="s">
        <v>6474</v>
      </c>
      <c r="C104" s="1502"/>
      <c r="D104" s="1502"/>
      <c r="E104" s="1502"/>
      <c r="F104" s="7"/>
      <c r="G104" s="7"/>
      <c r="H104" s="7"/>
      <c r="I104" s="7"/>
      <c r="U104" s="129"/>
    </row>
    <row r="105" spans="2:21">
      <c r="B105" s="1502" t="s">
        <v>6473</v>
      </c>
      <c r="C105" s="1502"/>
      <c r="D105" s="1502"/>
      <c r="E105" s="1502"/>
      <c r="F105" s="7"/>
      <c r="G105" s="7"/>
      <c r="H105" s="7"/>
      <c r="I105" s="7"/>
      <c r="U105" s="129"/>
    </row>
    <row r="106" spans="2:21">
      <c r="B106" s="7"/>
      <c r="C106" s="7"/>
      <c r="D106" s="7"/>
      <c r="E106" s="7"/>
      <c r="F106" s="7"/>
      <c r="G106" s="7"/>
      <c r="H106" s="7"/>
      <c r="I106" s="7"/>
      <c r="U106" s="129"/>
    </row>
    <row r="107" spans="2:21">
      <c r="B107" s="1963" t="s">
        <v>7097</v>
      </c>
      <c r="C107" s="1963"/>
      <c r="D107" s="1963"/>
      <c r="E107" s="1963"/>
      <c r="F107" s="7"/>
      <c r="G107" s="7"/>
      <c r="H107" s="7"/>
      <c r="I107" s="7"/>
      <c r="U107" s="129"/>
    </row>
    <row r="108" spans="2:21">
      <c r="B108" s="1502" t="s">
        <v>6465</v>
      </c>
      <c r="C108" s="1502"/>
      <c r="D108" s="1502"/>
      <c r="E108" s="1502"/>
      <c r="F108" s="7"/>
      <c r="G108" s="7"/>
      <c r="H108" s="7"/>
      <c r="I108" s="7"/>
      <c r="T108" s="129"/>
      <c r="U108" s="129"/>
    </row>
    <row r="109" spans="2:21">
      <c r="B109" s="1502" t="s">
        <v>6475</v>
      </c>
      <c r="C109" s="1502"/>
      <c r="D109" s="1502"/>
      <c r="E109" s="1502"/>
      <c r="F109" s="7"/>
      <c r="G109" s="7"/>
      <c r="H109" s="7"/>
      <c r="I109" s="7"/>
      <c r="T109" s="129"/>
      <c r="U109" s="129"/>
    </row>
    <row r="110" spans="2:21">
      <c r="B110" s="1962" t="s">
        <v>6466</v>
      </c>
      <c r="C110" s="1962"/>
      <c r="D110" s="1962"/>
      <c r="E110" s="1962"/>
      <c r="F110" s="7"/>
      <c r="G110" s="7"/>
      <c r="H110" s="7"/>
      <c r="I110" s="7"/>
      <c r="T110" s="129"/>
      <c r="U110" s="129"/>
    </row>
    <row r="111" spans="2:21">
      <c r="B111" s="1502"/>
      <c r="C111" s="1502"/>
      <c r="D111" s="1502"/>
      <c r="E111" s="1502"/>
      <c r="F111" s="7"/>
      <c r="G111" s="7"/>
      <c r="H111" s="7"/>
      <c r="I111" s="7"/>
    </row>
    <row r="112" spans="2:21">
      <c r="B112" s="1963" t="s">
        <v>6476</v>
      </c>
      <c r="C112" s="1963"/>
      <c r="D112" s="1963"/>
      <c r="E112" s="1963"/>
      <c r="F112" s="7"/>
      <c r="G112" s="7"/>
      <c r="H112" s="7"/>
      <c r="I112" s="7"/>
    </row>
    <row r="113" spans="2:16">
      <c r="B113" s="1502" t="s">
        <v>7098</v>
      </c>
      <c r="C113" s="1502"/>
      <c r="D113" s="1502"/>
      <c r="E113" s="1502"/>
      <c r="F113" s="7"/>
      <c r="G113" s="7"/>
      <c r="H113" s="7"/>
      <c r="I113" s="7"/>
    </row>
    <row r="114" spans="2:16">
      <c r="B114" s="1502" t="s">
        <v>6477</v>
      </c>
      <c r="C114" s="1502"/>
      <c r="D114" s="1502"/>
      <c r="E114" s="1502"/>
      <c r="F114" s="7"/>
    </row>
    <row r="116" spans="2:16">
      <c r="B116" s="1077" t="s">
        <v>3214</v>
      </c>
    </row>
    <row r="117" spans="2:16">
      <c r="B117" s="1502" t="s">
        <v>5684</v>
      </c>
      <c r="C117" s="1502"/>
      <c r="D117" s="1502"/>
      <c r="E117" s="1502"/>
    </row>
    <row r="118" spans="2:16">
      <c r="B118" s="1502" t="s">
        <v>6478</v>
      </c>
      <c r="C118" s="1502"/>
      <c r="D118" s="1502"/>
      <c r="E118" s="1502"/>
    </row>
    <row r="119" spans="2:16">
      <c r="B119" s="1502" t="s">
        <v>6479</v>
      </c>
      <c r="C119" s="1502"/>
      <c r="D119" s="1502"/>
      <c r="E119" s="1502"/>
      <c r="G119" s="129"/>
      <c r="H119" s="129"/>
      <c r="I119" s="129"/>
      <c r="J119" s="129"/>
      <c r="K119" s="129"/>
      <c r="L119" s="129"/>
      <c r="M119" s="129"/>
      <c r="N119" s="129"/>
      <c r="O119" s="129"/>
    </row>
    <row r="120" spans="2:16">
      <c r="B120" s="1502" t="s">
        <v>5704</v>
      </c>
      <c r="C120" s="1502"/>
      <c r="D120" s="1502"/>
      <c r="E120" s="1502"/>
      <c r="G120" s="129"/>
      <c r="H120" s="129"/>
      <c r="I120" s="129"/>
      <c r="J120" s="129"/>
      <c r="K120" s="129"/>
      <c r="L120" s="129"/>
      <c r="M120" s="129"/>
      <c r="N120" s="129"/>
      <c r="O120" s="129"/>
    </row>
    <row r="121" spans="2:16">
      <c r="B121" s="1502" t="s">
        <v>5702</v>
      </c>
      <c r="C121" s="1502"/>
      <c r="D121" s="1502"/>
      <c r="E121" s="1502"/>
      <c r="G121" s="129"/>
      <c r="H121" s="129"/>
      <c r="I121" s="129"/>
      <c r="J121" s="129"/>
      <c r="K121" s="129"/>
      <c r="L121" s="129"/>
      <c r="M121" s="129"/>
      <c r="N121" s="129"/>
      <c r="O121" s="129"/>
    </row>
    <row r="122" spans="2:16">
      <c r="B122" s="1502" t="s">
        <v>5705</v>
      </c>
      <c r="C122" s="1502"/>
      <c r="D122" s="1502"/>
      <c r="E122" s="1502"/>
      <c r="G122" s="129"/>
      <c r="H122" s="129"/>
      <c r="I122" s="129"/>
      <c r="J122" s="129"/>
      <c r="K122" s="129"/>
      <c r="L122" s="129"/>
      <c r="M122" s="129"/>
      <c r="N122" s="129"/>
      <c r="O122" s="129"/>
      <c r="P122" s="129"/>
    </row>
    <row r="123" spans="2:16">
      <c r="G123" s="129"/>
      <c r="H123" s="129"/>
      <c r="I123" s="129"/>
      <c r="J123" s="129"/>
      <c r="K123" s="129"/>
      <c r="L123" s="129"/>
      <c r="M123" s="129"/>
      <c r="N123" s="129"/>
      <c r="O123" s="129"/>
      <c r="P123" s="129"/>
    </row>
    <row r="124" spans="2:16">
      <c r="B124" s="1080" t="s">
        <v>5707</v>
      </c>
      <c r="G124" s="129"/>
      <c r="H124" s="129"/>
      <c r="I124" s="129"/>
      <c r="J124" s="129"/>
      <c r="K124" s="129"/>
      <c r="L124" s="129"/>
      <c r="M124" s="129"/>
      <c r="N124" s="129"/>
      <c r="O124" s="129"/>
      <c r="P124" s="129"/>
    </row>
    <row r="125" spans="2:16">
      <c r="B125" s="1961" t="s">
        <v>5713</v>
      </c>
      <c r="C125" s="1961"/>
      <c r="D125" s="1961"/>
      <c r="E125" s="1961"/>
      <c r="G125" s="129"/>
      <c r="H125" s="129"/>
      <c r="I125" s="129"/>
      <c r="J125" s="129"/>
      <c r="K125" s="129"/>
      <c r="L125" s="129"/>
      <c r="M125" s="129"/>
      <c r="N125" s="129"/>
      <c r="O125" s="129"/>
      <c r="P125" s="129"/>
    </row>
    <row r="126" spans="2:16">
      <c r="B126" s="1961" t="s">
        <v>6480</v>
      </c>
      <c r="C126" s="1961"/>
      <c r="D126" s="1961"/>
      <c r="E126" s="1961"/>
      <c r="G126" s="129"/>
      <c r="H126" s="129"/>
      <c r="I126" s="129"/>
      <c r="J126" s="129"/>
      <c r="K126" s="129"/>
      <c r="L126" s="129"/>
      <c r="M126" s="129"/>
      <c r="N126" s="129"/>
      <c r="O126" s="129"/>
      <c r="P126" s="129"/>
    </row>
    <row r="127" spans="2:16">
      <c r="B127" s="1961" t="s">
        <v>6481</v>
      </c>
      <c r="C127" s="1961"/>
      <c r="D127" s="1961"/>
      <c r="E127" s="1961"/>
      <c r="G127" s="129"/>
      <c r="H127" s="129"/>
      <c r="I127" s="129"/>
      <c r="J127" s="129"/>
      <c r="K127" s="129"/>
      <c r="L127" s="129"/>
      <c r="M127" s="129"/>
      <c r="N127" s="129"/>
      <c r="O127" s="129"/>
      <c r="P127" s="129"/>
    </row>
    <row r="128" spans="2:16">
      <c r="B128" s="129"/>
      <c r="D128" s="129"/>
      <c r="E128" s="129"/>
      <c r="G128" s="129"/>
      <c r="H128" s="129"/>
      <c r="I128" s="129"/>
      <c r="J128" s="129"/>
      <c r="K128" s="129"/>
      <c r="L128" s="129"/>
      <c r="M128" s="129"/>
      <c r="N128" s="129"/>
      <c r="O128" s="129"/>
      <c r="P128" s="129"/>
    </row>
    <row r="129" spans="2:16">
      <c r="B129" s="1080" t="s">
        <v>5712</v>
      </c>
      <c r="D129" s="129"/>
      <c r="E129" s="129"/>
      <c r="G129" s="129"/>
      <c r="H129" s="129"/>
      <c r="I129" s="129"/>
      <c r="J129" s="129"/>
      <c r="K129" s="129"/>
      <c r="L129" s="129"/>
      <c r="M129" s="129"/>
      <c r="N129" s="129"/>
      <c r="O129" s="129"/>
      <c r="P129" s="129"/>
    </row>
    <row r="130" spans="2:16">
      <c r="B130" s="1961" t="s">
        <v>6482</v>
      </c>
      <c r="C130" s="1961"/>
      <c r="D130" s="1961"/>
      <c r="E130" s="1961"/>
      <c r="G130" s="129"/>
      <c r="H130" s="129"/>
      <c r="I130" s="129"/>
      <c r="J130" s="129"/>
      <c r="K130" s="129"/>
      <c r="L130" s="129"/>
      <c r="M130" s="129"/>
      <c r="N130" s="129"/>
      <c r="O130" s="129"/>
      <c r="P130" s="129"/>
    </row>
    <row r="131" spans="2:16">
      <c r="B131" s="1961" t="s">
        <v>7099</v>
      </c>
      <c r="C131" s="1961"/>
      <c r="D131" s="1961"/>
      <c r="E131" s="1961"/>
    </row>
    <row r="132" spans="2:16">
      <c r="B132" s="1961" t="s">
        <v>6480</v>
      </c>
      <c r="C132" s="1961"/>
      <c r="D132" s="1961"/>
      <c r="E132" s="1961"/>
    </row>
    <row r="133" spans="2:16">
      <c r="B133" s="1961" t="s">
        <v>6481</v>
      </c>
      <c r="C133" s="1961"/>
      <c r="D133" s="1961"/>
      <c r="E133" s="1961"/>
    </row>
    <row r="134" spans="2:16">
      <c r="B134" s="1961"/>
      <c r="C134" s="1961"/>
      <c r="D134" s="1961"/>
      <c r="E134" s="1961"/>
    </row>
    <row r="136" spans="2:16" ht="18">
      <c r="B136" s="245" t="s">
        <v>5887</v>
      </c>
      <c r="C136" s="129" t="s">
        <v>5894</v>
      </c>
    </row>
    <row r="137" spans="2:16">
      <c r="B137" s="129" t="s">
        <v>5888</v>
      </c>
      <c r="C137" s="129" t="s">
        <v>6483</v>
      </c>
    </row>
    <row r="138" spans="2:16">
      <c r="B138" s="129" t="s">
        <v>5889</v>
      </c>
      <c r="C138" s="129" t="s">
        <v>5893</v>
      </c>
    </row>
    <row r="139" spans="2:16">
      <c r="B139" s="129" t="s">
        <v>5891</v>
      </c>
      <c r="C139" s="129" t="s">
        <v>5892</v>
      </c>
    </row>
    <row r="140" spans="2:16">
      <c r="B140" s="409"/>
      <c r="C140" s="129"/>
    </row>
    <row r="141" spans="2:16" ht="18">
      <c r="B141" s="1104" t="s">
        <v>5902</v>
      </c>
    </row>
    <row r="142" spans="2:16">
      <c r="B142" s="409" t="s">
        <v>5903</v>
      </c>
    </row>
    <row r="144" spans="2:16" ht="18">
      <c r="B144" s="1104" t="s">
        <v>6278</v>
      </c>
    </row>
    <row r="145" spans="2:5">
      <c r="B145" s="1502" t="s">
        <v>6484</v>
      </c>
      <c r="C145" s="1502"/>
      <c r="D145" s="1502"/>
      <c r="E145" s="1502"/>
    </row>
    <row r="146" spans="2:5">
      <c r="B146" s="114"/>
      <c r="C146" s="1643" t="s">
        <v>6275</v>
      </c>
      <c r="D146" s="1502"/>
      <c r="E146" s="1502"/>
    </row>
    <row r="147" spans="2:5">
      <c r="B147" s="221"/>
      <c r="C147" s="1643" t="s">
        <v>6276</v>
      </c>
      <c r="D147" s="1502"/>
      <c r="E147" s="1502"/>
    </row>
    <row r="148" spans="2:5">
      <c r="B148" s="5"/>
      <c r="C148" s="1643" t="s">
        <v>6485</v>
      </c>
      <c r="D148" s="1502"/>
      <c r="E148" s="1502"/>
    </row>
    <row r="149" spans="2:5">
      <c r="B149" s="1252"/>
      <c r="C149" s="129" t="s">
        <v>7042</v>
      </c>
    </row>
    <row r="151" spans="2:5" ht="18">
      <c r="B151" s="1104" t="s">
        <v>404</v>
      </c>
      <c r="C151" s="129"/>
    </row>
    <row r="152" spans="2:5">
      <c r="B152" s="409" t="s">
        <v>1248</v>
      </c>
      <c r="C152" s="129" t="s">
        <v>260</v>
      </c>
    </row>
    <row r="153" spans="2:5">
      <c r="B153" s="409" t="s">
        <v>1249</v>
      </c>
      <c r="C153" s="129" t="s">
        <v>36</v>
      </c>
    </row>
    <row r="154" spans="2:5">
      <c r="B154" s="409" t="s">
        <v>696</v>
      </c>
      <c r="C154" s="129" t="s">
        <v>6682</v>
      </c>
    </row>
    <row r="155" spans="2:5">
      <c r="B155" s="409" t="s">
        <v>6432</v>
      </c>
      <c r="C155" s="129" t="s">
        <v>6683</v>
      </c>
    </row>
    <row r="156" spans="2:5">
      <c r="B156" s="409" t="s">
        <v>6684</v>
      </c>
      <c r="C156" s="129" t="s">
        <v>5789</v>
      </c>
    </row>
    <row r="157" spans="2:5">
      <c r="B157" s="409" t="s">
        <v>6685</v>
      </c>
      <c r="C157" s="129" t="s">
        <v>6686</v>
      </c>
    </row>
    <row r="158" spans="2:5">
      <c r="B158" s="409" t="s">
        <v>6433</v>
      </c>
      <c r="C158" s="129" t="s">
        <v>6687</v>
      </c>
    </row>
    <row r="159" spans="2:5">
      <c r="B159" s="409" t="s">
        <v>6434</v>
      </c>
      <c r="C159" s="129" t="s">
        <v>5811</v>
      </c>
    </row>
    <row r="160" spans="2:5">
      <c r="B160" s="409" t="s">
        <v>1383</v>
      </c>
      <c r="C160" s="129" t="s">
        <v>6688</v>
      </c>
    </row>
    <row r="161" spans="2:3">
      <c r="B161" s="409" t="s">
        <v>6689</v>
      </c>
      <c r="C161" s="129" t="s">
        <v>248</v>
      </c>
    </row>
    <row r="162" spans="2:3">
      <c r="B162" s="409" t="s">
        <v>2636</v>
      </c>
      <c r="C162" s="129" t="s">
        <v>112</v>
      </c>
    </row>
    <row r="163" spans="2:3">
      <c r="B163" s="409" t="s">
        <v>2514</v>
      </c>
      <c r="C163" s="129" t="s">
        <v>6690</v>
      </c>
    </row>
    <row r="164" spans="2:3">
      <c r="B164" s="409" t="s">
        <v>6826</v>
      </c>
      <c r="C164" s="129" t="s">
        <v>6827</v>
      </c>
    </row>
    <row r="165" spans="2:3">
      <c r="B165" s="409" t="s">
        <v>6829</v>
      </c>
      <c r="C165" s="129" t="s">
        <v>6828</v>
      </c>
    </row>
    <row r="166" spans="2:3">
      <c r="B166" s="409" t="s">
        <v>6830</v>
      </c>
      <c r="C166" s="129" t="s">
        <v>7191</v>
      </c>
    </row>
    <row r="167" spans="2:3">
      <c r="B167" s="409"/>
      <c r="C167" s="129"/>
    </row>
    <row r="168" spans="2:3">
      <c r="B168" s="409"/>
      <c r="C168" s="129"/>
    </row>
    <row r="169" spans="2:3">
      <c r="B169" s="409"/>
      <c r="C169" s="129"/>
    </row>
    <row r="172" spans="2:3" ht="18">
      <c r="B172" s="334" t="s">
        <v>6489</v>
      </c>
    </row>
    <row r="173" spans="2:3">
      <c r="B173" t="s">
        <v>6490</v>
      </c>
    </row>
    <row r="174" spans="2:3">
      <c r="B174" t="s">
        <v>6491</v>
      </c>
    </row>
    <row r="175" spans="2:3">
      <c r="B175" t="s">
        <v>6495</v>
      </c>
    </row>
    <row r="176" spans="2:3">
      <c r="B176" t="s">
        <v>6492</v>
      </c>
    </row>
    <row r="177" spans="2:2">
      <c r="B177" t="s">
        <v>6496</v>
      </c>
    </row>
    <row r="178" spans="2:2">
      <c r="B178" t="s">
        <v>6493</v>
      </c>
    </row>
    <row r="179" spans="2:2">
      <c r="B179" t="s">
        <v>6494</v>
      </c>
    </row>
  </sheetData>
  <mergeCells count="481">
    <mergeCell ref="SB25:SH25"/>
    <mergeCell ref="SG3:SG4"/>
    <mergeCell ref="OG3:OG4"/>
    <mergeCell ref="SI4:SJ4"/>
    <mergeCell ref="SA5:SB5"/>
    <mergeCell ref="SC5:SE5"/>
    <mergeCell ref="SI6:SJ6"/>
    <mergeCell ref="SA19:SA20"/>
    <mergeCell ref="SC19:SC20"/>
    <mergeCell ref="SB22:SG22"/>
    <mergeCell ref="SB23:SG23"/>
    <mergeCell ref="SB24:SH24"/>
    <mergeCell ref="RB10:RE10"/>
    <mergeCell ref="RB23:RG23"/>
    <mergeCell ref="RB19:RG19"/>
    <mergeCell ref="RB21:RG21"/>
    <mergeCell ref="RB25:RG25"/>
    <mergeCell ref="PB17:PF17"/>
    <mergeCell ref="PB19:PF19"/>
    <mergeCell ref="QA3:QB3"/>
    <mergeCell ref="QB9:QE9"/>
    <mergeCell ref="QB10:QE10"/>
    <mergeCell ref="QB11:QE11"/>
    <mergeCell ref="QB12:QE12"/>
    <mergeCell ref="RB36:RI36"/>
    <mergeCell ref="RB37:RI37"/>
    <mergeCell ref="RB22:RG22"/>
    <mergeCell ref="RB24:RG24"/>
    <mergeCell ref="NB23:NI23"/>
    <mergeCell ref="JB26:JI26"/>
    <mergeCell ref="SA3:SB3"/>
    <mergeCell ref="SF3:SF4"/>
    <mergeCell ref="SI3:SJ3"/>
    <mergeCell ref="SB4:SD4"/>
    <mergeCell ref="RB26:RG26"/>
    <mergeCell ref="RB27:RI27"/>
    <mergeCell ref="RB28:RI28"/>
    <mergeCell ref="RB30:RI30"/>
    <mergeCell ref="RB31:RI31"/>
    <mergeCell ref="RB32:RC32"/>
    <mergeCell ref="RB33:RI33"/>
    <mergeCell ref="RB34:RI34"/>
    <mergeCell ref="RB35:RC35"/>
    <mergeCell ref="QB25:QG25"/>
    <mergeCell ref="PE5:PE6"/>
    <mergeCell ref="QB19:QG19"/>
    <mergeCell ref="RA3:RB3"/>
    <mergeCell ref="RB9:RE9"/>
    <mergeCell ref="QB13:QE13"/>
    <mergeCell ref="QB14:QF14"/>
    <mergeCell ref="QB15:QE15"/>
    <mergeCell ref="QB16:QE16"/>
    <mergeCell ref="QB18:QG18"/>
    <mergeCell ref="PG4:PH4"/>
    <mergeCell ref="PG5:PH5"/>
    <mergeCell ref="PG7:PH7"/>
    <mergeCell ref="PG9:PH9"/>
    <mergeCell ref="PG13:PH13"/>
    <mergeCell ref="PB8:PC8"/>
    <mergeCell ref="PB10:PC10"/>
    <mergeCell ref="PE7:PE10"/>
    <mergeCell ref="PB12:PD12"/>
    <mergeCell ref="PG11:PH11"/>
    <mergeCell ref="PG12:PH12"/>
    <mergeCell ref="PG3:PH3"/>
    <mergeCell ref="PB4:PC4"/>
    <mergeCell ref="PB5:PC5"/>
    <mergeCell ref="PB6:PC6"/>
    <mergeCell ref="PB7:PC7"/>
    <mergeCell ref="PB9:PC9"/>
    <mergeCell ref="PA3:PC3"/>
    <mergeCell ref="NB33:NI33"/>
    <mergeCell ref="NB34:NI34"/>
    <mergeCell ref="OB4:OD4"/>
    <mergeCell ref="OF3:OF4"/>
    <mergeCell ref="KF4:KF5"/>
    <mergeCell ref="KG4:KG5"/>
    <mergeCell ref="OA5:OB5"/>
    <mergeCell ref="OC5:OE5"/>
    <mergeCell ref="OA19:OA20"/>
    <mergeCell ref="OC19:OC20"/>
    <mergeCell ref="NB27:NI27"/>
    <mergeCell ref="NB28:NI28"/>
    <mergeCell ref="NB29:NC29"/>
    <mergeCell ref="NB30:NI30"/>
    <mergeCell ref="NB31:NI31"/>
    <mergeCell ref="NB32:NC32"/>
    <mergeCell ref="KB27:KG27"/>
    <mergeCell ref="KB29:KG29"/>
    <mergeCell ref="KB32:KG32"/>
    <mergeCell ref="KB30:KG30"/>
    <mergeCell ref="KB31:KG31"/>
    <mergeCell ref="KA4:KB4"/>
    <mergeCell ref="KC4:KD4"/>
    <mergeCell ref="KA5:KD5"/>
    <mergeCell ref="JB31:JI31"/>
    <mergeCell ref="JL3:JM3"/>
    <mergeCell ref="JB33:JI33"/>
    <mergeCell ref="JB34:JI34"/>
    <mergeCell ref="JB36:JI36"/>
    <mergeCell ref="JB37:JI37"/>
    <mergeCell ref="JB32:JC32"/>
    <mergeCell ref="JB35:JC35"/>
    <mergeCell ref="JB28:JI28"/>
    <mergeCell ref="JB30:JI30"/>
    <mergeCell ref="JB25:JI25"/>
    <mergeCell ref="JB22:JI22"/>
    <mergeCell ref="JB23:JI23"/>
    <mergeCell ref="JB24:JI24"/>
    <mergeCell ref="JB27:JI27"/>
    <mergeCell ref="JA4:JB4"/>
    <mergeCell ref="JC4:JE4"/>
    <mergeCell ref="JB20:JI20"/>
    <mergeCell ref="JB21:JI21"/>
    <mergeCell ref="JB19:JJ19"/>
    <mergeCell ref="JB14:JE14"/>
    <mergeCell ref="JB15:JE15"/>
    <mergeCell ref="DZ33:EG33"/>
    <mergeCell ref="DZ32:EG32"/>
    <mergeCell ref="EG6:EH6"/>
    <mergeCell ref="EG7:EH7"/>
    <mergeCell ref="EG8:EH8"/>
    <mergeCell ref="EG9:EH9"/>
    <mergeCell ref="EG10:EH10"/>
    <mergeCell ref="EG11:EH11"/>
    <mergeCell ref="EG12:EH12"/>
    <mergeCell ref="EG13:EH13"/>
    <mergeCell ref="EG14:EH14"/>
    <mergeCell ref="EG15:EH15"/>
    <mergeCell ref="DZ31:EG31"/>
    <mergeCell ref="DZ30:EG30"/>
    <mergeCell ref="DZ25:EF25"/>
    <mergeCell ref="DZ26:EF26"/>
    <mergeCell ref="DZ27:EF27"/>
    <mergeCell ref="DZ29:EF29"/>
    <mergeCell ref="DZ28:EF28"/>
    <mergeCell ref="DA23:DE23"/>
    <mergeCell ref="DA26:DE26"/>
    <mergeCell ref="DA20:DE20"/>
    <mergeCell ref="DA21:DE21"/>
    <mergeCell ref="DA28:DE28"/>
    <mergeCell ref="DA24:DE24"/>
    <mergeCell ref="CZ25:CZ28"/>
    <mergeCell ref="DZ20:EF20"/>
    <mergeCell ref="DZ21:EF21"/>
    <mergeCell ref="DZ22:EF22"/>
    <mergeCell ref="DZ23:EF23"/>
    <mergeCell ref="DA25:DE25"/>
    <mergeCell ref="DA27:DE27"/>
    <mergeCell ref="BB23:BH23"/>
    <mergeCell ref="BB24:BH24"/>
    <mergeCell ref="CB7:CH7"/>
    <mergeCell ref="CB8:CH8"/>
    <mergeCell ref="CB9:CH9"/>
    <mergeCell ref="CB10:CH10"/>
    <mergeCell ref="CB11:CH11"/>
    <mergeCell ref="CB12:CH12"/>
    <mergeCell ref="CB13:CH13"/>
    <mergeCell ref="CB14:CH14"/>
    <mergeCell ref="CB16:CF16"/>
    <mergeCell ref="CB18:CG18"/>
    <mergeCell ref="CB19:CG19"/>
    <mergeCell ref="CB20:CG20"/>
    <mergeCell ref="CB21:CG21"/>
    <mergeCell ref="CB22:CH22"/>
    <mergeCell ref="CB23:CH23"/>
    <mergeCell ref="LB21:LI21"/>
    <mergeCell ref="LB22:LI22"/>
    <mergeCell ref="LH7:LI7"/>
    <mergeCell ref="LH6:LI6"/>
    <mergeCell ref="LH9:LI9"/>
    <mergeCell ref="LB7:LC7"/>
    <mergeCell ref="LF6:LF7"/>
    <mergeCell ref="AB19:AF19"/>
    <mergeCell ref="AB20:AF20"/>
    <mergeCell ref="AB21:AF21"/>
    <mergeCell ref="BB7:BH7"/>
    <mergeCell ref="BB8:BH8"/>
    <mergeCell ref="BB9:BH9"/>
    <mergeCell ref="BB10:BH10"/>
    <mergeCell ref="BB11:BH11"/>
    <mergeCell ref="BB12:BH12"/>
    <mergeCell ref="BB13:BH13"/>
    <mergeCell ref="BB14:BH14"/>
    <mergeCell ref="BB16:BI16"/>
    <mergeCell ref="BB18:BH18"/>
    <mergeCell ref="BB19:BH19"/>
    <mergeCell ref="BB20:BH20"/>
    <mergeCell ref="BB21:BH21"/>
    <mergeCell ref="BB22:BH22"/>
    <mergeCell ref="KB23:KG23"/>
    <mergeCell ref="KB24:KG24"/>
    <mergeCell ref="KB20:KG20"/>
    <mergeCell ref="KB21:KG21"/>
    <mergeCell ref="KB22:KG22"/>
    <mergeCell ref="KB28:KG28"/>
    <mergeCell ref="KB25:KG25"/>
    <mergeCell ref="KB26:KG26"/>
    <mergeCell ref="KB17:KB18"/>
    <mergeCell ref="KD17:KD18"/>
    <mergeCell ref="LB20:LI20"/>
    <mergeCell ref="LH11:LI11"/>
    <mergeCell ref="LH12:LI12"/>
    <mergeCell ref="LB12:LE12"/>
    <mergeCell ref="LB11:LE11"/>
    <mergeCell ref="LB6:LE6"/>
    <mergeCell ref="MB15:ME15"/>
    <mergeCell ref="MB9:ME9"/>
    <mergeCell ref="MB10:ME10"/>
    <mergeCell ref="MB11:ME11"/>
    <mergeCell ref="MB12:ME12"/>
    <mergeCell ref="MB13:ME13"/>
    <mergeCell ref="MB16:ME16"/>
    <mergeCell ref="MB18:MG18"/>
    <mergeCell ref="MB20:MG20"/>
    <mergeCell ref="MA3:MB3"/>
    <mergeCell ref="KC6:KE6"/>
    <mergeCell ref="KF6:KG6"/>
    <mergeCell ref="KF7:KG7"/>
    <mergeCell ref="LB5:LE5"/>
    <mergeCell ref="NA3:NB3"/>
    <mergeCell ref="NB16:NE16"/>
    <mergeCell ref="LA3:LB3"/>
    <mergeCell ref="NB12:NE12"/>
    <mergeCell ref="LB4:LC4"/>
    <mergeCell ref="LH4:LI4"/>
    <mergeCell ref="LH3:LI3"/>
    <mergeCell ref="KI3:KJ3"/>
    <mergeCell ref="KI4:KJ4"/>
    <mergeCell ref="KI5:KJ5"/>
    <mergeCell ref="KI6:KJ6"/>
    <mergeCell ref="IB7:IE7"/>
    <mergeCell ref="IB8:IE8"/>
    <mergeCell ref="IB9:IE9"/>
    <mergeCell ref="IB10:IE10"/>
    <mergeCell ref="LB9:LF9"/>
    <mergeCell ref="LD8:LE8"/>
    <mergeCell ref="LF10:LF11"/>
    <mergeCell ref="LB10:LE10"/>
    <mergeCell ref="KE2:KF2"/>
    <mergeCell ref="KA3:KB3"/>
    <mergeCell ref="KA6:KB6"/>
    <mergeCell ref="KC2:KD2"/>
    <mergeCell ref="JB11:JE11"/>
    <mergeCell ref="IB11:IE11"/>
    <mergeCell ref="AB27:AF27"/>
    <mergeCell ref="AB28:AF28"/>
    <mergeCell ref="AB29:AF29"/>
    <mergeCell ref="AB30:AF30"/>
    <mergeCell ref="HB24:HG24"/>
    <mergeCell ref="AF9:AG9"/>
    <mergeCell ref="AF12:AG12"/>
    <mergeCell ref="FC16:FC17"/>
    <mergeCell ref="AF7:AG7"/>
    <mergeCell ref="CZ14:CZ15"/>
    <mergeCell ref="DY17:DY18"/>
    <mergeCell ref="HB9:HC9"/>
    <mergeCell ref="HF9:HG9"/>
    <mergeCell ref="HB15:HG15"/>
    <mergeCell ref="HB17:HG17"/>
    <mergeCell ref="HB18:HG18"/>
    <mergeCell ref="HB21:HG21"/>
    <mergeCell ref="HB20:HG20"/>
    <mergeCell ref="HB11:HC11"/>
    <mergeCell ref="EC17:EC18"/>
    <mergeCell ref="DA22:DE22"/>
    <mergeCell ref="FB26:FG26"/>
    <mergeCell ref="FB27:FG27"/>
    <mergeCell ref="HD6:HD7"/>
    <mergeCell ref="HA3:HB3"/>
    <mergeCell ref="HF3:HG3"/>
    <mergeCell ref="HB4:HC4"/>
    <mergeCell ref="HB6:HC6"/>
    <mergeCell ref="HF6:HG6"/>
    <mergeCell ref="HB7:HC7"/>
    <mergeCell ref="HF7:HG7"/>
    <mergeCell ref="HB10:HC10"/>
    <mergeCell ref="HF10:HG10"/>
    <mergeCell ref="HB8:HC8"/>
    <mergeCell ref="HF8:HG8"/>
    <mergeCell ref="HF4:HG4"/>
    <mergeCell ref="HB5:HC5"/>
    <mergeCell ref="HF5:HG5"/>
    <mergeCell ref="HD8:HD10"/>
    <mergeCell ref="FC2:FD2"/>
    <mergeCell ref="FE2:FF2"/>
    <mergeCell ref="FE3:FG3"/>
    <mergeCell ref="EG4:EH4"/>
    <mergeCell ref="FE5:FF5"/>
    <mergeCell ref="FA3:FB3"/>
    <mergeCell ref="FA5:FB5"/>
    <mergeCell ref="DY3:DZ3"/>
    <mergeCell ref="EG3:EH3"/>
    <mergeCell ref="FC5:FD5"/>
    <mergeCell ref="CZ3:DA3"/>
    <mergeCell ref="DE3:DF3"/>
    <mergeCell ref="DB4:DC4"/>
    <mergeCell ref="DB5:DC5"/>
    <mergeCell ref="EA17:EA18"/>
    <mergeCell ref="AA3:AB3"/>
    <mergeCell ref="AF3:AG3"/>
    <mergeCell ref="AF6:AG6"/>
    <mergeCell ref="AF11:AG11"/>
    <mergeCell ref="AB9:AC9"/>
    <mergeCell ref="AB10:AC10"/>
    <mergeCell ref="AB4:AC4"/>
    <mergeCell ref="AB6:AC6"/>
    <mergeCell ref="AF10:AG10"/>
    <mergeCell ref="AD4:AD6"/>
    <mergeCell ref="AB7:AC7"/>
    <mergeCell ref="AF8:AG8"/>
    <mergeCell ref="AD7:AD9"/>
    <mergeCell ref="AD10:AD12"/>
    <mergeCell ref="AB17:AF17"/>
    <mergeCell ref="AB18:AF18"/>
    <mergeCell ref="IH1:II1"/>
    <mergeCell ref="B66:E66"/>
    <mergeCell ref="B68:E68"/>
    <mergeCell ref="B67:E67"/>
    <mergeCell ref="B71:E71"/>
    <mergeCell ref="B72:E72"/>
    <mergeCell ref="B73:E73"/>
    <mergeCell ref="B65:E65"/>
    <mergeCell ref="B70:E70"/>
    <mergeCell ref="FT1:FV1"/>
    <mergeCell ref="AB16:AF16"/>
    <mergeCell ref="AB15:AF15"/>
    <mergeCell ref="AB14:AF14"/>
    <mergeCell ref="DB14:DC15"/>
    <mergeCell ref="AF4:AG4"/>
    <mergeCell ref="AB5:AC5"/>
    <mergeCell ref="AF5:AG5"/>
    <mergeCell ref="AB11:AC11"/>
    <mergeCell ref="CZ6:DC6"/>
    <mergeCell ref="DB7:DC12"/>
    <mergeCell ref="DA17:DE17"/>
    <mergeCell ref="DA18:DE18"/>
    <mergeCell ref="FB4:FD4"/>
    <mergeCell ref="FF4:FG4"/>
    <mergeCell ref="B75:E75"/>
    <mergeCell ref="B76:E76"/>
    <mergeCell ref="B77:E77"/>
    <mergeCell ref="B78:E78"/>
    <mergeCell ref="B80:E80"/>
    <mergeCell ref="B82:E82"/>
    <mergeCell ref="B83:E83"/>
    <mergeCell ref="B84:E84"/>
    <mergeCell ref="B86:E86"/>
    <mergeCell ref="B109:E109"/>
    <mergeCell ref="B90:E90"/>
    <mergeCell ref="B92:E92"/>
    <mergeCell ref="B93:E93"/>
    <mergeCell ref="B94:E94"/>
    <mergeCell ref="B95:E95"/>
    <mergeCell ref="B81:E81"/>
    <mergeCell ref="B87:E87"/>
    <mergeCell ref="B88:E88"/>
    <mergeCell ref="B89:E89"/>
    <mergeCell ref="B132:E132"/>
    <mergeCell ref="B133:E133"/>
    <mergeCell ref="B134:E134"/>
    <mergeCell ref="B131:E131"/>
    <mergeCell ref="B145:E145"/>
    <mergeCell ref="C146:E146"/>
    <mergeCell ref="C147:E147"/>
    <mergeCell ref="C148:E148"/>
    <mergeCell ref="B125:E125"/>
    <mergeCell ref="B126:E126"/>
    <mergeCell ref="B127:E127"/>
    <mergeCell ref="JI1:JJ1"/>
    <mergeCell ref="B130:E130"/>
    <mergeCell ref="B117:E117"/>
    <mergeCell ref="B118:E118"/>
    <mergeCell ref="B119:E119"/>
    <mergeCell ref="B120:E120"/>
    <mergeCell ref="B121:E121"/>
    <mergeCell ref="B122:E122"/>
    <mergeCell ref="B110:E110"/>
    <mergeCell ref="B111:E111"/>
    <mergeCell ref="B112:E112"/>
    <mergeCell ref="B113:E113"/>
    <mergeCell ref="B114:E114"/>
    <mergeCell ref="B102:E102"/>
    <mergeCell ref="B103:E103"/>
    <mergeCell ref="B104:E104"/>
    <mergeCell ref="B105:E105"/>
    <mergeCell ref="B97:E97"/>
    <mergeCell ref="B98:E98"/>
    <mergeCell ref="B99:E99"/>
    <mergeCell ref="B100:E100"/>
    <mergeCell ref="B101:E101"/>
    <mergeCell ref="B107:E107"/>
    <mergeCell ref="B108:E108"/>
    <mergeCell ref="FB36:FG36"/>
    <mergeCell ref="FA16:FA17"/>
    <mergeCell ref="FI3:FJ3"/>
    <mergeCell ref="FI8:FJ8"/>
    <mergeCell ref="FI9:FJ9"/>
    <mergeCell ref="FI10:FJ10"/>
    <mergeCell ref="FI11:FJ11"/>
    <mergeCell ref="FI4:FJ4"/>
    <mergeCell ref="FB20:FG20"/>
    <mergeCell ref="FB22:FG22"/>
    <mergeCell ref="FB23:FG23"/>
    <mergeCell ref="FC6:FD6"/>
    <mergeCell ref="FE6:FF6"/>
    <mergeCell ref="FG16:FG17"/>
    <mergeCell ref="FE16:FE17"/>
    <mergeCell ref="FB19:FG19"/>
    <mergeCell ref="FB25:FG25"/>
    <mergeCell ref="FB24:FG24"/>
    <mergeCell ref="FB34:FG34"/>
    <mergeCell ref="FB35:FG35"/>
    <mergeCell ref="FB28:FG28"/>
    <mergeCell ref="FB29:FG29"/>
    <mergeCell ref="FB31:FG31"/>
    <mergeCell ref="FB32:FG32"/>
    <mergeCell ref="FB33:FG33"/>
    <mergeCell ref="FB30:FG30"/>
    <mergeCell ref="HF11:HG11"/>
    <mergeCell ref="HB12:HC12"/>
    <mergeCell ref="HF12:HG12"/>
    <mergeCell ref="HD11:HD12"/>
    <mergeCell ref="HF13:HG13"/>
    <mergeCell ref="HB26:HG26"/>
    <mergeCell ref="HB27:HG27"/>
    <mergeCell ref="HB19:HG19"/>
    <mergeCell ref="HB13:HC13"/>
    <mergeCell ref="HB25:HG25"/>
    <mergeCell ref="IB22:II22"/>
    <mergeCell ref="IB23:II23"/>
    <mergeCell ref="IB24:II24"/>
    <mergeCell ref="IB12:IE12"/>
    <mergeCell ref="IB13:IE13"/>
    <mergeCell ref="IB16:II16"/>
    <mergeCell ref="IB18:II18"/>
    <mergeCell ref="MB22:MG22"/>
    <mergeCell ref="MB25:MG25"/>
    <mergeCell ref="MB24:MG24"/>
    <mergeCell ref="MB23:MG23"/>
    <mergeCell ref="MB21:MG21"/>
    <mergeCell ref="MB14:MF14"/>
    <mergeCell ref="LB17:LH17"/>
    <mergeCell ref="IB19:II19"/>
    <mergeCell ref="IB20:II20"/>
    <mergeCell ref="IB21:II21"/>
    <mergeCell ref="IB14:IE14"/>
    <mergeCell ref="JB17:JE17"/>
    <mergeCell ref="JB18:JE18"/>
    <mergeCell ref="LB19:LH19"/>
    <mergeCell ref="JB16:JE16"/>
    <mergeCell ref="JB12:JE12"/>
    <mergeCell ref="JB13:JE13"/>
    <mergeCell ref="MB26:MG26"/>
    <mergeCell ref="NB9:NE9"/>
    <mergeCell ref="NB10:NE10"/>
    <mergeCell ref="NB11:NE11"/>
    <mergeCell ref="NB13:NE13"/>
    <mergeCell ref="NB15:NE15"/>
    <mergeCell ref="NB18:NG18"/>
    <mergeCell ref="NB20:NG20"/>
    <mergeCell ref="NB21:NG21"/>
    <mergeCell ref="NB22:NG22"/>
    <mergeCell ref="NB24:NI24"/>
    <mergeCell ref="NB25:NI25"/>
    <mergeCell ref="NB19:NG19"/>
    <mergeCell ref="NB14:NE14"/>
    <mergeCell ref="OB27:OH27"/>
    <mergeCell ref="OB28:OH28"/>
    <mergeCell ref="OB29:OH29"/>
    <mergeCell ref="OB30:OH30"/>
    <mergeCell ref="OB31:OH31"/>
    <mergeCell ref="OB22:OG22"/>
    <mergeCell ref="OB23:OG23"/>
    <mergeCell ref="OA3:OB3"/>
    <mergeCell ref="OI3:OJ3"/>
    <mergeCell ref="OI4:OJ4"/>
    <mergeCell ref="OI6:OJ6"/>
    <mergeCell ref="OB24:OH24"/>
    <mergeCell ref="OB25:OH25"/>
    <mergeCell ref="OB26:OH26"/>
  </mergeCells>
  <phoneticPr fontId="8" type="noConversion"/>
  <conditionalFormatting sqref="E17">
    <cfRule type="duplicateValues" dxfId="7" priority="65"/>
  </conditionalFormatting>
  <conditionalFormatting sqref="D4:D9 D14 C10:E12 D15:E16 D13:E13 D17:D18 D19:E20 D21:D50">
    <cfRule type="duplicateValues" dxfId="6" priority="66"/>
  </conditionalFormatting>
  <conditionalFormatting sqref="E21">
    <cfRule type="duplicateValues" dxfId="5" priority="1"/>
  </conditionalFormatting>
  <hyperlinks>
    <hyperlink ref="HE1" location="Finance_Accounts!C11" display="Contents" xr:uid="{2195FF14-AC02-4A7D-B48B-F224AC12AC15}"/>
    <hyperlink ref="F4" location="$AE$1" display="$AE$1" xr:uid="{CB58C71A-FE07-4162-A382-0F2FE0E6606C}"/>
    <hyperlink ref="CD1" location="C6" display="C6" xr:uid="{2DF99012-5251-430B-B71C-15F8C03553BF}"/>
    <hyperlink ref="AE1" location="C4" display="C4" xr:uid="{79A69430-F726-4143-9DC1-E13C66E10C0B}"/>
    <hyperlink ref="BE1" location="C5" display="C5" xr:uid="{3B1768D9-9E7F-4D71-A21F-A1634A5F14F3}"/>
    <hyperlink ref="F6" location="$CE$1" display="$CE$1" xr:uid="{0C6ED0A2-4877-4D61-98DF-7D72A68534F1}"/>
    <hyperlink ref="F8" location="Finance_Accounts!EE1" display="Display" xr:uid="{EB1A0F41-5BDC-4E58-8977-35C32682D5A7}"/>
    <hyperlink ref="F12" location="Finance_Accounts!JE1" display="Display" xr:uid="{D8A237BC-70AE-4D56-A32F-8F094F946219}"/>
    <hyperlink ref="F11" location="Finance_Accounts!IE1" display="Display" xr:uid="{F4D2053E-5019-43CD-89CD-607D82D13154}"/>
    <hyperlink ref="F13" location="Finance_Accounts!ME1" display="Display" xr:uid="{F2447FDA-7F47-4FC2-940E-8A82B68F4D99}"/>
    <hyperlink ref="F14" location="Finance_Accounts!LE1" display="Display" xr:uid="{0D6DC417-0A92-4C6E-8E2C-EF10702F4600}"/>
    <hyperlink ref="F16" location="Finance_Accounts!NE1" display="Display" xr:uid="{5934E117-1ED0-416F-B811-CD30F7E6B8B4}"/>
    <hyperlink ref="F17" location="Finance_Accounts!OE1" display="Display" xr:uid="{BB5F4AC3-FF3B-484F-8BE6-78E1738C8E40}"/>
    <hyperlink ref="F23" location="$OE$1" display="$OE$1" xr:uid="{204BBD49-9DCF-4396-A04B-F06C867CC307}"/>
    <hyperlink ref="F25" location="$QE$1" display="$QE$1" xr:uid="{E9F0D907-DCC9-49EA-AF70-1AEE7A5EB53B}"/>
    <hyperlink ref="F26" location="$RE$1" display="$RE$1" xr:uid="{86891B76-8E89-4C89-AEF1-9862B0AD321E}"/>
    <hyperlink ref="F29" location="$UE$1" display="$UE$1" xr:uid="{8616E6CD-CC3F-4E0C-9BEC-C562C1DE49F3}"/>
    <hyperlink ref="F28" location="$TE$1" display="$TE$1" xr:uid="{74709862-7E51-4511-906A-D8ADC8F79C28}"/>
    <hyperlink ref="F30" location="$VE$1" display="$VE$1" xr:uid="{294DDF6E-61E4-44AE-A31B-D0F1B3DDD25C}"/>
    <hyperlink ref="F46" location="$ARE$1" display="$ARE$1" xr:uid="{8813D1D4-2A0D-4FCF-B66F-2814D0487057}"/>
    <hyperlink ref="F47" location="$ASE$1" display="$ASE$1" xr:uid="{12826005-9D4D-4A67-BDD5-E237D047F34F}"/>
    <hyperlink ref="F49" location="$AUE$1" display="$AUE$1" xr:uid="{F1D1F93C-A070-4C65-B436-21DECBC1E76E}"/>
    <hyperlink ref="F5" location="$BE$1" display="$BE$1" xr:uid="{803971B5-BE90-4DB1-AD50-D2549F7BAFF5}"/>
    <hyperlink ref="F10" location="Finance_Accounts!HE1" display="Display" xr:uid="{10592327-E2FF-4D7D-9623-DD2BC0852D71}"/>
    <hyperlink ref="IE1" location="C9" display="C9" xr:uid="{B429908D-6368-4FCC-830A-7BAF3DAA5573}"/>
    <hyperlink ref="JE1" location="Finance_Accounts!C13" display="Contents" xr:uid="{FD93CF12-4F31-4FA5-8555-2B610B5AFEFC}"/>
    <hyperlink ref="LE1" location="Finance_Accounts!C16" display="Contents" xr:uid="{B0AFE4AD-35DF-41C5-8D66-E2EABBBF8809}"/>
    <hyperlink ref="F15" location="Finance_Accounts!ME1" display="Display" xr:uid="{5F99F73A-D38E-46E8-A30F-420D77C84AB5}"/>
    <hyperlink ref="ME1" location="Finance_Accounts!C17" display="Contents" xr:uid="{2D4E712F-5B71-4E75-9D3E-C3BEF2E0CE08}"/>
    <hyperlink ref="OE1" location="Finance_Accounts!C17" display="Contents" xr:uid="{AB23FBB1-F95F-4089-AA81-C032C5AD7AD8}"/>
    <hyperlink ref="TE1" location="C17" display="C17" xr:uid="{B6D01C6B-AE02-4D6B-9224-C1FC0525832F}"/>
    <hyperlink ref="UE1" location="C18" display="C18" xr:uid="{63961CC8-ED22-41C9-B048-E387D1301344}"/>
    <hyperlink ref="F24" location="$PE$1" display="$PE$1" xr:uid="{9C7AF439-055C-4B3A-92EE-90337485D1F7}"/>
    <hyperlink ref="VE1" location="C19" display="C19" xr:uid="{F8B4BBF3-CCEE-42A0-A142-6518AF1F10C6}"/>
    <hyperlink ref="WC1" location="C20" display="C20" xr:uid="{FEA068F7-2FAE-4F30-A148-49FA76B1FAF1}"/>
    <hyperlink ref="XE1" location="C21" display="C21" xr:uid="{60B3A084-327F-4FC7-961C-B562097F9C81}"/>
    <hyperlink ref="F27" location="$SE$1" display="$SE$1" xr:uid="{19C8F5E0-F545-4BBA-ACEA-E92A4179280F}"/>
    <hyperlink ref="YE1" location="C22" display="C22" xr:uid="{7F805B6E-51AF-4E62-A6DB-6332AA99E132}"/>
    <hyperlink ref="ZE1" location="C23" display="C23" xr:uid="{AB5BF776-A19E-4100-8174-D0405E2A4D84}"/>
    <hyperlink ref="AAE1" location="C24" display="C24" xr:uid="{4C2C1069-2E81-49C9-AEB0-1A3E69C2DA54}"/>
    <hyperlink ref="ABE1" location="C25" display="C25" xr:uid="{C317E38E-F42F-44C9-A14F-35C1DC4A352F}"/>
    <hyperlink ref="F31" location="$WE$1" display="$WE$1" xr:uid="{94D9A842-324D-489E-AB64-FA3D01164546}"/>
    <hyperlink ref="ACE1" location="C26" display="C26" xr:uid="{E093831A-6F19-4D89-98F4-227F8EF8CCFA}"/>
    <hyperlink ref="F32" location="$XE$1" display="$XE$1" xr:uid="{85F283E4-0A80-40EE-BD9F-0511A416EDD9}"/>
    <hyperlink ref="ADE1" location="C27" display="C27" xr:uid="{5CFB6EFC-EDA7-4097-8959-AB362499333A}"/>
    <hyperlink ref="F33" location="Finance_Accounts!ABE1" display="Display" xr:uid="{49980682-5439-43D1-B5AE-BB65B35BE980}"/>
    <hyperlink ref="AEE1" location="Finance_Accounts!C30" display="Contents" xr:uid="{7A6D8E45-C660-4B05-8D45-6C4073420B72}"/>
    <hyperlink ref="F34" location="Finance_Accounts!ACE1" display="Display" xr:uid="{6B37D256-C7C9-4CA1-9DA5-0EEFDA80B64C}"/>
    <hyperlink ref="AFE1" location="Finance_Accounts!C31" display="Contents" xr:uid="{8F302472-6A2C-403C-BF88-DD1AA8AAF782}"/>
    <hyperlink ref="F35" location="Finance_Accounts!ADE1" display="Display" xr:uid="{8A4083EB-3111-447C-B037-F9C47CF13E7F}"/>
    <hyperlink ref="AGE1" location="Finance_Accounts!C32" display="Contents" xr:uid="{5A90C290-6327-4085-9202-D0FFBCF64330}"/>
    <hyperlink ref="F36" location="Finance_Accounts!AEE1" display="Display" xr:uid="{10C23876-ADEF-4FFB-8881-52097AFDCC36}"/>
    <hyperlink ref="AHE1" location="Finance_Accounts!C33" display="Contents" xr:uid="{F3AA3793-0091-432F-A36C-180D3F9A9415}"/>
    <hyperlink ref="AIE1" location="C38" display="C38" xr:uid="{5BD83141-5CA6-4074-AFCA-8B2ACA5D336D}"/>
    <hyperlink ref="F48" location="$ATE$1" display="$ATE$1" xr:uid="{A62E281E-1B88-427A-B0AD-4D9E42EA77EF}"/>
    <hyperlink ref="AJE1" location="C39" display="C39" xr:uid="{2CE1E196-F1C2-46F1-BA47-D6E09E128928}"/>
    <hyperlink ref="AKE1" location="C40" display="C40" xr:uid="{FA62973A-2E11-488C-B43A-72883AED18BB}"/>
    <hyperlink ref="ALE1" location="C41" display="C41" xr:uid="{E16C483A-3F78-4D38-9DB5-947DF09766AC}"/>
    <hyperlink ref="F37:F45" location="$ACE$1" display="$ACE$1" xr:uid="{5D51BD3A-E49E-4025-AC94-B5CF6B7DCE85}"/>
    <hyperlink ref="F37" location="$AIE$1" display="$AIE$1" xr:uid="{86164C80-E410-4243-BB7B-4735672F0CDE}"/>
    <hyperlink ref="F38" location="$AJE$1" display="$AJE$1" xr:uid="{646B72E6-89EC-4CD0-AE20-AD34C6034F42}"/>
    <hyperlink ref="F39" location="$AKE$1" display="$AKE$1" xr:uid="{C1826D55-3D4F-4E8B-9BDF-78610E8EC457}"/>
    <hyperlink ref="F40" location="$ALE$1" display="$ALE$1" xr:uid="{E8A3334F-0D6E-4FB9-9CA5-35230E2C3CA9}"/>
    <hyperlink ref="F41" location="$AME$1" display="$AME$1" xr:uid="{90E3DAE9-E045-4F33-95F7-94AC1C573F07}"/>
    <hyperlink ref="AME1" location="C42" display="C42" xr:uid="{F2330948-53CC-4E3F-AF1B-1E3B1B4397D9}"/>
    <hyperlink ref="F42" location="$ANE$1" display="$ANE$1" xr:uid="{3C92E3E9-8EE5-4753-BB74-F4AFCCFB9B18}"/>
    <hyperlink ref="ANE1" location="C43" display="C43" xr:uid="{E1656E97-A2E3-40F5-9AB8-9F162935C7DE}"/>
    <hyperlink ref="F43" location="$AOE$1" display="$AOE$1" xr:uid="{3A48CC54-57F5-4AAF-AEA1-7CD8EECB6906}"/>
    <hyperlink ref="AOE1" location="C44" display="C44" xr:uid="{9D2DDCF3-A31D-4BD4-8D58-36314014C17B}"/>
    <hyperlink ref="F44" location="$APE$1" display="$APE$1" xr:uid="{1E871D44-C01F-4819-A875-F267DB8D7ABA}"/>
    <hyperlink ref="APE1" location="C45" display="C45" xr:uid="{0A313575-1754-4538-82FC-399F6FC1EEFA}"/>
    <hyperlink ref="F45" location="$AQE$1" display="$AQE$1" xr:uid="{963327B4-D749-4A29-AECB-8F2CEC7E1FF3}"/>
    <hyperlink ref="AQE1" location="C46" display="C46" xr:uid="{2AF82809-BB32-4492-88E1-C0A686540F21}"/>
    <hyperlink ref="ARE1" location="C47" display="C47" xr:uid="{48C468FF-D370-49C8-A320-E453377C9967}"/>
    <hyperlink ref="ASE1" location="C48" display="C48" xr:uid="{7CF76054-9591-4055-8094-B7F2E18CB2FF}"/>
    <hyperlink ref="ATE1" location="C49" display="C49" xr:uid="{7524ECFD-889A-45DD-9901-ACAB24FAE61E}"/>
    <hyperlink ref="AUE1" location="C50" display="C50" xr:uid="{238EBCDE-EFC0-40C8-96B4-7E8C0D581165}"/>
    <hyperlink ref="DD1" location="C7" display="C7" xr:uid="{46A3A603-0D13-4359-952F-A2042DD3F7D9}"/>
    <hyperlink ref="ED1" location="Finance_Accounts!C8" display="Contents" xr:uid="{E33713F5-1E9F-4533-A05A-FAF3F15A66EA}"/>
    <hyperlink ref="F7" location="Finance_Accounts!DE1" display="Display" xr:uid="{070247C1-5B50-4D66-B528-40E216AB8354}"/>
    <hyperlink ref="F9" location="Finance_Accounts!FE1" display="Display" xr:uid="{BF8FE55D-0792-4E95-9A1A-82DD87416D54}"/>
    <hyperlink ref="FE1" location="Finance_Accounts!C9" display="Contents" xr:uid="{65BBB2E7-9412-454C-83AD-7FE368AD31E8}"/>
    <hyperlink ref="KE1" location="Finance_Accounts!C15" display="Contents" xr:uid="{241274D4-CF0E-417E-8D24-CE6D060E9C0E}"/>
    <hyperlink ref="F21" location="Finance_Accounts!SE5" display="Display" xr:uid="{A58FA230-F053-4F5B-8240-59D40ABADEE5}"/>
    <hyperlink ref="NE1" location="Finance_Accounts!C16" display="Contents" xr:uid="{0FDC9E75-9C82-4007-9216-FBFDA6DB9634}"/>
    <hyperlink ref="F22" location="$NE$1" display="$NE$1" xr:uid="{38F95940-5F68-472A-8C61-853EDEEBA554}"/>
    <hyperlink ref="EG29" location="Table_Sample!AA1" display="Display" xr:uid="{B34DDE3A-D7B4-4E5F-826F-A10D64CE5768}"/>
    <hyperlink ref="EG28" location="Table_Sample!AA1" display="Display" xr:uid="{87524FF0-F26C-4B4F-BA40-47B0947FD479}"/>
    <hyperlink ref="JJ31" location="Table_Sample!AA1" display="Display" xr:uid="{C13A5E06-868E-41C6-98A9-3470E46750B6}"/>
    <hyperlink ref="JJ30" location="Table_Sample!AA1" display="Display" xr:uid="{75400F38-06F9-4B37-88C8-8041AE487B33}"/>
    <hyperlink ref="JJ34" location="Table_Sample!AA1" display="Display" xr:uid="{8471EC5D-1A63-4D6C-906E-C1B6D05009F9}"/>
    <hyperlink ref="JJ33" location="Table_Sample!AA1" display="Display" xr:uid="{6FE4A031-2EB5-4641-AD50-72D3588E5AC0}"/>
    <hyperlink ref="JJ37" location="Table_Sample!AJ1" display="Display" xr:uid="{8A368486-3CF5-4587-98D8-DCE62E6867E3}"/>
    <hyperlink ref="JJ36" location="Table_Sample!AJ1" display="Display" xr:uid="{FB9F9907-53DD-4356-88DD-54A1D5D4B963}"/>
    <hyperlink ref="NJ28" location="Table_Sample!AA1" display="Display" xr:uid="{6593CA1F-5088-4196-AE20-428B0294AD3C}"/>
    <hyperlink ref="NJ27" location="Table_Sample!AA1" display="Display" xr:uid="{22624AF9-9946-4948-BA88-C10A5A46F081}"/>
    <hyperlink ref="NJ31" location="Table_Sample!AA1" display="Display" xr:uid="{3F48CB67-FBB3-42F5-832D-7AB8864DEFAB}"/>
    <hyperlink ref="NJ30" location="Table_Sample!AA1" display="Display" xr:uid="{6165CFBC-E1EC-4267-B2E4-038A12AB6C0C}"/>
    <hyperlink ref="NJ34" location="Table_Sample!AJ1" display="Display" xr:uid="{7EDB61F5-B0CA-4028-85C8-03DB8D725F72}"/>
    <hyperlink ref="NJ33" location="Table_Sample!AJ1" display="Display" xr:uid="{3C9B3348-3F75-4CA3-B3A5-EE11B10261B6}"/>
    <hyperlink ref="F18" location="Finance_Accounts!PE1" display="Display" xr:uid="{04A1EA42-E303-41A4-B20F-78EBB33E3B8C}"/>
    <hyperlink ref="F20" location="Finance_Accounts!RE1" display="Display" xr:uid="{2DAA747D-FE5F-4BE0-81D0-B26589D030E4}"/>
    <hyperlink ref="F19" location="Finance_Accounts!QE1" display="Display" xr:uid="{E702F78C-D9DC-48D5-8563-69F453AEEBF7}"/>
    <hyperlink ref="PE1" location="Finance_Accounts!C18" display="Contents" xr:uid="{6874DFFD-6D66-427E-85C4-FF5054EC163A}"/>
    <hyperlink ref="PG6" location="Table_Sample!BA1" display="Display" xr:uid="{5D0C870E-E212-410B-BCC9-D3835C3EB62F}"/>
    <hyperlink ref="QE1" location="Finance_Accounts!C19" display="Contents" xr:uid="{1EA2B26C-413C-4E89-8E68-B92527456221}"/>
    <hyperlink ref="RE1" location="Finance_Accounts!C20" display="Contents" xr:uid="{F4413520-AFBA-41C5-BF42-18D3EA175557}"/>
    <hyperlink ref="RZ31" location="Table_Sample!AA1" display="Display" xr:uid="{444F88AC-0A3F-4257-AF66-59875B33F16C}"/>
    <hyperlink ref="RZ30" location="Table_Sample!AA1" display="Display" xr:uid="{8BECFD3C-067F-452C-9ACF-548FA924B596}"/>
    <hyperlink ref="RZ34" location="Table_Sample!AA1" display="Display" xr:uid="{BB0F5E88-F157-4B0D-97F1-5EB65DBA9B70}"/>
    <hyperlink ref="RZ33" location="Table_Sample!AA1" display="Display" xr:uid="{B4B15C3A-2832-4DFD-8298-0EF2C0E4433D}"/>
    <hyperlink ref="RZ37" location="Table_Sample!AJ1" display="Display" xr:uid="{D29DD2AF-0B35-4BC6-A1AA-6B1A5E7B6E77}"/>
    <hyperlink ref="RZ36" location="Table_Sample!AJ1" display="Display" xr:uid="{BF3DDB2F-A8AF-41BC-9AEB-1BB77F18E7EF}"/>
    <hyperlink ref="SE1" location="Finance_Accounts!C21" display="Contents" xr:uid="{B746BC37-D0C7-4545-BA3A-ADA2B17BBECD}"/>
  </hyperlinks>
  <pageMargins left="0.7" right="0.7" top="0.75" bottom="0.75" header="0.3" footer="0.3"/>
  <legacy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DD2A5-4E6C-4988-8E8C-31624A9E12A4}">
  <sheetPr codeName="Sheet28">
    <tabColor rgb="FF92D050"/>
  </sheetPr>
  <dimension ref="A1:BG53"/>
  <sheetViews>
    <sheetView workbookViewId="0">
      <selection sqref="A1:XFD1048576"/>
    </sheetView>
  </sheetViews>
  <sheetFormatPr defaultRowHeight="14.4"/>
  <cols>
    <col min="2" max="3" width="34.77734375" customWidth="1"/>
    <col min="27" max="29" width="16.44140625" customWidth="1"/>
    <col min="30" max="31" width="14.44140625" customWidth="1"/>
    <col min="32" max="32" width="35.5546875" customWidth="1"/>
    <col min="33" max="33" width="20.33203125" customWidth="1"/>
    <col min="34" max="35" width="35.5546875" customWidth="1"/>
    <col min="36" max="36" width="17.77734375" customWidth="1"/>
    <col min="37" max="37" width="16.44140625" customWidth="1"/>
    <col min="38" max="38" width="14.88671875" customWidth="1"/>
    <col min="53" max="53" width="13.33203125" customWidth="1"/>
    <col min="54" max="54" width="15.5546875" bestFit="1" customWidth="1"/>
    <col min="55" max="55" width="22.33203125" bestFit="1" customWidth="1"/>
    <col min="56" max="56" width="20.88671875" bestFit="1" customWidth="1"/>
    <col min="57" max="58" width="28.109375" customWidth="1"/>
    <col min="59" max="59" width="8.44140625" bestFit="1" customWidth="1"/>
  </cols>
  <sheetData>
    <row r="1" spans="1:59" ht="18">
      <c r="A1" s="966" t="s">
        <v>7116</v>
      </c>
      <c r="AA1" s="966" t="s">
        <v>7117</v>
      </c>
      <c r="AB1" s="966"/>
      <c r="AC1" s="966"/>
      <c r="AD1" s="966"/>
      <c r="AE1" s="966"/>
      <c r="AG1" s="198" t="s">
        <v>233</v>
      </c>
      <c r="AH1" s="966" t="s">
        <v>7214</v>
      </c>
      <c r="AI1" s="448" t="s">
        <v>7212</v>
      </c>
      <c r="AJ1" s="198"/>
      <c r="BA1" s="966" t="s">
        <v>7347</v>
      </c>
      <c r="BB1" s="966"/>
      <c r="BC1" s="966"/>
      <c r="BD1" s="198" t="s">
        <v>233</v>
      </c>
      <c r="BE1" s="966" t="s">
        <v>7214</v>
      </c>
      <c r="BF1" s="966" t="s">
        <v>7348</v>
      </c>
      <c r="BG1" s="966"/>
    </row>
    <row r="2" spans="1:59">
      <c r="BE2" s="1738" t="s">
        <v>961</v>
      </c>
      <c r="BF2" s="1738"/>
    </row>
    <row r="3" spans="1:59" ht="18">
      <c r="B3" s="1367" t="s">
        <v>7118</v>
      </c>
      <c r="C3" s="1367" t="s">
        <v>7211</v>
      </c>
      <c r="D3" s="1367" t="s">
        <v>233</v>
      </c>
      <c r="AA3" s="170" t="s">
        <v>7224</v>
      </c>
      <c r="AB3" s="170" t="s">
        <v>7235</v>
      </c>
      <c r="AC3" s="170" t="s">
        <v>7233</v>
      </c>
      <c r="AD3" s="170" t="s">
        <v>7234</v>
      </c>
      <c r="AE3" s="170" t="s">
        <v>7393</v>
      </c>
      <c r="AF3" s="170" t="s">
        <v>6404</v>
      </c>
      <c r="AG3" s="170" t="s">
        <v>259</v>
      </c>
      <c r="AH3" s="170" t="s">
        <v>7223</v>
      </c>
      <c r="AI3" s="170" t="s">
        <v>1411</v>
      </c>
      <c r="AJ3" s="170" t="s">
        <v>441</v>
      </c>
      <c r="AK3" s="170" t="s">
        <v>7120</v>
      </c>
      <c r="AL3" s="170" t="s">
        <v>7121</v>
      </c>
      <c r="BA3" s="170" t="s">
        <v>4899</v>
      </c>
      <c r="BB3" s="170" t="s">
        <v>7350</v>
      </c>
      <c r="BC3" s="170" t="s">
        <v>7351</v>
      </c>
      <c r="BD3" s="170" t="s">
        <v>7210</v>
      </c>
      <c r="BE3" s="170" t="s">
        <v>3</v>
      </c>
      <c r="BF3" s="170" t="s">
        <v>4</v>
      </c>
      <c r="BG3" s="170" t="s">
        <v>441</v>
      </c>
    </row>
    <row r="4" spans="1:59">
      <c r="B4" s="10" t="s">
        <v>7117</v>
      </c>
      <c r="C4" s="10" t="s">
        <v>7212</v>
      </c>
      <c r="D4" s="619" t="s">
        <v>7119</v>
      </c>
      <c r="AB4" s="198" t="s">
        <v>7136</v>
      </c>
      <c r="BB4" s="198"/>
      <c r="BC4" s="198"/>
      <c r="BD4" s="198"/>
    </row>
    <row r="5" spans="1:59">
      <c r="B5" s="10" t="s">
        <v>7347</v>
      </c>
      <c r="C5" s="10" t="s">
        <v>7348</v>
      </c>
      <c r="D5" s="619" t="s">
        <v>7349</v>
      </c>
    </row>
    <row r="6" spans="1:59">
      <c r="B6" s="10"/>
      <c r="C6" s="10"/>
      <c r="D6" s="10"/>
    </row>
    <row r="7" spans="1:59">
      <c r="B7" s="10"/>
      <c r="C7" s="10"/>
      <c r="D7" s="10"/>
    </row>
    <row r="8" spans="1:59">
      <c r="B8" s="10"/>
      <c r="C8" s="10"/>
      <c r="D8" s="10"/>
    </row>
    <row r="9" spans="1:59">
      <c r="B9" s="10"/>
      <c r="C9" s="10"/>
      <c r="D9" s="10"/>
    </row>
    <row r="10" spans="1:59">
      <c r="B10" s="10"/>
      <c r="C10" s="10"/>
      <c r="D10" s="10"/>
    </row>
    <row r="11" spans="1:59">
      <c r="B11" s="10"/>
      <c r="C11" s="10"/>
      <c r="D11" s="10"/>
    </row>
    <row r="12" spans="1:59">
      <c r="B12" s="10"/>
      <c r="C12" s="10"/>
      <c r="D12" s="10"/>
    </row>
    <row r="13" spans="1:59">
      <c r="B13" s="10"/>
      <c r="C13" s="10"/>
      <c r="D13" s="10"/>
    </row>
    <row r="19" spans="27:28">
      <c r="AA19" t="s">
        <v>430</v>
      </c>
      <c r="AB19" t="s">
        <v>7249</v>
      </c>
    </row>
    <row r="20" spans="27:28">
      <c r="AB20" t="s">
        <v>7232</v>
      </c>
    </row>
    <row r="22" spans="27:28">
      <c r="AA22" t="s">
        <v>7224</v>
      </c>
      <c r="AB22" t="s">
        <v>7253</v>
      </c>
    </row>
    <row r="23" spans="27:28">
      <c r="AA23" t="s">
        <v>7235</v>
      </c>
      <c r="AB23" t="s">
        <v>7236</v>
      </c>
    </row>
    <row r="24" spans="27:28">
      <c r="AA24" t="s">
        <v>7233</v>
      </c>
      <c r="AB24" t="s">
        <v>6266</v>
      </c>
    </row>
    <row r="25" spans="27:28">
      <c r="AA25" t="s">
        <v>7234</v>
      </c>
      <c r="AB25" t="s">
        <v>7227</v>
      </c>
    </row>
    <row r="26" spans="27:28">
      <c r="AA26" t="s">
        <v>6402</v>
      </c>
      <c r="AB26" t="s">
        <v>7250</v>
      </c>
    </row>
    <row r="27" spans="27:28">
      <c r="AA27" t="s">
        <v>6404</v>
      </c>
      <c r="AB27" t="s">
        <v>7225</v>
      </c>
    </row>
    <row r="28" spans="27:28">
      <c r="AA28" t="s">
        <v>259</v>
      </c>
      <c r="AB28" t="s">
        <v>7228</v>
      </c>
    </row>
    <row r="29" spans="27:28">
      <c r="AA29" t="s">
        <v>7223</v>
      </c>
      <c r="AB29" t="s">
        <v>7251</v>
      </c>
    </row>
    <row r="30" spans="27:28">
      <c r="AA30" t="s">
        <v>1411</v>
      </c>
      <c r="AB30" t="s">
        <v>7226</v>
      </c>
    </row>
    <row r="31" spans="27:28">
      <c r="AA31" t="s">
        <v>441</v>
      </c>
      <c r="AB31" t="s">
        <v>7229</v>
      </c>
    </row>
    <row r="32" spans="27:28">
      <c r="AA32" t="s">
        <v>7120</v>
      </c>
      <c r="AB32" t="s">
        <v>7230</v>
      </c>
    </row>
    <row r="33" spans="27:31">
      <c r="AA33" t="s">
        <v>7121</v>
      </c>
      <c r="AB33" t="s">
        <v>7252</v>
      </c>
    </row>
    <row r="35" spans="27:31">
      <c r="AA35" s="10"/>
      <c r="AB35" s="10" t="s">
        <v>7242</v>
      </c>
      <c r="AC35" s="10" t="s">
        <v>7243</v>
      </c>
    </row>
    <row r="36" spans="27:31">
      <c r="AA36" s="10" t="s">
        <v>7224</v>
      </c>
      <c r="AB36" s="10">
        <v>1</v>
      </c>
      <c r="AC36" s="10">
        <v>1</v>
      </c>
    </row>
    <row r="37" spans="27:31">
      <c r="AA37" s="10" t="s">
        <v>7235</v>
      </c>
      <c r="AB37" s="1390" t="s">
        <v>7126</v>
      </c>
      <c r="AC37" s="1390" t="s">
        <v>7126</v>
      </c>
    </row>
    <row r="38" spans="27:31">
      <c r="AA38" s="10" t="s">
        <v>7233</v>
      </c>
      <c r="AB38" s="986">
        <v>46210</v>
      </c>
      <c r="AC38" s="986">
        <v>46210</v>
      </c>
    </row>
    <row r="39" spans="27:31">
      <c r="AA39" s="10" t="s">
        <v>7234</v>
      </c>
      <c r="AB39" s="10">
        <v>100</v>
      </c>
      <c r="AC39" s="10">
        <v>100</v>
      </c>
    </row>
    <row r="40" spans="27:31">
      <c r="AA40" s="10" t="s">
        <v>6402</v>
      </c>
      <c r="AB40" s="10">
        <v>12456</v>
      </c>
      <c r="AC40" s="10">
        <v>123456</v>
      </c>
    </row>
    <row r="41" spans="27:31">
      <c r="AA41" s="10" t="s">
        <v>6404</v>
      </c>
      <c r="AB41" s="1390" t="s">
        <v>7239</v>
      </c>
      <c r="AC41" s="1390" t="s">
        <v>7241</v>
      </c>
    </row>
    <row r="42" spans="27:31">
      <c r="AA42" s="10" t="s">
        <v>259</v>
      </c>
      <c r="AB42" s="2066" t="s">
        <v>7244</v>
      </c>
      <c r="AC42" s="2066"/>
    </row>
    <row r="43" spans="27:31">
      <c r="AA43" s="10" t="s">
        <v>7223</v>
      </c>
      <c r="AB43" s="10" t="s">
        <v>7245</v>
      </c>
      <c r="AC43" s="10" t="s">
        <v>7245</v>
      </c>
      <c r="AE43" t="s">
        <v>7246</v>
      </c>
    </row>
    <row r="44" spans="27:31">
      <c r="AA44" s="10" t="s">
        <v>1411</v>
      </c>
      <c r="AB44" s="1391">
        <v>46113</v>
      </c>
      <c r="AC44" s="1391">
        <v>46143</v>
      </c>
      <c r="AE44" t="s">
        <v>7247</v>
      </c>
    </row>
    <row r="45" spans="27:31">
      <c r="AA45" s="10" t="s">
        <v>441</v>
      </c>
      <c r="AB45" s="1390" t="s">
        <v>2693</v>
      </c>
      <c r="AC45" s="1390" t="s">
        <v>2693</v>
      </c>
    </row>
    <row r="46" spans="27:31">
      <c r="AA46" s="10" t="s">
        <v>7120</v>
      </c>
      <c r="AB46" s="1392">
        <v>1000</v>
      </c>
      <c r="AC46" s="1392"/>
    </row>
    <row r="47" spans="27:31">
      <c r="AA47" s="10" t="s">
        <v>7121</v>
      </c>
      <c r="AB47" s="1392"/>
      <c r="AC47" s="1392">
        <v>1000</v>
      </c>
    </row>
    <row r="49" spans="27:28">
      <c r="AA49" t="s">
        <v>5706</v>
      </c>
      <c r="AB49" t="s">
        <v>7231</v>
      </c>
    </row>
    <row r="50" spans="27:28">
      <c r="AB50" t="s">
        <v>7237</v>
      </c>
    </row>
    <row r="51" spans="27:28">
      <c r="AB51" t="s">
        <v>7240</v>
      </c>
    </row>
    <row r="52" spans="27:28">
      <c r="AB52" t="s">
        <v>7238</v>
      </c>
    </row>
    <row r="53" spans="27:28">
      <c r="AB53" t="s">
        <v>7248</v>
      </c>
    </row>
  </sheetData>
  <mergeCells count="2">
    <mergeCell ref="AB42:AC42"/>
    <mergeCell ref="BE2:BF2"/>
  </mergeCells>
  <hyperlinks>
    <hyperlink ref="AG1" location="Table_Sample!B4" display="Display" xr:uid="{08130195-3AAA-41E0-8FBA-4E8991D78AB4}"/>
    <hyperlink ref="D4" location="Table_Sample!AE1" display="AA1" xr:uid="{F74B9DF7-61C1-4F4B-9254-083519BB0C76}"/>
    <hyperlink ref="AB4" location="Master!DCA1" display="Refer UI " xr:uid="{FA2546DC-5604-4F07-B588-4A0B7370BBED}"/>
    <hyperlink ref="D5" location="Table_Sample!BA1" display="BA1" xr:uid="{90F64DC2-B151-4B23-9F96-5C0E08ADDC7D}"/>
    <hyperlink ref="BD1" location="Table_Sample!B5" display="Display" xr:uid="{26279958-8EF5-4F47-9151-2459D7FB3C43}"/>
  </hyperlinks>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1300C-41B7-4794-B369-76B42584D41D}">
  <sheetPr codeName="Sheet14">
    <tabColor rgb="FFFFC000"/>
  </sheetPr>
  <dimension ref="A1"/>
  <sheetViews>
    <sheetView workbookViewId="0">
      <selection activeCell="D8" sqref="D8"/>
    </sheetView>
  </sheetViews>
  <sheetFormatPr defaultRowHeight="14.4"/>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3A03C-7492-457E-9E6F-7A6324442FC2}">
  <sheetPr codeName="Sheet10"/>
  <dimension ref="A1:AN60"/>
  <sheetViews>
    <sheetView topLeftCell="A10" workbookViewId="0">
      <selection activeCell="E14" sqref="E14"/>
    </sheetView>
  </sheetViews>
  <sheetFormatPr defaultRowHeight="14.4"/>
  <cols>
    <col min="3" max="3" width="17.44140625" customWidth="1"/>
    <col min="4" max="4" width="22.5546875" bestFit="1" customWidth="1"/>
    <col min="5" max="5" width="14.5546875" customWidth="1"/>
    <col min="6" max="6" width="33.88671875" customWidth="1"/>
    <col min="7" max="7" width="6" bestFit="1" customWidth="1"/>
    <col min="13" max="13" width="15.88671875" bestFit="1" customWidth="1"/>
    <col min="14" max="14" width="36.5546875" customWidth="1"/>
    <col min="15" max="15" width="19.5546875" customWidth="1"/>
    <col min="16" max="16" width="13" customWidth="1"/>
    <col min="17" max="17" width="10.5546875" customWidth="1"/>
    <col min="18" max="18" width="52" customWidth="1"/>
    <col min="23" max="23" width="23.44140625" customWidth="1"/>
    <col min="24" max="25" width="14" customWidth="1"/>
    <col min="26" max="26" width="18.5546875" customWidth="1"/>
    <col min="28" max="28" width="60" customWidth="1"/>
    <col min="33" max="33" width="30.44140625" customWidth="1"/>
    <col min="34" max="34" width="16.5546875" customWidth="1"/>
    <col min="35" max="35" width="16.44140625" bestFit="1" customWidth="1"/>
    <col min="36" max="38" width="8.44140625" customWidth="1"/>
    <col min="39" max="39" width="14.5546875" customWidth="1"/>
    <col min="40" max="40" width="41.88671875" customWidth="1"/>
  </cols>
  <sheetData>
    <row r="1" spans="1:40" ht="18">
      <c r="A1" s="460" t="s">
        <v>353</v>
      </c>
      <c r="C1" s="460"/>
      <c r="D1" s="460"/>
      <c r="E1" s="460"/>
      <c r="M1" s="237" t="s">
        <v>146</v>
      </c>
      <c r="N1" s="122"/>
      <c r="O1" s="122"/>
      <c r="P1" s="122"/>
      <c r="Q1" s="122"/>
      <c r="R1" s="198" t="s">
        <v>336</v>
      </c>
      <c r="W1" s="478" t="s">
        <v>148</v>
      </c>
      <c r="Z1" s="4" t="s">
        <v>794</v>
      </c>
      <c r="AA1" s="122"/>
      <c r="AB1" s="198" t="s">
        <v>336</v>
      </c>
      <c r="AG1" s="140" t="s">
        <v>795</v>
      </c>
      <c r="AH1" s="122"/>
      <c r="AI1" s="122"/>
      <c r="AJ1" s="122"/>
      <c r="AK1" s="122"/>
      <c r="AL1" s="122"/>
    </row>
    <row r="3" spans="1:40" ht="18">
      <c r="B3" s="461" t="s">
        <v>345</v>
      </c>
      <c r="C3" s="462" t="s">
        <v>2</v>
      </c>
      <c r="D3" s="459" t="s">
        <v>796</v>
      </c>
      <c r="E3" s="459" t="s">
        <v>346</v>
      </c>
      <c r="F3" s="463" t="s">
        <v>797</v>
      </c>
      <c r="G3" s="465" t="s">
        <v>231</v>
      </c>
      <c r="H3" s="464" t="s">
        <v>233</v>
      </c>
      <c r="M3" s="250" t="s">
        <v>798</v>
      </c>
      <c r="N3" s="115"/>
      <c r="O3" s="115"/>
      <c r="P3" s="115"/>
      <c r="Q3" s="115" t="s">
        <v>232</v>
      </c>
      <c r="R3" s="131" t="s">
        <v>267</v>
      </c>
      <c r="W3" s="250" t="s">
        <v>799</v>
      </c>
      <c r="X3" s="115"/>
      <c r="Y3" s="115"/>
      <c r="Z3" s="115"/>
      <c r="AA3" s="115" t="s">
        <v>232</v>
      </c>
      <c r="AB3" s="131" t="s">
        <v>263</v>
      </c>
      <c r="AG3" s="250" t="s">
        <v>799</v>
      </c>
      <c r="AH3" s="115"/>
      <c r="AI3" s="115"/>
      <c r="AJ3" s="115"/>
      <c r="AK3" s="115"/>
      <c r="AM3" s="115" t="s">
        <v>232</v>
      </c>
      <c r="AN3" s="131" t="s">
        <v>265</v>
      </c>
    </row>
    <row r="4" spans="1:40" ht="18.600000000000001" thickBot="1">
      <c r="B4" s="111">
        <v>1</v>
      </c>
      <c r="C4" s="64" t="s">
        <v>261</v>
      </c>
      <c r="D4" s="408" t="s">
        <v>146</v>
      </c>
      <c r="E4" s="77" t="s">
        <v>267</v>
      </c>
      <c r="F4" s="10" t="s">
        <v>266</v>
      </c>
      <c r="G4" s="10">
        <v>1</v>
      </c>
      <c r="H4" s="416" t="s">
        <v>233</v>
      </c>
      <c r="M4" s="168" t="s">
        <v>350</v>
      </c>
      <c r="N4" s="169" t="s">
        <v>351</v>
      </c>
      <c r="O4" s="116"/>
      <c r="P4" s="116"/>
      <c r="Q4" s="116" t="s">
        <v>352</v>
      </c>
      <c r="R4" s="169" t="s">
        <v>348</v>
      </c>
      <c r="W4" s="168" t="s">
        <v>350</v>
      </c>
      <c r="X4" s="169" t="s">
        <v>351</v>
      </c>
      <c r="Y4" s="116"/>
      <c r="Z4" s="116"/>
      <c r="AA4" s="116" t="s">
        <v>352</v>
      </c>
      <c r="AB4" s="169" t="s">
        <v>348</v>
      </c>
      <c r="AG4" s="168" t="s">
        <v>350</v>
      </c>
      <c r="AH4" s="169" t="s">
        <v>351</v>
      </c>
      <c r="AI4" s="116"/>
      <c r="AJ4" s="116"/>
      <c r="AK4" s="116"/>
      <c r="AM4" s="116" t="s">
        <v>352</v>
      </c>
      <c r="AN4" s="169" t="s">
        <v>348</v>
      </c>
    </row>
    <row r="5" spans="1:40" ht="15.6" customHeight="1">
      <c r="B5" s="111">
        <v>2</v>
      </c>
      <c r="C5" s="64" t="s">
        <v>261</v>
      </c>
      <c r="D5" s="476" t="s">
        <v>800</v>
      </c>
      <c r="E5" s="77" t="s">
        <v>263</v>
      </c>
      <c r="F5" s="10" t="s">
        <v>262</v>
      </c>
      <c r="G5" s="10">
        <v>2</v>
      </c>
      <c r="H5" s="67" t="s">
        <v>233</v>
      </c>
      <c r="M5" s="167" t="s">
        <v>353</v>
      </c>
      <c r="N5" s="189" t="s">
        <v>354</v>
      </c>
      <c r="O5" s="171"/>
      <c r="P5" s="171"/>
      <c r="Q5" s="157">
        <v>1</v>
      </c>
      <c r="R5" s="133"/>
      <c r="W5" s="167" t="s">
        <v>353</v>
      </c>
      <c r="X5" s="164" t="s">
        <v>354</v>
      </c>
      <c r="Y5" s="164"/>
      <c r="Z5" s="164"/>
      <c r="AA5" s="225">
        <v>1</v>
      </c>
      <c r="AB5" s="133"/>
      <c r="AG5" s="167" t="s">
        <v>353</v>
      </c>
      <c r="AH5" s="164" t="s">
        <v>354</v>
      </c>
      <c r="AI5" s="204"/>
      <c r="AJ5" s="2087" t="s">
        <v>801</v>
      </c>
      <c r="AK5" s="1576"/>
      <c r="AL5" s="1578"/>
      <c r="AN5" s="157">
        <v>1</v>
      </c>
    </row>
    <row r="6" spans="1:40" ht="15.6">
      <c r="B6" s="111">
        <v>3</v>
      </c>
      <c r="C6" s="64" t="s">
        <v>261</v>
      </c>
      <c r="D6" s="476" t="s">
        <v>147</v>
      </c>
      <c r="E6" s="77" t="s">
        <v>265</v>
      </c>
      <c r="F6" s="10" t="s">
        <v>264</v>
      </c>
      <c r="G6" s="10">
        <v>1</v>
      </c>
      <c r="H6" s="67" t="s">
        <v>233</v>
      </c>
      <c r="M6" s="221" t="s">
        <v>355</v>
      </c>
      <c r="N6" s="189" t="s">
        <v>354</v>
      </c>
      <c r="O6" s="171"/>
      <c r="Q6" s="157">
        <v>2</v>
      </c>
      <c r="W6" s="221" t="s">
        <v>355</v>
      </c>
      <c r="X6" s="164" t="s">
        <v>354</v>
      </c>
      <c r="Y6" s="132"/>
      <c r="AA6" s="225">
        <v>2</v>
      </c>
      <c r="AG6" s="221" t="s">
        <v>355</v>
      </c>
      <c r="AH6" s="164" t="s">
        <v>354</v>
      </c>
      <c r="AI6" s="204"/>
      <c r="AJ6" s="2088"/>
      <c r="AK6" s="1577"/>
      <c r="AL6" s="1579"/>
      <c r="AN6" s="157">
        <v>2</v>
      </c>
    </row>
    <row r="7" spans="1:40" ht="15.6">
      <c r="M7" s="222" t="s">
        <v>802</v>
      </c>
      <c r="N7" s="2085" t="s">
        <v>803</v>
      </c>
      <c r="O7" s="2086"/>
      <c r="P7" s="854"/>
      <c r="Q7" s="157">
        <v>3</v>
      </c>
      <c r="AG7" s="221" t="s">
        <v>804</v>
      </c>
      <c r="AH7" s="431" t="s">
        <v>805</v>
      </c>
      <c r="AI7" s="191"/>
      <c r="AJ7" s="2088"/>
      <c r="AK7" s="1577"/>
      <c r="AL7" s="1579"/>
      <c r="AN7" s="437">
        <v>3</v>
      </c>
    </row>
    <row r="8" spans="1:40" ht="16.95" customHeight="1" thickBot="1">
      <c r="M8" s="221" t="s">
        <v>806</v>
      </c>
      <c r="N8" s="164" t="s">
        <v>385</v>
      </c>
      <c r="O8" s="171"/>
      <c r="Q8" s="157">
        <v>4</v>
      </c>
      <c r="R8" t="s">
        <v>807</v>
      </c>
      <c r="W8" s="221" t="s">
        <v>808</v>
      </c>
      <c r="X8" s="2092" t="s">
        <v>809</v>
      </c>
      <c r="Y8" s="2092"/>
      <c r="AA8" s="225" t="s">
        <v>392</v>
      </c>
      <c r="AB8" t="s">
        <v>810</v>
      </c>
      <c r="AI8" s="170"/>
      <c r="AJ8" s="2089"/>
      <c r="AK8" s="2090"/>
      <c r="AL8" s="1595"/>
    </row>
    <row r="9" spans="1:40" ht="15.6">
      <c r="N9" s="171"/>
      <c r="O9" s="171"/>
      <c r="Q9" s="133"/>
      <c r="R9" s="43"/>
      <c r="W9" s="221" t="s">
        <v>811</v>
      </c>
      <c r="X9" s="2092" t="s">
        <v>812</v>
      </c>
      <c r="Y9" s="2092"/>
      <c r="AA9" s="225" t="s">
        <v>414</v>
      </c>
      <c r="AB9" t="s">
        <v>813</v>
      </c>
    </row>
    <row r="10" spans="1:40" ht="16.95" customHeight="1">
      <c r="M10" s="222" t="s">
        <v>814</v>
      </c>
      <c r="N10" s="551"/>
      <c r="Q10" s="228">
        <v>5</v>
      </c>
      <c r="R10" t="s">
        <v>815</v>
      </c>
      <c r="W10" s="221" t="s">
        <v>816</v>
      </c>
      <c r="X10" s="856" t="s">
        <v>812</v>
      </c>
      <c r="Y10" s="856"/>
      <c r="AA10" s="225" t="s">
        <v>817</v>
      </c>
      <c r="AB10" t="s">
        <v>813</v>
      </c>
      <c r="AG10" s="468" t="s">
        <v>121</v>
      </c>
      <c r="AH10" s="470" t="s">
        <v>818</v>
      </c>
      <c r="AI10" s="468" t="s">
        <v>819</v>
      </c>
      <c r="AJ10" s="468" t="s">
        <v>820</v>
      </c>
      <c r="AK10" s="468" t="s">
        <v>540</v>
      </c>
      <c r="AL10" s="468" t="s">
        <v>821</v>
      </c>
      <c r="AM10" s="468" t="s">
        <v>822</v>
      </c>
    </row>
    <row r="11" spans="1:40" ht="15" customHeight="1">
      <c r="M11" s="222" t="s">
        <v>823</v>
      </c>
      <c r="N11" s="223" t="s">
        <v>824</v>
      </c>
      <c r="O11" s="224"/>
      <c r="P11" s="224"/>
      <c r="Q11" s="225" t="s">
        <v>825</v>
      </c>
      <c r="W11" s="1506"/>
      <c r="X11" s="1507"/>
      <c r="Y11" s="1507"/>
      <c r="Z11" s="2069"/>
      <c r="AG11" s="471" t="s">
        <v>128</v>
      </c>
      <c r="AH11" s="474" t="s">
        <v>826</v>
      </c>
      <c r="AI11" s="10"/>
      <c r="AJ11" s="10"/>
      <c r="AK11" s="10"/>
      <c r="AL11" s="10"/>
      <c r="AM11" s="10"/>
      <c r="AN11" s="157">
        <v>4</v>
      </c>
    </row>
    <row r="12" spans="1:40" ht="15.6">
      <c r="M12" s="222" t="s">
        <v>502</v>
      </c>
      <c r="N12" s="223"/>
      <c r="O12" s="224"/>
      <c r="P12" s="224"/>
      <c r="Q12" s="225" t="s">
        <v>827</v>
      </c>
      <c r="R12" t="s">
        <v>828</v>
      </c>
      <c r="W12" s="1596" t="s">
        <v>829</v>
      </c>
      <c r="X12" s="1596"/>
      <c r="Y12" s="1596" t="s">
        <v>830</v>
      </c>
      <c r="Z12" s="1596"/>
      <c r="AA12" s="2091"/>
      <c r="AB12" s="2091"/>
      <c r="AG12" s="472" t="s">
        <v>136</v>
      </c>
      <c r="AH12" s="474" t="s">
        <v>826</v>
      </c>
      <c r="AI12" s="10"/>
      <c r="AJ12" s="10"/>
      <c r="AK12" s="10"/>
      <c r="AL12" s="10"/>
      <c r="AM12" s="10"/>
      <c r="AN12" s="157">
        <v>5</v>
      </c>
    </row>
    <row r="13" spans="1:40" ht="15.6">
      <c r="M13" s="222" t="s">
        <v>831</v>
      </c>
      <c r="N13" s="223"/>
      <c r="O13" s="224"/>
      <c r="P13" s="224"/>
      <c r="Q13" s="225">
        <v>7</v>
      </c>
      <c r="R13" t="s">
        <v>435</v>
      </c>
      <c r="W13" s="239" t="s">
        <v>832</v>
      </c>
      <c r="X13" s="479">
        <v>8</v>
      </c>
      <c r="Y13" s="2067">
        <v>10</v>
      </c>
      <c r="Z13" s="2068"/>
      <c r="AA13" s="225" t="s">
        <v>833</v>
      </c>
      <c r="AB13" t="s">
        <v>834</v>
      </c>
      <c r="AG13" s="473" t="s">
        <v>149</v>
      </c>
      <c r="AH13" s="474" t="s">
        <v>826</v>
      </c>
      <c r="AI13" s="10"/>
      <c r="AJ13" s="10"/>
      <c r="AK13" s="10"/>
      <c r="AL13" s="10"/>
      <c r="AM13" s="10"/>
      <c r="AN13" s="157">
        <v>6</v>
      </c>
    </row>
    <row r="14" spans="1:40" ht="15.6">
      <c r="M14" s="222" t="s">
        <v>835</v>
      </c>
      <c r="N14" s="223"/>
      <c r="O14" s="224"/>
      <c r="P14" s="224"/>
      <c r="Q14" s="225">
        <v>8</v>
      </c>
      <c r="R14" t="s">
        <v>435</v>
      </c>
      <c r="W14" s="239" t="s">
        <v>836</v>
      </c>
      <c r="X14" s="479">
        <v>12</v>
      </c>
      <c r="Y14" s="2067">
        <v>15</v>
      </c>
      <c r="Z14" s="2068"/>
      <c r="AA14" s="225" t="s">
        <v>837</v>
      </c>
      <c r="AB14" t="s">
        <v>838</v>
      </c>
      <c r="AG14" s="472" t="s">
        <v>839</v>
      </c>
      <c r="AH14" s="474" t="s">
        <v>826</v>
      </c>
      <c r="AI14" s="10"/>
      <c r="AJ14" s="10"/>
      <c r="AK14" s="10"/>
      <c r="AL14" s="10"/>
      <c r="AM14" s="10"/>
      <c r="AN14" s="157">
        <v>7</v>
      </c>
    </row>
    <row r="15" spans="1:40" ht="15.6">
      <c r="N15" s="11"/>
      <c r="O15" s="11"/>
      <c r="P15" s="224"/>
      <c r="Q15" s="178"/>
      <c r="W15" s="239" t="s">
        <v>840</v>
      </c>
      <c r="X15" s="479">
        <v>16</v>
      </c>
      <c r="Y15" s="2067">
        <v>20</v>
      </c>
      <c r="Z15" s="2068"/>
      <c r="AA15" s="225" t="s">
        <v>841</v>
      </c>
      <c r="AB15" t="s">
        <v>834</v>
      </c>
      <c r="AG15" s="473" t="s">
        <v>842</v>
      </c>
      <c r="AH15" s="474" t="s">
        <v>826</v>
      </c>
      <c r="AI15" s="10"/>
      <c r="AJ15" s="10"/>
      <c r="AK15" s="10"/>
      <c r="AL15" s="10"/>
      <c r="AM15" s="10"/>
      <c r="AN15" s="157">
        <v>8</v>
      </c>
    </row>
    <row r="16" spans="1:40" ht="15.6">
      <c r="M16" s="1789" t="s">
        <v>843</v>
      </c>
      <c r="N16" s="1790"/>
      <c r="O16" s="1790"/>
      <c r="P16" s="1790"/>
      <c r="Q16" s="178"/>
      <c r="W16" s="2093" t="s">
        <v>844</v>
      </c>
      <c r="X16" s="2094"/>
      <c r="Y16" s="486">
        <v>3</v>
      </c>
      <c r="Z16" s="486" t="s">
        <v>447</v>
      </c>
      <c r="AA16" s="487" t="s">
        <v>845</v>
      </c>
      <c r="AB16" t="s">
        <v>846</v>
      </c>
      <c r="AG16" s="472" t="s">
        <v>847</v>
      </c>
      <c r="AH16" s="474" t="s">
        <v>826</v>
      </c>
      <c r="AI16" s="10"/>
      <c r="AJ16" s="10"/>
      <c r="AK16" s="10"/>
      <c r="AL16" s="10"/>
      <c r="AM16" s="10"/>
      <c r="AN16" s="157">
        <v>9</v>
      </c>
    </row>
    <row r="17" spans="13:40" ht="16.8">
      <c r="M17" s="222" t="s">
        <v>848</v>
      </c>
      <c r="N17" s="2071" t="s">
        <v>849</v>
      </c>
      <c r="O17" s="2072"/>
      <c r="P17" s="2072"/>
      <c r="Q17" s="225">
        <v>9</v>
      </c>
      <c r="W17" s="1506"/>
      <c r="X17" s="1507"/>
      <c r="Y17" s="1507"/>
      <c r="Z17" s="2069"/>
      <c r="AA17" s="133"/>
      <c r="AB17" s="855"/>
      <c r="AG17" s="469" t="s">
        <v>315</v>
      </c>
      <c r="AH17" s="474" t="s">
        <v>826</v>
      </c>
      <c r="AI17" s="10"/>
      <c r="AJ17" s="10"/>
      <c r="AK17" s="10"/>
      <c r="AL17" s="10"/>
      <c r="AM17" s="10"/>
      <c r="AN17" s="157">
        <v>10</v>
      </c>
    </row>
    <row r="18" spans="13:40" ht="16.8">
      <c r="M18" s="222" t="s">
        <v>850</v>
      </c>
      <c r="N18" s="2071"/>
      <c r="O18" s="2072"/>
      <c r="P18" s="2072"/>
      <c r="Q18" s="225">
        <v>10</v>
      </c>
      <c r="W18" s="1596" t="s">
        <v>851</v>
      </c>
      <c r="X18" s="1596"/>
      <c r="Y18" s="1596" t="s">
        <v>830</v>
      </c>
      <c r="Z18" s="1596"/>
      <c r="AA18" s="855"/>
      <c r="AG18" s="473" t="s">
        <v>429</v>
      </c>
      <c r="AH18" s="474" t="s">
        <v>826</v>
      </c>
      <c r="AI18" s="10"/>
      <c r="AJ18" s="10"/>
      <c r="AK18" s="10"/>
      <c r="AL18" s="10"/>
      <c r="AM18" s="10"/>
      <c r="AN18" s="157">
        <v>11</v>
      </c>
    </row>
    <row r="19" spans="13:40" ht="16.8">
      <c r="M19" s="222" t="s">
        <v>852</v>
      </c>
      <c r="N19" s="2071"/>
      <c r="O19" s="2072"/>
      <c r="P19" s="2072"/>
      <c r="Q19" s="225">
        <v>11</v>
      </c>
      <c r="W19" s="239" t="s">
        <v>832</v>
      </c>
      <c r="X19" s="479">
        <v>14</v>
      </c>
      <c r="Y19" s="2070">
        <v>14</v>
      </c>
      <c r="Z19" s="2070"/>
      <c r="AA19" s="157" t="s">
        <v>853</v>
      </c>
      <c r="AG19" s="472" t="s">
        <v>189</v>
      </c>
      <c r="AH19" s="474" t="s">
        <v>826</v>
      </c>
      <c r="AI19" s="10"/>
      <c r="AJ19" s="10"/>
      <c r="AK19" s="10"/>
      <c r="AL19" s="10"/>
      <c r="AM19" s="10"/>
      <c r="AN19" s="157">
        <v>12</v>
      </c>
    </row>
    <row r="20" spans="13:40" ht="18.600000000000001" customHeight="1">
      <c r="M20" s="222" t="s">
        <v>854</v>
      </c>
      <c r="N20" s="2071" t="s">
        <v>855</v>
      </c>
      <c r="O20" s="2072"/>
      <c r="P20" s="2072"/>
      <c r="Q20" s="225">
        <v>12</v>
      </c>
      <c r="R20" t="s">
        <v>856</v>
      </c>
      <c r="W20" s="239" t="s">
        <v>836</v>
      </c>
      <c r="X20" s="479">
        <v>18</v>
      </c>
      <c r="Y20" s="2070">
        <v>18</v>
      </c>
      <c r="Z20" s="2070"/>
      <c r="AA20" s="157" t="s">
        <v>853</v>
      </c>
      <c r="AG20" s="473" t="s">
        <v>184</v>
      </c>
      <c r="AH20" s="474" t="s">
        <v>826</v>
      </c>
      <c r="AI20" s="10"/>
      <c r="AJ20" s="10"/>
      <c r="AK20" s="10"/>
      <c r="AL20" s="10"/>
      <c r="AM20" s="10"/>
      <c r="AN20" s="157">
        <v>13</v>
      </c>
    </row>
    <row r="21" spans="13:40" ht="16.8">
      <c r="M21" s="222" t="s">
        <v>857</v>
      </c>
      <c r="N21" s="853" t="s">
        <v>858</v>
      </c>
      <c r="O21" s="458"/>
      <c r="P21" s="458"/>
      <c r="Q21" s="225">
        <v>13</v>
      </c>
      <c r="W21" s="239" t="s">
        <v>840</v>
      </c>
      <c r="X21" s="479">
        <v>22</v>
      </c>
      <c r="Y21" s="2070">
        <v>22</v>
      </c>
      <c r="Z21" s="2070"/>
      <c r="AA21" s="157" t="s">
        <v>853</v>
      </c>
      <c r="AG21" s="472" t="s">
        <v>200</v>
      </c>
      <c r="AH21" s="474" t="s">
        <v>826</v>
      </c>
      <c r="AI21" s="10"/>
      <c r="AJ21" s="10"/>
      <c r="AK21" s="10"/>
      <c r="AL21" s="10"/>
      <c r="AM21" s="10"/>
      <c r="AN21" s="157">
        <v>14</v>
      </c>
    </row>
    <row r="22" spans="13:40" ht="15.6" customHeight="1">
      <c r="M22" s="222" t="s">
        <v>370</v>
      </c>
      <c r="N22" s="466" t="s">
        <v>859</v>
      </c>
      <c r="O22" s="467"/>
      <c r="P22" s="467"/>
      <c r="Q22" s="225">
        <v>14</v>
      </c>
      <c r="W22" s="1506"/>
      <c r="X22" s="1507"/>
      <c r="Y22" s="1507"/>
      <c r="Z22" s="2069"/>
      <c r="AA22" s="178"/>
      <c r="AB22" s="855"/>
      <c r="AG22" s="473" t="s">
        <v>79</v>
      </c>
      <c r="AH22" s="474" t="s">
        <v>826</v>
      </c>
      <c r="AI22" s="10"/>
      <c r="AJ22" s="10"/>
      <c r="AK22" s="10"/>
      <c r="AL22" s="10"/>
      <c r="AM22" s="10"/>
      <c r="AN22" s="157">
        <v>15</v>
      </c>
    </row>
    <row r="23" spans="13:40" ht="15" customHeight="1">
      <c r="M23" s="222" t="s">
        <v>860</v>
      </c>
      <c r="N23" s="238" t="s">
        <v>861</v>
      </c>
      <c r="O23" s="238" t="s">
        <v>862</v>
      </c>
      <c r="P23" s="238" t="s">
        <v>863</v>
      </c>
      <c r="Q23" s="225">
        <v>15</v>
      </c>
      <c r="R23" t="s">
        <v>864</v>
      </c>
      <c r="W23" s="1596" t="s">
        <v>865</v>
      </c>
      <c r="X23" s="1596"/>
      <c r="Y23" s="1534" t="s">
        <v>830</v>
      </c>
      <c r="Z23" s="1535"/>
      <c r="AA23" s="855"/>
      <c r="AG23" s="472" t="s">
        <v>257</v>
      </c>
      <c r="AH23" s="474" t="s">
        <v>826</v>
      </c>
      <c r="AI23" s="10"/>
      <c r="AJ23" s="10"/>
      <c r="AK23" s="10"/>
      <c r="AL23" s="10"/>
      <c r="AM23" s="10"/>
      <c r="AN23" s="157">
        <v>16</v>
      </c>
    </row>
    <row r="24" spans="13:40" ht="18" customHeight="1">
      <c r="M24" s="222" t="s">
        <v>866</v>
      </c>
      <c r="N24" s="238" t="s">
        <v>861</v>
      </c>
      <c r="O24" s="238" t="s">
        <v>862</v>
      </c>
      <c r="P24" s="238" t="s">
        <v>863</v>
      </c>
      <c r="Q24" s="225">
        <v>16</v>
      </c>
      <c r="R24" t="s">
        <v>867</v>
      </c>
      <c r="W24" s="239" t="s">
        <v>868</v>
      </c>
      <c r="X24" s="479">
        <v>98</v>
      </c>
      <c r="Y24" s="2067">
        <v>98</v>
      </c>
      <c r="Z24" s="2068"/>
      <c r="AA24" s="225" t="s">
        <v>825</v>
      </c>
      <c r="AB24" t="s">
        <v>869</v>
      </c>
      <c r="AG24" s="473" t="s">
        <v>798</v>
      </c>
      <c r="AH24" s="474" t="s">
        <v>826</v>
      </c>
      <c r="AI24" s="10"/>
      <c r="AJ24" s="10"/>
      <c r="AK24" s="10"/>
      <c r="AL24" s="10"/>
      <c r="AM24" s="10"/>
      <c r="AN24" s="157">
        <v>17</v>
      </c>
    </row>
    <row r="25" spans="13:40" ht="16.8">
      <c r="M25" s="222" t="s">
        <v>870</v>
      </c>
      <c r="N25" s="238" t="s">
        <v>861</v>
      </c>
      <c r="O25" s="238" t="s">
        <v>862</v>
      </c>
      <c r="P25" s="238" t="s">
        <v>863</v>
      </c>
      <c r="Q25" s="225">
        <v>17</v>
      </c>
      <c r="R25" t="s">
        <v>871</v>
      </c>
      <c r="W25" s="239" t="s">
        <v>844</v>
      </c>
      <c r="X25" s="479">
        <v>90</v>
      </c>
      <c r="Y25" s="485">
        <v>90</v>
      </c>
      <c r="Z25" s="485" t="s">
        <v>447</v>
      </c>
      <c r="AA25" s="225" t="s">
        <v>825</v>
      </c>
    </row>
    <row r="26" spans="13:40" ht="16.8">
      <c r="M26" s="222" t="s">
        <v>528</v>
      </c>
      <c r="N26" s="2071"/>
      <c r="O26" s="2072"/>
      <c r="P26" s="2072"/>
      <c r="Q26" s="225">
        <v>18</v>
      </c>
      <c r="W26" s="1506"/>
      <c r="X26" s="1507"/>
      <c r="Y26" s="1507"/>
      <c r="Z26" s="1507"/>
      <c r="AA26" s="133"/>
      <c r="AG26" t="s">
        <v>430</v>
      </c>
      <c r="AH26" t="s">
        <v>872</v>
      </c>
    </row>
    <row r="27" spans="13:40" ht="16.8">
      <c r="M27" s="222" t="s">
        <v>873</v>
      </c>
      <c r="N27" s="2071"/>
      <c r="O27" s="2072"/>
      <c r="P27" s="2072"/>
      <c r="Q27" s="225">
        <v>19</v>
      </c>
      <c r="W27" s="1596" t="s">
        <v>874</v>
      </c>
      <c r="X27" s="1596"/>
      <c r="Y27" s="1534" t="s">
        <v>830</v>
      </c>
      <c r="Z27" s="1535"/>
      <c r="AA27" s="855"/>
      <c r="AB27" s="483" t="s">
        <v>875</v>
      </c>
    </row>
    <row r="28" spans="13:40" ht="15.6">
      <c r="N28" s="219"/>
      <c r="O28" s="219"/>
      <c r="P28" s="220"/>
      <c r="W28" s="239" t="s">
        <v>868</v>
      </c>
      <c r="X28" s="479">
        <v>7</v>
      </c>
      <c r="Y28" s="2067">
        <v>7</v>
      </c>
      <c r="Z28" s="2068"/>
      <c r="AA28" s="225" t="s">
        <v>876</v>
      </c>
      <c r="AG28" s="475" t="s">
        <v>833</v>
      </c>
      <c r="AH28" t="s">
        <v>877</v>
      </c>
    </row>
    <row r="29" spans="13:40" ht="15.6">
      <c r="M29" s="1534" t="s">
        <v>878</v>
      </c>
      <c r="N29" s="1535"/>
      <c r="O29" s="1535"/>
      <c r="P29" s="2075"/>
      <c r="Q29" s="225"/>
      <c r="W29" s="239" t="s">
        <v>844</v>
      </c>
      <c r="X29" s="479">
        <v>30</v>
      </c>
      <c r="Y29" s="485">
        <v>30</v>
      </c>
      <c r="Z29" s="485" t="s">
        <v>447</v>
      </c>
      <c r="AA29" s="225" t="s">
        <v>876</v>
      </c>
      <c r="AG29" t="s">
        <v>879</v>
      </c>
    </row>
    <row r="30" spans="13:40" ht="15.6">
      <c r="M30" s="2076" t="s">
        <v>428</v>
      </c>
      <c r="N30" s="2078"/>
      <c r="O30" s="2079"/>
      <c r="P30" s="2079"/>
      <c r="Q30" s="2083">
        <v>20</v>
      </c>
      <c r="W30" s="1506"/>
      <c r="X30" s="1507"/>
      <c r="Y30" s="1507"/>
      <c r="Z30" s="2069"/>
      <c r="AA30" s="178"/>
      <c r="AG30" t="s">
        <v>880</v>
      </c>
    </row>
    <row r="31" spans="13:40" ht="15.6">
      <c r="M31" s="2077"/>
      <c r="N31" s="2080"/>
      <c r="O31" s="2081"/>
      <c r="P31" s="2081"/>
      <c r="Q31" s="2084"/>
      <c r="W31" s="1596" t="s">
        <v>881</v>
      </c>
      <c r="X31" s="1596"/>
      <c r="Y31" s="1534" t="s">
        <v>830</v>
      </c>
      <c r="Z31" s="1535"/>
      <c r="AA31" s="178"/>
      <c r="AG31" t="s">
        <v>882</v>
      </c>
    </row>
    <row r="32" spans="13:40" ht="15.6">
      <c r="N32" s="2082"/>
      <c r="O32" s="2082"/>
      <c r="P32" s="2082"/>
      <c r="W32" s="857" t="s">
        <v>883</v>
      </c>
      <c r="X32" s="482">
        <v>11</v>
      </c>
      <c r="Y32" s="480"/>
      <c r="Z32" s="481"/>
      <c r="AA32" s="225" t="s">
        <v>884</v>
      </c>
      <c r="AB32" t="s">
        <v>885</v>
      </c>
      <c r="AG32" t="s">
        <v>886</v>
      </c>
    </row>
    <row r="33" spans="13:33" ht="15.6">
      <c r="M33" t="s">
        <v>430</v>
      </c>
      <c r="N33" t="s">
        <v>887</v>
      </c>
      <c r="W33" s="857" t="s">
        <v>888</v>
      </c>
      <c r="X33" s="482">
        <v>5</v>
      </c>
      <c r="Y33" s="485">
        <v>5</v>
      </c>
      <c r="Z33" s="485" t="s">
        <v>447</v>
      </c>
      <c r="AA33" s="225" t="s">
        <v>884</v>
      </c>
      <c r="AG33" t="s">
        <v>889</v>
      </c>
    </row>
    <row r="34" spans="13:33" ht="15.6">
      <c r="W34" s="1534" t="s">
        <v>890</v>
      </c>
      <c r="X34" s="1535"/>
      <c r="Y34" s="2073"/>
      <c r="Z34" s="2074"/>
      <c r="AA34" s="178"/>
      <c r="AG34" t="s">
        <v>891</v>
      </c>
    </row>
    <row r="35" spans="13:33" ht="15.6">
      <c r="W35" s="221" t="s">
        <v>892</v>
      </c>
      <c r="X35" s="477">
        <v>12</v>
      </c>
      <c r="Y35" s="113"/>
      <c r="Z35" s="210"/>
      <c r="AA35" s="157" t="s">
        <v>893</v>
      </c>
      <c r="AG35" t="s">
        <v>894</v>
      </c>
    </row>
    <row r="36" spans="13:33" ht="15.6">
      <c r="W36" s="221" t="s">
        <v>895</v>
      </c>
      <c r="X36" s="477">
        <v>2</v>
      </c>
      <c r="Y36" s="113"/>
      <c r="Z36" s="210"/>
      <c r="AA36" s="157" t="s">
        <v>896</v>
      </c>
    </row>
    <row r="37" spans="13:33" ht="15.6">
      <c r="W37" s="1534"/>
      <c r="X37" s="1535"/>
      <c r="Y37" s="2073"/>
      <c r="Z37" s="2074"/>
      <c r="AA37" s="178"/>
      <c r="AG37" t="s">
        <v>897</v>
      </c>
    </row>
    <row r="38" spans="13:33" ht="15.6">
      <c r="W38" s="1596" t="s">
        <v>898</v>
      </c>
      <c r="X38" s="1596"/>
      <c r="Y38" s="1596"/>
      <c r="Z38" s="1596"/>
      <c r="AA38" s="178"/>
    </row>
    <row r="39" spans="13:33" ht="15.6">
      <c r="W39" s="1596" t="s">
        <v>899</v>
      </c>
      <c r="X39" s="1596"/>
      <c r="Y39" s="1534" t="s">
        <v>830</v>
      </c>
      <c r="Z39" s="1535"/>
      <c r="AA39" s="180"/>
    </row>
    <row r="40" spans="13:33">
      <c r="W40" s="2095"/>
      <c r="X40" s="2095"/>
      <c r="Y40" s="490" t="s">
        <v>900</v>
      </c>
      <c r="Z40" s="490" t="s">
        <v>901</v>
      </c>
    </row>
    <row r="41" spans="13:33" ht="15.6">
      <c r="W41" s="346" t="s">
        <v>902</v>
      </c>
      <c r="X41" s="488">
        <v>1.5</v>
      </c>
      <c r="Y41" s="491">
        <v>1.5</v>
      </c>
      <c r="Z41" s="491">
        <v>1</v>
      </c>
      <c r="AA41" s="437" t="s">
        <v>903</v>
      </c>
      <c r="AB41" t="s">
        <v>904</v>
      </c>
    </row>
    <row r="42" spans="13:33" ht="15.6">
      <c r="W42" s="221" t="s">
        <v>905</v>
      </c>
      <c r="X42" s="489">
        <v>2</v>
      </c>
      <c r="Y42" s="492">
        <v>2</v>
      </c>
      <c r="Z42" s="491">
        <v>1</v>
      </c>
      <c r="AA42" s="437" t="s">
        <v>906</v>
      </c>
      <c r="AB42" t="s">
        <v>907</v>
      </c>
    </row>
    <row r="43" spans="13:33" ht="15.6">
      <c r="W43" s="221" t="s">
        <v>908</v>
      </c>
      <c r="X43" s="477">
        <v>3.5</v>
      </c>
      <c r="Y43" s="485">
        <v>3.5</v>
      </c>
      <c r="Z43" s="485">
        <v>1</v>
      </c>
      <c r="AA43" s="437" t="s">
        <v>909</v>
      </c>
      <c r="AB43" t="s">
        <v>910</v>
      </c>
    </row>
    <row r="44" spans="13:33" ht="15.6">
      <c r="W44" s="221" t="s">
        <v>911</v>
      </c>
      <c r="X44" s="2096" t="s">
        <v>912</v>
      </c>
      <c r="Y44" s="2096"/>
      <c r="Z44" s="2096"/>
      <c r="AA44" s="244" t="s">
        <v>913</v>
      </c>
      <c r="AB44" t="s">
        <v>914</v>
      </c>
    </row>
    <row r="45" spans="13:33" ht="15.6">
      <c r="X45" s="113"/>
      <c r="Y45" s="113"/>
      <c r="AA45" s="133"/>
      <c r="AB45" t="s">
        <v>915</v>
      </c>
    </row>
    <row r="46" spans="13:33">
      <c r="W46" s="246" t="s">
        <v>430</v>
      </c>
      <c r="X46" t="s">
        <v>916</v>
      </c>
    </row>
    <row r="48" spans="13:33">
      <c r="W48" t="s">
        <v>917</v>
      </c>
    </row>
    <row r="49" spans="23:23">
      <c r="W49" t="s">
        <v>918</v>
      </c>
    </row>
    <row r="50" spans="23:23">
      <c r="W50" t="s">
        <v>919</v>
      </c>
    </row>
    <row r="51" spans="23:23">
      <c r="W51" t="s">
        <v>920</v>
      </c>
    </row>
    <row r="52" spans="23:23">
      <c r="W52" t="s">
        <v>921</v>
      </c>
    </row>
    <row r="53" spans="23:23">
      <c r="W53" t="s">
        <v>922</v>
      </c>
    </row>
    <row r="54" spans="23:23">
      <c r="W54" t="s">
        <v>923</v>
      </c>
    </row>
    <row r="55" spans="23:23">
      <c r="W55" t="s">
        <v>924</v>
      </c>
    </row>
    <row r="56" spans="23:23">
      <c r="W56" t="s">
        <v>925</v>
      </c>
    </row>
    <row r="57" spans="23:23">
      <c r="W57" t="s">
        <v>926</v>
      </c>
    </row>
    <row r="58" spans="23:23">
      <c r="W58" t="s">
        <v>927</v>
      </c>
    </row>
    <row r="59" spans="23:23">
      <c r="W59" t="s">
        <v>928</v>
      </c>
    </row>
    <row r="60" spans="23:23">
      <c r="W60" t="s">
        <v>929</v>
      </c>
    </row>
  </sheetData>
  <mergeCells count="48">
    <mergeCell ref="W40:X40"/>
    <mergeCell ref="X44:Z44"/>
    <mergeCell ref="W37:Z37"/>
    <mergeCell ref="W38:Z38"/>
    <mergeCell ref="Y39:Z39"/>
    <mergeCell ref="W39:X39"/>
    <mergeCell ref="N7:O7"/>
    <mergeCell ref="AJ5:AL8"/>
    <mergeCell ref="M16:P16"/>
    <mergeCell ref="N17:P17"/>
    <mergeCell ref="AA12:AB12"/>
    <mergeCell ref="X8:Y8"/>
    <mergeCell ref="X9:Y9"/>
    <mergeCell ref="W12:X12"/>
    <mergeCell ref="Y12:Z12"/>
    <mergeCell ref="Y13:Z13"/>
    <mergeCell ref="Y14:Z14"/>
    <mergeCell ref="Y15:Z15"/>
    <mergeCell ref="W11:Z11"/>
    <mergeCell ref="W16:X16"/>
    <mergeCell ref="W17:Z17"/>
    <mergeCell ref="N18:P18"/>
    <mergeCell ref="N19:P19"/>
    <mergeCell ref="N20:P20"/>
    <mergeCell ref="N26:P26"/>
    <mergeCell ref="W34:Z34"/>
    <mergeCell ref="W31:X31"/>
    <mergeCell ref="Y31:Z31"/>
    <mergeCell ref="Y27:Z27"/>
    <mergeCell ref="W22:Z22"/>
    <mergeCell ref="M29:P29"/>
    <mergeCell ref="M30:M31"/>
    <mergeCell ref="N30:P31"/>
    <mergeCell ref="N27:P27"/>
    <mergeCell ref="N32:P32"/>
    <mergeCell ref="Q30:Q31"/>
    <mergeCell ref="W26:Z26"/>
    <mergeCell ref="W18:X18"/>
    <mergeCell ref="Y18:Z18"/>
    <mergeCell ref="Y24:Z24"/>
    <mergeCell ref="W30:Z30"/>
    <mergeCell ref="Y19:Z19"/>
    <mergeCell ref="Y20:Z20"/>
    <mergeCell ref="Y21:Z21"/>
    <mergeCell ref="W23:X23"/>
    <mergeCell ref="Y23:Z23"/>
    <mergeCell ref="W27:X27"/>
    <mergeCell ref="Y28:Z28"/>
  </mergeCells>
  <phoneticPr fontId="8" type="noConversion"/>
  <hyperlinks>
    <hyperlink ref="R1" location="Vendor_Manangement!A1" display="Contents" xr:uid="{D2DCE912-8174-4220-8A67-2468AD72CD68}"/>
    <hyperlink ref="AB1" location="Vendor_Manangement!A1" display="Contents" xr:uid="{F512B4C7-498E-44B2-BFC3-543143AC676F}"/>
    <hyperlink ref="H3" location="Purchase_Doc!M2" display="Display" xr:uid="{6C57B732-7864-4B46-9F66-82D61E4B1D6D}"/>
    <hyperlink ref="H4" location="Cutomer_UF!M1" display="Display" xr:uid="{21C63E8A-EA7F-4700-8E9A-30C7AF504EF2}"/>
    <hyperlink ref="H5" location="Cutomer_UF!W1" display="Display" xr:uid="{B74E9D80-58A7-4B18-8201-71322A6A67C0}"/>
    <hyperlink ref="H6" location="Cutomer_UF!AF1" display="Display" xr:uid="{7C7779FC-D396-4892-800C-4BF02728661F}"/>
  </hyperlink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1"/>
  <dimension ref="A1:AZ47"/>
  <sheetViews>
    <sheetView zoomScale="110" zoomScaleNormal="110" workbookViewId="0">
      <selection activeCell="D11" sqref="D11"/>
    </sheetView>
  </sheetViews>
  <sheetFormatPr defaultColWidth="8.88671875" defaultRowHeight="13.8"/>
  <cols>
    <col min="1" max="1" width="8.88671875" style="129"/>
    <col min="2" max="2" width="32.88671875" style="129" customWidth="1"/>
    <col min="3" max="3" width="20.44140625" style="129" customWidth="1"/>
    <col min="4" max="4" width="49.5546875" style="129" bestFit="1" customWidth="1"/>
    <col min="5" max="5" width="18.44140625" style="129" customWidth="1"/>
    <col min="6" max="8" width="8.88671875" style="129"/>
    <col min="9" max="9" width="55.44140625" style="129" customWidth="1"/>
    <col min="10" max="11" width="20.5546875" style="129" customWidth="1"/>
    <col min="12" max="15" width="7.44140625" style="129" customWidth="1"/>
    <col min="16" max="16" width="36.109375" style="129" customWidth="1"/>
    <col min="17" max="17" width="27" style="129" customWidth="1"/>
    <col min="18" max="19" width="15" style="129" customWidth="1"/>
    <col min="20" max="20" width="10.5546875" style="129" bestFit="1" customWidth="1"/>
    <col min="21" max="21" width="53.5546875" style="129" customWidth="1"/>
    <col min="22" max="25" width="9.5546875" style="129" customWidth="1"/>
    <col min="26" max="26" width="34.5546875" style="129" customWidth="1"/>
    <col min="27" max="27" width="42.44140625" style="129" customWidth="1"/>
    <col min="28" max="28" width="23.5546875" style="129" customWidth="1"/>
    <col min="29" max="29" width="13.44140625" style="129" customWidth="1"/>
    <col min="30" max="30" width="50.5546875" style="129" customWidth="1"/>
    <col min="31" max="34" width="7" style="129" customWidth="1"/>
    <col min="35" max="35" width="30.5546875" style="129" customWidth="1"/>
    <col min="36" max="36" width="41.88671875" style="129" customWidth="1"/>
    <col min="37" max="37" width="21.5546875" style="129" customWidth="1"/>
    <col min="38" max="38" width="10.5546875" style="129" bestFit="1" customWidth="1"/>
    <col min="39" max="39" width="37.44140625" style="129" customWidth="1"/>
    <col min="40" max="42" width="8.88671875" style="129" customWidth="1"/>
    <col min="43" max="43" width="30.5546875" style="129" customWidth="1"/>
    <col min="44" max="44" width="41.44140625" style="129" bestFit="1" customWidth="1"/>
    <col min="45" max="45" width="26.44140625" style="129" customWidth="1"/>
    <col min="46" max="46" width="11.44140625" style="129" customWidth="1"/>
    <col min="47" max="47" width="41.44140625" style="129" customWidth="1"/>
    <col min="48" max="50" width="5" style="129" customWidth="1"/>
    <col min="51" max="51" width="8.88671875" style="129"/>
    <col min="52" max="52" width="5.5546875" style="129" customWidth="1"/>
    <col min="53" max="16384" width="8.88671875" style="129"/>
  </cols>
  <sheetData>
    <row r="1" spans="1:52" ht="26.4" customHeight="1">
      <c r="A1" s="2112" t="s">
        <v>136</v>
      </c>
      <c r="B1" s="2112"/>
      <c r="C1" s="2112"/>
      <c r="D1" s="2112"/>
      <c r="E1" s="2112"/>
      <c r="I1" s="698" t="s">
        <v>962</v>
      </c>
      <c r="P1" s="237" t="s">
        <v>453</v>
      </c>
      <c r="Q1" s="640"/>
      <c r="R1" s="640"/>
      <c r="S1" s="640"/>
      <c r="T1" s="640"/>
      <c r="U1" s="640"/>
      <c r="V1" s="640"/>
      <c r="W1" s="640"/>
      <c r="X1" s="640"/>
      <c r="Y1" s="640"/>
      <c r="Z1" s="140" t="s">
        <v>963</v>
      </c>
      <c r="AA1" s="640"/>
      <c r="AB1" s="640"/>
      <c r="AC1" s="640"/>
      <c r="AD1" s="640"/>
      <c r="AE1" s="640"/>
      <c r="AF1" s="640"/>
      <c r="AG1" s="640"/>
      <c r="AH1" s="640"/>
      <c r="AI1" s="140" t="s">
        <v>964</v>
      </c>
      <c r="AJ1" s="640"/>
      <c r="AK1" s="640"/>
      <c r="AL1" s="640"/>
      <c r="AM1" s="640"/>
      <c r="AN1" s="640"/>
      <c r="AO1" s="640"/>
      <c r="AP1" s="640"/>
      <c r="AQ1" s="140" t="s">
        <v>965</v>
      </c>
      <c r="AR1" s="640"/>
      <c r="AS1" s="640"/>
      <c r="AT1" s="640"/>
      <c r="AU1" s="640"/>
      <c r="AV1" s="640"/>
      <c r="AW1" s="640"/>
      <c r="AX1" s="640"/>
      <c r="AZ1" s="640"/>
    </row>
    <row r="2" spans="1:52" ht="21" customHeight="1">
      <c r="C2" s="517"/>
      <c r="D2" s="456"/>
      <c r="E2" s="456"/>
      <c r="F2" s="456"/>
      <c r="G2" s="456"/>
      <c r="H2" s="456"/>
      <c r="I2" s="456" t="s">
        <v>966</v>
      </c>
      <c r="J2" s="699" t="s">
        <v>23</v>
      </c>
      <c r="K2" s="699" t="s">
        <v>967</v>
      </c>
    </row>
    <row r="3" spans="1:52" ht="18.600000000000001" thickBot="1">
      <c r="B3" s="629" t="s">
        <v>345</v>
      </c>
      <c r="C3" s="630" t="s">
        <v>2</v>
      </c>
      <c r="D3" s="601" t="s">
        <v>968</v>
      </c>
      <c r="E3" s="601" t="s">
        <v>346</v>
      </c>
      <c r="F3" s="601" t="s">
        <v>231</v>
      </c>
      <c r="G3" s="602" t="s">
        <v>233</v>
      </c>
      <c r="I3" s="129" t="s">
        <v>969</v>
      </c>
      <c r="J3" s="129" t="s">
        <v>574</v>
      </c>
      <c r="K3" s="129" t="s">
        <v>970</v>
      </c>
      <c r="P3" s="1801" t="s">
        <v>260</v>
      </c>
      <c r="Q3" s="1801"/>
      <c r="R3" s="861"/>
      <c r="S3" s="861"/>
      <c r="T3" s="861" t="s">
        <v>232</v>
      </c>
      <c r="U3" s="520" t="s">
        <v>971</v>
      </c>
      <c r="V3" s="237"/>
      <c r="W3" s="237"/>
      <c r="X3" s="237"/>
      <c r="Z3" s="2097" t="s">
        <v>36</v>
      </c>
      <c r="AA3" s="2097"/>
      <c r="AB3" s="861"/>
      <c r="AC3" s="861" t="s">
        <v>232</v>
      </c>
      <c r="AD3" s="520" t="s">
        <v>972</v>
      </c>
      <c r="AE3" s="237"/>
      <c r="AF3" s="237"/>
      <c r="AG3" s="237"/>
      <c r="AH3" s="237"/>
      <c r="AI3" s="2098" t="s">
        <v>22</v>
      </c>
      <c r="AJ3" s="2099"/>
      <c r="AK3" s="2100"/>
      <c r="AL3" s="861" t="s">
        <v>232</v>
      </c>
      <c r="AM3" s="700" t="s">
        <v>973</v>
      </c>
      <c r="AN3" s="237"/>
      <c r="AO3" s="237"/>
      <c r="AP3" s="237"/>
      <c r="AQ3" s="2097" t="s">
        <v>35</v>
      </c>
      <c r="AR3" s="2097"/>
      <c r="AS3" s="722"/>
      <c r="AT3" s="861" t="s">
        <v>232</v>
      </c>
      <c r="AU3" s="700" t="s">
        <v>974</v>
      </c>
    </row>
    <row r="4" spans="1:52" ht="18.600000000000001" thickBot="1">
      <c r="B4" s="516" t="s">
        <v>23</v>
      </c>
      <c r="C4" s="138" t="s">
        <v>975</v>
      </c>
      <c r="D4" s="138" t="s">
        <v>976</v>
      </c>
      <c r="E4" s="516" t="s">
        <v>971</v>
      </c>
      <c r="F4" s="727">
        <v>1</v>
      </c>
      <c r="G4" s="701" t="s">
        <v>233</v>
      </c>
      <c r="I4" s="129" t="s">
        <v>977</v>
      </c>
      <c r="J4" s="129" t="s">
        <v>574</v>
      </c>
      <c r="K4" s="129" t="s">
        <v>599</v>
      </c>
      <c r="P4" s="702" t="s">
        <v>350</v>
      </c>
      <c r="Q4" s="702" t="s">
        <v>351</v>
      </c>
      <c r="R4" s="237"/>
      <c r="S4" s="237"/>
      <c r="T4" s="859" t="s">
        <v>352</v>
      </c>
      <c r="U4" s="702" t="s">
        <v>978</v>
      </c>
      <c r="V4" s="237"/>
      <c r="W4" s="237"/>
      <c r="X4" s="237"/>
      <c r="Z4" s="702" t="s">
        <v>350</v>
      </c>
      <c r="AA4" s="702" t="s">
        <v>351</v>
      </c>
      <c r="AB4" s="237"/>
      <c r="AC4" s="859" t="s">
        <v>352</v>
      </c>
      <c r="AD4" s="702" t="s">
        <v>978</v>
      </c>
      <c r="AE4" s="237"/>
      <c r="AF4" s="237"/>
      <c r="AG4" s="237"/>
      <c r="AH4" s="237"/>
      <c r="AI4" s="702" t="s">
        <v>350</v>
      </c>
      <c r="AJ4" s="702" t="s">
        <v>351</v>
      </c>
      <c r="AL4" s="859" t="s">
        <v>352</v>
      </c>
      <c r="AM4" s="703" t="s">
        <v>978</v>
      </c>
      <c r="AN4" s="237"/>
      <c r="AO4" s="237"/>
      <c r="AP4" s="237"/>
      <c r="AQ4" s="702" t="s">
        <v>350</v>
      </c>
      <c r="AR4" s="703" t="s">
        <v>351</v>
      </c>
      <c r="AS4" s="2127" t="s">
        <v>979</v>
      </c>
      <c r="AT4" s="859" t="s">
        <v>352</v>
      </c>
      <c r="AU4" s="703" t="s">
        <v>978</v>
      </c>
    </row>
    <row r="5" spans="1:52" ht="20.399999999999999" customHeight="1">
      <c r="B5" s="516" t="s">
        <v>36</v>
      </c>
      <c r="C5" s="138" t="s">
        <v>975</v>
      </c>
      <c r="D5" s="138" t="s">
        <v>980</v>
      </c>
      <c r="E5" s="516" t="s">
        <v>972</v>
      </c>
      <c r="F5" s="727">
        <v>1</v>
      </c>
      <c r="G5" s="701" t="s">
        <v>233</v>
      </c>
      <c r="I5" s="129" t="s">
        <v>981</v>
      </c>
      <c r="J5" s="129" t="s">
        <v>574</v>
      </c>
      <c r="K5" s="129" t="s">
        <v>574</v>
      </c>
      <c r="P5" s="399" t="s">
        <v>353</v>
      </c>
      <c r="Q5" s="189" t="s">
        <v>354</v>
      </c>
      <c r="R5" s="2115" t="s">
        <v>982</v>
      </c>
      <c r="S5" s="2116"/>
      <c r="T5" s="859"/>
      <c r="U5" s="378" t="s">
        <v>983</v>
      </c>
      <c r="V5" s="378"/>
      <c r="W5" s="378"/>
      <c r="X5" s="378"/>
      <c r="Z5" s="399" t="s">
        <v>353</v>
      </c>
      <c r="AA5" s="164" t="s">
        <v>354</v>
      </c>
      <c r="AB5" s="237"/>
      <c r="AC5" s="859">
        <v>1</v>
      </c>
      <c r="AD5" s="378" t="s">
        <v>983</v>
      </c>
      <c r="AE5" s="378"/>
      <c r="AF5" s="378"/>
      <c r="AG5" s="378"/>
      <c r="AH5" s="378"/>
      <c r="AI5" s="399" t="s">
        <v>353</v>
      </c>
      <c r="AJ5" s="189" t="s">
        <v>354</v>
      </c>
      <c r="AK5" s="724" t="s">
        <v>984</v>
      </c>
      <c r="AL5" s="273">
        <v>1</v>
      </c>
      <c r="AM5" s="378" t="s">
        <v>983</v>
      </c>
      <c r="AQ5" s="399" t="s">
        <v>353</v>
      </c>
      <c r="AR5" s="189" t="s">
        <v>354</v>
      </c>
      <c r="AS5" s="2128"/>
      <c r="AT5" s="580">
        <v>1</v>
      </c>
      <c r="AU5" s="662" t="s">
        <v>983</v>
      </c>
    </row>
    <row r="6" spans="1:52" ht="20.399999999999999" customHeight="1" thickBot="1">
      <c r="B6" s="516" t="s">
        <v>22</v>
      </c>
      <c r="C6" s="138" t="s">
        <v>258</v>
      </c>
      <c r="D6" s="138" t="s">
        <v>985</v>
      </c>
      <c r="E6" s="516" t="s">
        <v>973</v>
      </c>
      <c r="F6" s="727">
        <v>1</v>
      </c>
      <c r="G6" s="701" t="s">
        <v>233</v>
      </c>
      <c r="I6" s="129" t="s">
        <v>986</v>
      </c>
      <c r="J6" s="129" t="s">
        <v>574</v>
      </c>
      <c r="K6" s="129" t="s">
        <v>574</v>
      </c>
      <c r="P6" s="399" t="s">
        <v>355</v>
      </c>
      <c r="Q6" s="191" t="s">
        <v>354</v>
      </c>
      <c r="R6" s="2117"/>
      <c r="S6" s="2118"/>
      <c r="T6" s="859"/>
      <c r="U6" s="378" t="s">
        <v>987</v>
      </c>
      <c r="V6" s="378"/>
      <c r="W6" s="378"/>
      <c r="X6" s="378"/>
      <c r="Z6" s="399" t="s">
        <v>355</v>
      </c>
      <c r="AA6" s="431" t="s">
        <v>354</v>
      </c>
      <c r="AB6" s="237"/>
      <c r="AC6" s="859">
        <v>2</v>
      </c>
      <c r="AD6" s="378" t="s">
        <v>987</v>
      </c>
      <c r="AE6" s="378"/>
      <c r="AF6" s="378"/>
      <c r="AG6" s="378"/>
      <c r="AH6" s="378"/>
      <c r="AI6" s="399" t="s">
        <v>355</v>
      </c>
      <c r="AJ6" s="191" t="s">
        <v>354</v>
      </c>
      <c r="AK6" s="725"/>
      <c r="AL6" s="273">
        <v>2</v>
      </c>
      <c r="AM6" s="378" t="s">
        <v>987</v>
      </c>
      <c r="AQ6" s="399" t="s">
        <v>355</v>
      </c>
      <c r="AR6" s="191" t="s">
        <v>354</v>
      </c>
      <c r="AS6" s="2128"/>
      <c r="AT6" s="580">
        <v>2</v>
      </c>
      <c r="AU6" s="662" t="s">
        <v>987</v>
      </c>
    </row>
    <row r="7" spans="1:52" ht="29.25" customHeight="1" thickBot="1">
      <c r="B7" s="516" t="s">
        <v>35</v>
      </c>
      <c r="C7" s="138" t="s">
        <v>258</v>
      </c>
      <c r="D7" s="138" t="s">
        <v>988</v>
      </c>
      <c r="E7" s="516" t="s">
        <v>974</v>
      </c>
      <c r="F7" s="727">
        <v>1</v>
      </c>
      <c r="G7" s="701" t="s">
        <v>233</v>
      </c>
      <c r="I7" s="129" t="s">
        <v>989</v>
      </c>
      <c r="P7" s="399" t="s">
        <v>990</v>
      </c>
      <c r="Q7" s="718" t="s">
        <v>991</v>
      </c>
      <c r="R7" s="2119"/>
      <c r="S7" s="2120"/>
      <c r="T7" s="749">
        <v>1</v>
      </c>
      <c r="U7" s="655" t="s">
        <v>992</v>
      </c>
      <c r="V7" s="378"/>
      <c r="W7" s="378"/>
      <c r="X7" s="378"/>
      <c r="Z7" s="717" t="s">
        <v>260</v>
      </c>
      <c r="AA7" s="431" t="s">
        <v>993</v>
      </c>
      <c r="AB7" s="2103" t="s">
        <v>994</v>
      </c>
      <c r="AC7" s="859">
        <v>3</v>
      </c>
      <c r="AD7" s="655" t="s">
        <v>995</v>
      </c>
      <c r="AE7" s="378"/>
      <c r="AF7" s="378"/>
      <c r="AG7" s="378"/>
      <c r="AH7" s="378"/>
      <c r="AI7" s="2108" t="s">
        <v>964</v>
      </c>
      <c r="AJ7" s="2123"/>
      <c r="AK7" s="725"/>
      <c r="AL7" s="273"/>
      <c r="AM7" s="378"/>
      <c r="AQ7" s="705" t="s">
        <v>996</v>
      </c>
      <c r="AR7" s="721" t="s">
        <v>997</v>
      </c>
      <c r="AS7" s="2128"/>
      <c r="AT7" s="723">
        <v>3</v>
      </c>
      <c r="AU7" s="349" t="s">
        <v>998</v>
      </c>
    </row>
    <row r="8" spans="1:52" ht="20.399999999999999" customHeight="1" thickBot="1">
      <c r="I8" s="129" t="s">
        <v>999</v>
      </c>
      <c r="J8" s="129" t="s">
        <v>1000</v>
      </c>
      <c r="P8" s="399" t="s">
        <v>409</v>
      </c>
      <c r="Q8" s="704" t="s">
        <v>991</v>
      </c>
      <c r="R8" s="745"/>
      <c r="S8" s="746"/>
      <c r="T8" s="707">
        <v>2</v>
      </c>
      <c r="U8" s="655" t="s">
        <v>1001</v>
      </c>
      <c r="V8" s="378"/>
      <c r="W8" s="378"/>
      <c r="X8" s="378"/>
      <c r="Z8" s="717" t="s">
        <v>36</v>
      </c>
      <c r="AA8" s="718" t="s">
        <v>1002</v>
      </c>
      <c r="AB8" s="2104"/>
      <c r="AC8" s="859">
        <v>4</v>
      </c>
      <c r="AD8" s="655" t="s">
        <v>1003</v>
      </c>
      <c r="AE8" s="378"/>
      <c r="AF8" s="378"/>
      <c r="AG8" s="378"/>
      <c r="AH8" s="378"/>
      <c r="AI8" s="705" t="s">
        <v>1004</v>
      </c>
      <c r="AJ8" s="704" t="s">
        <v>1005</v>
      </c>
      <c r="AK8" s="725"/>
      <c r="AL8" s="273">
        <v>3</v>
      </c>
      <c r="AM8" s="378"/>
      <c r="AQ8" s="705" t="s">
        <v>1006</v>
      </c>
      <c r="AR8" s="721" t="s">
        <v>1007</v>
      </c>
      <c r="AS8" s="2129"/>
      <c r="AT8" s="723">
        <v>4</v>
      </c>
      <c r="AU8" s="349" t="s">
        <v>998</v>
      </c>
    </row>
    <row r="9" spans="1:52" ht="20.399999999999999" customHeight="1">
      <c r="B9" s="129" t="s">
        <v>1008</v>
      </c>
      <c r="I9" s="129" t="s">
        <v>1009</v>
      </c>
      <c r="P9" s="399" t="s">
        <v>1010</v>
      </c>
      <c r="Q9" s="714" t="s">
        <v>991</v>
      </c>
      <c r="R9" s="747"/>
      <c r="S9" s="748"/>
      <c r="T9" s="707">
        <v>3</v>
      </c>
      <c r="U9" s="655" t="s">
        <v>1011</v>
      </c>
      <c r="V9" s="378"/>
      <c r="W9" s="378"/>
      <c r="X9" s="378"/>
      <c r="Z9" s="717" t="s">
        <v>1010</v>
      </c>
      <c r="AA9" s="718" t="s">
        <v>1012</v>
      </c>
      <c r="AB9" s="2104"/>
      <c r="AC9" s="859">
        <v>5</v>
      </c>
      <c r="AD9" s="655" t="s">
        <v>1013</v>
      </c>
      <c r="AE9" s="378"/>
      <c r="AF9" s="378"/>
      <c r="AG9" s="378"/>
      <c r="AH9" s="378"/>
      <c r="AI9" s="705" t="s">
        <v>1014</v>
      </c>
      <c r="AJ9" s="704" t="s">
        <v>1005</v>
      </c>
      <c r="AK9" s="725"/>
      <c r="AL9" s="273">
        <v>4</v>
      </c>
      <c r="AM9" s="378"/>
      <c r="AQ9" s="2124" t="s">
        <v>965</v>
      </c>
      <c r="AR9" s="2125"/>
      <c r="AS9" s="2130" t="s">
        <v>1015</v>
      </c>
      <c r="AT9" s="723"/>
      <c r="AU9" s="349"/>
    </row>
    <row r="10" spans="1:52" ht="20.399999999999999" customHeight="1">
      <c r="B10" s="129" t="s">
        <v>1016</v>
      </c>
      <c r="I10" s="129" t="s">
        <v>1017</v>
      </c>
      <c r="P10" s="2114" t="s">
        <v>1018</v>
      </c>
      <c r="Q10" s="2114"/>
      <c r="R10" s="2114"/>
      <c r="S10" s="2114"/>
      <c r="T10" s="749"/>
      <c r="U10" s="655"/>
      <c r="V10" s="415"/>
      <c r="W10" s="415"/>
      <c r="X10" s="415"/>
      <c r="Z10" s="717" t="s">
        <v>1019</v>
      </c>
      <c r="AA10" s="718" t="s">
        <v>1020</v>
      </c>
      <c r="AB10" s="2104"/>
      <c r="AC10" s="859">
        <v>6</v>
      </c>
      <c r="AD10" s="655" t="s">
        <v>1021</v>
      </c>
      <c r="AE10" s="378"/>
      <c r="AF10" s="378"/>
      <c r="AG10" s="378"/>
      <c r="AH10" s="378"/>
      <c r="AI10" s="2124" t="s">
        <v>4</v>
      </c>
      <c r="AJ10" s="2125"/>
      <c r="AK10" s="725"/>
      <c r="AL10" s="273"/>
      <c r="AM10" s="378"/>
      <c r="AQ10" s="2124" t="s">
        <v>3</v>
      </c>
      <c r="AR10" s="2125"/>
      <c r="AS10" s="2128"/>
      <c r="AT10" s="723"/>
      <c r="AU10" s="349"/>
    </row>
    <row r="11" spans="1:52" ht="20.399999999999999" customHeight="1" thickBot="1">
      <c r="B11" s="129" t="s">
        <v>1022</v>
      </c>
      <c r="I11" s="129" t="s">
        <v>1023</v>
      </c>
      <c r="P11" s="222" t="s">
        <v>1018</v>
      </c>
      <c r="Q11" s="2113" t="s">
        <v>991</v>
      </c>
      <c r="R11" s="2113"/>
      <c r="S11" s="2113"/>
      <c r="T11" s="716" t="s">
        <v>833</v>
      </c>
      <c r="U11" s="655" t="s">
        <v>1024</v>
      </c>
      <c r="V11" s="378"/>
      <c r="W11" s="378"/>
      <c r="X11" s="378"/>
      <c r="Z11" s="717" t="s">
        <v>1025</v>
      </c>
      <c r="AA11" s="718" t="s">
        <v>1026</v>
      </c>
      <c r="AB11" s="2105"/>
      <c r="AC11" s="859">
        <v>7</v>
      </c>
      <c r="AD11" s="655" t="s">
        <v>1027</v>
      </c>
      <c r="AE11" s="378"/>
      <c r="AF11" s="378"/>
      <c r="AG11" s="378"/>
      <c r="AH11" s="378"/>
      <c r="AI11" s="705" t="s">
        <v>1004</v>
      </c>
      <c r="AJ11" s="704" t="s">
        <v>1005</v>
      </c>
      <c r="AK11" s="725"/>
      <c r="AL11" s="273">
        <v>5</v>
      </c>
      <c r="AM11" s="378"/>
      <c r="AQ11" s="705" t="s">
        <v>1028</v>
      </c>
      <c r="AR11" s="704" t="s">
        <v>1005</v>
      </c>
      <c r="AS11" s="2128"/>
      <c r="AT11" s="723">
        <v>5</v>
      </c>
      <c r="AU11" s="349"/>
    </row>
    <row r="12" spans="1:52" ht="20.399999999999999" customHeight="1">
      <c r="B12" s="129" t="s">
        <v>1029</v>
      </c>
      <c r="P12" s="222" t="s">
        <v>1030</v>
      </c>
      <c r="Q12" s="750" t="s">
        <v>991</v>
      </c>
      <c r="R12" s="502"/>
      <c r="S12" s="502"/>
      <c r="T12" s="716" t="s">
        <v>837</v>
      </c>
      <c r="U12" s="655" t="s">
        <v>1031</v>
      </c>
      <c r="V12" s="378"/>
      <c r="W12" s="378"/>
      <c r="X12" s="378"/>
      <c r="Z12" s="2106" t="s">
        <v>1032</v>
      </c>
      <c r="AA12" s="2107"/>
      <c r="AB12" s="2103" t="s">
        <v>1033</v>
      </c>
      <c r="AC12" s="859">
        <v>8</v>
      </c>
      <c r="AD12" s="655"/>
      <c r="AE12" s="378"/>
      <c r="AF12" s="378"/>
      <c r="AG12" s="378"/>
      <c r="AH12" s="378"/>
      <c r="AI12" s="705" t="s">
        <v>1014</v>
      </c>
      <c r="AJ12" s="704" t="s">
        <v>1005</v>
      </c>
      <c r="AK12" s="725"/>
      <c r="AL12" s="273">
        <v>6</v>
      </c>
      <c r="AQ12" s="705" t="s">
        <v>1014</v>
      </c>
      <c r="AR12" s="704" t="s">
        <v>1005</v>
      </c>
      <c r="AS12" s="2128"/>
      <c r="AT12" s="723">
        <v>6</v>
      </c>
      <c r="AU12" s="349"/>
    </row>
    <row r="13" spans="1:52" ht="20.399999999999999" customHeight="1" thickBot="1">
      <c r="B13" s="129" t="s">
        <v>1034</v>
      </c>
      <c r="P13" s="222" t="s">
        <v>370</v>
      </c>
      <c r="Q13" s="704" t="s">
        <v>1035</v>
      </c>
      <c r="R13" s="502"/>
      <c r="S13" s="502"/>
      <c r="T13" s="716" t="s">
        <v>841</v>
      </c>
      <c r="U13" s="655" t="s">
        <v>1031</v>
      </c>
      <c r="V13" s="378"/>
      <c r="W13" s="378"/>
      <c r="X13" s="378"/>
      <c r="Z13" s="717" t="s">
        <v>1036</v>
      </c>
      <c r="AA13" s="704" t="s">
        <v>385</v>
      </c>
      <c r="AB13" s="2104"/>
      <c r="AC13" s="859">
        <v>9</v>
      </c>
      <c r="AD13" s="655" t="s">
        <v>1037</v>
      </c>
      <c r="AE13" s="862"/>
      <c r="AF13" s="862"/>
      <c r="AG13" s="862"/>
      <c r="AH13" s="862"/>
      <c r="AI13" s="1869" t="s">
        <v>1038</v>
      </c>
      <c r="AJ13" s="2126"/>
      <c r="AK13" s="726"/>
      <c r="AL13" s="273"/>
      <c r="AQ13" s="2124" t="s">
        <v>4</v>
      </c>
      <c r="AR13" s="2125"/>
      <c r="AS13" s="2128"/>
      <c r="AT13" s="686"/>
    </row>
    <row r="14" spans="1:52" ht="20.399999999999999" customHeight="1">
      <c r="P14" s="222" t="s">
        <v>1039</v>
      </c>
      <c r="Q14" s="704" t="s">
        <v>991</v>
      </c>
      <c r="R14" s="502"/>
      <c r="S14" s="502"/>
      <c r="T14" s="749">
        <v>5</v>
      </c>
      <c r="U14" s="708" t="s">
        <v>1040</v>
      </c>
      <c r="V14" s="378"/>
      <c r="W14" s="378"/>
      <c r="X14" s="378"/>
      <c r="Z14" s="717" t="s">
        <v>441</v>
      </c>
      <c r="AA14" s="130" t="s">
        <v>1041</v>
      </c>
      <c r="AB14" s="2104"/>
      <c r="AC14" s="859">
        <v>10</v>
      </c>
      <c r="AD14" s="655" t="s">
        <v>1042</v>
      </c>
      <c r="AE14" s="862"/>
      <c r="AF14" s="862"/>
      <c r="AG14" s="862"/>
      <c r="AH14" s="862"/>
      <c r="AI14" s="562" t="s">
        <v>1043</v>
      </c>
      <c r="AJ14" s="704" t="s">
        <v>1044</v>
      </c>
      <c r="AL14" s="273">
        <v>7</v>
      </c>
      <c r="AM14" s="129" t="s">
        <v>1045</v>
      </c>
      <c r="AQ14" s="705" t="s">
        <v>1028</v>
      </c>
      <c r="AR14" s="704" t="s">
        <v>1005</v>
      </c>
      <c r="AS14" s="2128"/>
      <c r="AT14" s="723">
        <v>7</v>
      </c>
      <c r="AU14" s="349"/>
    </row>
    <row r="15" spans="1:52" ht="20.399999999999999" customHeight="1">
      <c r="P15" s="222" t="s">
        <v>1019</v>
      </c>
      <c r="Q15" s="704" t="s">
        <v>991</v>
      </c>
      <c r="R15" s="502"/>
      <c r="S15" s="502"/>
      <c r="T15" s="716" t="s">
        <v>825</v>
      </c>
      <c r="U15" s="655" t="s">
        <v>1046</v>
      </c>
      <c r="V15" s="378"/>
      <c r="W15" s="378"/>
      <c r="X15" s="378"/>
      <c r="Z15" s="717" t="s">
        <v>1047</v>
      </c>
      <c r="AA15" s="704" t="s">
        <v>1048</v>
      </c>
      <c r="AB15" s="2104"/>
      <c r="AC15" s="859">
        <v>11</v>
      </c>
      <c r="AD15" s="710" t="s">
        <v>1049</v>
      </c>
      <c r="AE15" s="860"/>
      <c r="AF15" s="860"/>
      <c r="AG15" s="860"/>
      <c r="AH15" s="860"/>
      <c r="AI15" s="720" t="s">
        <v>1050</v>
      </c>
      <c r="AJ15" s="704" t="s">
        <v>1051</v>
      </c>
      <c r="AL15" s="273">
        <v>8</v>
      </c>
      <c r="AM15" s="129" t="s">
        <v>1052</v>
      </c>
      <c r="AQ15" s="705" t="s">
        <v>1014</v>
      </c>
      <c r="AR15" s="704" t="s">
        <v>1005</v>
      </c>
      <c r="AS15" s="2128"/>
      <c r="AT15" s="723">
        <v>8</v>
      </c>
      <c r="AU15" s="349"/>
    </row>
    <row r="16" spans="1:52" ht="20.399999999999999" customHeight="1" thickBot="1">
      <c r="P16" s="222" t="s">
        <v>1025</v>
      </c>
      <c r="Q16" s="704" t="s">
        <v>1053</v>
      </c>
      <c r="R16" s="502"/>
      <c r="S16" s="502"/>
      <c r="T16" s="716" t="s">
        <v>827</v>
      </c>
      <c r="U16" s="655" t="s">
        <v>1054</v>
      </c>
      <c r="V16" s="378"/>
      <c r="W16" s="378"/>
      <c r="X16" s="378"/>
      <c r="Z16" s="717" t="s">
        <v>428</v>
      </c>
      <c r="AA16" s="704" t="s">
        <v>1055</v>
      </c>
      <c r="AB16" s="2105"/>
      <c r="AC16" s="859">
        <v>12</v>
      </c>
      <c r="AD16" s="710" t="s">
        <v>435</v>
      </c>
      <c r="AE16" s="860"/>
      <c r="AF16" s="860"/>
      <c r="AG16" s="860"/>
      <c r="AH16" s="860"/>
      <c r="AK16" s="871"/>
      <c r="AQ16" s="1869" t="s">
        <v>1056</v>
      </c>
      <c r="AR16" s="2126"/>
      <c r="AS16" s="2128"/>
      <c r="AT16" s="723"/>
      <c r="AU16" s="349"/>
    </row>
    <row r="17" spans="16:47" ht="20.399999999999999" customHeight="1" thickBot="1">
      <c r="P17" s="222" t="s">
        <v>1057</v>
      </c>
      <c r="Q17" s="704" t="s">
        <v>1058</v>
      </c>
      <c r="R17" s="502"/>
      <c r="S17" s="502"/>
      <c r="T17" s="749">
        <v>7</v>
      </c>
      <c r="U17" s="655" t="s">
        <v>1059</v>
      </c>
      <c r="V17" s="378"/>
      <c r="W17" s="378"/>
      <c r="X17" s="378"/>
      <c r="AD17" s="860"/>
      <c r="AE17" s="860"/>
      <c r="AF17" s="860"/>
      <c r="AG17" s="860"/>
      <c r="AH17" s="860"/>
      <c r="AI17" s="159" t="s">
        <v>430</v>
      </c>
      <c r="AJ17" s="1786" t="s">
        <v>1060</v>
      </c>
      <c r="AK17" s="1786"/>
      <c r="AL17" s="1786"/>
      <c r="AM17" s="1786"/>
      <c r="AQ17" s="705" t="s">
        <v>40</v>
      </c>
      <c r="AR17" s="704" t="s">
        <v>1061</v>
      </c>
      <c r="AS17" s="2129"/>
      <c r="AT17" s="706">
        <v>9</v>
      </c>
      <c r="AU17" s="349" t="s">
        <v>1062</v>
      </c>
    </row>
    <row r="18" spans="16:47" ht="20.399999999999999" customHeight="1">
      <c r="P18" s="222" t="s">
        <v>1063</v>
      </c>
      <c r="Q18" s="704" t="s">
        <v>1064</v>
      </c>
      <c r="R18" s="502"/>
      <c r="S18" s="502"/>
      <c r="T18" s="749">
        <v>8</v>
      </c>
      <c r="U18" s="655" t="s">
        <v>1065</v>
      </c>
      <c r="V18" s="378"/>
      <c r="W18" s="378"/>
      <c r="X18" s="378"/>
      <c r="Z18" s="538" t="s">
        <v>430</v>
      </c>
      <c r="AA18" s="2101" t="s">
        <v>1066</v>
      </c>
      <c r="AB18" s="2101"/>
      <c r="AC18" s="2101"/>
      <c r="AD18" s="538"/>
      <c r="AE18" s="860"/>
      <c r="AF18" s="860"/>
      <c r="AG18" s="860"/>
      <c r="AH18" s="860"/>
      <c r="AJ18" s="129" t="s">
        <v>1067</v>
      </c>
    </row>
    <row r="19" spans="16:47" ht="22.95" customHeight="1">
      <c r="P19" s="222" t="s">
        <v>1036</v>
      </c>
      <c r="Q19" s="704" t="s">
        <v>1064</v>
      </c>
      <c r="R19" s="502"/>
      <c r="S19" s="502"/>
      <c r="T19" s="749">
        <v>9</v>
      </c>
      <c r="U19" s="655" t="s">
        <v>1068</v>
      </c>
      <c r="Z19" s="2101" t="s">
        <v>1069</v>
      </c>
      <c r="AA19" s="2101"/>
      <c r="AB19" s="2101"/>
      <c r="AC19" s="2101"/>
      <c r="AD19" s="860"/>
      <c r="AE19" s="860"/>
      <c r="AF19" s="860"/>
      <c r="AG19" s="860"/>
      <c r="AH19" s="860"/>
      <c r="AJ19" s="129" t="s">
        <v>1070</v>
      </c>
      <c r="AN19" s="296"/>
      <c r="AQ19" s="159" t="s">
        <v>430</v>
      </c>
      <c r="AR19" s="1786" t="s">
        <v>1071</v>
      </c>
      <c r="AS19" s="1786"/>
      <c r="AT19" s="1786"/>
      <c r="AU19" s="378"/>
    </row>
    <row r="20" spans="16:47" ht="28.8">
      <c r="P20" s="2108" t="s">
        <v>1072</v>
      </c>
      <c r="Q20" s="2109"/>
      <c r="R20" s="2110"/>
      <c r="S20" s="2111"/>
      <c r="T20" s="709"/>
      <c r="U20" s="655" t="s">
        <v>1073</v>
      </c>
      <c r="Z20" s="2101" t="s">
        <v>1074</v>
      </c>
      <c r="AA20" s="2101"/>
      <c r="AB20" s="2101"/>
      <c r="AC20" s="2101"/>
      <c r="AD20" s="2101"/>
      <c r="AJ20" s="129" t="s">
        <v>1075</v>
      </c>
      <c r="AN20" s="296"/>
      <c r="AQ20" s="1785"/>
      <c r="AR20" s="1785"/>
      <c r="AS20" s="1785"/>
      <c r="AT20" s="1785"/>
      <c r="AU20" s="1785"/>
    </row>
    <row r="21" spans="16:47" ht="27.6">
      <c r="P21" s="399" t="s">
        <v>1076</v>
      </c>
      <c r="Q21" s="399" t="s">
        <v>361</v>
      </c>
      <c r="R21" s="399" t="s">
        <v>1077</v>
      </c>
      <c r="S21" s="399" t="s">
        <v>528</v>
      </c>
      <c r="T21" s="709"/>
      <c r="U21" s="655" t="s">
        <v>1078</v>
      </c>
      <c r="V21" s="378"/>
      <c r="W21" s="378"/>
      <c r="X21" s="378"/>
      <c r="Z21" s="2101" t="s">
        <v>1079</v>
      </c>
      <c r="AA21" s="2101"/>
      <c r="AB21" s="2101"/>
      <c r="AC21" s="2101"/>
      <c r="AD21" s="860"/>
      <c r="AE21" s="860"/>
      <c r="AF21" s="860"/>
      <c r="AG21" s="860"/>
      <c r="AH21" s="860"/>
      <c r="AJ21" s="129" t="s">
        <v>1080</v>
      </c>
      <c r="AN21" s="296"/>
      <c r="AQ21" s="2102"/>
      <c r="AR21" s="2102"/>
      <c r="AS21" s="2102"/>
      <c r="AT21" s="2102"/>
      <c r="AU21" s="2102"/>
    </row>
    <row r="22" spans="16:47" ht="20.399999999999999" customHeight="1">
      <c r="P22" s="711" t="s">
        <v>862</v>
      </c>
      <c r="Q22" s="704" t="s">
        <v>862</v>
      </c>
      <c r="R22" s="704" t="s">
        <v>945</v>
      </c>
      <c r="S22" s="704"/>
      <c r="T22" s="709" t="s">
        <v>903</v>
      </c>
      <c r="U22" s="655" t="s">
        <v>1081</v>
      </c>
      <c r="V22" s="378"/>
      <c r="W22" s="378"/>
      <c r="X22" s="378"/>
      <c r="Z22" s="2101" t="s">
        <v>1082</v>
      </c>
      <c r="AA22" s="2101"/>
      <c r="AB22" s="2101"/>
      <c r="AC22" s="2101"/>
      <c r="AD22" s="2101"/>
      <c r="AE22" s="860"/>
      <c r="AF22" s="860"/>
      <c r="AG22" s="860"/>
      <c r="AH22" s="860"/>
      <c r="AJ22" s="129" t="s">
        <v>1083</v>
      </c>
      <c r="AN22" s="296"/>
      <c r="AQ22" s="864"/>
      <c r="AR22" s="864"/>
      <c r="AS22" s="864"/>
      <c r="AT22" s="864"/>
      <c r="AU22" s="864"/>
    </row>
    <row r="23" spans="16:47" ht="14.4" customHeight="1">
      <c r="P23" s="711" t="s">
        <v>1084</v>
      </c>
      <c r="Q23" s="704" t="s">
        <v>862</v>
      </c>
      <c r="R23" s="704" t="s">
        <v>945</v>
      </c>
      <c r="S23" s="704"/>
      <c r="T23" s="709" t="s">
        <v>906</v>
      </c>
      <c r="U23" s="138"/>
      <c r="Z23" s="2101"/>
      <c r="AA23" s="2101"/>
      <c r="AB23" s="2101"/>
      <c r="AC23" s="2101"/>
      <c r="AD23" s="860"/>
      <c r="AJ23" s="296" t="s">
        <v>1085</v>
      </c>
      <c r="AK23" s="296"/>
      <c r="AL23" s="296"/>
      <c r="AM23" s="296"/>
      <c r="AN23" s="296"/>
      <c r="AO23" s="296"/>
      <c r="AQ23" s="864"/>
      <c r="AR23" s="864"/>
      <c r="AS23" s="864"/>
      <c r="AT23" s="864"/>
      <c r="AU23" s="864"/>
    </row>
    <row r="24" spans="16:47">
      <c r="P24" s="711" t="s">
        <v>1084</v>
      </c>
      <c r="Q24" s="704" t="s">
        <v>862</v>
      </c>
      <c r="R24" s="714" t="s">
        <v>945</v>
      </c>
      <c r="S24" s="714"/>
      <c r="T24" s="709" t="s">
        <v>909</v>
      </c>
      <c r="U24" s="138"/>
      <c r="Z24" s="2101"/>
      <c r="AA24" s="2101"/>
      <c r="AB24" s="2101"/>
      <c r="AC24" s="2101"/>
      <c r="AD24" s="2101"/>
      <c r="AJ24" s="296" t="s">
        <v>1086</v>
      </c>
      <c r="AK24" s="296"/>
      <c r="AL24" s="296"/>
      <c r="AM24" s="296"/>
      <c r="AN24" s="296"/>
    </row>
    <row r="25" spans="16:47" ht="14.4" customHeight="1">
      <c r="P25" s="399" t="s">
        <v>1087</v>
      </c>
      <c r="Q25" s="713" t="s">
        <v>1041</v>
      </c>
      <c r="T25" s="716" t="s">
        <v>958</v>
      </c>
      <c r="U25" s="712" t="s">
        <v>1088</v>
      </c>
      <c r="Z25" s="2101"/>
      <c r="AA25" s="2101"/>
      <c r="AB25" s="2101"/>
      <c r="AC25" s="2101"/>
      <c r="AJ25" s="296" t="s">
        <v>1089</v>
      </c>
      <c r="AK25" s="296"/>
      <c r="AL25" s="296"/>
      <c r="AM25" s="296"/>
      <c r="AQ25" s="296"/>
      <c r="AR25" s="296"/>
      <c r="AS25" s="296"/>
      <c r="AT25" s="296"/>
      <c r="AU25" s="296"/>
    </row>
    <row r="26" spans="16:47" ht="15" customHeight="1">
      <c r="P26" s="399" t="s">
        <v>1090</v>
      </c>
      <c r="Q26" s="713" t="s">
        <v>1091</v>
      </c>
      <c r="T26" s="716" t="s">
        <v>958</v>
      </c>
      <c r="U26" s="712" t="s">
        <v>1092</v>
      </c>
      <c r="AJ26" s="296" t="s">
        <v>1093</v>
      </c>
      <c r="AK26" s="296"/>
      <c r="AL26" s="296"/>
      <c r="AM26" s="296"/>
    </row>
    <row r="27" spans="16:47">
      <c r="P27" s="399" t="s">
        <v>436</v>
      </c>
      <c r="Q27" s="2121" t="s">
        <v>1094</v>
      </c>
      <c r="R27" s="2122"/>
      <c r="S27" s="2122"/>
      <c r="T27" s="716">
        <v>12</v>
      </c>
      <c r="U27" s="129" t="s">
        <v>435</v>
      </c>
      <c r="AJ27" s="296" t="s">
        <v>1095</v>
      </c>
      <c r="AK27" s="296"/>
      <c r="AL27" s="296"/>
      <c r="AM27" s="296"/>
    </row>
    <row r="28" spans="16:47" ht="14.4" customHeight="1">
      <c r="V28" s="296"/>
      <c r="W28" s="296"/>
      <c r="X28" s="296"/>
      <c r="AJ28" s="296" t="s">
        <v>1096</v>
      </c>
      <c r="AK28" s="296"/>
      <c r="AL28" s="296"/>
      <c r="AM28" s="296"/>
    </row>
    <row r="29" spans="16:47" ht="14.4" customHeight="1">
      <c r="P29" s="129" t="s">
        <v>430</v>
      </c>
      <c r="Q29" s="1785" t="s">
        <v>1097</v>
      </c>
      <c r="R29" s="1785"/>
      <c r="S29" s="1785"/>
      <c r="T29" s="1785"/>
      <c r="U29" s="1785"/>
      <c r="V29" s="296"/>
      <c r="W29" s="296"/>
      <c r="X29" s="296"/>
    </row>
    <row r="30" spans="16:47">
      <c r="AI30" s="129" t="s">
        <v>1098</v>
      </c>
    </row>
    <row r="31" spans="16:47">
      <c r="P31" s="129" t="s">
        <v>1099</v>
      </c>
      <c r="AI31" s="719" t="s">
        <v>1100</v>
      </c>
    </row>
    <row r="32" spans="16:47">
      <c r="P32" s="129" t="s">
        <v>1101</v>
      </c>
      <c r="AI32" s="129" t="s">
        <v>1102</v>
      </c>
    </row>
    <row r="33" spans="16:35">
      <c r="P33" s="129" t="s">
        <v>1103</v>
      </c>
      <c r="Q33" s="613"/>
      <c r="R33" s="613"/>
      <c r="S33" s="613"/>
      <c r="T33" s="613"/>
      <c r="U33" s="613"/>
      <c r="AI33" s="129" t="s">
        <v>1104</v>
      </c>
    </row>
    <row r="34" spans="16:35">
      <c r="P34" s="129" t="s">
        <v>1105</v>
      </c>
      <c r="Q34" s="613"/>
      <c r="R34" s="613"/>
      <c r="S34" s="613"/>
      <c r="T34" s="613"/>
      <c r="U34" s="296"/>
      <c r="AI34" s="719" t="s">
        <v>1106</v>
      </c>
    </row>
    <row r="35" spans="16:35">
      <c r="P35" s="129" t="s">
        <v>1107</v>
      </c>
      <c r="Q35" s="296"/>
      <c r="R35" s="296"/>
      <c r="S35" s="296"/>
      <c r="T35" s="296"/>
      <c r="U35" s="296"/>
      <c r="AI35" s="129" t="s">
        <v>1108</v>
      </c>
    </row>
    <row r="36" spans="16:35">
      <c r="Q36" s="296"/>
      <c r="R36" s="296"/>
      <c r="S36" s="296"/>
      <c r="T36" s="296"/>
      <c r="AI36" s="129" t="s">
        <v>1109</v>
      </c>
    </row>
    <row r="37" spans="16:35">
      <c r="P37" s="129" t="s">
        <v>1110</v>
      </c>
    </row>
    <row r="38" spans="16:35">
      <c r="P38" s="129" t="s">
        <v>1111</v>
      </c>
      <c r="AI38" s="129" t="s">
        <v>1112</v>
      </c>
    </row>
    <row r="39" spans="16:35">
      <c r="P39" s="129" t="s">
        <v>1113</v>
      </c>
    </row>
    <row r="40" spans="16:35">
      <c r="P40" s="129" t="s">
        <v>1114</v>
      </c>
      <c r="AI40" s="129" t="s">
        <v>1115</v>
      </c>
    </row>
    <row r="41" spans="16:35">
      <c r="P41" s="129" t="s">
        <v>1116</v>
      </c>
    </row>
    <row r="42" spans="16:35">
      <c r="P42" s="296" t="s">
        <v>1117</v>
      </c>
      <c r="Q42" s="296"/>
      <c r="R42" s="296"/>
      <c r="S42" s="296"/>
      <c r="T42" s="296"/>
      <c r="U42" s="296"/>
    </row>
    <row r="43" spans="16:35">
      <c r="P43" s="296" t="s">
        <v>1118</v>
      </c>
      <c r="Q43" s="296"/>
      <c r="R43" s="296"/>
      <c r="S43" s="296"/>
      <c r="T43" s="296"/>
      <c r="U43" s="296"/>
    </row>
    <row r="44" spans="16:35">
      <c r="P44" s="715"/>
    </row>
    <row r="45" spans="16:35">
      <c r="P45" s="715"/>
    </row>
    <row r="46" spans="16:35">
      <c r="P46" s="296"/>
    </row>
    <row r="47" spans="16:35">
      <c r="P47" s="296"/>
    </row>
  </sheetData>
  <sortState xmlns:xlrd2="http://schemas.microsoft.com/office/spreadsheetml/2017/richdata2" ref="B4:E7">
    <sortCondition ref="C4:C7"/>
  </sortState>
  <mergeCells count="35">
    <mergeCell ref="AI7:AJ7"/>
    <mergeCell ref="AI10:AJ10"/>
    <mergeCell ref="AI13:AJ13"/>
    <mergeCell ref="AJ17:AM17"/>
    <mergeCell ref="AR19:AT19"/>
    <mergeCell ref="AS4:AS8"/>
    <mergeCell ref="AQ9:AR9"/>
    <mergeCell ref="AQ10:AR10"/>
    <mergeCell ref="AQ13:AR13"/>
    <mergeCell ref="AQ16:AR16"/>
    <mergeCell ref="AS9:AS17"/>
    <mergeCell ref="Q29:U29"/>
    <mergeCell ref="P20:S20"/>
    <mergeCell ref="A1:E1"/>
    <mergeCell ref="P3:Q3"/>
    <mergeCell ref="Q11:S11"/>
    <mergeCell ref="P10:S10"/>
    <mergeCell ref="R5:S7"/>
    <mergeCell ref="Q27:S27"/>
    <mergeCell ref="Z3:AA3"/>
    <mergeCell ref="AQ3:AR3"/>
    <mergeCell ref="AI3:AK3"/>
    <mergeCell ref="Z23:AC23"/>
    <mergeCell ref="Z25:AC25"/>
    <mergeCell ref="Z24:AD24"/>
    <mergeCell ref="Z19:AC19"/>
    <mergeCell ref="Z21:AC21"/>
    <mergeCell ref="Z20:AD20"/>
    <mergeCell ref="AQ20:AU20"/>
    <mergeCell ref="AQ21:AU21"/>
    <mergeCell ref="AB12:AB16"/>
    <mergeCell ref="AB7:AB11"/>
    <mergeCell ref="AA18:AC18"/>
    <mergeCell ref="Z12:AA12"/>
    <mergeCell ref="Z22:AD22"/>
  </mergeCells>
  <phoneticPr fontId="8" type="noConversion"/>
  <hyperlinks>
    <hyperlink ref="G4" location="Material_Master!M3" display="Display" xr:uid="{1920A7A8-4E7B-4950-AF75-D7D29199EEEF}"/>
  </hyperlink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CFB9C-5DCF-4776-80B7-AEF2B27CF5AC}">
  <sheetPr codeName="Sheet11"/>
  <dimension ref="B1:H164"/>
  <sheetViews>
    <sheetView topLeftCell="A49" workbookViewId="0">
      <selection activeCell="M14" sqref="M14"/>
    </sheetView>
  </sheetViews>
  <sheetFormatPr defaultRowHeight="14.4"/>
  <cols>
    <col min="2" max="2" width="33.5546875" customWidth="1"/>
    <col min="3" max="3" width="47.44140625" bestFit="1" customWidth="1"/>
    <col min="4" max="8" width="14.88671875" style="210" hidden="1" customWidth="1"/>
    <col min="14" max="14" width="24.77734375" customWidth="1"/>
    <col min="15" max="15" width="20.77734375" customWidth="1"/>
  </cols>
  <sheetData>
    <row r="1" spans="2:8">
      <c r="D1" s="210" t="s">
        <v>116</v>
      </c>
      <c r="E1" s="210" t="s">
        <v>117</v>
      </c>
      <c r="F1" s="210" t="s">
        <v>118</v>
      </c>
      <c r="G1" s="210" t="s">
        <v>119</v>
      </c>
      <c r="H1" s="210" t="s">
        <v>120</v>
      </c>
    </row>
    <row r="3" spans="2:8">
      <c r="B3" s="413" t="s">
        <v>121</v>
      </c>
      <c r="C3" s="413" t="s">
        <v>122</v>
      </c>
      <c r="D3" s="523" t="s">
        <v>123</v>
      </c>
      <c r="E3" s="523" t="s">
        <v>124</v>
      </c>
      <c r="F3" s="523" t="s">
        <v>125</v>
      </c>
      <c r="G3" s="523" t="s">
        <v>126</v>
      </c>
      <c r="H3" s="523" t="s">
        <v>127</v>
      </c>
    </row>
    <row r="4" spans="2:8">
      <c r="B4" s="129" t="s">
        <v>128</v>
      </c>
      <c r="C4" s="214" t="s">
        <v>129</v>
      </c>
      <c r="G4" s="524"/>
    </row>
    <row r="5" spans="2:8">
      <c r="B5" s="129" t="s">
        <v>128</v>
      </c>
      <c r="C5" s="214" t="s">
        <v>130</v>
      </c>
      <c r="G5" s="524"/>
    </row>
    <row r="6" spans="2:8">
      <c r="B6" s="129" t="s">
        <v>128</v>
      </c>
      <c r="C6" s="214" t="s">
        <v>131</v>
      </c>
      <c r="G6" s="524"/>
    </row>
    <row r="7" spans="2:8">
      <c r="B7" s="129" t="s">
        <v>128</v>
      </c>
      <c r="C7" s="214" t="s">
        <v>132</v>
      </c>
      <c r="G7" s="524"/>
    </row>
    <row r="8" spans="2:8">
      <c r="B8" s="129" t="s">
        <v>128</v>
      </c>
      <c r="C8" s="214" t="s">
        <v>133</v>
      </c>
      <c r="G8" s="524"/>
    </row>
    <row r="9" spans="2:8">
      <c r="B9" s="129" t="s">
        <v>128</v>
      </c>
      <c r="C9" s="129" t="s">
        <v>134</v>
      </c>
      <c r="G9" s="524"/>
    </row>
    <row r="10" spans="2:8">
      <c r="B10" s="129" t="s">
        <v>128</v>
      </c>
      <c r="C10" s="214" t="s">
        <v>135</v>
      </c>
      <c r="G10" s="524"/>
    </row>
    <row r="11" spans="2:8">
      <c r="B11" s="377" t="s">
        <v>136</v>
      </c>
      <c r="C11" s="214" t="s">
        <v>137</v>
      </c>
      <c r="D11" s="525">
        <v>5</v>
      </c>
    </row>
    <row r="12" spans="2:8">
      <c r="B12" s="377" t="s">
        <v>136</v>
      </c>
      <c r="C12" s="214" t="s">
        <v>35</v>
      </c>
      <c r="D12" s="525">
        <v>5</v>
      </c>
    </row>
    <row r="13" spans="2:8">
      <c r="B13" s="377" t="s">
        <v>136</v>
      </c>
      <c r="C13" s="214" t="s">
        <v>138</v>
      </c>
      <c r="D13" s="525">
        <v>5</v>
      </c>
    </row>
    <row r="14" spans="2:8">
      <c r="B14" s="377" t="s">
        <v>136</v>
      </c>
      <c r="C14" s="214" t="s">
        <v>22</v>
      </c>
      <c r="D14" s="525">
        <v>5</v>
      </c>
    </row>
    <row r="15" spans="2:8">
      <c r="B15" s="377" t="s">
        <v>136</v>
      </c>
      <c r="C15" s="214" t="s">
        <v>139</v>
      </c>
    </row>
    <row r="16" spans="2:8">
      <c r="B16" s="377" t="s">
        <v>136</v>
      </c>
      <c r="C16" s="214" t="s">
        <v>140</v>
      </c>
    </row>
    <row r="17" spans="2:5">
      <c r="B17" s="377" t="s">
        <v>136</v>
      </c>
      <c r="C17" s="214" t="s">
        <v>141</v>
      </c>
    </row>
    <row r="18" spans="2:5">
      <c r="B18" s="377" t="s">
        <v>136</v>
      </c>
      <c r="C18" s="214" t="s">
        <v>142</v>
      </c>
      <c r="D18" s="525">
        <v>5</v>
      </c>
    </row>
    <row r="19" spans="2:5">
      <c r="B19" s="377" t="s">
        <v>136</v>
      </c>
      <c r="C19" s="214" t="s">
        <v>143</v>
      </c>
    </row>
    <row r="20" spans="2:5">
      <c r="B20" s="377" t="s">
        <v>136</v>
      </c>
      <c r="C20" s="214" t="s">
        <v>144</v>
      </c>
      <c r="D20" s="525">
        <v>5</v>
      </c>
    </row>
    <row r="21" spans="2:5">
      <c r="B21" s="377" t="s">
        <v>145</v>
      </c>
      <c r="C21" s="408" t="s">
        <v>146</v>
      </c>
      <c r="D21" s="525">
        <v>2</v>
      </c>
    </row>
    <row r="22" spans="2:5">
      <c r="B22" s="377" t="s">
        <v>145</v>
      </c>
      <c r="C22" s="377" t="s">
        <v>147</v>
      </c>
      <c r="D22" s="525">
        <v>2</v>
      </c>
    </row>
    <row r="23" spans="2:5">
      <c r="B23" s="377" t="s">
        <v>145</v>
      </c>
      <c r="C23" s="377" t="s">
        <v>148</v>
      </c>
      <c r="D23" s="525">
        <v>2</v>
      </c>
    </row>
    <row r="24" spans="2:5">
      <c r="B24" s="296" t="s">
        <v>149</v>
      </c>
      <c r="C24" s="296" t="s">
        <v>150</v>
      </c>
    </row>
    <row r="25" spans="2:5">
      <c r="B25" s="296" t="s">
        <v>149</v>
      </c>
      <c r="C25" t="s">
        <v>151</v>
      </c>
      <c r="E25" s="526"/>
    </row>
    <row r="26" spans="2:5">
      <c r="B26" s="296" t="s">
        <v>149</v>
      </c>
      <c r="C26" t="s">
        <v>152</v>
      </c>
      <c r="E26" s="526"/>
    </row>
    <row r="27" spans="2:5">
      <c r="B27" s="296" t="s">
        <v>149</v>
      </c>
      <c r="C27" s="112" t="s">
        <v>153</v>
      </c>
      <c r="E27" s="526"/>
    </row>
    <row r="28" spans="2:5">
      <c r="B28" s="296" t="s">
        <v>149</v>
      </c>
      <c r="C28" t="s">
        <v>154</v>
      </c>
      <c r="E28" s="526"/>
    </row>
    <row r="29" spans="2:5">
      <c r="B29" s="296" t="s">
        <v>149</v>
      </c>
      <c r="C29" t="s">
        <v>155</v>
      </c>
      <c r="E29" s="526"/>
    </row>
    <row r="30" spans="2:5">
      <c r="B30" s="296" t="s">
        <v>149</v>
      </c>
      <c r="C30" t="s">
        <v>156</v>
      </c>
      <c r="E30" s="526"/>
    </row>
    <row r="31" spans="2:5">
      <c r="B31" s="296" t="s">
        <v>149</v>
      </c>
      <c r="C31" t="s">
        <v>157</v>
      </c>
      <c r="E31" s="526"/>
    </row>
    <row r="32" spans="2:5">
      <c r="B32" s="296" t="s">
        <v>149</v>
      </c>
      <c r="C32" t="s">
        <v>158</v>
      </c>
      <c r="E32" s="526"/>
    </row>
    <row r="33" spans="2:5">
      <c r="B33" s="296" t="s">
        <v>149</v>
      </c>
      <c r="C33" t="s">
        <v>159</v>
      </c>
      <c r="E33" s="526"/>
    </row>
    <row r="34" spans="2:5">
      <c r="B34" s="296" t="s">
        <v>149</v>
      </c>
      <c r="C34" t="s">
        <v>160</v>
      </c>
      <c r="E34" s="526"/>
    </row>
    <row r="35" spans="2:5">
      <c r="B35" s="296" t="s">
        <v>149</v>
      </c>
      <c r="C35" t="s">
        <v>161</v>
      </c>
      <c r="E35" s="526"/>
    </row>
    <row r="36" spans="2:5">
      <c r="B36" s="296" t="s">
        <v>149</v>
      </c>
      <c r="C36" t="s">
        <v>162</v>
      </c>
      <c r="E36" s="526"/>
    </row>
    <row r="37" spans="2:5">
      <c r="B37" s="129" t="s">
        <v>163</v>
      </c>
      <c r="C37" s="129" t="s">
        <v>164</v>
      </c>
      <c r="D37" s="525">
        <v>3</v>
      </c>
    </row>
    <row r="38" spans="2:5">
      <c r="B38" s="129" t="s">
        <v>163</v>
      </c>
      <c r="C38" s="129" t="s">
        <v>165</v>
      </c>
      <c r="E38" s="526"/>
    </row>
    <row r="39" spans="2:5">
      <c r="B39" s="129" t="s">
        <v>163</v>
      </c>
      <c r="C39" s="129" t="s">
        <v>166</v>
      </c>
      <c r="E39" s="526"/>
    </row>
    <row r="40" spans="2:5">
      <c r="B40" s="129" t="s">
        <v>163</v>
      </c>
      <c r="C40" s="129" t="s">
        <v>167</v>
      </c>
      <c r="E40" s="526"/>
    </row>
    <row r="41" spans="2:5">
      <c r="B41" s="129" t="s">
        <v>163</v>
      </c>
      <c r="C41" s="377" t="s">
        <v>168</v>
      </c>
      <c r="D41" s="525">
        <v>3</v>
      </c>
    </row>
    <row r="42" spans="2:5">
      <c r="B42" s="129" t="s">
        <v>163</v>
      </c>
      <c r="C42" s="129" t="s">
        <v>169</v>
      </c>
      <c r="E42" s="526"/>
    </row>
    <row r="43" spans="2:5">
      <c r="B43" s="129" t="s">
        <v>163</v>
      </c>
      <c r="C43" s="377" t="s">
        <v>170</v>
      </c>
      <c r="D43" s="525">
        <v>3</v>
      </c>
    </row>
    <row r="44" spans="2:5">
      <c r="B44" s="129" t="s">
        <v>163</v>
      </c>
      <c r="C44" s="377" t="s">
        <v>50</v>
      </c>
      <c r="D44" s="525">
        <v>3</v>
      </c>
    </row>
    <row r="45" spans="2:5">
      <c r="B45" s="129" t="s">
        <v>163</v>
      </c>
      <c r="C45" s="129" t="s">
        <v>49</v>
      </c>
      <c r="D45" s="525">
        <v>3</v>
      </c>
    </row>
    <row r="46" spans="2:5">
      <c r="B46" s="129" t="s">
        <v>163</v>
      </c>
      <c r="C46" s="129" t="s">
        <v>171</v>
      </c>
      <c r="E46" s="526"/>
    </row>
    <row r="47" spans="2:5">
      <c r="B47" s="129" t="s">
        <v>163</v>
      </c>
      <c r="C47" s="377" t="s">
        <v>172</v>
      </c>
      <c r="E47" s="526"/>
    </row>
    <row r="48" spans="2:5">
      <c r="B48" s="129" t="s">
        <v>163</v>
      </c>
      <c r="C48" s="129" t="s">
        <v>173</v>
      </c>
      <c r="D48" s="525">
        <v>3</v>
      </c>
    </row>
    <row r="49" spans="2:5">
      <c r="B49" s="129" t="s">
        <v>163</v>
      </c>
      <c r="C49" s="129" t="s">
        <v>174</v>
      </c>
      <c r="E49" s="526"/>
    </row>
    <row r="50" spans="2:5">
      <c r="B50" s="129" t="s">
        <v>163</v>
      </c>
      <c r="C50" s="129" t="s">
        <v>175</v>
      </c>
      <c r="D50" s="525">
        <v>3</v>
      </c>
    </row>
    <row r="51" spans="2:5">
      <c r="B51" s="129" t="s">
        <v>163</v>
      </c>
      <c r="C51" s="129" t="s">
        <v>176</v>
      </c>
      <c r="D51" s="525">
        <v>3</v>
      </c>
    </row>
    <row r="52" spans="2:5">
      <c r="B52" s="129" t="s">
        <v>163</v>
      </c>
      <c r="C52" s="129" t="s">
        <v>53</v>
      </c>
      <c r="D52" s="525">
        <v>3</v>
      </c>
    </row>
    <row r="53" spans="2:5">
      <c r="B53" s="129" t="s">
        <v>177</v>
      </c>
      <c r="C53" s="129" t="s">
        <v>178</v>
      </c>
    </row>
    <row r="54" spans="2:5">
      <c r="B54" s="129" t="s">
        <v>177</v>
      </c>
      <c r="C54" s="129" t="s">
        <v>179</v>
      </c>
      <c r="D54" s="525">
        <v>4</v>
      </c>
    </row>
    <row r="55" spans="2:5">
      <c r="B55" s="129" t="s">
        <v>177</v>
      </c>
      <c r="C55" s="129" t="s">
        <v>180</v>
      </c>
      <c r="D55" s="525">
        <v>4</v>
      </c>
    </row>
    <row r="56" spans="2:5">
      <c r="B56" s="129" t="s">
        <v>177</v>
      </c>
      <c r="C56" s="129" t="s">
        <v>181</v>
      </c>
      <c r="D56" s="525">
        <v>4</v>
      </c>
    </row>
    <row r="57" spans="2:5">
      <c r="B57" s="129" t="s">
        <v>177</v>
      </c>
      <c r="C57" s="129" t="s">
        <v>182</v>
      </c>
      <c r="D57" s="525">
        <v>4</v>
      </c>
    </row>
    <row r="58" spans="2:5">
      <c r="B58" s="129" t="s">
        <v>177</v>
      </c>
      <c r="C58" s="129" t="s">
        <v>183</v>
      </c>
      <c r="D58" s="525">
        <v>4</v>
      </c>
    </row>
    <row r="59" spans="2:5">
      <c r="B59" s="7" t="s">
        <v>184</v>
      </c>
      <c r="C59" s="377" t="s">
        <v>185</v>
      </c>
    </row>
    <row r="60" spans="2:5">
      <c r="B60" s="7" t="s">
        <v>184</v>
      </c>
      <c r="C60" s="377" t="s">
        <v>186</v>
      </c>
      <c r="D60" s="525">
        <v>7</v>
      </c>
    </row>
    <row r="61" spans="2:5">
      <c r="B61" s="7" t="s">
        <v>184</v>
      </c>
      <c r="C61" s="377" t="s">
        <v>187</v>
      </c>
      <c r="D61" s="525">
        <v>7</v>
      </c>
    </row>
    <row r="62" spans="2:5">
      <c r="B62" s="7" t="s">
        <v>184</v>
      </c>
      <c r="C62" s="377" t="s">
        <v>64</v>
      </c>
      <c r="D62" s="525">
        <v>7</v>
      </c>
    </row>
    <row r="63" spans="2:5">
      <c r="B63" s="7" t="s">
        <v>184</v>
      </c>
      <c r="C63" s="377" t="s">
        <v>188</v>
      </c>
    </row>
    <row r="64" spans="2:5">
      <c r="B64" s="7" t="s">
        <v>184</v>
      </c>
      <c r="C64" s="377" t="s">
        <v>65</v>
      </c>
      <c r="D64" s="525">
        <v>7</v>
      </c>
    </row>
    <row r="65" spans="2:6">
      <c r="B65" s="7" t="s">
        <v>184</v>
      </c>
      <c r="C65" s="377" t="s">
        <v>71</v>
      </c>
      <c r="D65" s="525">
        <v>7</v>
      </c>
    </row>
    <row r="66" spans="2:6">
      <c r="B66" s="7" t="s">
        <v>184</v>
      </c>
      <c r="C66" s="377" t="s">
        <v>68</v>
      </c>
      <c r="D66" s="525">
        <v>7</v>
      </c>
    </row>
    <row r="67" spans="2:6">
      <c r="B67" s="7" t="s">
        <v>184</v>
      </c>
      <c r="C67" s="377" t="s">
        <v>67</v>
      </c>
      <c r="D67" s="525">
        <v>7</v>
      </c>
    </row>
    <row r="68" spans="2:6">
      <c r="B68" s="7" t="s">
        <v>184</v>
      </c>
      <c r="C68" s="377" t="s">
        <v>66</v>
      </c>
      <c r="D68" s="525">
        <v>7</v>
      </c>
    </row>
    <row r="69" spans="2:6">
      <c r="B69" s="7" t="s">
        <v>184</v>
      </c>
      <c r="C69" s="377" t="s">
        <v>63</v>
      </c>
      <c r="D69" s="525">
        <v>7</v>
      </c>
    </row>
    <row r="70" spans="2:6">
      <c r="B70" s="7" t="s">
        <v>184</v>
      </c>
      <c r="C70" s="377" t="s">
        <v>61</v>
      </c>
      <c r="D70" s="525">
        <v>7</v>
      </c>
    </row>
    <row r="71" spans="2:6">
      <c r="B71" s="7" t="s">
        <v>184</v>
      </c>
      <c r="C71" s="377" t="s">
        <v>70</v>
      </c>
      <c r="D71" s="525">
        <v>7</v>
      </c>
    </row>
    <row r="72" spans="2:6">
      <c r="B72" s="7" t="s">
        <v>184</v>
      </c>
      <c r="C72" s="377" t="s">
        <v>72</v>
      </c>
      <c r="D72" s="525">
        <v>7</v>
      </c>
    </row>
    <row r="73" spans="2:6">
      <c r="B73" s="7" t="s">
        <v>184</v>
      </c>
      <c r="C73" s="377" t="s">
        <v>74</v>
      </c>
      <c r="D73" s="525">
        <v>7</v>
      </c>
    </row>
    <row r="74" spans="2:6">
      <c r="B74" s="7" t="s">
        <v>184</v>
      </c>
      <c r="C74" s="377" t="s">
        <v>75</v>
      </c>
      <c r="D74" s="525">
        <v>7</v>
      </c>
    </row>
    <row r="75" spans="2:6">
      <c r="B75" s="377" t="s">
        <v>184</v>
      </c>
      <c r="C75" s="129" t="s">
        <v>69</v>
      </c>
      <c r="D75" s="525">
        <v>7</v>
      </c>
    </row>
    <row r="76" spans="2:6">
      <c r="B76" s="377" t="s">
        <v>184</v>
      </c>
      <c r="C76" s="129" t="s">
        <v>54</v>
      </c>
      <c r="F76" s="527"/>
    </row>
    <row r="77" spans="2:6">
      <c r="B77" s="129" t="s">
        <v>189</v>
      </c>
      <c r="C77" s="377" t="s">
        <v>190</v>
      </c>
      <c r="F77" s="527"/>
    </row>
    <row r="78" spans="2:6">
      <c r="B78" s="129" t="s">
        <v>189</v>
      </c>
      <c r="C78" s="214" t="s">
        <v>191</v>
      </c>
      <c r="F78" s="527"/>
    </row>
    <row r="79" spans="2:6">
      <c r="B79" s="7" t="s">
        <v>189</v>
      </c>
      <c r="C79" s="377" t="s">
        <v>192</v>
      </c>
      <c r="F79" s="527"/>
    </row>
    <row r="80" spans="2:6">
      <c r="B80" s="129" t="s">
        <v>189</v>
      </c>
      <c r="C80" s="214" t="s">
        <v>193</v>
      </c>
      <c r="F80" s="527"/>
    </row>
    <row r="81" spans="2:6">
      <c r="B81" s="7" t="s">
        <v>189</v>
      </c>
      <c r="C81" s="377" t="s">
        <v>194</v>
      </c>
      <c r="F81" s="527"/>
    </row>
    <row r="82" spans="2:6">
      <c r="B82" s="7" t="s">
        <v>189</v>
      </c>
      <c r="C82" s="377" t="s">
        <v>56</v>
      </c>
      <c r="F82" s="527"/>
    </row>
    <row r="83" spans="2:6">
      <c r="B83" s="129" t="s">
        <v>195</v>
      </c>
      <c r="C83" s="112" t="s">
        <v>196</v>
      </c>
      <c r="D83" s="525">
        <v>6</v>
      </c>
    </row>
    <row r="84" spans="2:6">
      <c r="B84" s="129" t="s">
        <v>195</v>
      </c>
      <c r="C84" s="112" t="s">
        <v>197</v>
      </c>
      <c r="D84" s="525">
        <v>6</v>
      </c>
    </row>
    <row r="85" spans="2:6">
      <c r="B85" s="129" t="s">
        <v>195</v>
      </c>
      <c r="C85" s="112" t="s">
        <v>198</v>
      </c>
    </row>
    <row r="86" spans="2:6">
      <c r="B86" s="129" t="s">
        <v>195</v>
      </c>
      <c r="C86" s="112" t="s">
        <v>199</v>
      </c>
      <c r="D86" s="525">
        <v>6</v>
      </c>
    </row>
    <row r="87" spans="2:6">
      <c r="B87" s="129" t="s">
        <v>200</v>
      </c>
      <c r="C87" t="s">
        <v>78</v>
      </c>
      <c r="D87" s="525">
        <v>1</v>
      </c>
    </row>
    <row r="88" spans="2:6">
      <c r="B88" s="129" t="s">
        <v>200</v>
      </c>
      <c r="C88" t="s">
        <v>201</v>
      </c>
      <c r="D88" s="525">
        <v>1</v>
      </c>
    </row>
    <row r="89" spans="2:6">
      <c r="B89" s="129" t="s">
        <v>200</v>
      </c>
      <c r="C89" t="s">
        <v>41</v>
      </c>
      <c r="D89" s="525">
        <v>1</v>
      </c>
    </row>
    <row r="90" spans="2:6">
      <c r="B90" s="129" t="s">
        <v>200</v>
      </c>
      <c r="C90" t="s">
        <v>202</v>
      </c>
      <c r="D90" s="525">
        <v>1</v>
      </c>
    </row>
    <row r="91" spans="2:6">
      <c r="B91" s="129" t="s">
        <v>200</v>
      </c>
      <c r="C91" t="s">
        <v>40</v>
      </c>
      <c r="D91" s="525">
        <v>1</v>
      </c>
    </row>
    <row r="92" spans="2:6">
      <c r="B92" s="129" t="s">
        <v>200</v>
      </c>
      <c r="C92" t="s">
        <v>81</v>
      </c>
      <c r="D92" s="525">
        <v>1</v>
      </c>
    </row>
    <row r="93" spans="2:6">
      <c r="B93" s="129" t="s">
        <v>200</v>
      </c>
      <c r="C93" t="s">
        <v>39</v>
      </c>
      <c r="D93" s="525">
        <v>1</v>
      </c>
    </row>
    <row r="94" spans="2:6">
      <c r="B94" s="129" t="s">
        <v>200</v>
      </c>
      <c r="C94" t="s">
        <v>38</v>
      </c>
      <c r="D94" s="525">
        <v>1</v>
      </c>
    </row>
    <row r="95" spans="2:6">
      <c r="B95" s="129" t="s">
        <v>200</v>
      </c>
      <c r="C95" t="s">
        <v>37</v>
      </c>
      <c r="D95" s="525">
        <v>1</v>
      </c>
    </row>
    <row r="96" spans="2:6">
      <c r="B96" s="129" t="s">
        <v>200</v>
      </c>
      <c r="C96" t="s">
        <v>203</v>
      </c>
      <c r="D96" s="525">
        <v>1</v>
      </c>
    </row>
    <row r="97" spans="2:4">
      <c r="B97" s="129" t="s">
        <v>200</v>
      </c>
      <c r="C97" t="s">
        <v>34</v>
      </c>
      <c r="D97" s="525">
        <v>1</v>
      </c>
    </row>
    <row r="98" spans="2:4">
      <c r="B98" s="129" t="s">
        <v>200</v>
      </c>
      <c r="C98" t="s">
        <v>33</v>
      </c>
      <c r="D98" s="525">
        <v>1</v>
      </c>
    </row>
    <row r="99" spans="2:4">
      <c r="B99" s="129" t="s">
        <v>200</v>
      </c>
      <c r="C99" t="s">
        <v>32</v>
      </c>
      <c r="D99" s="525">
        <v>1</v>
      </c>
    </row>
    <row r="100" spans="2:4">
      <c r="B100" s="129" t="s">
        <v>200</v>
      </c>
      <c r="C100" t="s">
        <v>31</v>
      </c>
      <c r="D100" s="525">
        <v>1</v>
      </c>
    </row>
    <row r="101" spans="2:4">
      <c r="B101" s="129" t="s">
        <v>200</v>
      </c>
      <c r="C101" t="s">
        <v>30</v>
      </c>
      <c r="D101" s="525">
        <v>1</v>
      </c>
    </row>
    <row r="102" spans="2:4">
      <c r="B102" s="129" t="s">
        <v>200</v>
      </c>
      <c r="C102" t="s">
        <v>29</v>
      </c>
      <c r="D102" s="525">
        <v>1</v>
      </c>
    </row>
    <row r="103" spans="2:4">
      <c r="B103" s="129" t="s">
        <v>200</v>
      </c>
      <c r="C103" t="s">
        <v>28</v>
      </c>
      <c r="D103" s="525">
        <v>1</v>
      </c>
    </row>
    <row r="104" spans="2:4">
      <c r="B104" s="129" t="s">
        <v>200</v>
      </c>
      <c r="C104" t="s">
        <v>27</v>
      </c>
      <c r="D104" s="525">
        <v>1</v>
      </c>
    </row>
    <row r="105" spans="2:4">
      <c r="B105" s="129" t="s">
        <v>200</v>
      </c>
      <c r="C105" t="s">
        <v>26</v>
      </c>
      <c r="D105" s="525">
        <v>1</v>
      </c>
    </row>
    <row r="106" spans="2:4">
      <c r="B106" s="129" t="s">
        <v>200</v>
      </c>
      <c r="C106" t="s">
        <v>25</v>
      </c>
      <c r="D106" s="525">
        <v>1</v>
      </c>
    </row>
    <row r="107" spans="2:4">
      <c r="B107" s="129" t="s">
        <v>200</v>
      </c>
      <c r="C107" t="s">
        <v>204</v>
      </c>
      <c r="D107" s="525">
        <v>1</v>
      </c>
    </row>
    <row r="108" spans="2:4">
      <c r="B108" s="129" t="s">
        <v>200</v>
      </c>
      <c r="C108" t="s">
        <v>205</v>
      </c>
      <c r="D108" s="525">
        <v>1</v>
      </c>
    </row>
    <row r="109" spans="2:4">
      <c r="B109" s="129" t="s">
        <v>200</v>
      </c>
      <c r="C109" s="112" t="s">
        <v>20</v>
      </c>
      <c r="D109" s="525">
        <v>1</v>
      </c>
    </row>
    <row r="110" spans="2:4">
      <c r="B110" s="129" t="s">
        <v>200</v>
      </c>
      <c r="C110" t="s">
        <v>18</v>
      </c>
      <c r="D110" s="525">
        <v>1</v>
      </c>
    </row>
    <row r="111" spans="2:4">
      <c r="B111" s="129" t="s">
        <v>200</v>
      </c>
      <c r="C111" t="s">
        <v>17</v>
      </c>
      <c r="D111" s="525">
        <v>1</v>
      </c>
    </row>
    <row r="112" spans="2:4">
      <c r="B112" s="129" t="s">
        <v>200</v>
      </c>
      <c r="C112" t="s">
        <v>16</v>
      </c>
      <c r="D112" s="525">
        <v>1</v>
      </c>
    </row>
    <row r="113" spans="2:5">
      <c r="B113" s="129" t="s">
        <v>200</v>
      </c>
      <c r="C113" t="s">
        <v>15</v>
      </c>
      <c r="D113" s="525">
        <v>1</v>
      </c>
    </row>
    <row r="114" spans="2:5">
      <c r="B114" s="129" t="s">
        <v>200</v>
      </c>
      <c r="C114" t="s">
        <v>206</v>
      </c>
      <c r="D114" s="525">
        <v>1</v>
      </c>
    </row>
    <row r="115" spans="2:5">
      <c r="B115" s="129" t="s">
        <v>200</v>
      </c>
      <c r="C115" t="s">
        <v>12</v>
      </c>
      <c r="D115" s="525">
        <v>1</v>
      </c>
    </row>
    <row r="116" spans="2:5">
      <c r="B116" s="129" t="s">
        <v>200</v>
      </c>
      <c r="C116" t="s">
        <v>11</v>
      </c>
      <c r="D116" s="525">
        <v>1</v>
      </c>
    </row>
    <row r="117" spans="2:5">
      <c r="B117" s="129" t="s">
        <v>200</v>
      </c>
      <c r="C117" t="s">
        <v>9</v>
      </c>
      <c r="D117" s="525">
        <v>1</v>
      </c>
    </row>
    <row r="118" spans="2:5">
      <c r="B118" s="129" t="s">
        <v>200</v>
      </c>
      <c r="C118" s="214" t="s">
        <v>7</v>
      </c>
      <c r="D118" s="525">
        <v>1</v>
      </c>
    </row>
    <row r="119" spans="2:5">
      <c r="B119" s="129" t="s">
        <v>200</v>
      </c>
      <c r="C119" s="214" t="s">
        <v>207</v>
      </c>
      <c r="D119" s="525">
        <v>1</v>
      </c>
    </row>
    <row r="120" spans="2:5">
      <c r="B120" s="377" t="s">
        <v>79</v>
      </c>
      <c r="C120" s="129" t="s">
        <v>208</v>
      </c>
      <c r="D120" s="525">
        <v>8</v>
      </c>
    </row>
    <row r="121" spans="2:5">
      <c r="B121" s="377" t="s">
        <v>79</v>
      </c>
      <c r="C121" s="377" t="s">
        <v>209</v>
      </c>
      <c r="D121" s="525">
        <v>8</v>
      </c>
    </row>
    <row r="122" spans="2:5">
      <c r="B122" s="377" t="s">
        <v>79</v>
      </c>
      <c r="C122" s="129" t="s">
        <v>210</v>
      </c>
      <c r="E122" s="526"/>
    </row>
    <row r="123" spans="2:5">
      <c r="B123" s="377" t="s">
        <v>79</v>
      </c>
      <c r="C123" s="129" t="s">
        <v>211</v>
      </c>
      <c r="E123" s="526"/>
    </row>
    <row r="124" spans="2:5">
      <c r="B124" s="377" t="s">
        <v>79</v>
      </c>
      <c r="C124" s="129" t="s">
        <v>212</v>
      </c>
      <c r="E124" s="526"/>
    </row>
    <row r="125" spans="2:5">
      <c r="B125" s="129" t="s">
        <v>79</v>
      </c>
      <c r="C125" s="112" t="s">
        <v>213</v>
      </c>
      <c r="E125" s="526"/>
    </row>
    <row r="126" spans="2:5">
      <c r="B126" s="129" t="s">
        <v>79</v>
      </c>
      <c r="C126" s="407" t="s">
        <v>214</v>
      </c>
      <c r="E126" s="526"/>
    </row>
    <row r="127" spans="2:5">
      <c r="B127" s="377" t="s">
        <v>79</v>
      </c>
      <c r="C127" s="129" t="s">
        <v>215</v>
      </c>
      <c r="D127" s="525">
        <v>8</v>
      </c>
    </row>
    <row r="128" spans="2:5">
      <c r="B128" s="377" t="s">
        <v>79</v>
      </c>
      <c r="C128" s="129" t="s">
        <v>216</v>
      </c>
      <c r="D128" s="525">
        <v>8</v>
      </c>
    </row>
    <row r="129" spans="2:7">
      <c r="B129" s="377" t="s">
        <v>217</v>
      </c>
      <c r="C129" s="214" t="s">
        <v>218</v>
      </c>
    </row>
    <row r="130" spans="2:7">
      <c r="B130" s="377" t="s">
        <v>217</v>
      </c>
      <c r="C130" s="214" t="s">
        <v>219</v>
      </c>
    </row>
    <row r="131" spans="2:7">
      <c r="B131" s="377" t="s">
        <v>217</v>
      </c>
      <c r="C131" s="129" t="s">
        <v>220</v>
      </c>
    </row>
    <row r="132" spans="2:7">
      <c r="B132" s="377" t="s">
        <v>217</v>
      </c>
      <c r="C132" s="129" t="s">
        <v>221</v>
      </c>
      <c r="D132" s="525">
        <v>8</v>
      </c>
    </row>
    <row r="133" spans="2:7">
      <c r="B133" s="129" t="s">
        <v>222</v>
      </c>
      <c r="C133" s="129" t="s">
        <v>129</v>
      </c>
      <c r="G133" s="527"/>
    </row>
    <row r="134" spans="2:7">
      <c r="B134" s="129" t="s">
        <v>222</v>
      </c>
      <c r="C134" s="129" t="s">
        <v>129</v>
      </c>
      <c r="G134" s="527"/>
    </row>
    <row r="135" spans="2:7">
      <c r="B135" s="129" t="s">
        <v>222</v>
      </c>
      <c r="C135" s="129" t="s">
        <v>130</v>
      </c>
      <c r="G135" s="527"/>
    </row>
    <row r="136" spans="2:7">
      <c r="B136" s="129" t="s">
        <v>222</v>
      </c>
      <c r="C136" s="129" t="s">
        <v>130</v>
      </c>
      <c r="G136" s="527"/>
    </row>
    <row r="137" spans="2:7">
      <c r="B137" s="129" t="s">
        <v>222</v>
      </c>
      <c r="C137" s="129" t="s">
        <v>131</v>
      </c>
      <c r="G137" s="527"/>
    </row>
    <row r="138" spans="2:7">
      <c r="B138" s="377" t="s">
        <v>222</v>
      </c>
      <c r="C138" s="214" t="s">
        <v>133</v>
      </c>
      <c r="G138" s="527"/>
    </row>
    <row r="139" spans="2:7">
      <c r="B139" s="377" t="s">
        <v>222</v>
      </c>
      <c r="C139" s="214" t="s">
        <v>135</v>
      </c>
      <c r="G139" s="527"/>
    </row>
    <row r="140" spans="2:7">
      <c r="B140" t="s">
        <v>86</v>
      </c>
      <c r="C140" t="s">
        <v>85</v>
      </c>
      <c r="D140" s="525">
        <v>1</v>
      </c>
    </row>
    <row r="141" spans="2:7">
      <c r="B141" t="s">
        <v>223</v>
      </c>
      <c r="C141" t="s">
        <v>3497</v>
      </c>
    </row>
    <row r="142" spans="2:7">
      <c r="B142" t="s">
        <v>2253</v>
      </c>
      <c r="C142" t="s">
        <v>3498</v>
      </c>
    </row>
    <row r="152" spans="2:4">
      <c r="B152" t="s">
        <v>224</v>
      </c>
      <c r="D152" t="s">
        <v>200</v>
      </c>
    </row>
    <row r="153" spans="2:4">
      <c r="D153" t="s">
        <v>136</v>
      </c>
    </row>
    <row r="154" spans="2:4">
      <c r="D154" t="s">
        <v>225</v>
      </c>
    </row>
    <row r="155" spans="2:4">
      <c r="D155" t="s">
        <v>226</v>
      </c>
    </row>
    <row r="157" spans="2:4">
      <c r="B157" t="s">
        <v>46</v>
      </c>
      <c r="D157" t="s">
        <v>200</v>
      </c>
    </row>
    <row r="158" spans="2:4">
      <c r="D158" t="s">
        <v>227</v>
      </c>
    </row>
    <row r="160" spans="2:4">
      <c r="B160" t="s">
        <v>79</v>
      </c>
      <c r="D160" t="s">
        <v>200</v>
      </c>
    </row>
    <row r="161" spans="4:4">
      <c r="D161" t="s">
        <v>136</v>
      </c>
    </row>
    <row r="162" spans="4:4">
      <c r="D162" s="7" t="s">
        <v>228</v>
      </c>
    </row>
    <row r="163" spans="4:4">
      <c r="D163" s="7" t="s">
        <v>229</v>
      </c>
    </row>
    <row r="164" spans="4:4">
      <c r="D164" s="7" t="s">
        <v>201</v>
      </c>
    </row>
  </sheetData>
  <phoneticPr fontId="8" type="noConversion"/>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A15D3-81AC-47D5-9D42-5938B60853F5}">
  <sheetPr codeName="Sheet3"/>
  <dimension ref="A1:EG57"/>
  <sheetViews>
    <sheetView topLeftCell="E1" workbookViewId="0">
      <selection activeCell="J15" sqref="J15"/>
    </sheetView>
  </sheetViews>
  <sheetFormatPr defaultColWidth="8.88671875" defaultRowHeight="14.4"/>
  <cols>
    <col min="1" max="2" width="8.88671875" style="129"/>
    <col min="3" max="3" width="24.5546875" style="296" bestFit="1" customWidth="1"/>
    <col min="4" max="4" width="40.44140625" style="129" bestFit="1" customWidth="1"/>
    <col min="5" max="5" width="10.88671875" style="129" customWidth="1"/>
    <col min="6" max="6" width="74.88671875" style="295" customWidth="1"/>
    <col min="7" max="7" width="11.44140625" style="129" customWidth="1"/>
    <col min="8" max="9" width="8.88671875" style="129"/>
    <col min="10" max="10" width="35.5546875" style="129" bestFit="1" customWidth="1"/>
    <col min="11" max="12" width="8.88671875" style="129"/>
    <col min="13" max="13" width="30.5546875" style="129" customWidth="1"/>
    <col min="14" max="14" width="60.5546875" style="129" customWidth="1"/>
    <col min="15" max="15" width="13.44140625" style="129" customWidth="1"/>
    <col min="16" max="16" width="70.5546875" style="129" customWidth="1"/>
    <col min="17" max="20" width="6.5546875" style="129" customWidth="1"/>
    <col min="21" max="21" width="30.5546875" style="129" customWidth="1"/>
    <col min="22" max="22" width="60.5546875" style="129" customWidth="1"/>
    <col min="23" max="23" width="13.44140625" style="129" customWidth="1"/>
    <col min="24" max="24" width="70.5546875" style="129" customWidth="1"/>
    <col min="25" max="28" width="6.5546875" style="129" customWidth="1"/>
    <col min="29" max="29" width="30.5546875" style="129" customWidth="1"/>
    <col min="30" max="30" width="29.44140625" style="129" customWidth="1"/>
    <col min="31" max="31" width="11.5546875" style="129" customWidth="1"/>
    <col min="32" max="32" width="15.44140625" style="129" customWidth="1"/>
    <col min="33" max="33" width="11.5546875" style="129" customWidth="1"/>
    <col min="34" max="34" width="50.5546875" style="129" customWidth="1"/>
    <col min="35" max="38" width="6.5546875" style="129" customWidth="1"/>
    <col min="39" max="39" width="24.44140625" style="129" customWidth="1"/>
    <col min="40" max="41" width="16.5546875" style="129" customWidth="1"/>
    <col min="42" max="43" width="11.5546875" style="129" customWidth="1"/>
    <col min="44" max="44" width="50.5546875" style="129" customWidth="1"/>
    <col min="45" max="47" width="7.5546875" style="129" customWidth="1"/>
    <col min="48" max="48" width="8.88671875" style="129"/>
    <col min="49" max="49" width="26.5546875" style="129" customWidth="1"/>
    <col min="50" max="51" width="18.44140625" style="129" customWidth="1"/>
    <col min="52" max="53" width="17.44140625" style="129" customWidth="1"/>
    <col min="54" max="54" width="10.44140625" style="129" customWidth="1"/>
    <col min="55" max="55" width="40" style="129" customWidth="1"/>
    <col min="56" max="59" width="8.88671875" style="129"/>
    <col min="60" max="60" width="26.5546875" style="129" customWidth="1"/>
    <col min="61" max="62" width="35.5546875" style="129" customWidth="1"/>
    <col min="63" max="65" width="17.44140625" style="129" customWidth="1"/>
    <col min="66" max="66" width="8.88671875" style="129"/>
    <col min="67" max="67" width="53.5546875" style="129" customWidth="1"/>
    <col min="68" max="71" width="8.88671875" style="129"/>
    <col min="72" max="72" width="23.5546875" style="129" customWidth="1"/>
    <col min="73" max="73" width="26.5546875" style="129" customWidth="1"/>
    <col min="74" max="77" width="16" style="129" customWidth="1"/>
    <col min="78" max="78" width="8.88671875" style="129"/>
    <col min="79" max="79" width="57.5546875" style="129" customWidth="1"/>
    <col min="80" max="83" width="8.88671875" style="129"/>
    <col min="84" max="84" width="21.88671875" style="129" customWidth="1"/>
    <col min="85" max="85" width="16" style="129" customWidth="1"/>
    <col min="86" max="89" width="17.5546875" style="129" customWidth="1"/>
    <col min="90" max="90" width="21.88671875" style="129" customWidth="1"/>
    <col min="91" max="91" width="8.88671875" style="129"/>
    <col min="92" max="92" width="52.44140625" style="129" customWidth="1"/>
    <col min="93" max="95" width="8.88671875" style="129"/>
    <col min="96" max="97" width="21.5546875" style="129" customWidth="1"/>
    <col min="98" max="103" width="13.5546875" style="129" customWidth="1"/>
    <col min="104" max="104" width="50" style="129" customWidth="1"/>
    <col min="105" max="105" width="5.5546875" style="129" customWidth="1"/>
    <col min="106" max="106" width="8.88671875" style="129"/>
    <col min="107" max="107" width="7.44140625" style="129" customWidth="1"/>
    <col min="108" max="108" width="8.88671875" style="129"/>
    <col min="109" max="109" width="18.44140625" style="129" customWidth="1"/>
    <col min="110" max="112" width="16" style="129" customWidth="1"/>
    <col min="113" max="113" width="17" style="129" customWidth="1"/>
    <col min="114" max="114" width="14.44140625" style="129" customWidth="1"/>
    <col min="115" max="115" width="15.44140625" style="129" customWidth="1"/>
    <col min="116" max="116" width="35.44140625" style="129" customWidth="1"/>
    <col min="117" max="120" width="8.88671875" style="129"/>
    <col min="121" max="121" width="18.5546875" style="129" customWidth="1"/>
    <col min="122" max="122" width="36.5546875" style="129" customWidth="1"/>
    <col min="123" max="124" width="8.88671875" style="129"/>
    <col min="125" max="125" width="9.5546875" style="129" customWidth="1"/>
    <col min="126" max="129" width="8.88671875" style="129"/>
    <col min="130" max="130" width="9" customWidth="1"/>
    <col min="131" max="131" width="7.44140625" customWidth="1"/>
    <col min="132" max="132" width="9"/>
    <col min="133" max="133" width="23.5546875" customWidth="1"/>
    <col min="134" max="136" width="9"/>
    <col min="137" max="137" width="9.5546875" bestFit="1" customWidth="1"/>
    <col min="138" max="16384" width="8.88671875" style="129"/>
  </cols>
  <sheetData>
    <row r="1" spans="1:137" ht="21" customHeight="1">
      <c r="A1" s="1494" t="s">
        <v>1223</v>
      </c>
      <c r="B1" s="1494"/>
      <c r="C1" s="1494"/>
      <c r="D1" s="1494"/>
      <c r="E1" s="635"/>
      <c r="F1" s="636" t="s">
        <v>1119</v>
      </c>
      <c r="G1" s="635"/>
      <c r="M1" s="155" t="s">
        <v>1224</v>
      </c>
      <c r="N1" s="729" t="s">
        <v>1225</v>
      </c>
      <c r="O1" s="638"/>
      <c r="P1" s="494" t="s">
        <v>336</v>
      </c>
      <c r="Q1" s="639"/>
      <c r="R1" s="639"/>
      <c r="S1" s="639"/>
      <c r="U1" s="155" t="s">
        <v>1226</v>
      </c>
      <c r="V1" s="637" t="s">
        <v>1227</v>
      </c>
      <c r="W1" s="638"/>
      <c r="X1" s="494" t="s">
        <v>336</v>
      </c>
      <c r="AC1" s="155" t="s">
        <v>1228</v>
      </c>
      <c r="AD1" s="127"/>
      <c r="AE1" s="125"/>
      <c r="AF1" s="125"/>
      <c r="AH1" s="494" t="s">
        <v>336</v>
      </c>
      <c r="AM1" s="155" t="s">
        <v>1229</v>
      </c>
      <c r="AN1" s="155"/>
      <c r="AO1" s="127"/>
      <c r="AP1" s="125"/>
      <c r="AR1" s="494" t="s">
        <v>336</v>
      </c>
      <c r="AW1" s="155" t="s">
        <v>1230</v>
      </c>
      <c r="AX1" s="127"/>
      <c r="AY1" s="127"/>
      <c r="AZ1" s="127"/>
      <c r="BA1" s="127"/>
      <c r="BB1" s="127"/>
      <c r="BC1" s="494" t="s">
        <v>336</v>
      </c>
      <c r="BH1" s="737" t="s">
        <v>1231</v>
      </c>
      <c r="BI1" s="127"/>
      <c r="BJ1" s="127"/>
      <c r="BK1" s="127"/>
      <c r="BL1" s="127"/>
      <c r="BM1" s="127"/>
      <c r="BO1" s="494" t="s">
        <v>336</v>
      </c>
      <c r="BT1" s="737" t="s">
        <v>67</v>
      </c>
      <c r="BU1" s="127"/>
      <c r="BV1" s="127"/>
      <c r="BW1" s="127"/>
      <c r="BX1" s="127"/>
      <c r="BY1" s="127"/>
      <c r="BZ1" s="494" t="s">
        <v>336</v>
      </c>
      <c r="CF1" s="765" t="s">
        <v>1232</v>
      </c>
      <c r="CG1" s="127"/>
      <c r="CH1" s="127"/>
      <c r="CI1" s="127"/>
      <c r="CJ1" s="127"/>
      <c r="CK1" s="127"/>
      <c r="CL1" s="127"/>
      <c r="CR1" s="772" t="s">
        <v>69</v>
      </c>
      <c r="CS1" s="155"/>
      <c r="CT1" s="155"/>
      <c r="CU1" s="639"/>
      <c r="CV1" s="639"/>
      <c r="CW1" s="639"/>
      <c r="CX1" s="639"/>
      <c r="CY1" s="639"/>
      <c r="CZ1" s="494" t="s">
        <v>336</v>
      </c>
      <c r="DA1" s="639"/>
      <c r="DB1" s="638"/>
      <c r="DC1" s="639"/>
      <c r="DE1" s="44" t="s">
        <v>1233</v>
      </c>
      <c r="DQ1" s="44" t="s">
        <v>113</v>
      </c>
      <c r="DZ1" s="44" t="s">
        <v>1234</v>
      </c>
      <c r="EA1" s="129"/>
      <c r="EB1" s="129"/>
      <c r="EC1" s="129"/>
      <c r="ED1" s="129"/>
      <c r="EE1" s="129"/>
      <c r="EF1" s="129"/>
    </row>
    <row r="2" spans="1:137" ht="21.6" customHeight="1">
      <c r="B2" s="129">
        <v>1</v>
      </c>
      <c r="M2" s="1564"/>
      <c r="N2" s="1565"/>
      <c r="O2" s="871"/>
      <c r="P2" s="870"/>
      <c r="Q2" s="871"/>
      <c r="R2" s="871"/>
      <c r="S2" s="871"/>
      <c r="U2" s="1564"/>
      <c r="V2" s="1565"/>
      <c r="W2" s="871"/>
      <c r="X2" s="870"/>
      <c r="CR2" s="237"/>
      <c r="CS2" s="237"/>
      <c r="CT2" s="237"/>
      <c r="CU2" s="237"/>
      <c r="CV2" s="871"/>
      <c r="CW2" s="871"/>
      <c r="CX2" s="871"/>
      <c r="CY2" s="871"/>
      <c r="CZ2" s="871"/>
      <c r="DA2" s="871"/>
      <c r="DB2" s="871"/>
      <c r="DC2" s="871"/>
      <c r="DE2" s="44"/>
      <c r="DZ2" s="129"/>
      <c r="EA2" s="129"/>
      <c r="EB2" s="129"/>
      <c r="EC2" s="129"/>
      <c r="ED2" s="129"/>
      <c r="EE2" s="129"/>
      <c r="EF2" s="129"/>
    </row>
    <row r="3" spans="1:137" ht="24" customHeight="1" thickBot="1">
      <c r="B3" s="629" t="s">
        <v>345</v>
      </c>
      <c r="C3" s="630" t="s">
        <v>2</v>
      </c>
      <c r="D3" s="601" t="s">
        <v>968</v>
      </c>
      <c r="E3" s="601" t="s">
        <v>346</v>
      </c>
      <c r="F3" s="601" t="s">
        <v>430</v>
      </c>
      <c r="G3" s="939" t="s">
        <v>233</v>
      </c>
      <c r="J3" s="412" t="s">
        <v>1235</v>
      </c>
      <c r="M3" s="2245" t="s">
        <v>61</v>
      </c>
      <c r="N3" s="2246"/>
      <c r="O3" s="641" t="s">
        <v>232</v>
      </c>
      <c r="P3" s="861" t="s">
        <v>1236</v>
      </c>
      <c r="Q3" s="871"/>
      <c r="R3" s="871"/>
      <c r="S3" s="871"/>
      <c r="U3" s="2245" t="s">
        <v>61</v>
      </c>
      <c r="V3" s="2246"/>
      <c r="W3" s="641" t="s">
        <v>232</v>
      </c>
      <c r="X3" s="861" t="s">
        <v>1237</v>
      </c>
      <c r="AC3" s="2201" t="s">
        <v>1228</v>
      </c>
      <c r="AD3" s="2202"/>
      <c r="AE3" s="2202"/>
      <c r="AF3" s="2202"/>
      <c r="AG3" s="123" t="s">
        <v>1122</v>
      </c>
      <c r="AH3" s="124" t="s">
        <v>1238</v>
      </c>
      <c r="AM3" s="2201" t="s">
        <v>1239</v>
      </c>
      <c r="AN3" s="2202"/>
      <c r="AO3" s="2202"/>
      <c r="AP3" s="2202"/>
      <c r="AQ3" s="123" t="s">
        <v>1122</v>
      </c>
      <c r="AR3" s="124" t="s">
        <v>1240</v>
      </c>
      <c r="AS3" s="237"/>
      <c r="AT3" s="237"/>
      <c r="AU3" s="237"/>
      <c r="AW3" s="2201" t="s">
        <v>1230</v>
      </c>
      <c r="AX3" s="2202"/>
      <c r="AY3" s="2202"/>
      <c r="AZ3" s="2202"/>
      <c r="BA3" s="2202"/>
      <c r="BB3" s="123" t="s">
        <v>1122</v>
      </c>
      <c r="BC3" s="124" t="s">
        <v>1240</v>
      </c>
      <c r="BH3" s="2208" t="s">
        <v>1231</v>
      </c>
      <c r="BI3" s="2209"/>
      <c r="BJ3" s="126"/>
      <c r="BK3" s="126"/>
      <c r="BL3" s="126" t="s">
        <v>1121</v>
      </c>
      <c r="BM3" s="124" t="s">
        <v>1241</v>
      </c>
      <c r="BT3" s="755" t="s">
        <v>1242</v>
      </c>
      <c r="BU3" s="756"/>
      <c r="BV3" s="757"/>
      <c r="BW3" s="757"/>
      <c r="BX3" s="126"/>
      <c r="BY3" s="126" t="s">
        <v>1243</v>
      </c>
      <c r="BZ3" s="124" t="s">
        <v>1244</v>
      </c>
      <c r="CF3" s="127"/>
      <c r="CG3" s="127"/>
      <c r="CH3" s="766"/>
      <c r="CI3" s="766"/>
      <c r="CJ3" s="766"/>
      <c r="CK3" s="766"/>
      <c r="CL3" s="766"/>
      <c r="CM3" s="767"/>
      <c r="CR3" s="2224" t="s">
        <v>69</v>
      </c>
      <c r="CS3" s="2225"/>
      <c r="CT3" s="2225"/>
      <c r="CU3" s="2225"/>
      <c r="CV3" s="2225"/>
      <c r="CW3" s="126" t="s">
        <v>1243</v>
      </c>
      <c r="CX3" s="126"/>
      <c r="CY3" s="124" t="s">
        <v>1245</v>
      </c>
      <c r="DA3" s="766"/>
      <c r="DB3" s="127"/>
      <c r="DC3" s="455"/>
      <c r="DE3" s="813" t="s">
        <v>1246</v>
      </c>
      <c r="DF3" s="814" t="s">
        <v>1247</v>
      </c>
      <c r="DG3" s="814" t="s">
        <v>1248</v>
      </c>
      <c r="DH3" s="814" t="s">
        <v>1249</v>
      </c>
      <c r="DI3" s="814" t="s">
        <v>1195</v>
      </c>
      <c r="DJ3" s="814" t="s">
        <v>1250</v>
      </c>
      <c r="DK3" s="138" t="s">
        <v>1251</v>
      </c>
      <c r="DL3" s="814" t="s">
        <v>1252</v>
      </c>
      <c r="DQ3" s="2164" t="s">
        <v>113</v>
      </c>
      <c r="DR3" s="2165"/>
      <c r="DS3" s="788" t="s">
        <v>232</v>
      </c>
      <c r="DT3" s="788"/>
      <c r="DU3" s="784" t="s">
        <v>1253</v>
      </c>
      <c r="DV3" s="124"/>
      <c r="DW3" s="124"/>
      <c r="DZ3" s="2166" t="s">
        <v>1234</v>
      </c>
      <c r="EA3" s="2166"/>
      <c r="EB3" s="2166"/>
      <c r="EC3" s="2166"/>
      <c r="ED3" s="803" t="s">
        <v>232</v>
      </c>
      <c r="EE3" s="803"/>
      <c r="EF3" s="784" t="s">
        <v>1254</v>
      </c>
    </row>
    <row r="4" spans="1:137" ht="21" customHeight="1" thickBot="1">
      <c r="B4" s="642">
        <f>1</f>
        <v>1</v>
      </c>
      <c r="C4" s="643" t="s">
        <v>1255</v>
      </c>
      <c r="D4" s="633" t="s">
        <v>1256</v>
      </c>
      <c r="E4" s="644" t="s">
        <v>1236</v>
      </c>
      <c r="F4" s="645" t="s">
        <v>310</v>
      </c>
      <c r="G4" s="646" t="s">
        <v>233</v>
      </c>
      <c r="J4" s="410" t="s">
        <v>1255</v>
      </c>
      <c r="M4" s="52" t="s">
        <v>350</v>
      </c>
      <c r="N4" s="52" t="s">
        <v>351</v>
      </c>
      <c r="O4" s="52" t="s">
        <v>352</v>
      </c>
      <c r="P4" s="76" t="s">
        <v>348</v>
      </c>
      <c r="Q4" s="53"/>
      <c r="R4" s="53"/>
      <c r="S4" s="53"/>
      <c r="U4" s="52" t="s">
        <v>350</v>
      </c>
      <c r="V4" s="52" t="s">
        <v>351</v>
      </c>
      <c r="W4" s="52" t="s">
        <v>352</v>
      </c>
      <c r="X4" s="76" t="s">
        <v>348</v>
      </c>
      <c r="AC4" s="647" t="s">
        <v>350</v>
      </c>
      <c r="AD4" s="141" t="s">
        <v>351</v>
      </c>
      <c r="AE4" s="142"/>
      <c r="AF4" s="148"/>
      <c r="AG4" s="143" t="s">
        <v>1122</v>
      </c>
      <c r="AH4" s="144" t="s">
        <v>348</v>
      </c>
      <c r="AM4" s="647" t="s">
        <v>350</v>
      </c>
      <c r="AN4" s="693"/>
      <c r="AO4" s="141" t="s">
        <v>351</v>
      </c>
      <c r="AP4" s="142"/>
      <c r="AQ4" s="143" t="s">
        <v>1122</v>
      </c>
      <c r="AR4" s="144" t="s">
        <v>348</v>
      </c>
      <c r="AS4" s="53"/>
      <c r="AT4" s="53"/>
      <c r="AU4" s="53"/>
      <c r="AW4" s="647" t="s">
        <v>350</v>
      </c>
      <c r="AX4" s="141" t="s">
        <v>351</v>
      </c>
      <c r="AY4" s="53"/>
      <c r="AZ4" s="53"/>
      <c r="BA4" s="53"/>
      <c r="BB4" s="148" t="s">
        <v>1122</v>
      </c>
      <c r="BC4" s="144" t="s">
        <v>348</v>
      </c>
      <c r="BH4" s="647" t="s">
        <v>350</v>
      </c>
      <c r="BI4" s="141" t="s">
        <v>351</v>
      </c>
      <c r="BJ4" s="161"/>
      <c r="BK4" s="142"/>
      <c r="BL4" s="143"/>
      <c r="BM4" s="143"/>
      <c r="BN4" s="143" t="s">
        <v>1122</v>
      </c>
      <c r="BO4" s="53" t="s">
        <v>348</v>
      </c>
      <c r="BT4" s="647" t="s">
        <v>350</v>
      </c>
      <c r="BU4" s="141" t="s">
        <v>351</v>
      </c>
      <c r="BV4" s="53"/>
      <c r="BW4" s="2240" t="s">
        <v>1257</v>
      </c>
      <c r="BX4" s="2227"/>
      <c r="BY4" s="148"/>
      <c r="BZ4" s="143" t="s">
        <v>1122</v>
      </c>
      <c r="CA4" s="144" t="s">
        <v>348</v>
      </c>
      <c r="CF4" s="53"/>
      <c r="CG4" s="53"/>
      <c r="CH4" s="53"/>
      <c r="CI4" s="53"/>
      <c r="CJ4" s="53"/>
      <c r="CK4" s="53"/>
      <c r="CL4" s="53"/>
      <c r="CM4" s="53"/>
      <c r="CN4" s="53"/>
      <c r="CR4" s="647" t="s">
        <v>350</v>
      </c>
      <c r="CS4" s="141" t="s">
        <v>351</v>
      </c>
      <c r="CT4" s="53"/>
      <c r="CU4" s="2226" t="s">
        <v>1258</v>
      </c>
      <c r="CV4" s="2227"/>
      <c r="CW4" s="148"/>
      <c r="CX4" s="148"/>
      <c r="CY4" s="143" t="s">
        <v>1122</v>
      </c>
      <c r="CZ4" s="144" t="s">
        <v>348</v>
      </c>
      <c r="DE4" s="811">
        <v>1</v>
      </c>
      <c r="DF4" s="812" t="s">
        <v>1259</v>
      </c>
      <c r="DG4" s="138" t="s">
        <v>1260</v>
      </c>
      <c r="DH4" s="138" t="s">
        <v>1221</v>
      </c>
      <c r="DI4" s="138" t="s">
        <v>1261</v>
      </c>
      <c r="DJ4" s="138">
        <v>1</v>
      </c>
      <c r="DK4" s="138"/>
      <c r="DL4" s="138"/>
      <c r="DM4" s="129" t="s">
        <v>1262</v>
      </c>
      <c r="DQ4" s="783" t="s">
        <v>350</v>
      </c>
      <c r="DR4" s="161" t="s">
        <v>351</v>
      </c>
      <c r="DT4" s="805"/>
      <c r="DU4" s="148" t="s">
        <v>1122</v>
      </c>
      <c r="DV4" s="144" t="s">
        <v>348</v>
      </c>
    </row>
    <row r="5" spans="1:137" ht="20.399999999999999" customHeight="1">
      <c r="B5" s="648">
        <f>B4+1</f>
        <v>2</v>
      </c>
      <c r="C5" s="649" t="s">
        <v>1255</v>
      </c>
      <c r="D5" s="634" t="s">
        <v>1263</v>
      </c>
      <c r="E5" s="650" t="s">
        <v>1237</v>
      </c>
      <c r="F5" s="651" t="s">
        <v>312</v>
      </c>
      <c r="G5" s="652" t="s">
        <v>233</v>
      </c>
      <c r="J5" s="411" t="s">
        <v>1264</v>
      </c>
      <c r="M5" s="167" t="s">
        <v>353</v>
      </c>
      <c r="N5" s="164" t="s">
        <v>354</v>
      </c>
      <c r="O5" s="128">
        <v>1</v>
      </c>
      <c r="P5" s="378" t="s">
        <v>983</v>
      </c>
      <c r="U5" s="167" t="s">
        <v>353</v>
      </c>
      <c r="V5" s="164" t="s">
        <v>354</v>
      </c>
      <c r="W5" s="128">
        <v>1</v>
      </c>
      <c r="X5" s="378" t="s">
        <v>983</v>
      </c>
      <c r="AC5" s="167" t="s">
        <v>353</v>
      </c>
      <c r="AD5" s="164" t="s">
        <v>354</v>
      </c>
      <c r="AE5" s="653"/>
      <c r="AF5" s="654"/>
      <c r="AG5" s="688">
        <v>1</v>
      </c>
      <c r="AH5" s="738" t="s">
        <v>983</v>
      </c>
      <c r="AM5" s="436" t="s">
        <v>353</v>
      </c>
      <c r="AN5" s="189" t="s">
        <v>354</v>
      </c>
      <c r="AO5" s="171"/>
      <c r="AQ5" s="694">
        <v>1</v>
      </c>
      <c r="AR5" s="738" t="s">
        <v>983</v>
      </c>
      <c r="AW5" s="167" t="s">
        <v>353</v>
      </c>
      <c r="AX5" s="189" t="s">
        <v>354</v>
      </c>
      <c r="AY5" s="171"/>
      <c r="BB5" s="739">
        <v>1</v>
      </c>
      <c r="BC5" s="738" t="s">
        <v>983</v>
      </c>
      <c r="BH5" s="167" t="s">
        <v>353</v>
      </c>
      <c r="BI5" s="189" t="s">
        <v>354</v>
      </c>
      <c r="BJ5" s="2195" t="s">
        <v>1265</v>
      </c>
      <c r="BN5" s="694">
        <v>1</v>
      </c>
      <c r="BO5" s="378" t="s">
        <v>983</v>
      </c>
      <c r="BT5" s="167" t="s">
        <v>1124</v>
      </c>
      <c r="BU5" s="189" t="s">
        <v>354</v>
      </c>
      <c r="BW5" s="2241"/>
      <c r="BX5" s="2229"/>
      <c r="BY5" s="53"/>
      <c r="BZ5" s="758">
        <v>1</v>
      </c>
      <c r="CA5" s="160"/>
      <c r="CF5" s="159"/>
      <c r="CJ5" s="53"/>
      <c r="CK5" s="53"/>
      <c r="CL5" s="53"/>
      <c r="CM5" s="687"/>
      <c r="CN5" s="53"/>
      <c r="CR5" s="373" t="s">
        <v>1124</v>
      </c>
      <c r="CS5" s="189" t="s">
        <v>354</v>
      </c>
      <c r="CU5" s="2228"/>
      <c r="CV5" s="2229"/>
      <c r="CW5" s="53"/>
      <c r="CX5" s="53"/>
      <c r="CY5" s="780">
        <v>1</v>
      </c>
      <c r="CZ5" s="776"/>
      <c r="DE5" s="811">
        <v>2</v>
      </c>
      <c r="DF5" s="812" t="s">
        <v>1266</v>
      </c>
      <c r="DG5" s="138" t="s">
        <v>1267</v>
      </c>
      <c r="DH5" s="138" t="s">
        <v>1268</v>
      </c>
      <c r="DI5" s="138" t="s">
        <v>1269</v>
      </c>
      <c r="DJ5" s="138">
        <v>3</v>
      </c>
      <c r="DK5" s="138"/>
      <c r="DL5" s="138"/>
      <c r="DQ5" s="373" t="s">
        <v>1124</v>
      </c>
      <c r="DR5" s="355" t="s">
        <v>354</v>
      </c>
      <c r="DU5" s="866">
        <v>1</v>
      </c>
      <c r="DZ5" s="2239" t="s">
        <v>1270</v>
      </c>
      <c r="EA5" s="2239"/>
      <c r="EB5" s="2236" t="s">
        <v>1271</v>
      </c>
      <c r="EC5" s="2236"/>
      <c r="ED5" s="2236"/>
      <c r="EE5" s="2236"/>
      <c r="EF5" s="2236"/>
      <c r="EG5" s="2236"/>
    </row>
    <row r="6" spans="1:137" ht="15" customHeight="1">
      <c r="B6" s="642">
        <f>B5+1</f>
        <v>3</v>
      </c>
      <c r="C6" s="643" t="s">
        <v>1255</v>
      </c>
      <c r="D6" s="633" t="s">
        <v>1272</v>
      </c>
      <c r="E6" s="644" t="s">
        <v>1238</v>
      </c>
      <c r="F6" s="645" t="s">
        <v>1273</v>
      </c>
      <c r="G6" s="646" t="s">
        <v>233</v>
      </c>
      <c r="J6" s="411" t="s">
        <v>494</v>
      </c>
      <c r="M6" s="222" t="s">
        <v>355</v>
      </c>
      <c r="N6" s="431" t="s">
        <v>354</v>
      </c>
      <c r="O6" s="656">
        <v>2</v>
      </c>
      <c r="P6" s="378" t="s">
        <v>1274</v>
      </c>
      <c r="U6" s="222" t="s">
        <v>355</v>
      </c>
      <c r="V6" s="431" t="s">
        <v>354</v>
      </c>
      <c r="W6" s="656">
        <v>2</v>
      </c>
      <c r="X6" s="378" t="s">
        <v>1274</v>
      </c>
      <c r="AC6" s="399" t="s">
        <v>355</v>
      </c>
      <c r="AD6" s="431" t="s">
        <v>354</v>
      </c>
      <c r="AE6" s="657"/>
      <c r="AF6" s="658"/>
      <c r="AG6" s="688">
        <v>2</v>
      </c>
      <c r="AH6" s="738" t="s">
        <v>987</v>
      </c>
      <c r="AM6" s="399" t="s">
        <v>355</v>
      </c>
      <c r="AN6" s="191" t="s">
        <v>354</v>
      </c>
      <c r="AO6" s="171"/>
      <c r="AQ6" s="694">
        <v>2</v>
      </c>
      <c r="AR6" s="738" t="s">
        <v>987</v>
      </c>
      <c r="AW6" s="399" t="s">
        <v>355</v>
      </c>
      <c r="AX6" s="191" t="s">
        <v>354</v>
      </c>
      <c r="AY6" s="171"/>
      <c r="BB6" s="739">
        <v>2</v>
      </c>
      <c r="BC6" s="738" t="s">
        <v>987</v>
      </c>
      <c r="BH6" s="399" t="s">
        <v>355</v>
      </c>
      <c r="BI6" s="191" t="s">
        <v>354</v>
      </c>
      <c r="BJ6" s="2196"/>
      <c r="BN6" s="694">
        <v>2</v>
      </c>
      <c r="BO6" s="378" t="s">
        <v>987</v>
      </c>
      <c r="BT6" s="399" t="s">
        <v>1126</v>
      </c>
      <c r="BU6" s="191" t="s">
        <v>354</v>
      </c>
      <c r="BW6" s="2241"/>
      <c r="BX6" s="2229"/>
      <c r="BY6" s="53"/>
      <c r="BZ6" s="759">
        <v>2</v>
      </c>
      <c r="CA6" s="160"/>
      <c r="CF6" s="159"/>
      <c r="CJ6" s="53"/>
      <c r="CK6" s="53"/>
      <c r="CL6" s="53"/>
      <c r="CM6" s="687"/>
      <c r="CN6" s="687"/>
      <c r="CR6" s="773" t="s">
        <v>1126</v>
      </c>
      <c r="CS6" s="191" t="s">
        <v>354</v>
      </c>
      <c r="CU6" s="2228"/>
      <c r="CV6" s="2229"/>
      <c r="CW6" s="53"/>
      <c r="CX6" s="53"/>
      <c r="CY6" s="660">
        <v>2</v>
      </c>
      <c r="CZ6" s="776"/>
      <c r="DA6" s="768"/>
      <c r="DE6" s="811">
        <v>3</v>
      </c>
      <c r="DF6" s="812" t="s">
        <v>1275</v>
      </c>
      <c r="DG6" s="138" t="s">
        <v>1276</v>
      </c>
      <c r="DH6" s="138" t="s">
        <v>1277</v>
      </c>
      <c r="DI6" s="138" t="s">
        <v>1278</v>
      </c>
      <c r="DJ6" s="138">
        <v>2</v>
      </c>
      <c r="DK6" s="138"/>
      <c r="DL6" s="138"/>
      <c r="DQ6" s="775" t="s">
        <v>1126</v>
      </c>
      <c r="DR6" s="355" t="s">
        <v>354</v>
      </c>
      <c r="DU6" s="807">
        <v>2</v>
      </c>
      <c r="DZ6" s="2239"/>
      <c r="EA6" s="2239"/>
      <c r="EB6" s="2237" t="s">
        <v>1279</v>
      </c>
      <c r="EC6" s="2237"/>
      <c r="ED6" s="2237"/>
      <c r="EE6" s="2237"/>
      <c r="EF6" s="2237"/>
      <c r="EG6" s="2237"/>
    </row>
    <row r="7" spans="1:137" ht="18" customHeight="1" thickBot="1">
      <c r="B7" s="648">
        <f>B6+1</f>
        <v>4</v>
      </c>
      <c r="C7" s="649" t="s">
        <v>1255</v>
      </c>
      <c r="D7" s="634" t="s">
        <v>1229</v>
      </c>
      <c r="E7" s="650" t="s">
        <v>1240</v>
      </c>
      <c r="F7" s="651" t="s">
        <v>1280</v>
      </c>
      <c r="G7" s="652" t="s">
        <v>233</v>
      </c>
      <c r="J7" s="410" t="s">
        <v>524</v>
      </c>
      <c r="M7" s="117" t="s">
        <v>1281</v>
      </c>
      <c r="N7" s="128" t="s">
        <v>1282</v>
      </c>
      <c r="O7" s="128">
        <v>3</v>
      </c>
      <c r="P7" s="138" t="s">
        <v>1283</v>
      </c>
      <c r="Q7" s="378"/>
      <c r="R7" s="378"/>
      <c r="S7" s="378"/>
      <c r="U7" s="117" t="s">
        <v>1281</v>
      </c>
      <c r="V7" s="128" t="s">
        <v>1282</v>
      </c>
      <c r="W7" s="128">
        <v>3</v>
      </c>
      <c r="X7" s="138" t="s">
        <v>1283</v>
      </c>
      <c r="AC7" s="121" t="s">
        <v>934</v>
      </c>
      <c r="AD7" s="2217" t="s">
        <v>354</v>
      </c>
      <c r="AE7" s="2218"/>
      <c r="AF7" s="2218"/>
      <c r="AG7" s="689">
        <v>3</v>
      </c>
      <c r="AH7" s="687"/>
      <c r="AM7" s="692" t="s">
        <v>934</v>
      </c>
      <c r="AN7" s="2267" t="s">
        <v>1284</v>
      </c>
      <c r="AO7" s="2267"/>
      <c r="AP7" s="2267"/>
      <c r="AQ7" s="691">
        <v>3</v>
      </c>
      <c r="AR7" s="687"/>
      <c r="AW7" s="121" t="s">
        <v>934</v>
      </c>
      <c r="AX7" s="2203" t="s">
        <v>1284</v>
      </c>
      <c r="AY7" s="2204"/>
      <c r="AZ7" s="2204"/>
      <c r="BA7" s="2205"/>
      <c r="BB7" s="660">
        <v>3</v>
      </c>
      <c r="BC7" s="687"/>
      <c r="BH7" s="731" t="s">
        <v>934</v>
      </c>
      <c r="BI7" s="561" t="s">
        <v>1285</v>
      </c>
      <c r="BJ7" s="2196"/>
      <c r="BN7" s="694">
        <v>3</v>
      </c>
      <c r="BO7" s="687" t="s">
        <v>1286</v>
      </c>
      <c r="BT7" s="731" t="s">
        <v>934</v>
      </c>
      <c r="BU7" s="1865" t="s">
        <v>1285</v>
      </c>
      <c r="BV7" s="1865"/>
      <c r="BW7" s="2228"/>
      <c r="BX7" s="2229"/>
      <c r="BZ7" s="760">
        <v>3</v>
      </c>
      <c r="CA7" s="659" t="s">
        <v>1287</v>
      </c>
      <c r="CF7" s="159"/>
      <c r="CM7" s="687"/>
      <c r="CN7" s="687"/>
      <c r="CR7" s="774" t="s">
        <v>934</v>
      </c>
      <c r="CS7" s="1865" t="s">
        <v>1285</v>
      </c>
      <c r="CT7" s="1865"/>
      <c r="CU7" s="2228"/>
      <c r="CV7" s="2229"/>
      <c r="CY7" s="780">
        <v>3</v>
      </c>
      <c r="CZ7" s="777" t="s">
        <v>1287</v>
      </c>
      <c r="DA7" s="771"/>
      <c r="DE7" s="811">
        <v>4</v>
      </c>
      <c r="DF7" s="812" t="s">
        <v>1288</v>
      </c>
      <c r="DG7" s="138" t="s">
        <v>1289</v>
      </c>
      <c r="DH7" s="138" t="s">
        <v>1290</v>
      </c>
      <c r="DI7" s="138" t="s">
        <v>1291</v>
      </c>
      <c r="DJ7" s="138">
        <v>4</v>
      </c>
      <c r="DK7" s="138"/>
      <c r="DL7" s="138"/>
      <c r="DU7" s="295"/>
      <c r="DZ7" s="2239"/>
      <c r="EA7" s="2239"/>
      <c r="EB7" s="2237" t="s">
        <v>1292</v>
      </c>
      <c r="EC7" s="2237"/>
      <c r="ED7" s="2237"/>
      <c r="EE7" s="2237"/>
      <c r="EF7" s="2237"/>
      <c r="EG7" s="2237"/>
    </row>
    <row r="8" spans="1:137" ht="16.2" customHeight="1">
      <c r="B8" s="642">
        <f>B7+1</f>
        <v>5</v>
      </c>
      <c r="C8" s="643" t="s">
        <v>1255</v>
      </c>
      <c r="D8" s="633" t="s">
        <v>1230</v>
      </c>
      <c r="E8" s="644" t="s">
        <v>1241</v>
      </c>
      <c r="F8" s="645" t="s">
        <v>1293</v>
      </c>
      <c r="G8" s="646" t="s">
        <v>233</v>
      </c>
      <c r="J8" s="411" t="s">
        <v>1294</v>
      </c>
      <c r="M8" s="118" t="s">
        <v>196</v>
      </c>
      <c r="N8" s="130" t="s">
        <v>365</v>
      </c>
      <c r="O8" s="128">
        <v>4</v>
      </c>
      <c r="P8" s="662" t="s">
        <v>1295</v>
      </c>
      <c r="Q8" s="415"/>
      <c r="R8" s="415"/>
      <c r="S8" s="415"/>
      <c r="U8" s="118" t="s">
        <v>196</v>
      </c>
      <c r="V8" s="663" t="s">
        <v>365</v>
      </c>
      <c r="W8" s="128">
        <v>4</v>
      </c>
      <c r="X8" s="662" t="s">
        <v>1295</v>
      </c>
      <c r="AC8" s="121" t="s">
        <v>1296</v>
      </c>
      <c r="AD8" s="2217" t="s">
        <v>354</v>
      </c>
      <c r="AE8" s="2218"/>
      <c r="AF8" s="2218"/>
      <c r="AG8" s="689">
        <v>4</v>
      </c>
      <c r="AH8" s="687"/>
      <c r="AM8" s="2206" t="s">
        <v>1297</v>
      </c>
      <c r="AN8" s="2249"/>
      <c r="AO8" s="2249"/>
      <c r="AP8" s="2249"/>
      <c r="AQ8" s="2259">
        <v>4</v>
      </c>
      <c r="AR8" s="687" t="s">
        <v>1298</v>
      </c>
      <c r="AW8" s="2206" t="s">
        <v>1297</v>
      </c>
      <c r="AX8" s="2206"/>
      <c r="AY8" s="2206"/>
      <c r="AZ8" s="2206"/>
      <c r="BA8" s="2207"/>
      <c r="BB8" s="2254">
        <v>4</v>
      </c>
      <c r="BC8" s="687" t="s">
        <v>1298</v>
      </c>
      <c r="BH8" s="121" t="s">
        <v>315</v>
      </c>
      <c r="BI8" s="164" t="s">
        <v>1299</v>
      </c>
      <c r="BJ8" s="2197"/>
      <c r="BN8" s="694">
        <v>4</v>
      </c>
      <c r="BO8" s="687" t="s">
        <v>1300</v>
      </c>
      <c r="BT8" s="2262" t="s">
        <v>1301</v>
      </c>
      <c r="BU8" s="2233" t="s">
        <v>1302</v>
      </c>
      <c r="BV8" s="2233"/>
      <c r="BW8" s="2228"/>
      <c r="BX8" s="2229"/>
      <c r="BZ8" s="2212">
        <v>4</v>
      </c>
      <c r="CA8" s="2211" t="s">
        <v>1303</v>
      </c>
      <c r="CF8" s="159"/>
      <c r="CG8" s="159"/>
      <c r="CH8" s="159"/>
      <c r="CI8" s="159"/>
      <c r="CJ8" s="159"/>
      <c r="CK8" s="159"/>
      <c r="CL8" s="159"/>
      <c r="CR8" s="2232" t="s">
        <v>1301</v>
      </c>
      <c r="CS8" s="2233" t="s">
        <v>1304</v>
      </c>
      <c r="CT8" s="2233"/>
      <c r="CU8" s="2228"/>
      <c r="CV8" s="2229"/>
      <c r="CY8" s="2210">
        <v>4</v>
      </c>
      <c r="CZ8" s="2211" t="s">
        <v>1305</v>
      </c>
      <c r="DA8" s="446"/>
      <c r="DC8" s="378"/>
      <c r="DE8" s="811">
        <v>5</v>
      </c>
      <c r="DF8" s="812" t="s">
        <v>1306</v>
      </c>
      <c r="DG8" s="138" t="s">
        <v>1260</v>
      </c>
      <c r="DH8" s="138" t="s">
        <v>1307</v>
      </c>
      <c r="DI8" s="138" t="s">
        <v>1261</v>
      </c>
      <c r="DJ8" s="138">
        <v>1</v>
      </c>
      <c r="DK8" s="138"/>
      <c r="DL8" s="138"/>
      <c r="DQ8" s="806" t="s">
        <v>1195</v>
      </c>
      <c r="DR8" s="808" t="s">
        <v>1308</v>
      </c>
      <c r="DS8" s="2138" t="s">
        <v>1309</v>
      </c>
      <c r="DT8" s="2138"/>
      <c r="DU8" s="866">
        <v>3</v>
      </c>
      <c r="EB8" s="2237" t="s">
        <v>1310</v>
      </c>
      <c r="EC8" s="2237"/>
      <c r="ED8" s="2237"/>
      <c r="EE8" s="2237"/>
      <c r="EF8" s="2237"/>
      <c r="EG8" s="2237"/>
    </row>
    <row r="9" spans="1:137" ht="18.600000000000001" customHeight="1">
      <c r="B9" s="642">
        <f>B8+1</f>
        <v>6</v>
      </c>
      <c r="C9" s="643" t="s">
        <v>1255</v>
      </c>
      <c r="D9" s="633" t="s">
        <v>1311</v>
      </c>
      <c r="E9" s="644" t="s">
        <v>1312</v>
      </c>
      <c r="F9" s="645" t="s">
        <v>1313</v>
      </c>
      <c r="G9" s="646" t="s">
        <v>233</v>
      </c>
      <c r="J9" s="410"/>
      <c r="M9" s="119" t="s">
        <v>1314</v>
      </c>
      <c r="N9" s="130" t="s">
        <v>1315</v>
      </c>
      <c r="O9" s="128">
        <v>5</v>
      </c>
      <c r="P9" s="138" t="s">
        <v>1316</v>
      </c>
      <c r="Q9" s="378"/>
      <c r="R9" s="378"/>
      <c r="S9" s="378"/>
      <c r="U9" s="119" t="s">
        <v>1314</v>
      </c>
      <c r="V9" s="663" t="s">
        <v>1315</v>
      </c>
      <c r="W9" s="128">
        <v>5</v>
      </c>
      <c r="X9" s="138" t="s">
        <v>1316</v>
      </c>
      <c r="AC9" s="121" t="s">
        <v>1134</v>
      </c>
      <c r="AD9" s="2251" t="s">
        <v>354</v>
      </c>
      <c r="AE9" s="2252"/>
      <c r="AF9" s="2252"/>
      <c r="AG9" s="689">
        <v>5</v>
      </c>
      <c r="AH9" s="687"/>
      <c r="AM9" s="2206"/>
      <c r="AN9" s="2206"/>
      <c r="AO9" s="2206"/>
      <c r="AP9" s="2206"/>
      <c r="AQ9" s="2260"/>
      <c r="AR9" s="687"/>
      <c r="AW9" s="2206"/>
      <c r="AX9" s="2206"/>
      <c r="AY9" s="2206"/>
      <c r="AZ9" s="2206"/>
      <c r="BA9" s="2207"/>
      <c r="BB9" s="2254"/>
      <c r="BC9" s="687"/>
      <c r="BH9" s="121" t="s">
        <v>1147</v>
      </c>
      <c r="BI9" s="189" t="s">
        <v>1299</v>
      </c>
      <c r="BJ9" s="2274" t="s">
        <v>1317</v>
      </c>
      <c r="BN9" s="694">
        <v>5</v>
      </c>
      <c r="BO9" s="687" t="s">
        <v>1318</v>
      </c>
      <c r="BT9" s="2262"/>
      <c r="BU9" s="2233"/>
      <c r="BV9" s="2233"/>
      <c r="BW9" s="2228"/>
      <c r="BX9" s="2229"/>
      <c r="BZ9" s="2213"/>
      <c r="CA9" s="1747"/>
      <c r="CF9" s="159"/>
      <c r="CG9" s="159"/>
      <c r="CH9" s="159"/>
      <c r="CI9" s="159"/>
      <c r="CJ9" s="159"/>
      <c r="CK9" s="159"/>
      <c r="CL9" s="159"/>
      <c r="CR9" s="2232"/>
      <c r="CS9" s="2233"/>
      <c r="CT9" s="2233"/>
      <c r="CU9" s="2228"/>
      <c r="CV9" s="2229"/>
      <c r="CY9" s="2210"/>
      <c r="CZ9" s="1747"/>
      <c r="DE9" s="811">
        <v>6</v>
      </c>
      <c r="DF9" s="812" t="s">
        <v>1319</v>
      </c>
      <c r="DG9" s="138" t="s">
        <v>1267</v>
      </c>
      <c r="DH9" s="138" t="s">
        <v>1320</v>
      </c>
      <c r="DI9" s="138" t="s">
        <v>723</v>
      </c>
      <c r="DJ9" s="138">
        <v>1</v>
      </c>
      <c r="DK9" s="138"/>
      <c r="DL9" s="138"/>
      <c r="DQ9" s="806" t="s">
        <v>260</v>
      </c>
      <c r="DR9" s="867" t="s">
        <v>1321</v>
      </c>
      <c r="DS9" s="2138"/>
      <c r="DT9" s="2138"/>
      <c r="DU9" s="866">
        <v>4</v>
      </c>
      <c r="DZ9" s="2143" t="s">
        <v>1322</v>
      </c>
      <c r="EA9" s="2144"/>
      <c r="EB9" s="2141" t="s">
        <v>1323</v>
      </c>
      <c r="EC9" s="2142"/>
      <c r="ED9" s="2148" t="s">
        <v>1324</v>
      </c>
      <c r="EE9" s="2148"/>
      <c r="EF9" s="2148"/>
      <c r="EG9" s="2148"/>
    </row>
    <row r="10" spans="1:137" ht="18.600000000000001" customHeight="1" thickBot="1">
      <c r="B10" s="648">
        <f>B8+1</f>
        <v>6</v>
      </c>
      <c r="C10" s="649" t="s">
        <v>1255</v>
      </c>
      <c r="D10" s="634" t="s">
        <v>67</v>
      </c>
      <c r="E10" s="650" t="s">
        <v>1325</v>
      </c>
      <c r="F10" s="651" t="s">
        <v>1326</v>
      </c>
      <c r="G10" s="652" t="s">
        <v>233</v>
      </c>
      <c r="J10" s="411"/>
      <c r="M10" s="119" t="s">
        <v>1327</v>
      </c>
      <c r="N10" s="130" t="s">
        <v>1328</v>
      </c>
      <c r="O10" s="128">
        <v>6</v>
      </c>
      <c r="P10" s="138" t="s">
        <v>1329</v>
      </c>
      <c r="U10" s="119" t="s">
        <v>1327</v>
      </c>
      <c r="V10" s="663" t="s">
        <v>1328</v>
      </c>
      <c r="W10" s="128">
        <v>6</v>
      </c>
      <c r="X10" s="138" t="s">
        <v>1329</v>
      </c>
      <c r="AC10" s="147" t="s">
        <v>1147</v>
      </c>
      <c r="AD10" s="431" t="s">
        <v>354</v>
      </c>
      <c r="AE10" s="2243" t="s">
        <v>1330</v>
      </c>
      <c r="AF10" s="2244"/>
      <c r="AG10" s="554">
        <v>6</v>
      </c>
      <c r="AM10" s="2206"/>
      <c r="AN10" s="2206"/>
      <c r="AO10" s="2206"/>
      <c r="AP10" s="2206"/>
      <c r="AQ10" s="2260"/>
      <c r="AW10" s="2206"/>
      <c r="AX10" s="2206"/>
      <c r="AY10" s="2206"/>
      <c r="AZ10" s="2206"/>
      <c r="BA10" s="2207"/>
      <c r="BB10" s="2254"/>
      <c r="BH10" s="121" t="s">
        <v>1331</v>
      </c>
      <c r="BI10" s="189" t="s">
        <v>1299</v>
      </c>
      <c r="BJ10" s="2274"/>
      <c r="BN10" s="694">
        <v>6</v>
      </c>
      <c r="BO10" s="129" t="s">
        <v>1332</v>
      </c>
      <c r="BT10" s="222" t="s">
        <v>1195</v>
      </c>
      <c r="BU10" s="1865" t="s">
        <v>1333</v>
      </c>
      <c r="BV10" s="1865"/>
      <c r="BW10" s="2230"/>
      <c r="BX10" s="2231"/>
      <c r="BZ10" s="656">
        <v>6</v>
      </c>
      <c r="CA10" s="661" t="s">
        <v>1334</v>
      </c>
      <c r="CM10" s="687"/>
      <c r="CN10" s="687"/>
      <c r="CR10" s="774" t="s">
        <v>1195</v>
      </c>
      <c r="CS10" s="1833" t="s">
        <v>1335</v>
      </c>
      <c r="CT10" s="1835"/>
      <c r="CU10" s="2230"/>
      <c r="CV10" s="2231"/>
      <c r="CY10" s="128">
        <v>5</v>
      </c>
      <c r="CZ10" s="129" t="s">
        <v>1336</v>
      </c>
      <c r="DE10" s="811">
        <v>7</v>
      </c>
      <c r="DF10" s="812" t="s">
        <v>1337</v>
      </c>
      <c r="DG10" s="138" t="s">
        <v>1276</v>
      </c>
      <c r="DH10" s="138" t="s">
        <v>1338</v>
      </c>
      <c r="DI10" s="138" t="s">
        <v>1261</v>
      </c>
      <c r="DJ10" s="138">
        <v>2</v>
      </c>
      <c r="DK10" s="138"/>
      <c r="DL10" s="138"/>
      <c r="DQ10" s="138" t="s">
        <v>1339</v>
      </c>
      <c r="DR10" s="515" t="s">
        <v>1340</v>
      </c>
      <c r="DS10" s="2138"/>
      <c r="DT10" s="2138"/>
      <c r="DU10" s="866">
        <v>5</v>
      </c>
      <c r="DZ10" s="2143" t="s">
        <v>1341</v>
      </c>
      <c r="EA10" s="2144"/>
      <c r="EB10" s="2141" t="s">
        <v>1342</v>
      </c>
      <c r="EC10" s="2142"/>
      <c r="ED10" s="2148"/>
      <c r="EE10" s="2148"/>
      <c r="EF10" s="2148"/>
      <c r="EG10" s="2148"/>
    </row>
    <row r="11" spans="1:137" ht="13.2" customHeight="1">
      <c r="B11" s="642">
        <f>B10+1</f>
        <v>7</v>
      </c>
      <c r="C11" s="643" t="s">
        <v>1255</v>
      </c>
      <c r="D11" s="633" t="s">
        <v>1343</v>
      </c>
      <c r="E11" s="644" t="s">
        <v>1344</v>
      </c>
      <c r="F11" s="645" t="s">
        <v>1345</v>
      </c>
      <c r="G11" s="646" t="s">
        <v>233</v>
      </c>
      <c r="M11" s="119" t="s">
        <v>1147</v>
      </c>
      <c r="N11" s="130" t="s">
        <v>365</v>
      </c>
      <c r="O11" s="128">
        <v>7</v>
      </c>
      <c r="P11" s="138" t="s">
        <v>1346</v>
      </c>
      <c r="U11" s="119" t="s">
        <v>1147</v>
      </c>
      <c r="V11" s="663" t="s">
        <v>365</v>
      </c>
      <c r="W11" s="128">
        <v>7</v>
      </c>
      <c r="X11" s="138" t="s">
        <v>1346</v>
      </c>
      <c r="AC11" s="145" t="s">
        <v>1331</v>
      </c>
      <c r="AD11" s="431" t="s">
        <v>354</v>
      </c>
      <c r="AE11" s="2243"/>
      <c r="AF11" s="2244"/>
      <c r="AG11" s="554">
        <v>7</v>
      </c>
      <c r="AM11" s="2206"/>
      <c r="AN11" s="2206"/>
      <c r="AO11" s="2206"/>
      <c r="AP11" s="2206"/>
      <c r="AQ11" s="2261"/>
      <c r="AW11" s="2206"/>
      <c r="AX11" s="2206"/>
      <c r="AY11" s="2206"/>
      <c r="AZ11" s="2206"/>
      <c r="BA11" s="2207"/>
      <c r="BB11" s="2254"/>
      <c r="BH11" s="159"/>
      <c r="BI11" s="171"/>
      <c r="BJ11" s="2275"/>
      <c r="BN11" s="694"/>
      <c r="BO11" s="687" t="s">
        <v>1347</v>
      </c>
      <c r="CM11" s="687"/>
      <c r="CR11" s="775" t="s">
        <v>1348</v>
      </c>
      <c r="CS11" s="128"/>
      <c r="CY11" s="128">
        <v>7</v>
      </c>
      <c r="CZ11" s="129" t="s">
        <v>1349</v>
      </c>
      <c r="DE11" s="811">
        <v>8</v>
      </c>
      <c r="DF11" s="812" t="s">
        <v>1350</v>
      </c>
      <c r="DG11" s="138" t="s">
        <v>1289</v>
      </c>
      <c r="DH11" s="138" t="s">
        <v>1351</v>
      </c>
      <c r="DI11" s="138" t="s">
        <v>1278</v>
      </c>
      <c r="DJ11" s="138">
        <v>4</v>
      </c>
      <c r="DK11" s="138"/>
      <c r="DL11" s="138"/>
      <c r="DQ11" s="806" t="s">
        <v>1352</v>
      </c>
      <c r="DR11" s="808" t="s">
        <v>1353</v>
      </c>
      <c r="DS11" s="2138"/>
      <c r="DT11" s="2138"/>
      <c r="DU11" s="866">
        <v>6</v>
      </c>
      <c r="DZ11" s="2143" t="s">
        <v>1077</v>
      </c>
      <c r="EA11" s="2144"/>
      <c r="EB11" s="2141" t="s">
        <v>1354</v>
      </c>
      <c r="EC11" s="2142"/>
      <c r="ED11" s="790" t="s">
        <v>1355</v>
      </c>
      <c r="EE11" s="790"/>
      <c r="EF11" s="2238">
        <v>16028</v>
      </c>
      <c r="EG11" s="2238"/>
    </row>
    <row r="12" spans="1:137" ht="15.6" customHeight="1" thickBot="1">
      <c r="B12" s="648">
        <f>B11+1</f>
        <v>8</v>
      </c>
      <c r="C12" s="649" t="s">
        <v>1255</v>
      </c>
      <c r="D12" s="634" t="s">
        <v>69</v>
      </c>
      <c r="E12" s="650" t="s">
        <v>1245</v>
      </c>
      <c r="F12" s="651" t="s">
        <v>1356</v>
      </c>
      <c r="G12" s="652" t="s">
        <v>233</v>
      </c>
      <c r="M12" s="2109" t="s">
        <v>1357</v>
      </c>
      <c r="N12" s="2109"/>
      <c r="O12" s="2109"/>
      <c r="U12" s="2109" t="s">
        <v>1357</v>
      </c>
      <c r="V12" s="2109"/>
      <c r="W12" s="2109"/>
      <c r="AC12" s="2108" t="s">
        <v>1358</v>
      </c>
      <c r="AD12" s="2242"/>
      <c r="AE12" s="2243"/>
      <c r="AF12" s="2244"/>
      <c r="AG12" s="688">
        <v>8</v>
      </c>
      <c r="AH12" s="687" t="s">
        <v>1359</v>
      </c>
      <c r="AM12" s="692" t="s">
        <v>1195</v>
      </c>
      <c r="AN12" s="2256" t="s">
        <v>1360</v>
      </c>
      <c r="AO12" s="2257"/>
      <c r="AP12" s="2257"/>
      <c r="AQ12" s="690">
        <v>5</v>
      </c>
      <c r="AR12" s="687" t="s">
        <v>1361</v>
      </c>
      <c r="AW12" s="692" t="s">
        <v>1195</v>
      </c>
      <c r="AX12" s="2203" t="s">
        <v>1362</v>
      </c>
      <c r="AY12" s="2203"/>
      <c r="AZ12" s="2203"/>
      <c r="BA12" s="2255"/>
      <c r="BB12" s="660">
        <v>5</v>
      </c>
      <c r="BC12" s="687" t="s">
        <v>1363</v>
      </c>
      <c r="BH12" s="753" t="s">
        <v>1364</v>
      </c>
      <c r="BI12" s="753" t="s">
        <v>1126</v>
      </c>
      <c r="BJ12" s="754" t="s">
        <v>1195</v>
      </c>
      <c r="BK12" s="753" t="s">
        <v>1365</v>
      </c>
      <c r="BL12" s="753" t="s">
        <v>1331</v>
      </c>
      <c r="BN12" s="694"/>
      <c r="BO12" s="687"/>
      <c r="BT12" s="121" t="s">
        <v>1366</v>
      </c>
      <c r="BU12" s="121" t="s">
        <v>1147</v>
      </c>
      <c r="BV12" s="121" t="s">
        <v>1331</v>
      </c>
      <c r="BW12" s="121" t="s">
        <v>1367</v>
      </c>
      <c r="BX12" s="121" t="s">
        <v>1368</v>
      </c>
      <c r="BY12" s="121" t="s">
        <v>1369</v>
      </c>
      <c r="BZ12" s="759"/>
      <c r="CM12" s="687"/>
      <c r="CR12" s="775" t="s">
        <v>1370</v>
      </c>
      <c r="CS12" s="128"/>
      <c r="CY12" s="128">
        <v>8</v>
      </c>
      <c r="CZ12" s="129" t="s">
        <v>1371</v>
      </c>
      <c r="DE12" s="44"/>
      <c r="DQ12" s="806" t="s">
        <v>1372</v>
      </c>
      <c r="DR12" s="515" t="s">
        <v>1373</v>
      </c>
      <c r="DS12" s="2138"/>
      <c r="DT12" s="2138"/>
      <c r="DU12" s="866">
        <v>7</v>
      </c>
      <c r="DZ12" s="2143" t="s">
        <v>1374</v>
      </c>
      <c r="EA12" s="2144"/>
      <c r="EB12" s="2141" t="s">
        <v>1375</v>
      </c>
      <c r="EC12" s="2142"/>
      <c r="ED12" s="790" t="s">
        <v>1126</v>
      </c>
      <c r="EE12" s="790"/>
      <c r="EF12" s="2147">
        <v>45447</v>
      </c>
      <c r="EG12" s="2147"/>
    </row>
    <row r="13" spans="1:137" ht="15" customHeight="1">
      <c r="B13" s="642">
        <f>B12+1</f>
        <v>9</v>
      </c>
      <c r="C13" s="643" t="s">
        <v>1255</v>
      </c>
      <c r="D13" s="633" t="s">
        <v>1376</v>
      </c>
      <c r="E13" s="644" t="s">
        <v>1377</v>
      </c>
      <c r="F13" s="645" t="s">
        <v>1378</v>
      </c>
      <c r="G13" s="646" t="s">
        <v>233</v>
      </c>
      <c r="M13" s="117" t="s">
        <v>1379</v>
      </c>
      <c r="N13" s="130" t="s">
        <v>365</v>
      </c>
      <c r="O13" s="128" t="s">
        <v>884</v>
      </c>
      <c r="P13" s="664" t="s">
        <v>1380</v>
      </c>
      <c r="U13" s="117" t="s">
        <v>1379</v>
      </c>
      <c r="V13" s="663" t="s">
        <v>365</v>
      </c>
      <c r="W13" s="128" t="s">
        <v>884</v>
      </c>
      <c r="X13" s="664" t="s">
        <v>1380</v>
      </c>
      <c r="AC13" s="874" t="s">
        <v>1381</v>
      </c>
      <c r="AD13" s="874"/>
      <c r="AE13" s="2243"/>
      <c r="AF13" s="2244"/>
      <c r="AG13" s="689">
        <v>9</v>
      </c>
      <c r="AH13" s="687" t="s">
        <v>1382</v>
      </c>
      <c r="AM13" s="222" t="s">
        <v>1383</v>
      </c>
      <c r="AN13" s="222" t="s">
        <v>1147</v>
      </c>
      <c r="AO13" s="222" t="s">
        <v>1331</v>
      </c>
      <c r="AP13" s="159"/>
      <c r="AQ13" s="690">
        <v>6</v>
      </c>
      <c r="AW13" s="222" t="s">
        <v>1383</v>
      </c>
      <c r="AX13" s="222" t="s">
        <v>1147</v>
      </c>
      <c r="AY13" s="222" t="s">
        <v>1331</v>
      </c>
      <c r="AZ13" s="540" t="s">
        <v>1384</v>
      </c>
      <c r="BA13" s="2222" t="s">
        <v>1385</v>
      </c>
      <c r="BB13" s="741"/>
      <c r="BH13" s="2271" t="s">
        <v>1386</v>
      </c>
      <c r="BI13" s="2272"/>
      <c r="BJ13" s="2272"/>
      <c r="BK13" s="2272"/>
      <c r="BL13" s="2273"/>
      <c r="BN13" s="2234">
        <v>7</v>
      </c>
      <c r="BO13" s="129" t="s">
        <v>1387</v>
      </c>
      <c r="BT13" s="553"/>
      <c r="BU13" s="553"/>
      <c r="BV13" s="553"/>
      <c r="BW13" s="553"/>
      <c r="BX13" s="553" t="s">
        <v>1388</v>
      </c>
      <c r="BY13" s="561"/>
      <c r="BZ13" s="761">
        <v>7</v>
      </c>
      <c r="CA13" s="661" t="s">
        <v>1389</v>
      </c>
      <c r="CM13" s="687"/>
      <c r="CR13" s="2270" t="s">
        <v>1390</v>
      </c>
      <c r="CS13" s="2270"/>
      <c r="CT13" s="2270"/>
      <c r="CU13" s="2270"/>
      <c r="CV13" s="2270"/>
      <c r="CW13" s="2270"/>
      <c r="CX13" s="879"/>
      <c r="CY13" s="128"/>
      <c r="DE13" s="44"/>
      <c r="DQ13" s="806" t="s">
        <v>1391</v>
      </c>
      <c r="DR13" s="809" t="s">
        <v>1392</v>
      </c>
      <c r="DS13" s="2138"/>
      <c r="DT13" s="2138"/>
      <c r="DU13" s="866">
        <v>8</v>
      </c>
      <c r="DZ13" s="2139"/>
      <c r="EA13" s="2140"/>
      <c r="EB13" s="2141" t="s">
        <v>1393</v>
      </c>
      <c r="EC13" s="2142"/>
    </row>
    <row r="14" spans="1:137" ht="15" customHeight="1">
      <c r="B14" s="648">
        <f t="shared" ref="B14:B19" si="0">B13+1</f>
        <v>10</v>
      </c>
      <c r="C14" s="643" t="s">
        <v>1255</v>
      </c>
      <c r="D14" s="129" t="s">
        <v>113</v>
      </c>
      <c r="E14" s="650" t="s">
        <v>1253</v>
      </c>
      <c r="F14" s="296" t="s">
        <v>1394</v>
      </c>
      <c r="G14" s="652" t="s">
        <v>233</v>
      </c>
      <c r="M14" s="119" t="s">
        <v>1395</v>
      </c>
      <c r="N14" s="130" t="s">
        <v>1396</v>
      </c>
      <c r="O14" s="128" t="s">
        <v>951</v>
      </c>
      <c r="P14" s="664" t="s">
        <v>1397</v>
      </c>
      <c r="U14" s="119" t="s">
        <v>1395</v>
      </c>
      <c r="V14" s="663" t="s">
        <v>1396</v>
      </c>
      <c r="W14" s="128" t="s">
        <v>951</v>
      </c>
      <c r="X14" s="664" t="s">
        <v>1397</v>
      </c>
      <c r="AC14" s="2247" t="s">
        <v>1398</v>
      </c>
      <c r="AD14" s="2248"/>
      <c r="AE14" s="2243"/>
      <c r="AF14" s="2244"/>
      <c r="AG14" s="688">
        <v>10</v>
      </c>
      <c r="AH14" s="687"/>
      <c r="AM14" s="128" t="s">
        <v>1174</v>
      </c>
      <c r="AN14" s="128" t="s">
        <v>1399</v>
      </c>
      <c r="AO14" s="696">
        <v>50</v>
      </c>
      <c r="AP14" s="697" t="s">
        <v>1400</v>
      </c>
      <c r="AQ14" s="690">
        <v>7</v>
      </c>
      <c r="AW14" s="554" t="s">
        <v>1174</v>
      </c>
      <c r="AX14" s="128"/>
      <c r="AY14" s="128"/>
      <c r="AZ14" s="740"/>
      <c r="BA14" s="2223"/>
      <c r="BB14" s="741">
        <v>6</v>
      </c>
      <c r="BC14" s="129" t="s">
        <v>1401</v>
      </c>
      <c r="BH14" s="875" t="s">
        <v>1402</v>
      </c>
      <c r="BI14" s="875" t="s">
        <v>1195</v>
      </c>
      <c r="BJ14" s="875" t="s">
        <v>1403</v>
      </c>
      <c r="BK14" s="875" t="s">
        <v>1404</v>
      </c>
      <c r="BL14" s="875" t="s">
        <v>1405</v>
      </c>
      <c r="BN14" s="2235"/>
      <c r="BT14" s="553"/>
      <c r="BU14" s="553"/>
      <c r="BV14" s="553"/>
      <c r="BW14" s="553"/>
      <c r="BX14" s="553"/>
      <c r="BY14" s="561"/>
      <c r="BZ14" s="762">
        <v>8</v>
      </c>
      <c r="CA14" s="659" t="s">
        <v>1406</v>
      </c>
      <c r="CM14" s="687"/>
      <c r="CR14" s="775" t="s">
        <v>1407</v>
      </c>
      <c r="CS14" s="1865" t="s">
        <v>1408</v>
      </c>
      <c r="CT14" s="1865"/>
      <c r="CV14" s="775" t="s">
        <v>1409</v>
      </c>
      <c r="CW14" s="130"/>
      <c r="CX14" s="130"/>
      <c r="CY14" s="128">
        <v>9</v>
      </c>
      <c r="CZ14" s="129" t="s">
        <v>1410</v>
      </c>
      <c r="DC14" s="378"/>
      <c r="DE14" s="44"/>
      <c r="DQ14" s="2136" t="s">
        <v>1411</v>
      </c>
      <c r="DR14" s="2135" t="s">
        <v>1412</v>
      </c>
      <c r="DS14" s="2138"/>
      <c r="DT14" s="2138"/>
      <c r="DU14" s="2134">
        <v>9</v>
      </c>
      <c r="DZ14" s="2143" t="s">
        <v>1413</v>
      </c>
      <c r="EA14" s="2144"/>
      <c r="EB14" s="2145"/>
      <c r="EC14" s="2146"/>
      <c r="ED14" s="791"/>
      <c r="EE14" s="791"/>
      <c r="EF14" s="865"/>
    </row>
    <row r="15" spans="1:137" ht="14.25" customHeight="1">
      <c r="B15" s="642">
        <f t="shared" si="0"/>
        <v>11</v>
      </c>
      <c r="C15" s="643" t="s">
        <v>1255</v>
      </c>
      <c r="D15" s="129" t="s">
        <v>71</v>
      </c>
      <c r="E15" s="650" t="s">
        <v>1254</v>
      </c>
      <c r="F15" s="296" t="s">
        <v>1414</v>
      </c>
      <c r="G15" s="646" t="s">
        <v>233</v>
      </c>
      <c r="M15" s="119" t="s">
        <v>1415</v>
      </c>
      <c r="N15" s="128" t="s">
        <v>354</v>
      </c>
      <c r="O15" s="128" t="s">
        <v>955</v>
      </c>
      <c r="P15" s="138" t="s">
        <v>1416</v>
      </c>
      <c r="Q15" s="378"/>
      <c r="R15" s="378"/>
      <c r="S15" s="378"/>
      <c r="U15" s="119" t="s">
        <v>1415</v>
      </c>
      <c r="V15" s="128" t="s">
        <v>354</v>
      </c>
      <c r="W15" s="128" t="s">
        <v>955</v>
      </c>
      <c r="X15" s="138" t="s">
        <v>1416</v>
      </c>
      <c r="AC15" s="1833"/>
      <c r="AD15" s="1835"/>
      <c r="AE15" s="2243"/>
      <c r="AF15" s="2244"/>
      <c r="AG15" s="689">
        <v>11</v>
      </c>
      <c r="AH15" s="687"/>
      <c r="AM15" s="128" t="s">
        <v>1417</v>
      </c>
      <c r="AN15" s="128" t="s">
        <v>1206</v>
      </c>
      <c r="AO15" s="696">
        <v>2</v>
      </c>
      <c r="AP15" s="697" t="s">
        <v>1400</v>
      </c>
      <c r="AQ15" s="690">
        <v>8</v>
      </c>
      <c r="AR15" s="129" t="s">
        <v>1418</v>
      </c>
      <c r="AW15" s="554" t="s">
        <v>1417</v>
      </c>
      <c r="AX15" s="128" t="s">
        <v>1419</v>
      </c>
      <c r="AY15" s="128"/>
      <c r="AZ15" s="740"/>
      <c r="BA15" s="2223"/>
      <c r="BB15" s="741">
        <v>7</v>
      </c>
      <c r="BC15" s="129" t="s">
        <v>1420</v>
      </c>
      <c r="BH15" s="744" t="s">
        <v>1421</v>
      </c>
      <c r="BI15" s="744"/>
      <c r="BJ15" s="744"/>
      <c r="BK15" s="744"/>
      <c r="BL15" s="744"/>
      <c r="BN15" s="2235"/>
      <c r="BT15" s="553"/>
      <c r="BU15" s="553"/>
      <c r="BV15" s="553"/>
      <c r="BW15" s="553"/>
      <c r="BX15" s="553"/>
      <c r="BY15" s="561"/>
      <c r="BZ15" s="761">
        <v>9</v>
      </c>
      <c r="CA15" s="661" t="s">
        <v>1422</v>
      </c>
      <c r="CM15" s="687"/>
      <c r="CR15" s="775" t="s">
        <v>1423</v>
      </c>
      <c r="CS15" s="1865" t="s">
        <v>1408</v>
      </c>
      <c r="CT15" s="1865"/>
      <c r="CV15" s="775" t="s">
        <v>1424</v>
      </c>
      <c r="CW15" s="130"/>
      <c r="CX15" s="130"/>
      <c r="CY15" s="128">
        <v>10</v>
      </c>
      <c r="CZ15" s="129" t="s">
        <v>1425</v>
      </c>
      <c r="DC15" s="378"/>
      <c r="DQ15" s="2137"/>
      <c r="DR15" s="2135"/>
      <c r="DS15" s="2138"/>
      <c r="DT15" s="2138"/>
      <c r="DU15" s="2134"/>
      <c r="DZ15" s="2139"/>
      <c r="EA15" s="2140"/>
      <c r="EB15" s="2141"/>
      <c r="EC15" s="2142"/>
    </row>
    <row r="16" spans="1:137" ht="12.75" customHeight="1">
      <c r="B16" s="648">
        <f t="shared" si="0"/>
        <v>12</v>
      </c>
      <c r="C16" s="649" t="s">
        <v>1255</v>
      </c>
      <c r="D16" s="634" t="s">
        <v>72</v>
      </c>
      <c r="F16" s="651" t="s">
        <v>309</v>
      </c>
      <c r="G16" s="652" t="s">
        <v>233</v>
      </c>
      <c r="M16" s="119" t="s">
        <v>1426</v>
      </c>
      <c r="N16" s="128" t="s">
        <v>354</v>
      </c>
      <c r="O16" s="128" t="s">
        <v>956</v>
      </c>
      <c r="P16" s="138" t="s">
        <v>1416</v>
      </c>
      <c r="U16" s="119" t="s">
        <v>1426</v>
      </c>
      <c r="V16" s="128" t="s">
        <v>354</v>
      </c>
      <c r="W16" s="128" t="s">
        <v>956</v>
      </c>
      <c r="X16" s="138" t="s">
        <v>1416</v>
      </c>
      <c r="AC16" s="2258"/>
      <c r="AD16" s="2258"/>
      <c r="AE16" s="2243"/>
      <c r="AF16" s="2244"/>
      <c r="AG16" s="688">
        <v>12</v>
      </c>
      <c r="AH16" s="687"/>
      <c r="AM16" s="128" t="s">
        <v>1427</v>
      </c>
      <c r="AN16" s="128" t="s">
        <v>1206</v>
      </c>
      <c r="AO16" s="696">
        <v>3</v>
      </c>
      <c r="AP16" s="697" t="s">
        <v>1400</v>
      </c>
      <c r="AQ16" s="690">
        <v>9</v>
      </c>
      <c r="AW16" s="554" t="s">
        <v>1427</v>
      </c>
      <c r="AX16" s="128" t="s">
        <v>1419</v>
      </c>
      <c r="AY16" s="128"/>
      <c r="AZ16" s="740"/>
      <c r="BA16" s="2223"/>
      <c r="BB16" s="741">
        <v>8</v>
      </c>
      <c r="BH16" s="751"/>
      <c r="BI16" s="751"/>
      <c r="BJ16" s="743"/>
      <c r="BK16" s="743"/>
      <c r="BL16" s="743"/>
      <c r="BN16" s="2235"/>
      <c r="BT16" s="666"/>
      <c r="BU16" s="666"/>
      <c r="BV16" s="666"/>
      <c r="BW16" s="666"/>
      <c r="BX16" s="553"/>
      <c r="BY16" s="561"/>
      <c r="BZ16" s="761">
        <v>10</v>
      </c>
      <c r="CA16" s="659" t="s">
        <v>1428</v>
      </c>
      <c r="CM16" s="687"/>
      <c r="CR16" s="775" t="s">
        <v>1429</v>
      </c>
      <c r="CS16" s="1865" t="s">
        <v>1430</v>
      </c>
      <c r="CT16" s="1865"/>
      <c r="CY16" s="128">
        <v>11</v>
      </c>
      <c r="CZ16" s="378" t="s">
        <v>1431</v>
      </c>
      <c r="DC16" s="378"/>
      <c r="DE16" s="2214" t="s">
        <v>1376</v>
      </c>
      <c r="DF16" s="2215"/>
      <c r="DG16" s="2215"/>
      <c r="DH16" s="2216"/>
      <c r="DI16" s="788" t="s">
        <v>232</v>
      </c>
      <c r="DJ16" s="784" t="s">
        <v>1377</v>
      </c>
      <c r="DQ16" s="804"/>
      <c r="DY16"/>
      <c r="EC16" s="2173" t="s">
        <v>1432</v>
      </c>
      <c r="ED16" s="2174"/>
      <c r="EE16" s="2174"/>
      <c r="EF16" s="2175"/>
      <c r="EG16" s="129"/>
    </row>
    <row r="17" spans="2:137" ht="16.2" customHeight="1" thickBot="1">
      <c r="B17" s="642">
        <f t="shared" si="0"/>
        <v>13</v>
      </c>
      <c r="C17" s="643" t="s">
        <v>1255</v>
      </c>
      <c r="D17" s="633" t="s">
        <v>1433</v>
      </c>
      <c r="E17" s="644" t="s">
        <v>1434</v>
      </c>
      <c r="F17" s="645" t="s">
        <v>1435</v>
      </c>
      <c r="G17" s="646" t="s">
        <v>233</v>
      </c>
      <c r="M17" s="2109" t="s">
        <v>1436</v>
      </c>
      <c r="N17" s="2109"/>
      <c r="O17" s="2109"/>
      <c r="U17" s="2109" t="s">
        <v>1436</v>
      </c>
      <c r="V17" s="2109"/>
      <c r="W17" s="2109"/>
      <c r="AC17" s="2250"/>
      <c r="AD17" s="2250"/>
      <c r="AE17" s="2243"/>
      <c r="AF17" s="2244"/>
      <c r="AG17" s="690">
        <v>13</v>
      </c>
      <c r="AH17" s="687"/>
      <c r="AM17" s="128" t="s">
        <v>1437</v>
      </c>
      <c r="AN17" s="128" t="s">
        <v>731</v>
      </c>
      <c r="AO17" s="696">
        <v>1</v>
      </c>
      <c r="AP17" s="697" t="s">
        <v>1400</v>
      </c>
      <c r="AQ17" s="690">
        <v>10</v>
      </c>
      <c r="AW17" s="554" t="s">
        <v>1437</v>
      </c>
      <c r="AX17" s="128"/>
      <c r="AY17" s="128"/>
      <c r="AZ17" s="740"/>
      <c r="BA17" s="2223"/>
      <c r="BB17" s="741">
        <v>9</v>
      </c>
      <c r="BH17" s="743"/>
      <c r="BI17" s="743"/>
      <c r="BJ17" s="743"/>
      <c r="BK17" s="743"/>
      <c r="BL17" s="743"/>
      <c r="BN17" s="2235"/>
      <c r="BT17" s="666"/>
      <c r="BU17" s="666"/>
      <c r="BV17" s="666"/>
      <c r="BW17" s="666"/>
      <c r="BX17" s="553"/>
      <c r="BY17" s="561"/>
      <c r="BZ17" s="762">
        <v>11</v>
      </c>
      <c r="CA17" s="661" t="s">
        <v>1438</v>
      </c>
      <c r="CM17" s="687"/>
      <c r="CT17" s="2268" t="s">
        <v>1331</v>
      </c>
      <c r="CU17" s="2268"/>
      <c r="CV17" s="2268"/>
      <c r="CW17" s="2269"/>
      <c r="CX17" s="878"/>
      <c r="CY17" s="128"/>
      <c r="DA17" s="769"/>
      <c r="DE17" s="783" t="s">
        <v>350</v>
      </c>
      <c r="DF17" s="161" t="s">
        <v>351</v>
      </c>
      <c r="DG17" s="53"/>
      <c r="DI17" s="2219" t="s">
        <v>1439</v>
      </c>
      <c r="DJ17" s="2219" t="s">
        <v>1440</v>
      </c>
      <c r="DK17" s="148" t="s">
        <v>1122</v>
      </c>
      <c r="DL17" s="144" t="s">
        <v>348</v>
      </c>
      <c r="DY17" s="2143" t="s">
        <v>259</v>
      </c>
      <c r="DZ17" s="2144"/>
      <c r="EA17" s="2176" t="s">
        <v>1441</v>
      </c>
      <c r="EB17" s="2177"/>
      <c r="EC17" s="2178" t="s">
        <v>599</v>
      </c>
      <c r="ED17" s="2179"/>
      <c r="EE17" s="2180" t="s">
        <v>1442</v>
      </c>
      <c r="EF17" s="2181"/>
      <c r="EG17" s="129"/>
    </row>
    <row r="18" spans="2:137" ht="18" customHeight="1">
      <c r="B18" s="648">
        <f t="shared" si="0"/>
        <v>14</v>
      </c>
      <c r="C18" s="649" t="s">
        <v>1255</v>
      </c>
      <c r="D18" s="634" t="s">
        <v>1443</v>
      </c>
      <c r="E18" s="650" t="s">
        <v>1444</v>
      </c>
      <c r="F18" s="651" t="s">
        <v>1445</v>
      </c>
      <c r="G18" s="674"/>
      <c r="M18" s="119" t="s">
        <v>1446</v>
      </c>
      <c r="N18" s="130" t="s">
        <v>1447</v>
      </c>
      <c r="O18" s="128">
        <v>9</v>
      </c>
      <c r="U18" s="119" t="s">
        <v>1446</v>
      </c>
      <c r="V18" s="663" t="s">
        <v>1447</v>
      </c>
      <c r="W18" s="128">
        <v>9</v>
      </c>
      <c r="AE18" s="159"/>
      <c r="AF18" s="159"/>
      <c r="AG18" s="687"/>
      <c r="AH18" s="687"/>
      <c r="AM18" s="128" t="s">
        <v>1448</v>
      </c>
      <c r="AN18" s="128" t="s">
        <v>731</v>
      </c>
      <c r="AO18" s="695">
        <v>1.5</v>
      </c>
      <c r="AP18" s="697" t="s">
        <v>1400</v>
      </c>
      <c r="AQ18" s="690">
        <v>11</v>
      </c>
      <c r="AW18" s="553" t="s">
        <v>1448</v>
      </c>
      <c r="AX18" s="667"/>
      <c r="AY18" s="667"/>
      <c r="AZ18" s="742"/>
      <c r="BA18" s="2223"/>
      <c r="BB18" s="741">
        <v>10</v>
      </c>
      <c r="BH18" s="743"/>
      <c r="BI18" s="743"/>
      <c r="BJ18" s="743"/>
      <c r="BK18" s="743"/>
      <c r="BL18" s="743"/>
      <c r="BN18" s="2235"/>
      <c r="BT18" s="553"/>
      <c r="BU18" s="553"/>
      <c r="BV18" s="553"/>
      <c r="BW18" s="553"/>
      <c r="BX18" s="553"/>
      <c r="BY18" s="561"/>
      <c r="BZ18" s="761">
        <v>12</v>
      </c>
      <c r="CA18" s="665"/>
      <c r="CM18" s="687"/>
      <c r="CR18" s="717" t="s">
        <v>1366</v>
      </c>
      <c r="CS18" s="717" t="s">
        <v>1147</v>
      </c>
      <c r="CT18" s="781" t="s">
        <v>1449</v>
      </c>
      <c r="CU18" s="781" t="s">
        <v>1450</v>
      </c>
      <c r="CV18" s="717" t="s">
        <v>1451</v>
      </c>
      <c r="CW18" s="782" t="s">
        <v>1452</v>
      </c>
      <c r="CX18" s="782" t="s">
        <v>428</v>
      </c>
      <c r="CY18" s="660"/>
      <c r="DA18" s="769"/>
      <c r="DE18" s="373" t="s">
        <v>1124</v>
      </c>
      <c r="DF18" s="189" t="s">
        <v>354</v>
      </c>
      <c r="DI18" s="2220"/>
      <c r="DJ18" s="2220"/>
      <c r="DK18" s="739">
        <v>1</v>
      </c>
      <c r="DY18" s="2143" t="s">
        <v>1365</v>
      </c>
      <c r="DZ18" s="2144"/>
      <c r="EA18" s="2154" t="s">
        <v>1453</v>
      </c>
      <c r="EB18" s="2155"/>
      <c r="EC18" s="2156" t="s">
        <v>1126</v>
      </c>
      <c r="ED18" s="2157"/>
      <c r="EE18" s="2158">
        <v>45437</v>
      </c>
      <c r="EF18" s="2159"/>
      <c r="EG18" s="129"/>
    </row>
    <row r="19" spans="2:137" ht="16.2" customHeight="1">
      <c r="B19" s="642">
        <f t="shared" si="0"/>
        <v>15</v>
      </c>
      <c r="C19" s="643" t="s">
        <v>1255</v>
      </c>
      <c r="D19" s="633" t="s">
        <v>75</v>
      </c>
      <c r="E19" s="644" t="s">
        <v>1454</v>
      </c>
      <c r="F19" s="645" t="s">
        <v>1455</v>
      </c>
      <c r="G19" s="587"/>
      <c r="M19" s="119" t="s">
        <v>1456</v>
      </c>
      <c r="N19" s="130" t="s">
        <v>1457</v>
      </c>
      <c r="O19" s="128">
        <v>10</v>
      </c>
      <c r="P19" s="138" t="s">
        <v>1458</v>
      </c>
      <c r="U19" s="119" t="s">
        <v>1456</v>
      </c>
      <c r="V19" s="663" t="s">
        <v>1457</v>
      </c>
      <c r="W19" s="128">
        <v>10</v>
      </c>
      <c r="X19" s="138" t="s">
        <v>1458</v>
      </c>
      <c r="AC19" s="129" t="s">
        <v>430</v>
      </c>
      <c r="AD19" s="129" t="s">
        <v>1459</v>
      </c>
      <c r="AS19" s="675"/>
      <c r="AT19" s="675"/>
      <c r="AU19" s="675"/>
      <c r="AW19" s="222" t="s">
        <v>428</v>
      </c>
      <c r="AX19" s="1865"/>
      <c r="AY19" s="1865"/>
      <c r="AZ19" s="1865"/>
      <c r="BA19" s="1865"/>
      <c r="BB19" s="764">
        <v>11</v>
      </c>
      <c r="BH19" s="744"/>
      <c r="BI19" s="744"/>
      <c r="BJ19" s="744"/>
      <c r="BK19" s="744"/>
      <c r="BL19" s="744"/>
      <c r="BN19" s="2235"/>
      <c r="BT19" s="553"/>
      <c r="BU19" s="553"/>
      <c r="BV19" s="553"/>
      <c r="BW19" s="553"/>
      <c r="BX19" s="553"/>
      <c r="BY19" s="561"/>
      <c r="BZ19" s="762">
        <v>13</v>
      </c>
      <c r="CA19" s="668"/>
      <c r="CM19" s="687"/>
      <c r="CR19" s="553" t="s">
        <v>1460</v>
      </c>
      <c r="CS19" s="553" t="s">
        <v>1460</v>
      </c>
      <c r="CT19" s="553" t="s">
        <v>1460</v>
      </c>
      <c r="CU19" s="553" t="s">
        <v>1460</v>
      </c>
      <c r="CV19" s="130"/>
      <c r="CW19" s="553" t="s">
        <v>1460</v>
      </c>
      <c r="CX19" s="561"/>
      <c r="CY19" s="660">
        <v>12</v>
      </c>
      <c r="DA19" s="873"/>
      <c r="DE19" s="775" t="s">
        <v>1126</v>
      </c>
      <c r="DF19" s="191" t="s">
        <v>354</v>
      </c>
      <c r="DI19" s="2220"/>
      <c r="DJ19" s="2220"/>
      <c r="DK19" s="741">
        <v>2</v>
      </c>
      <c r="DY19" s="2171" t="s">
        <v>1461</v>
      </c>
      <c r="DZ19" s="2171" t="s">
        <v>360</v>
      </c>
      <c r="EA19" s="2171"/>
      <c r="EB19" s="2171"/>
      <c r="EC19" s="2172" t="s">
        <v>1147</v>
      </c>
      <c r="ED19" s="2172" t="s">
        <v>1331</v>
      </c>
      <c r="EE19" s="792" t="s">
        <v>1462</v>
      </c>
      <c r="EF19" s="792" t="s">
        <v>1463</v>
      </c>
      <c r="EG19" s="129"/>
    </row>
    <row r="20" spans="2:137" ht="17.399999999999999" customHeight="1">
      <c r="B20" s="671"/>
      <c r="C20" s="643"/>
      <c r="D20" s="672"/>
      <c r="E20" s="672"/>
      <c r="F20" s="673"/>
      <c r="G20" s="674"/>
      <c r="M20" s="119" t="s">
        <v>428</v>
      </c>
      <c r="N20" s="676" t="s">
        <v>1464</v>
      </c>
      <c r="O20" s="128">
        <v>11</v>
      </c>
      <c r="P20" s="138" t="s">
        <v>1465</v>
      </c>
      <c r="U20" s="119" t="s">
        <v>428</v>
      </c>
      <c r="V20" s="677" t="s">
        <v>1464</v>
      </c>
      <c r="W20" s="128">
        <v>11</v>
      </c>
      <c r="X20" s="138" t="s">
        <v>1465</v>
      </c>
      <c r="AC20" s="2253" t="s">
        <v>1466</v>
      </c>
      <c r="AD20" s="2253"/>
      <c r="AE20" s="2253"/>
      <c r="AF20" s="2253"/>
      <c r="AG20" s="2253"/>
      <c r="AH20" s="2253"/>
      <c r="AM20" s="129" t="s">
        <v>430</v>
      </c>
      <c r="AN20" s="129" t="s">
        <v>1467</v>
      </c>
      <c r="AS20" s="908"/>
      <c r="AT20" s="908"/>
      <c r="AU20" s="908"/>
      <c r="BB20" s="687"/>
      <c r="BN20" s="2234">
        <v>8</v>
      </c>
      <c r="BT20" s="553"/>
      <c r="BU20" s="553"/>
      <c r="BV20" s="553"/>
      <c r="BW20" s="553"/>
      <c r="BX20" s="553"/>
      <c r="BY20" s="561"/>
      <c r="BZ20" s="761">
        <v>14</v>
      </c>
      <c r="CG20" s="296"/>
      <c r="CH20" s="296"/>
      <c r="CI20" s="296"/>
      <c r="CJ20" s="296"/>
      <c r="CK20" s="296"/>
      <c r="CL20" s="296"/>
      <c r="CR20" s="553" t="s">
        <v>1460</v>
      </c>
      <c r="CS20" s="553" t="s">
        <v>1460</v>
      </c>
      <c r="CT20" s="553" t="s">
        <v>1460</v>
      </c>
      <c r="CU20" s="553" t="s">
        <v>1460</v>
      </c>
      <c r="CV20" s="130"/>
      <c r="CW20" s="553" t="s">
        <v>1460</v>
      </c>
      <c r="CX20" s="561"/>
      <c r="CY20" s="660">
        <v>13</v>
      </c>
      <c r="DA20" s="873"/>
      <c r="DE20" s="815" t="s">
        <v>1248</v>
      </c>
      <c r="DF20" s="2217" t="s">
        <v>354</v>
      </c>
      <c r="DG20" s="2218"/>
      <c r="DI20" s="2220"/>
      <c r="DJ20" s="2220"/>
      <c r="DK20" s="2198">
        <v>3</v>
      </c>
      <c r="DL20" s="129" t="s">
        <v>1468</v>
      </c>
      <c r="DY20" s="2171"/>
      <c r="DZ20" s="2171"/>
      <c r="EA20" s="2171"/>
      <c r="EB20" s="2171"/>
      <c r="EC20" s="2172"/>
      <c r="ED20" s="2172"/>
      <c r="EE20" s="869" t="s">
        <v>1469</v>
      </c>
      <c r="EF20" s="869" t="s">
        <v>1469</v>
      </c>
      <c r="EG20" s="129"/>
    </row>
    <row r="21" spans="2:137" ht="16.95" customHeight="1">
      <c r="B21" s="669"/>
      <c r="C21" s="649"/>
      <c r="D21" s="317"/>
      <c r="E21" s="317"/>
      <c r="F21" s="670"/>
      <c r="G21" s="587"/>
      <c r="M21" s="120" t="s">
        <v>441</v>
      </c>
      <c r="N21" s="128" t="s">
        <v>1470</v>
      </c>
      <c r="O21" s="128">
        <v>16</v>
      </c>
      <c r="P21" s="138" t="s">
        <v>1471</v>
      </c>
      <c r="U21" s="120" t="s">
        <v>441</v>
      </c>
      <c r="V21" s="128" t="s">
        <v>1470</v>
      </c>
      <c r="W21" s="128">
        <v>16</v>
      </c>
      <c r="X21" s="138" t="s">
        <v>1471</v>
      </c>
      <c r="AC21" s="2253" t="s">
        <v>1472</v>
      </c>
      <c r="AD21" s="2253"/>
      <c r="AE21" s="2253"/>
      <c r="AF21" s="2253"/>
      <c r="AG21" s="2253"/>
      <c r="AH21" s="2253"/>
      <c r="AM21" s="873" t="s">
        <v>1473</v>
      </c>
      <c r="AN21" s="873"/>
      <c r="AO21" s="873"/>
      <c r="AP21" s="873"/>
      <c r="AQ21" s="873"/>
      <c r="AR21" s="873"/>
      <c r="AS21" s="908"/>
      <c r="AT21" s="908"/>
      <c r="AU21" s="908"/>
      <c r="AY21" s="873"/>
      <c r="AZ21" s="873"/>
      <c r="BA21" s="873"/>
      <c r="BB21" s="873"/>
      <c r="BC21" s="873"/>
      <c r="BH21" s="717" t="s">
        <v>1195</v>
      </c>
      <c r="BI21" s="717" t="s">
        <v>1405</v>
      </c>
      <c r="BJ21" s="717" t="s">
        <v>1474</v>
      </c>
      <c r="BK21" s="717" t="s">
        <v>377</v>
      </c>
      <c r="BN21" s="2235"/>
      <c r="BT21" s="666"/>
      <c r="BU21" s="666"/>
      <c r="BV21" s="666"/>
      <c r="BW21" s="666"/>
      <c r="BX21" s="553"/>
      <c r="BY21" s="561"/>
      <c r="BZ21" s="762">
        <v>15</v>
      </c>
      <c r="CR21" s="553" t="s">
        <v>1460</v>
      </c>
      <c r="CS21" s="553" t="s">
        <v>1460</v>
      </c>
      <c r="CT21" s="553" t="s">
        <v>1460</v>
      </c>
      <c r="CU21" s="553" t="s">
        <v>1460</v>
      </c>
      <c r="CV21" s="130"/>
      <c r="CW21" s="553" t="s">
        <v>1460</v>
      </c>
      <c r="CX21" s="561"/>
      <c r="CY21" s="780">
        <v>14</v>
      </c>
      <c r="DA21" s="873"/>
      <c r="DE21" s="816" t="s">
        <v>1249</v>
      </c>
      <c r="DF21" s="2217" t="s">
        <v>354</v>
      </c>
      <c r="DG21" s="2218"/>
      <c r="DI21" s="2220"/>
      <c r="DJ21" s="2220"/>
      <c r="DK21" s="2199"/>
      <c r="DL21" s="129" t="s">
        <v>1475</v>
      </c>
      <c r="DY21" s="793">
        <v>1</v>
      </c>
      <c r="DZ21" s="2192" t="s">
        <v>1476</v>
      </c>
      <c r="EA21" s="2193"/>
      <c r="EB21" s="2194"/>
      <c r="EC21" s="794" t="s">
        <v>1477</v>
      </c>
      <c r="ED21" s="793">
        <v>3</v>
      </c>
      <c r="EE21" s="793">
        <v>16</v>
      </c>
      <c r="EF21" s="795">
        <v>48</v>
      </c>
      <c r="EG21" s="129"/>
    </row>
    <row r="22" spans="2:137" ht="15.6" customHeight="1">
      <c r="B22" s="671"/>
      <c r="C22" s="643"/>
      <c r="D22" s="672"/>
      <c r="E22" s="672"/>
      <c r="F22" s="673"/>
      <c r="G22" s="674"/>
      <c r="M22" s="120" t="s">
        <v>1478</v>
      </c>
      <c r="N22" s="128" t="s">
        <v>1479</v>
      </c>
      <c r="O22" s="128">
        <v>17</v>
      </c>
      <c r="P22" s="138" t="s">
        <v>1471</v>
      </c>
      <c r="U22" s="120" t="s">
        <v>1478</v>
      </c>
      <c r="V22" s="128" t="s">
        <v>1479</v>
      </c>
      <c r="W22" s="128">
        <v>17</v>
      </c>
      <c r="X22" s="138" t="s">
        <v>1471</v>
      </c>
      <c r="AC22" s="1802" t="s">
        <v>1480</v>
      </c>
      <c r="AD22" s="1802"/>
      <c r="AE22" s="1802"/>
      <c r="AF22" s="1802"/>
      <c r="AG22" s="1802"/>
      <c r="AH22" s="1802"/>
      <c r="AM22" s="873" t="s">
        <v>1361</v>
      </c>
      <c r="AN22" s="873"/>
      <c r="AO22" s="873"/>
      <c r="AP22" s="873"/>
      <c r="AQ22" s="873"/>
      <c r="AR22" s="873"/>
      <c r="AW22" s="129" t="s">
        <v>430</v>
      </c>
      <c r="AX22" s="129" t="s">
        <v>1481</v>
      </c>
      <c r="AY22" s="296"/>
      <c r="AZ22" s="296"/>
      <c r="BA22" s="296"/>
      <c r="BB22" s="296"/>
      <c r="BC22" s="296"/>
      <c r="BH22" s="128" t="s">
        <v>1482</v>
      </c>
      <c r="BI22" s="128" t="s">
        <v>1483</v>
      </c>
      <c r="BJ22" s="128" t="s">
        <v>1484</v>
      </c>
      <c r="BK22" s="130" t="s">
        <v>1369</v>
      </c>
      <c r="BN22" s="2235"/>
      <c r="BT22" s="666"/>
      <c r="BU22" s="666"/>
      <c r="BV22" s="666"/>
      <c r="BW22" s="666"/>
      <c r="BX22" s="553"/>
      <c r="BY22" s="561"/>
      <c r="BZ22" s="762">
        <v>16</v>
      </c>
      <c r="CR22" s="553" t="s">
        <v>1460</v>
      </c>
      <c r="CS22" s="553" t="s">
        <v>1460</v>
      </c>
      <c r="CT22" s="553" t="s">
        <v>1460</v>
      </c>
      <c r="CU22" s="553" t="s">
        <v>1460</v>
      </c>
      <c r="CV22" s="130"/>
      <c r="CW22" s="553" t="s">
        <v>1460</v>
      </c>
      <c r="CX22" s="561"/>
      <c r="CY22" s="660">
        <v>15</v>
      </c>
      <c r="CZ22" s="778"/>
      <c r="DA22" s="873"/>
      <c r="DE22" s="775" t="s">
        <v>1195</v>
      </c>
      <c r="DF22" s="2217" t="s">
        <v>354</v>
      </c>
      <c r="DG22" s="2218"/>
      <c r="DI22" s="2220"/>
      <c r="DJ22" s="2220"/>
      <c r="DK22" s="739">
        <v>4</v>
      </c>
      <c r="DL22" s="129" t="s">
        <v>1485</v>
      </c>
      <c r="DY22" s="793"/>
      <c r="DZ22" s="793"/>
      <c r="EA22" s="10"/>
      <c r="EB22" s="10"/>
      <c r="EC22" s="793"/>
      <c r="ED22" s="793"/>
      <c r="EE22" s="793"/>
      <c r="EF22" s="795"/>
      <c r="EG22" s="129"/>
    </row>
    <row r="23" spans="2:137" ht="13.95" customHeight="1" thickBot="1">
      <c r="B23" s="679"/>
      <c r="C23" s="680"/>
      <c r="D23" s="681"/>
      <c r="E23" s="682"/>
      <c r="F23" s="683"/>
      <c r="G23" s="685"/>
      <c r="M23" s="119" t="s">
        <v>1486</v>
      </c>
      <c r="N23" s="128" t="s">
        <v>1487</v>
      </c>
      <c r="O23" s="128">
        <v>18</v>
      </c>
      <c r="P23" s="138" t="s">
        <v>1471</v>
      </c>
      <c r="U23" s="119" t="s">
        <v>1486</v>
      </c>
      <c r="V23" s="128" t="s">
        <v>1487</v>
      </c>
      <c r="W23" s="128">
        <v>18</v>
      </c>
      <c r="X23" s="138" t="s">
        <v>1471</v>
      </c>
      <c r="AC23" s="1785" t="s">
        <v>1488</v>
      </c>
      <c r="AD23" s="1785"/>
      <c r="AE23" s="1785"/>
      <c r="AF23" s="1785"/>
      <c r="AG23" s="1785"/>
      <c r="AH23" s="1785"/>
      <c r="AM23" s="863" t="s">
        <v>1489</v>
      </c>
      <c r="AN23" s="863"/>
      <c r="AO23" s="863"/>
      <c r="AP23" s="863"/>
      <c r="AQ23" s="863"/>
      <c r="AR23" s="863"/>
      <c r="AW23" s="873" t="s">
        <v>1490</v>
      </c>
      <c r="AX23" s="873"/>
      <c r="BH23" s="128" t="s">
        <v>1482</v>
      </c>
      <c r="BI23" s="128" t="s">
        <v>1483</v>
      </c>
      <c r="BJ23" s="128"/>
      <c r="BK23" s="130" t="s">
        <v>1369</v>
      </c>
      <c r="BN23" s="2235"/>
      <c r="BT23" s="763" t="s">
        <v>1491</v>
      </c>
      <c r="BU23" s="728"/>
      <c r="BV23" s="728"/>
      <c r="BW23" s="728"/>
      <c r="BX23" s="678"/>
      <c r="BZ23" s="762">
        <v>17</v>
      </c>
      <c r="CM23" s="296"/>
      <c r="CR23" s="553" t="s">
        <v>1460</v>
      </c>
      <c r="CS23" s="553" t="s">
        <v>1460</v>
      </c>
      <c r="CT23" s="553" t="s">
        <v>1460</v>
      </c>
      <c r="CU23" s="553" t="s">
        <v>1460</v>
      </c>
      <c r="CV23" s="130"/>
      <c r="CW23" s="553" t="s">
        <v>1460</v>
      </c>
      <c r="CX23" s="561"/>
      <c r="CY23" s="780">
        <v>16</v>
      </c>
      <c r="CZ23" s="777"/>
      <c r="DA23" s="770"/>
      <c r="DE23" s="1599" t="s">
        <v>1492</v>
      </c>
      <c r="DF23" s="1632"/>
      <c r="DG23" s="1632"/>
      <c r="DH23" s="1632"/>
      <c r="DI23" s="2220"/>
      <c r="DJ23" s="2220"/>
      <c r="DK23" s="789"/>
      <c r="DY23" s="793"/>
      <c r="DZ23" s="793"/>
      <c r="EA23" s="794"/>
      <c r="EB23" s="794"/>
      <c r="EC23" s="793"/>
      <c r="ED23" s="793"/>
      <c r="EE23" s="793"/>
      <c r="EF23" s="795"/>
      <c r="EG23" s="129"/>
    </row>
    <row r="24" spans="2:137" ht="16.2" thickTop="1">
      <c r="M24" s="120" t="s">
        <v>1493</v>
      </c>
      <c r="N24" s="128" t="s">
        <v>1471</v>
      </c>
      <c r="O24" s="128">
        <v>19</v>
      </c>
      <c r="P24" s="138" t="s">
        <v>1471</v>
      </c>
      <c r="U24" s="120" t="s">
        <v>1493</v>
      </c>
      <c r="V24" s="667" t="s">
        <v>1471</v>
      </c>
      <c r="W24" s="128">
        <v>19</v>
      </c>
      <c r="X24" s="138" t="s">
        <v>1471</v>
      </c>
      <c r="AC24" s="1785" t="s">
        <v>1494</v>
      </c>
      <c r="AD24" s="1785"/>
      <c r="AE24" s="1785"/>
      <c r="AF24" s="1785"/>
      <c r="AG24" s="1785"/>
      <c r="AH24" s="1785"/>
      <c r="AM24" s="296" t="s">
        <v>1495</v>
      </c>
      <c r="AN24" s="296"/>
      <c r="AO24" s="296"/>
      <c r="AP24" s="296"/>
      <c r="AQ24" s="296"/>
      <c r="AR24" s="296"/>
      <c r="AW24" s="296" t="s">
        <v>1496</v>
      </c>
      <c r="AX24" s="296"/>
      <c r="BH24" s="128" t="s">
        <v>1482</v>
      </c>
      <c r="BI24" s="128" t="s">
        <v>1483</v>
      </c>
      <c r="BJ24" s="128"/>
      <c r="BK24" s="130" t="s">
        <v>1369</v>
      </c>
      <c r="BN24" s="2235"/>
      <c r="CM24" s="296"/>
      <c r="CR24" s="553" t="s">
        <v>1460</v>
      </c>
      <c r="CS24" s="553" t="s">
        <v>1460</v>
      </c>
      <c r="CT24" s="553" t="s">
        <v>1460</v>
      </c>
      <c r="CU24" s="553" t="s">
        <v>1460</v>
      </c>
      <c r="CV24" s="130"/>
      <c r="CW24" s="553" t="s">
        <v>1460</v>
      </c>
      <c r="CX24" s="561"/>
      <c r="CY24" s="780">
        <v>17</v>
      </c>
      <c r="CZ24" s="778" t="s">
        <v>1422</v>
      </c>
      <c r="DE24" s="785" t="s">
        <v>599</v>
      </c>
      <c r="DF24" s="786" t="s">
        <v>1497</v>
      </c>
      <c r="DG24" s="775" t="s">
        <v>1498</v>
      </c>
      <c r="DH24" s="130" t="s">
        <v>1499</v>
      </c>
      <c r="DI24" s="2220"/>
      <c r="DJ24" s="2220"/>
      <c r="DK24" s="787">
        <v>5</v>
      </c>
      <c r="DL24" s="129" t="s">
        <v>1500</v>
      </c>
      <c r="DP24" s="793"/>
      <c r="DQ24" s="793"/>
      <c r="DR24" s="794"/>
      <c r="DS24" s="794"/>
      <c r="DT24" s="793"/>
      <c r="DU24" s="793"/>
      <c r="DV24" s="793"/>
      <c r="DW24" s="795"/>
      <c r="DZ24" s="129"/>
      <c r="EA24" s="129"/>
      <c r="EB24" s="129"/>
      <c r="EC24" s="129"/>
      <c r="ED24" s="129"/>
      <c r="EE24" s="129"/>
      <c r="EF24" s="129"/>
      <c r="EG24" s="129"/>
    </row>
    <row r="25" spans="2:137" ht="15.6">
      <c r="B25" s="129" t="s">
        <v>1501</v>
      </c>
      <c r="C25" s="296" t="s">
        <v>1502</v>
      </c>
      <c r="U25" s="121" t="s">
        <v>1503</v>
      </c>
      <c r="V25" s="130" t="s">
        <v>1504</v>
      </c>
      <c r="W25" s="686" t="s">
        <v>1505</v>
      </c>
      <c r="X25" s="129" t="s">
        <v>1506</v>
      </c>
      <c r="AC25" s="1785" t="s">
        <v>1507</v>
      </c>
      <c r="AD25" s="1785"/>
      <c r="AE25" s="1785"/>
      <c r="AF25" s="1785"/>
      <c r="AG25" s="1785"/>
      <c r="AH25" s="1785"/>
      <c r="AM25" s="296" t="s">
        <v>1508</v>
      </c>
      <c r="AN25" s="296"/>
      <c r="AO25" s="296"/>
      <c r="AP25" s="296"/>
      <c r="AQ25" s="296"/>
      <c r="AR25" s="296"/>
      <c r="AS25" s="908"/>
      <c r="AT25" s="908"/>
      <c r="AU25" s="908"/>
      <c r="AW25" s="129" t="s">
        <v>1509</v>
      </c>
      <c r="BH25" s="128" t="s">
        <v>1482</v>
      </c>
      <c r="BI25" s="128" t="s">
        <v>1483</v>
      </c>
      <c r="BJ25" s="128"/>
      <c r="BK25" s="130" t="s">
        <v>1369</v>
      </c>
      <c r="BN25" s="2235"/>
      <c r="BT25" s="129" t="s">
        <v>430</v>
      </c>
      <c r="BU25" s="129" t="s">
        <v>1510</v>
      </c>
      <c r="BV25" s="296"/>
      <c r="BW25" s="296"/>
      <c r="BX25" s="296"/>
      <c r="BY25" s="296"/>
      <c r="BZ25" s="296"/>
      <c r="CM25" s="296"/>
      <c r="CR25" s="553" t="s">
        <v>1460</v>
      </c>
      <c r="CS25" s="553" t="s">
        <v>1460</v>
      </c>
      <c r="CT25" s="553" t="s">
        <v>1460</v>
      </c>
      <c r="CU25" s="553" t="s">
        <v>1460</v>
      </c>
      <c r="CV25" s="130"/>
      <c r="CW25" s="553" t="s">
        <v>1460</v>
      </c>
      <c r="CX25" s="561"/>
      <c r="CY25" s="780">
        <v>18</v>
      </c>
      <c r="CZ25" s="777" t="s">
        <v>1428</v>
      </c>
      <c r="DE25" s="775" t="s">
        <v>1126</v>
      </c>
      <c r="DF25" s="130" t="s">
        <v>1511</v>
      </c>
      <c r="DG25" s="775" t="s">
        <v>1512</v>
      </c>
      <c r="DH25" s="130" t="s">
        <v>1513</v>
      </c>
      <c r="DI25" s="2220"/>
      <c r="DJ25" s="2220"/>
      <c r="DK25" s="686">
        <v>6</v>
      </c>
      <c r="DY25" s="793"/>
      <c r="DZ25" s="793"/>
      <c r="EA25" s="794"/>
      <c r="EB25" s="794"/>
      <c r="EC25" s="793"/>
      <c r="ED25" s="793"/>
      <c r="EE25" s="793"/>
      <c r="EF25" s="795"/>
      <c r="EG25" s="129"/>
    </row>
    <row r="26" spans="2:137" ht="15.6">
      <c r="B26" s="129" t="s">
        <v>1514</v>
      </c>
      <c r="M26" s="129" t="s">
        <v>430</v>
      </c>
      <c r="N26" s="129" t="s">
        <v>1515</v>
      </c>
      <c r="U26" s="121" t="s">
        <v>1331</v>
      </c>
      <c r="V26" s="130" t="s">
        <v>1516</v>
      </c>
      <c r="W26" s="686" t="s">
        <v>1517</v>
      </c>
      <c r="X26" s="129" t="s">
        <v>1518</v>
      </c>
      <c r="AC26" s="1785" t="s">
        <v>1519</v>
      </c>
      <c r="AD26" s="1785"/>
      <c r="AE26" s="1785"/>
      <c r="AF26" s="1785"/>
      <c r="AG26" s="1785"/>
      <c r="AH26" s="1785"/>
      <c r="AM26" s="296" t="s">
        <v>1520</v>
      </c>
      <c r="AN26" s="296"/>
      <c r="AO26" s="296"/>
      <c r="AP26" s="296"/>
      <c r="AQ26" s="296"/>
      <c r="AR26" s="296"/>
      <c r="AW26" s="129" t="s">
        <v>1521</v>
      </c>
      <c r="BH26" s="128" t="s">
        <v>1482</v>
      </c>
      <c r="BI26" s="128" t="s">
        <v>1483</v>
      </c>
      <c r="BJ26" s="128"/>
      <c r="BK26" s="130" t="s">
        <v>1369</v>
      </c>
      <c r="BN26" s="2235"/>
      <c r="BT26" s="873" t="s">
        <v>1522</v>
      </c>
      <c r="BU26" s="873"/>
      <c r="BV26" s="296"/>
      <c r="BW26" s="296"/>
      <c r="BX26" s="296"/>
      <c r="BY26" s="296"/>
      <c r="BZ26" s="296"/>
      <c r="CR26" s="553" t="s">
        <v>1460</v>
      </c>
      <c r="CS26" s="553" t="s">
        <v>1460</v>
      </c>
      <c r="CT26" s="553" t="s">
        <v>1460</v>
      </c>
      <c r="CU26" s="553" t="s">
        <v>1460</v>
      </c>
      <c r="CV26" s="130"/>
      <c r="CW26" s="553" t="s">
        <v>1460</v>
      </c>
      <c r="CX26" s="561"/>
      <c r="CY26" s="780">
        <v>19</v>
      </c>
      <c r="CZ26" s="778" t="s">
        <v>1438</v>
      </c>
      <c r="DE26" s="775" t="s">
        <v>1523</v>
      </c>
      <c r="DF26" s="130"/>
      <c r="DG26" s="775" t="s">
        <v>1524</v>
      </c>
      <c r="DH26" s="128" t="s">
        <v>1525</v>
      </c>
      <c r="DI26" s="2220"/>
      <c r="DJ26" s="2220"/>
      <c r="DK26" s="128">
        <v>7</v>
      </c>
      <c r="DY26" s="793"/>
      <c r="DZ26" s="793"/>
      <c r="EA26" s="794"/>
      <c r="EB26" s="794"/>
      <c r="EC26" s="793"/>
      <c r="ED26" s="793"/>
      <c r="EE26" s="793"/>
      <c r="EF26" s="795"/>
      <c r="EG26" s="129"/>
    </row>
    <row r="27" spans="2:137" ht="15.6">
      <c r="N27" s="129" t="s">
        <v>1526</v>
      </c>
      <c r="U27" s="121" t="s">
        <v>1527</v>
      </c>
      <c r="V27" s="130"/>
      <c r="W27" s="686" t="s">
        <v>1528</v>
      </c>
      <c r="X27" s="129" t="s">
        <v>1529</v>
      </c>
      <c r="AC27" s="129" t="s">
        <v>1530</v>
      </c>
      <c r="AM27" s="296" t="s">
        <v>1531</v>
      </c>
      <c r="AN27" s="296"/>
      <c r="AO27" s="296"/>
      <c r="AP27" s="296"/>
      <c r="AQ27" s="296"/>
      <c r="AR27" s="296"/>
      <c r="AW27" s="129" t="s">
        <v>1532</v>
      </c>
      <c r="BT27" s="129" t="s">
        <v>1533</v>
      </c>
      <c r="CR27" s="553" t="s">
        <v>1460</v>
      </c>
      <c r="CS27" s="553" t="s">
        <v>1460</v>
      </c>
      <c r="CT27" s="553" t="s">
        <v>1460</v>
      </c>
      <c r="CU27" s="553" t="s">
        <v>1460</v>
      </c>
      <c r="CV27" s="565"/>
      <c r="CW27" s="553" t="s">
        <v>1460</v>
      </c>
      <c r="CX27" s="561"/>
      <c r="CY27" s="780">
        <v>20</v>
      </c>
      <c r="CZ27" s="779"/>
      <c r="DE27" s="2264" t="s">
        <v>1534</v>
      </c>
      <c r="DF27" s="2264"/>
      <c r="DG27" s="2265" t="s">
        <v>69</v>
      </c>
      <c r="DH27" s="2266"/>
      <c r="DI27" s="2221"/>
      <c r="DJ27" s="2221"/>
      <c r="DL27" s="129" t="s">
        <v>1535</v>
      </c>
      <c r="DY27" s="793"/>
      <c r="DZ27" s="793"/>
      <c r="EA27" s="794"/>
      <c r="EB27" s="794"/>
      <c r="EC27" s="793"/>
      <c r="ED27" s="793"/>
      <c r="EE27" s="793"/>
      <c r="EF27" s="795"/>
      <c r="EG27" s="129"/>
    </row>
    <row r="28" spans="2:137" ht="19.95" customHeight="1" thickBot="1">
      <c r="N28" s="129" t="s">
        <v>1536</v>
      </c>
      <c r="U28" s="121" t="s">
        <v>428</v>
      </c>
      <c r="V28" s="130"/>
      <c r="W28" s="686" t="s">
        <v>1537</v>
      </c>
      <c r="AC28" s="129" t="s">
        <v>1538</v>
      </c>
      <c r="AM28" s="296" t="s">
        <v>1539</v>
      </c>
      <c r="AN28" s="296"/>
      <c r="AO28" s="296"/>
      <c r="AP28" s="296"/>
      <c r="AQ28" s="296"/>
      <c r="AR28" s="296"/>
      <c r="AW28" s="129" t="s">
        <v>1540</v>
      </c>
      <c r="BH28" s="717" t="s">
        <v>445</v>
      </c>
      <c r="BI28" s="1865"/>
      <c r="BJ28" s="1865"/>
      <c r="BK28" s="1865"/>
      <c r="BL28" s="1865"/>
      <c r="BN28" s="752">
        <v>9</v>
      </c>
      <c r="BO28" s="378" t="s">
        <v>1541</v>
      </c>
      <c r="CR28" s="775" t="s">
        <v>428</v>
      </c>
      <c r="CS28" s="1833"/>
      <c r="CT28" s="1834"/>
      <c r="CU28" s="1834"/>
      <c r="CV28" s="1834"/>
      <c r="CW28" s="1835"/>
      <c r="CX28" s="872"/>
      <c r="CY28" s="780">
        <v>21</v>
      </c>
      <c r="DE28" s="775" t="s">
        <v>1348</v>
      </c>
      <c r="DF28" s="128"/>
      <c r="DG28" s="775" t="s">
        <v>1409</v>
      </c>
      <c r="DH28" s="554"/>
      <c r="DK28" s="128">
        <v>8</v>
      </c>
      <c r="DL28" s="129" t="s">
        <v>1542</v>
      </c>
      <c r="DY28" s="796"/>
      <c r="DZ28" s="796"/>
      <c r="EA28" s="797"/>
      <c r="EB28" s="797"/>
      <c r="EC28" s="796"/>
      <c r="ED28" s="796"/>
      <c r="EE28" s="796"/>
      <c r="EF28" s="798"/>
      <c r="EG28" s="129"/>
    </row>
    <row r="29" spans="2:137" ht="14.25" customHeight="1" thickBot="1">
      <c r="M29" s="129" t="s">
        <v>1543</v>
      </c>
      <c r="U29" s="129" t="s">
        <v>430</v>
      </c>
      <c r="V29" s="129" t="s">
        <v>1544</v>
      </c>
      <c r="AM29" s="296" t="s">
        <v>1545</v>
      </c>
      <c r="AN29" s="296"/>
      <c r="AO29" s="296"/>
      <c r="AP29" s="296"/>
      <c r="AQ29" s="296"/>
      <c r="AR29" s="296"/>
      <c r="AW29" s="129" t="s">
        <v>1546</v>
      </c>
      <c r="BN29" s="687"/>
      <c r="BT29" s="296"/>
      <c r="BU29" s="296"/>
      <c r="BV29" s="296"/>
      <c r="BW29" s="296"/>
      <c r="BX29" s="296"/>
      <c r="BY29" s="296"/>
      <c r="BZ29" s="296"/>
      <c r="CU29" s="296"/>
      <c r="CV29" s="296"/>
      <c r="CW29" s="296"/>
      <c r="CX29" s="296"/>
      <c r="CY29" s="296"/>
      <c r="DE29" s="775" t="s">
        <v>1370</v>
      </c>
      <c r="DF29" s="128"/>
      <c r="DG29" s="775" t="s">
        <v>1424</v>
      </c>
      <c r="DH29" s="554"/>
      <c r="DJ29" s="847"/>
      <c r="DK29" s="129" t="s">
        <v>1547</v>
      </c>
      <c r="DX29" s="796"/>
      <c r="DY29" s="796"/>
      <c r="DZ29" s="797"/>
      <c r="EA29" s="797"/>
      <c r="EB29" s="796"/>
      <c r="EC29" s="796"/>
      <c r="ED29" s="796"/>
      <c r="EE29" s="798"/>
      <c r="EF29" s="129"/>
      <c r="EG29" s="129"/>
    </row>
    <row r="30" spans="2:137" ht="13.5" customHeight="1" thickBot="1">
      <c r="M30" s="129" t="s">
        <v>1548</v>
      </c>
      <c r="V30" s="129" t="s">
        <v>1549</v>
      </c>
      <c r="AM30" s="296" t="s">
        <v>1550</v>
      </c>
      <c r="AN30" s="296"/>
      <c r="AO30" s="296"/>
      <c r="AP30" s="296"/>
      <c r="AQ30" s="296"/>
      <c r="AR30" s="296"/>
      <c r="AW30" s="129" t="s">
        <v>1551</v>
      </c>
      <c r="BJ30" s="873"/>
      <c r="BN30" s="687"/>
      <c r="BT30" s="296"/>
      <c r="BU30" s="296"/>
      <c r="BV30" s="296"/>
      <c r="BW30" s="296"/>
      <c r="BX30" s="296"/>
      <c r="BY30" s="296"/>
      <c r="BZ30" s="296"/>
      <c r="CU30" s="296"/>
      <c r="CV30" s="296"/>
      <c r="CW30" s="296"/>
      <c r="CX30" s="296"/>
      <c r="CY30" s="296"/>
      <c r="DX30" s="796"/>
      <c r="DY30" s="796"/>
      <c r="DZ30" s="797"/>
      <c r="EA30" s="797"/>
      <c r="EB30" s="796"/>
      <c r="EC30" s="796"/>
      <c r="ED30" s="796"/>
      <c r="EE30" s="798"/>
      <c r="EF30" s="129"/>
      <c r="EG30" s="129"/>
    </row>
    <row r="31" spans="2:137" ht="16.5" customHeight="1" thickBot="1">
      <c r="M31" s="129" t="s">
        <v>1552</v>
      </c>
      <c r="U31" s="129" t="s">
        <v>1553</v>
      </c>
      <c r="AM31" s="296" t="s">
        <v>1554</v>
      </c>
      <c r="AN31" s="296"/>
      <c r="AO31" s="296"/>
      <c r="AP31" s="296"/>
      <c r="AQ31" s="296"/>
      <c r="AR31" s="296"/>
      <c r="AW31" s="129" t="s">
        <v>1555</v>
      </c>
      <c r="BH31" s="129" t="s">
        <v>430</v>
      </c>
      <c r="BI31" s="129" t="s">
        <v>1556</v>
      </c>
      <c r="BN31" s="687"/>
      <c r="BT31" s="296"/>
      <c r="BU31" s="296"/>
      <c r="BV31" s="296"/>
      <c r="BW31" s="296"/>
      <c r="BX31" s="296"/>
      <c r="BY31" s="296"/>
      <c r="BZ31" s="296"/>
      <c r="CR31" s="129" t="s">
        <v>430</v>
      </c>
      <c r="CS31" s="129" t="s">
        <v>1557</v>
      </c>
      <c r="CT31" s="296"/>
      <c r="DF31" s="782"/>
      <c r="DG31" s="717" t="s">
        <v>1534</v>
      </c>
      <c r="DH31" s="782" t="s">
        <v>69</v>
      </c>
      <c r="DI31" s="2263" t="s">
        <v>1558</v>
      </c>
      <c r="DJ31" s="2263"/>
      <c r="DL31" s="129" t="s">
        <v>1559</v>
      </c>
      <c r="DY31" s="799"/>
      <c r="DZ31" s="799"/>
      <c r="EA31" s="868" t="s">
        <v>1523</v>
      </c>
      <c r="EB31" s="800" t="s">
        <v>1560</v>
      </c>
      <c r="EC31" s="796"/>
      <c r="ED31" s="796"/>
      <c r="EE31" s="799" t="s">
        <v>87</v>
      </c>
      <c r="EF31" s="801">
        <v>48</v>
      </c>
      <c r="EG31" s="129"/>
    </row>
    <row r="32" spans="2:137" ht="31.8" thickBot="1">
      <c r="M32" s="129" t="s">
        <v>1561</v>
      </c>
      <c r="AM32" s="296" t="s">
        <v>1562</v>
      </c>
      <c r="AN32" s="296"/>
      <c r="AO32" s="296"/>
      <c r="AP32" s="296"/>
      <c r="AQ32" s="296"/>
      <c r="AR32" s="296"/>
      <c r="BH32" s="873" t="s">
        <v>1563</v>
      </c>
      <c r="BI32" s="873"/>
      <c r="CR32" s="873" t="s">
        <v>1564</v>
      </c>
      <c r="CS32" s="873" t="s">
        <v>1565</v>
      </c>
      <c r="CT32" s="296"/>
      <c r="DE32" s="717" t="s">
        <v>1366</v>
      </c>
      <c r="DF32" s="810" t="s">
        <v>1147</v>
      </c>
      <c r="DG32" s="810" t="s">
        <v>1405</v>
      </c>
      <c r="DH32" s="782" t="s">
        <v>1566</v>
      </c>
      <c r="DI32" s="222" t="s">
        <v>1331</v>
      </c>
      <c r="DJ32" s="817" t="s">
        <v>1567</v>
      </c>
      <c r="DK32" s="818"/>
      <c r="DZ32" s="2149"/>
      <c r="EA32" s="2150"/>
      <c r="EB32" s="2150"/>
      <c r="EC32" s="2150"/>
      <c r="ED32" s="2151"/>
      <c r="EE32" s="802"/>
      <c r="EF32" s="799" t="s">
        <v>1512</v>
      </c>
      <c r="EG32" s="801"/>
    </row>
    <row r="33" spans="4:137" ht="16.5" customHeight="1" thickBot="1">
      <c r="M33" s="129" t="s">
        <v>1568</v>
      </c>
      <c r="AM33" s="296" t="s">
        <v>1569</v>
      </c>
      <c r="AN33" s="296"/>
      <c r="AO33" s="296"/>
      <c r="AP33" s="296"/>
      <c r="AQ33" s="296"/>
      <c r="AR33" s="296"/>
      <c r="AW33" s="129" t="s">
        <v>934</v>
      </c>
      <c r="AX33" s="129" t="s">
        <v>1570</v>
      </c>
      <c r="BH33" s="129" t="s">
        <v>1571</v>
      </c>
      <c r="CR33" s="129" t="s">
        <v>1572</v>
      </c>
      <c r="DE33" s="128" t="s">
        <v>1460</v>
      </c>
      <c r="DF33" s="128" t="s">
        <v>1460</v>
      </c>
      <c r="DG33" s="128" t="s">
        <v>1460</v>
      </c>
      <c r="DH33" s="128" t="s">
        <v>1573</v>
      </c>
      <c r="DI33" s="130" t="s">
        <v>1574</v>
      </c>
      <c r="DJ33" s="554" t="s">
        <v>1575</v>
      </c>
      <c r="DK33" s="128">
        <v>9</v>
      </c>
      <c r="DL33" s="129" t="s">
        <v>1576</v>
      </c>
      <c r="DZ33" s="2149"/>
      <c r="EA33" s="2150"/>
      <c r="EB33" s="2150"/>
      <c r="EC33" s="2150"/>
      <c r="ED33" s="2151"/>
      <c r="EE33" s="2152" t="s">
        <v>1368</v>
      </c>
      <c r="EF33" s="2153"/>
      <c r="EG33" s="801">
        <v>48</v>
      </c>
    </row>
    <row r="34" spans="4:137" thickBot="1">
      <c r="AM34" s="296" t="s">
        <v>1577</v>
      </c>
      <c r="AN34" s="296"/>
      <c r="AO34" s="296"/>
      <c r="AP34" s="296"/>
      <c r="AQ34" s="296"/>
      <c r="AR34" s="296"/>
      <c r="AW34" s="129" t="s">
        <v>1196</v>
      </c>
      <c r="AX34" s="129" t="s">
        <v>1197</v>
      </c>
      <c r="CR34" s="129" t="s">
        <v>1578</v>
      </c>
      <c r="DE34" s="128" t="s">
        <v>1460</v>
      </c>
      <c r="DF34" s="128" t="s">
        <v>1460</v>
      </c>
      <c r="DG34" s="128" t="s">
        <v>1460</v>
      </c>
      <c r="DH34" s="128" t="s">
        <v>1579</v>
      </c>
      <c r="DI34" s="130" t="s">
        <v>1574</v>
      </c>
      <c r="DJ34" s="554"/>
      <c r="DK34" s="667">
        <v>10</v>
      </c>
      <c r="DZ34" s="2152"/>
      <c r="EA34" s="2182"/>
      <c r="EB34" s="2182"/>
      <c r="EC34" s="2182"/>
      <c r="ED34" s="2182"/>
      <c r="EE34" s="2182"/>
      <c r="EF34" s="2182"/>
      <c r="EG34" s="2153"/>
    </row>
    <row r="35" spans="4:137" ht="15.75" customHeight="1" thickBot="1">
      <c r="D35" s="455"/>
      <c r="AW35" s="129" t="s">
        <v>40</v>
      </c>
      <c r="AX35" s="129" t="s">
        <v>1206</v>
      </c>
      <c r="CR35" s="129" t="s">
        <v>1580</v>
      </c>
      <c r="DE35" s="128" t="s">
        <v>1460</v>
      </c>
      <c r="DF35" s="128" t="s">
        <v>1460</v>
      </c>
      <c r="DG35" s="128" t="s">
        <v>1460</v>
      </c>
      <c r="DH35" s="128" t="s">
        <v>1581</v>
      </c>
      <c r="DI35" s="130" t="s">
        <v>1574</v>
      </c>
      <c r="DJ35" s="554"/>
      <c r="DK35" s="128">
        <v>11</v>
      </c>
      <c r="DZ35" s="2183" t="s">
        <v>1582</v>
      </c>
      <c r="EA35" s="2184"/>
      <c r="EB35" s="2184"/>
      <c r="EC35" s="2184"/>
      <c r="ED35" s="2184"/>
      <c r="EE35" s="2184"/>
      <c r="EF35" s="2184"/>
      <c r="EG35" s="2185"/>
    </row>
    <row r="36" spans="4:137" ht="13.8">
      <c r="D36" s="295"/>
      <c r="AW36" s="129" t="s">
        <v>1583</v>
      </c>
      <c r="AX36" s="129">
        <v>10.122999999999999</v>
      </c>
      <c r="CR36" s="129" t="s">
        <v>1584</v>
      </c>
      <c r="DE36" s="128" t="s">
        <v>1460</v>
      </c>
      <c r="DF36" s="128" t="s">
        <v>1460</v>
      </c>
      <c r="DG36" s="128" t="s">
        <v>1460</v>
      </c>
      <c r="DH36" s="128" t="s">
        <v>1585</v>
      </c>
      <c r="DI36" s="565" t="s">
        <v>1574</v>
      </c>
      <c r="DJ36" s="553"/>
      <c r="DK36" s="667">
        <v>12</v>
      </c>
      <c r="DZ36" s="2186" t="s">
        <v>1586</v>
      </c>
      <c r="EA36" s="2187"/>
      <c r="EB36" s="2187"/>
      <c r="EC36" s="2187"/>
      <c r="ED36" s="2187"/>
      <c r="EE36" s="2187"/>
      <c r="EF36" s="2187"/>
      <c r="EG36" s="2188"/>
    </row>
    <row r="37" spans="4:137" ht="13.8">
      <c r="AW37" s="129" t="s">
        <v>1587</v>
      </c>
      <c r="CR37" s="129" t="s">
        <v>1588</v>
      </c>
      <c r="DE37" s="2200" t="s">
        <v>1567</v>
      </c>
      <c r="DF37" s="2200"/>
      <c r="DG37" s="2200"/>
      <c r="DH37" s="214"/>
      <c r="DJ37" s="128" t="s">
        <v>1567</v>
      </c>
      <c r="DX37" s="2141" t="s">
        <v>1589</v>
      </c>
      <c r="DY37" s="2141"/>
      <c r="DZ37" s="2141"/>
      <c r="EA37" s="2141"/>
      <c r="EB37" s="2141"/>
      <c r="EC37" s="2141"/>
      <c r="ED37" s="2141"/>
      <c r="EE37" s="2141"/>
      <c r="EF37" s="129"/>
      <c r="EG37" s="129"/>
    </row>
    <row r="38" spans="4:137" ht="13.8">
      <c r="AW38" s="129" t="s">
        <v>1590</v>
      </c>
      <c r="AX38" s="129" t="s">
        <v>1591</v>
      </c>
      <c r="AZ38" s="129">
        <f>AX36*98</f>
        <v>992.05399999999997</v>
      </c>
      <c r="BA38" s="129">
        <v>0.99205399999999999</v>
      </c>
      <c r="CR38" s="129" t="s">
        <v>1592</v>
      </c>
      <c r="DE38" s="1858" t="s">
        <v>1512</v>
      </c>
      <c r="DF38" s="1858"/>
      <c r="DG38" s="1858"/>
      <c r="DJ38" s="128" t="s">
        <v>1512</v>
      </c>
      <c r="DX38" s="2160" t="s">
        <v>1593</v>
      </c>
      <c r="DY38" s="2161"/>
      <c r="DZ38" s="2191"/>
      <c r="EA38" s="2191"/>
      <c r="EB38" s="2191"/>
      <c r="EC38" s="2191"/>
      <c r="ED38" s="2191"/>
      <c r="EE38" s="2191"/>
      <c r="EF38" s="129"/>
      <c r="EG38" s="129"/>
    </row>
    <row r="39" spans="4:137" thickBot="1">
      <c r="AW39" s="129" t="s">
        <v>1590</v>
      </c>
      <c r="AX39" s="129" t="s">
        <v>1594</v>
      </c>
      <c r="AZ39" s="129">
        <f>99*AX36</f>
        <v>1002.1769999999999</v>
      </c>
      <c r="BA39" s="129">
        <v>1.0021770000000001</v>
      </c>
      <c r="CR39" s="129" t="s">
        <v>1595</v>
      </c>
      <c r="DE39" s="1858" t="s">
        <v>1524</v>
      </c>
      <c r="DF39" s="1858"/>
      <c r="DG39" s="1858"/>
      <c r="DJ39" s="128" t="s">
        <v>1524</v>
      </c>
      <c r="DL39" s="847"/>
      <c r="DX39" s="2162"/>
      <c r="DY39" s="2163"/>
      <c r="DZ39" s="2191"/>
      <c r="EA39" s="2191"/>
      <c r="EB39" s="2191"/>
      <c r="EC39" s="2191"/>
      <c r="ED39" s="2191"/>
      <c r="EE39" s="2191"/>
      <c r="EF39" s="129"/>
      <c r="EG39" s="129"/>
    </row>
    <row r="40" spans="4:137" ht="12" customHeight="1">
      <c r="AW40" s="129" t="s">
        <v>1596</v>
      </c>
      <c r="CR40" s="129" t="s">
        <v>1597</v>
      </c>
      <c r="DY40" s="2189" t="s">
        <v>1598</v>
      </c>
      <c r="DZ40" s="2190"/>
      <c r="EA40" s="2132"/>
      <c r="EB40" s="2132"/>
      <c r="EC40" s="2132"/>
      <c r="ED40" s="2132"/>
      <c r="EE40" s="2132"/>
      <c r="EF40" s="2133"/>
      <c r="EG40" s="129"/>
    </row>
    <row r="41" spans="4:137" ht="13.8">
      <c r="AW41" s="129" t="s">
        <v>1599</v>
      </c>
      <c r="CR41" s="129" t="s">
        <v>1600</v>
      </c>
      <c r="DE41" s="129" t="s">
        <v>430</v>
      </c>
      <c r="DF41" s="129" t="s">
        <v>1601</v>
      </c>
      <c r="DZ41" s="2131"/>
      <c r="EA41" s="2132"/>
      <c r="EB41" s="2132"/>
      <c r="EC41" s="2132"/>
      <c r="ED41" s="2132"/>
      <c r="EE41" s="2132"/>
      <c r="EF41" s="2132"/>
      <c r="EG41" s="2133"/>
    </row>
    <row r="42" spans="4:137" ht="15.6" customHeight="1">
      <c r="AW42" s="129" t="s">
        <v>1602</v>
      </c>
      <c r="CR42" s="129" t="s">
        <v>1603</v>
      </c>
      <c r="DE42" s="2253" t="s">
        <v>1604</v>
      </c>
      <c r="DF42" s="2253"/>
      <c r="DG42" s="2253"/>
      <c r="DH42" s="2253"/>
      <c r="DI42" s="2253"/>
      <c r="DJ42" s="2253"/>
      <c r="DK42" s="2253"/>
      <c r="DL42" s="2253"/>
      <c r="DZ42" s="2131"/>
      <c r="EA42" s="2132"/>
      <c r="EB42" s="2132"/>
      <c r="EC42" s="2132"/>
      <c r="ED42" s="2132"/>
      <c r="EE42" s="2132"/>
      <c r="EF42" s="2132"/>
      <c r="EG42" s="2133"/>
    </row>
    <row r="43" spans="4:137" ht="13.8">
      <c r="AW43" s="129" t="s">
        <v>1605</v>
      </c>
      <c r="CR43" s="129" t="s">
        <v>1606</v>
      </c>
      <c r="DE43" s="296"/>
      <c r="DF43" s="296"/>
      <c r="DG43" s="296"/>
      <c r="DZ43" s="2131" t="s">
        <v>1607</v>
      </c>
      <c r="EA43" s="2132"/>
      <c r="EB43" s="2132"/>
      <c r="EC43" s="2132"/>
      <c r="ED43" s="2132" t="s">
        <v>1608</v>
      </c>
      <c r="EE43" s="2132"/>
      <c r="EF43" s="2132"/>
      <c r="EG43" s="2133"/>
    </row>
    <row r="44" spans="4:137" thickBot="1">
      <c r="AW44" s="129" t="s">
        <v>1609</v>
      </c>
      <c r="AX44" s="129" t="s">
        <v>1206</v>
      </c>
      <c r="CR44" s="129" t="s">
        <v>1610</v>
      </c>
      <c r="DE44" s="129" t="s">
        <v>1611</v>
      </c>
      <c r="DZ44" s="2168" t="s">
        <v>1612</v>
      </c>
      <c r="EA44" s="2169"/>
      <c r="EB44" s="2169"/>
      <c r="EC44" s="2169"/>
      <c r="ED44" s="2169" t="s">
        <v>1613</v>
      </c>
      <c r="EE44" s="2169"/>
      <c r="EF44" s="2169"/>
      <c r="EG44" s="2170"/>
    </row>
    <row r="45" spans="4:137" ht="15">
      <c r="AW45" s="129" t="s">
        <v>1614</v>
      </c>
      <c r="AX45" s="129" t="s">
        <v>1222</v>
      </c>
      <c r="CR45" s="129" t="s">
        <v>1615</v>
      </c>
      <c r="DE45" s="129" t="s">
        <v>1616</v>
      </c>
      <c r="DZ45" s="2167"/>
      <c r="EA45" s="2167"/>
      <c r="EB45" s="2167"/>
      <c r="EC45" s="2167"/>
      <c r="ED45" s="2167"/>
      <c r="EE45" s="2167"/>
      <c r="EF45" s="2167"/>
      <c r="EG45" s="2167"/>
    </row>
    <row r="46" spans="4:137">
      <c r="AW46" s="129" t="s">
        <v>1617</v>
      </c>
      <c r="AZ46" s="129">
        <v>3600</v>
      </c>
      <c r="CR46" s="129" t="s">
        <v>1618</v>
      </c>
      <c r="DE46" s="129" t="s">
        <v>1619</v>
      </c>
    </row>
    <row r="47" spans="4:137">
      <c r="AW47" s="129" t="s">
        <v>1620</v>
      </c>
      <c r="AZ47" s="129">
        <f>AZ46*BA39</f>
        <v>3607.8372000000004</v>
      </c>
      <c r="CR47" s="129" t="s">
        <v>1621</v>
      </c>
      <c r="DE47" s="129" t="s">
        <v>1622</v>
      </c>
    </row>
    <row r="48" spans="4:137">
      <c r="AW48" s="129" t="s">
        <v>1623</v>
      </c>
      <c r="CR48" s="129" t="s">
        <v>1624</v>
      </c>
      <c r="DE48" s="129" t="s">
        <v>1625</v>
      </c>
    </row>
    <row r="49" spans="49:109">
      <c r="AW49" s="129" t="s">
        <v>1626</v>
      </c>
      <c r="CR49" s="129" t="s">
        <v>1627</v>
      </c>
      <c r="DE49" s="129" t="s">
        <v>1628</v>
      </c>
    </row>
    <row r="50" spans="49:109">
      <c r="DE50" s="129" t="s">
        <v>1629</v>
      </c>
    </row>
    <row r="51" spans="49:109">
      <c r="AW51" s="129" t="s">
        <v>1630</v>
      </c>
      <c r="AX51" s="129" t="s">
        <v>1215</v>
      </c>
      <c r="AY51" s="129" t="s">
        <v>1631</v>
      </c>
      <c r="AZ51" s="129">
        <v>1.0229999999999999</v>
      </c>
      <c r="BA51" s="522">
        <f>AZ46*AZ51</f>
        <v>3682.7999999999997</v>
      </c>
      <c r="DE51" s="129" t="s">
        <v>1632</v>
      </c>
    </row>
    <row r="52" spans="49:109">
      <c r="AW52" s="129" t="s">
        <v>956</v>
      </c>
      <c r="AX52" s="129" t="s">
        <v>1215</v>
      </c>
      <c r="AY52" s="129" t="s">
        <v>1631</v>
      </c>
      <c r="AZ52" s="129">
        <v>1.022</v>
      </c>
      <c r="BA52" s="522">
        <f>AZ46*AZ52</f>
        <v>3679.2000000000003</v>
      </c>
      <c r="CS52" s="129" t="s">
        <v>73</v>
      </c>
      <c r="DE52" s="129" t="s">
        <v>1633</v>
      </c>
    </row>
    <row r="53" spans="49:109">
      <c r="DE53" s="129" t="s">
        <v>1634</v>
      </c>
    </row>
    <row r="54" spans="49:109">
      <c r="AW54" s="129" t="s">
        <v>1635</v>
      </c>
      <c r="DE54" s="129" t="s">
        <v>1636</v>
      </c>
    </row>
    <row r="55" spans="49:109">
      <c r="DE55" s="129" t="s">
        <v>1637</v>
      </c>
    </row>
    <row r="56" spans="49:109">
      <c r="DE56" s="129" t="s">
        <v>1638</v>
      </c>
    </row>
    <row r="57" spans="49:109">
      <c r="DE57" s="129" t="s">
        <v>1639</v>
      </c>
    </row>
  </sheetData>
  <sortState xmlns:xlrd2="http://schemas.microsoft.com/office/spreadsheetml/2017/richdata2" ref="J4:J10">
    <sortCondition ref="J4:J10"/>
  </sortState>
  <mergeCells count="140">
    <mergeCell ref="DE38:DG38"/>
    <mergeCell ref="DE39:DG39"/>
    <mergeCell ref="DE42:DL42"/>
    <mergeCell ref="AC26:AH26"/>
    <mergeCell ref="AC22:AH22"/>
    <mergeCell ref="BT8:BT9"/>
    <mergeCell ref="BU7:BV7"/>
    <mergeCell ref="BU10:BV10"/>
    <mergeCell ref="DF20:DG20"/>
    <mergeCell ref="DF21:DG21"/>
    <mergeCell ref="DI31:DJ31"/>
    <mergeCell ref="DE27:DF27"/>
    <mergeCell ref="DG27:DH27"/>
    <mergeCell ref="AN7:AP7"/>
    <mergeCell ref="CS28:CW28"/>
    <mergeCell ref="CT17:CW17"/>
    <mergeCell ref="CR13:CW13"/>
    <mergeCell ref="CS14:CT14"/>
    <mergeCell ref="CS15:CT15"/>
    <mergeCell ref="CS16:CT16"/>
    <mergeCell ref="CS10:CT10"/>
    <mergeCell ref="BI28:BL28"/>
    <mergeCell ref="BH13:BL13"/>
    <mergeCell ref="BJ9:BJ11"/>
    <mergeCell ref="AC25:AH25"/>
    <mergeCell ref="AC23:AH23"/>
    <mergeCell ref="AC17:AD17"/>
    <mergeCell ref="AD8:AF8"/>
    <mergeCell ref="AD9:AF9"/>
    <mergeCell ref="AC24:AH24"/>
    <mergeCell ref="AC21:AH21"/>
    <mergeCell ref="AX19:BA19"/>
    <mergeCell ref="BB8:BB11"/>
    <mergeCell ref="AX12:BA12"/>
    <mergeCell ref="AN12:AP12"/>
    <mergeCell ref="AC16:AD16"/>
    <mergeCell ref="AC20:AH20"/>
    <mergeCell ref="AQ8:AQ11"/>
    <mergeCell ref="AM3:AP3"/>
    <mergeCell ref="AC12:AD12"/>
    <mergeCell ref="AE10:AF17"/>
    <mergeCell ref="AC3:AF3"/>
    <mergeCell ref="A1:D1"/>
    <mergeCell ref="M12:O12"/>
    <mergeCell ref="M17:O17"/>
    <mergeCell ref="U2:V2"/>
    <mergeCell ref="U12:W12"/>
    <mergeCell ref="U17:W17"/>
    <mergeCell ref="M2:N2"/>
    <mergeCell ref="M3:N3"/>
    <mergeCell ref="U3:V3"/>
    <mergeCell ref="AD7:AF7"/>
    <mergeCell ref="AC14:AD14"/>
    <mergeCell ref="AC15:AD15"/>
    <mergeCell ref="AM8:AP11"/>
    <mergeCell ref="BN13:BN19"/>
    <mergeCell ref="BN20:BN26"/>
    <mergeCell ref="EB5:EG5"/>
    <mergeCell ref="EB6:EG6"/>
    <mergeCell ref="EB7:EG7"/>
    <mergeCell ref="EB8:EG8"/>
    <mergeCell ref="EB11:EC11"/>
    <mergeCell ref="EF11:EG11"/>
    <mergeCell ref="DZ5:EA7"/>
    <mergeCell ref="BW4:BX10"/>
    <mergeCell ref="BU8:BV9"/>
    <mergeCell ref="EB10:EC10"/>
    <mergeCell ref="DY19:DY20"/>
    <mergeCell ref="DZ38:EE39"/>
    <mergeCell ref="DZ21:EB21"/>
    <mergeCell ref="BJ5:BJ8"/>
    <mergeCell ref="DK20:DK21"/>
    <mergeCell ref="DE37:DG37"/>
    <mergeCell ref="AW3:BA3"/>
    <mergeCell ref="AX7:BA7"/>
    <mergeCell ref="AW8:BA11"/>
    <mergeCell ref="BH3:BI3"/>
    <mergeCell ref="CY8:CY9"/>
    <mergeCell ref="CZ8:CZ9"/>
    <mergeCell ref="BZ8:BZ9"/>
    <mergeCell ref="DE16:DH16"/>
    <mergeCell ref="DF22:DG22"/>
    <mergeCell ref="DI17:DI27"/>
    <mergeCell ref="DJ17:DJ27"/>
    <mergeCell ref="BA13:BA18"/>
    <mergeCell ref="CR3:CV3"/>
    <mergeCell ref="DE23:DH23"/>
    <mergeCell ref="CA8:CA9"/>
    <mergeCell ref="CU4:CV10"/>
    <mergeCell ref="CS7:CT7"/>
    <mergeCell ref="CR8:CR9"/>
    <mergeCell ref="CS8:CT9"/>
    <mergeCell ref="DQ3:DR3"/>
    <mergeCell ref="DZ3:EC3"/>
    <mergeCell ref="DZ45:EG45"/>
    <mergeCell ref="DZ15:EA15"/>
    <mergeCell ref="EB15:EC15"/>
    <mergeCell ref="DZ11:EA11"/>
    <mergeCell ref="DZ44:EC44"/>
    <mergeCell ref="ED44:EG44"/>
    <mergeCell ref="DZ19:EB20"/>
    <mergeCell ref="EC19:EC20"/>
    <mergeCell ref="ED19:ED20"/>
    <mergeCell ref="EC16:EF16"/>
    <mergeCell ref="DY17:DZ17"/>
    <mergeCell ref="EA17:EB17"/>
    <mergeCell ref="EC17:ED17"/>
    <mergeCell ref="EE17:EF17"/>
    <mergeCell ref="DZ34:EG34"/>
    <mergeCell ref="DY18:DZ18"/>
    <mergeCell ref="DZ43:EC43"/>
    <mergeCell ref="ED43:EG43"/>
    <mergeCell ref="DZ35:EG35"/>
    <mergeCell ref="DZ36:EG36"/>
    <mergeCell ref="DX37:EE37"/>
    <mergeCell ref="DY40:EF40"/>
    <mergeCell ref="DZ41:EG41"/>
    <mergeCell ref="DZ42:EG42"/>
    <mergeCell ref="DU14:DU15"/>
    <mergeCell ref="DR14:DR15"/>
    <mergeCell ref="DQ14:DQ15"/>
    <mergeCell ref="DS8:DT15"/>
    <mergeCell ref="DZ13:EA13"/>
    <mergeCell ref="EB13:EC13"/>
    <mergeCell ref="DZ14:EA14"/>
    <mergeCell ref="EB14:EC14"/>
    <mergeCell ref="DZ12:EA12"/>
    <mergeCell ref="EB12:EC12"/>
    <mergeCell ref="EF12:EG12"/>
    <mergeCell ref="DZ9:EA9"/>
    <mergeCell ref="EB9:EC9"/>
    <mergeCell ref="ED9:EG10"/>
    <mergeCell ref="DZ10:EA10"/>
    <mergeCell ref="DZ32:ED32"/>
    <mergeCell ref="DZ33:ED33"/>
    <mergeCell ref="EE33:EF33"/>
    <mergeCell ref="EA18:EB18"/>
    <mergeCell ref="EC18:ED18"/>
    <mergeCell ref="EE18:EF18"/>
    <mergeCell ref="DX38:DY39"/>
  </mergeCells>
  <phoneticPr fontId="8" type="noConversion"/>
  <dataValidations count="1">
    <dataValidation type="list" allowBlank="1" showInputMessage="1" showErrorMessage="1" sqref="C23 C4:C19" xr:uid="{F5EC31A8-8016-40A1-B8E2-7CA8165DC518}">
      <formula1>$J$4:$J$9</formula1>
    </dataValidation>
  </dataValidations>
  <hyperlinks>
    <hyperlink ref="G4" location="Purchase_Doc!Q1" display="Display" xr:uid="{FB1E843B-C30A-4AAE-8798-3C95D3B4B570}"/>
    <hyperlink ref="P1" location="Purchase_Doc!H1" display="Contents" xr:uid="{C9A25A06-B0D8-46ED-A891-2EC2FE3B8154}"/>
    <hyperlink ref="G5" location="Purchase_Doc!Y1" display="Display" xr:uid="{43588776-F581-4B87-8B91-6B0B7A212921}"/>
    <hyperlink ref="G6" location="Purchase_Doc!BO1" display="Display" xr:uid="{5B489F33-A950-409A-84D1-F841D85A9B2A}"/>
    <hyperlink ref="G7" location="Purchase_Doc!AS1" display="Display" xr:uid="{287E77CF-27D5-4006-AAE8-D151C639D1B4}"/>
    <hyperlink ref="G8" location="Purchase_Doc!BD1" display="Display" xr:uid="{1221CCFA-CE43-4B8E-B991-E4E518325CD6}"/>
    <hyperlink ref="G12" location="Purchase_Doc!DA1" display="Display" xr:uid="{09DA1E07-7427-4173-A39C-D58606ED7E8E}"/>
    <hyperlink ref="X1" location="Purchase_Doc!H1" display="Contents" xr:uid="{2D3F79CB-C4E7-408F-80C0-9F10FEDB4890}"/>
    <hyperlink ref="AH1" location="Purchase_Doc!H1" display="Contents" xr:uid="{01E81982-D6F1-46C2-A53A-1314A745DA8B}"/>
    <hyperlink ref="AR1" location="Purchase_Doc!H1" display="Contents" xr:uid="{DD1CD601-CA23-491B-92DE-473BA12190FB}"/>
    <hyperlink ref="BC1" location="Purchase_Doc!H1" display="Contents" xr:uid="{FBD42732-40A5-4F89-B917-4E6762B1D5AD}"/>
    <hyperlink ref="BO1" location="Purchase_Doc!H1" display="Contents" xr:uid="{3BCB86AF-B894-41F0-847D-FFCB94BB31F4}"/>
    <hyperlink ref="BZ1" location="Purchase_Doc!H1" display="Contents" xr:uid="{F30836C5-1742-4A00-9E18-C3B983493EE9}"/>
    <hyperlink ref="CZ1" location="Purchase_Doc!H1" display="Contents" xr:uid="{61D2FCE3-FC01-4AC8-B2B2-1D76F6C8B9B0}"/>
  </hyperlinks>
  <pageMargins left="0.7" right="0.7" top="0.75" bottom="0.75" header="0.3" footer="0.3"/>
  <drawing r:id="rId1"/>
  <legacy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40D0B-DAC7-4033-803D-0251314A986B}">
  <sheetPr codeName="Sheet12"/>
  <dimension ref="A1:AR25"/>
  <sheetViews>
    <sheetView workbookViewId="0">
      <selection sqref="A1:H12"/>
    </sheetView>
  </sheetViews>
  <sheetFormatPr defaultRowHeight="18" customHeight="1"/>
  <cols>
    <col min="3" max="3" width="31.5546875" customWidth="1"/>
    <col min="4" max="4" width="57.44140625" customWidth="1"/>
    <col min="5" max="5" width="13.44140625" customWidth="1"/>
    <col min="6" max="6" width="48.44140625" customWidth="1"/>
    <col min="7" max="7" width="8.44140625" customWidth="1"/>
    <col min="8" max="8" width="11.88671875" customWidth="1"/>
    <col min="9" max="12" width="17.88671875" customWidth="1"/>
    <col min="13" max="13" width="36.109375" customWidth="1"/>
    <col min="14" max="14" width="31.5546875" customWidth="1"/>
    <col min="15" max="15" width="27" customWidth="1"/>
    <col min="16" max="16" width="13.44140625" customWidth="1"/>
    <col min="17" max="17" width="53.5546875" customWidth="1"/>
    <col min="22" max="22" width="31.5546875" customWidth="1"/>
    <col min="23" max="23" width="36.44140625" customWidth="1"/>
    <col min="24" max="24" width="22.5546875" customWidth="1"/>
    <col min="26" max="26" width="62.44140625" customWidth="1"/>
    <col min="31" max="31" width="36.109375" customWidth="1"/>
    <col min="32" max="32" width="31.5546875" customWidth="1"/>
    <col min="33" max="33" width="27" customWidth="1"/>
    <col min="34" max="34" width="13.44140625" customWidth="1"/>
    <col min="35" max="35" width="53.5546875" customWidth="1"/>
    <col min="40" max="40" width="36.109375" customWidth="1"/>
    <col min="41" max="41" width="31.5546875" customWidth="1"/>
    <col min="42" max="42" width="27" customWidth="1"/>
    <col min="43" max="43" width="13.44140625" customWidth="1"/>
    <col min="44" max="44" width="53.5546875" customWidth="1"/>
  </cols>
  <sheetData>
    <row r="1" spans="1:44" ht="18" customHeight="1">
      <c r="A1" s="2290" t="s">
        <v>217</v>
      </c>
      <c r="B1" s="2290"/>
      <c r="C1" s="2290"/>
      <c r="D1" t="s">
        <v>1119</v>
      </c>
      <c r="E1" s="351"/>
      <c r="F1" s="351"/>
      <c r="G1" s="351"/>
      <c r="M1" s="185" t="s">
        <v>220</v>
      </c>
      <c r="N1" s="2"/>
      <c r="O1" s="2"/>
      <c r="P1" s="2"/>
      <c r="Q1" s="287" t="s">
        <v>336</v>
      </c>
      <c r="V1" s="185" t="s">
        <v>221</v>
      </c>
      <c r="W1" s="2"/>
      <c r="X1" s="2"/>
      <c r="Y1" s="2"/>
      <c r="Z1" s="287" t="s">
        <v>336</v>
      </c>
      <c r="AE1" s="185" t="s">
        <v>218</v>
      </c>
      <c r="AF1" s="2"/>
      <c r="AG1" s="2"/>
      <c r="AH1" s="2"/>
      <c r="AI1" s="287" t="s">
        <v>336</v>
      </c>
      <c r="AN1" s="185" t="s">
        <v>219</v>
      </c>
      <c r="AO1" s="2"/>
      <c r="AP1" s="2"/>
      <c r="AQ1" s="2"/>
      <c r="AR1" s="287" t="s">
        <v>336</v>
      </c>
    </row>
    <row r="2" spans="1:44" ht="18" customHeight="1">
      <c r="E2" s="51"/>
      <c r="F2" s="51"/>
      <c r="G2" s="51"/>
    </row>
    <row r="3" spans="1:44" ht="18" customHeight="1">
      <c r="B3" s="629" t="s">
        <v>345</v>
      </c>
      <c r="C3" s="630" t="s">
        <v>2</v>
      </c>
      <c r="D3" s="601" t="s">
        <v>968</v>
      </c>
      <c r="E3" s="601" t="s">
        <v>346</v>
      </c>
      <c r="F3" s="601" t="s">
        <v>430</v>
      </c>
      <c r="G3" s="601" t="s">
        <v>231</v>
      </c>
      <c r="H3" s="602" t="s">
        <v>233</v>
      </c>
      <c r="M3" s="1554" t="s">
        <v>220</v>
      </c>
      <c r="N3" s="1555"/>
      <c r="O3" s="907"/>
      <c r="P3" s="907" t="s">
        <v>232</v>
      </c>
      <c r="Q3" s="137" t="s">
        <v>320</v>
      </c>
      <c r="V3" s="1554" t="s">
        <v>1640</v>
      </c>
      <c r="W3" s="1555"/>
      <c r="X3" s="907"/>
      <c r="Y3" s="907" t="s">
        <v>232</v>
      </c>
      <c r="Z3" s="137" t="s">
        <v>321</v>
      </c>
      <c r="AE3" s="2285" t="s">
        <v>218</v>
      </c>
      <c r="AF3" s="1560"/>
      <c r="AG3" s="907"/>
      <c r="AH3" s="907" t="s">
        <v>232</v>
      </c>
      <c r="AI3" s="137" t="s">
        <v>322</v>
      </c>
      <c r="AN3" s="1649" t="s">
        <v>219</v>
      </c>
      <c r="AO3" s="1649"/>
      <c r="AP3" s="1555"/>
      <c r="AQ3" s="907" t="s">
        <v>232</v>
      </c>
      <c r="AR3" s="137" t="s">
        <v>323</v>
      </c>
    </row>
    <row r="4" spans="1:44" ht="18" customHeight="1">
      <c r="B4">
        <v>1</v>
      </c>
      <c r="C4" s="7" t="s">
        <v>524</v>
      </c>
      <c r="D4" s="631" t="s">
        <v>185</v>
      </c>
      <c r="E4" s="112" t="s">
        <v>1641</v>
      </c>
      <c r="F4" s="15" t="s">
        <v>1642</v>
      </c>
      <c r="G4" s="112">
        <v>2</v>
      </c>
      <c r="H4" s="414" t="s">
        <v>233</v>
      </c>
      <c r="M4" s="152" t="s">
        <v>350</v>
      </c>
      <c r="N4" s="152" t="s">
        <v>351</v>
      </c>
      <c r="O4" s="275"/>
      <c r="P4" s="892" t="s">
        <v>352</v>
      </c>
      <c r="Q4" s="152" t="s">
        <v>978</v>
      </c>
      <c r="V4" s="152" t="s">
        <v>350</v>
      </c>
      <c r="W4" s="152" t="s">
        <v>351</v>
      </c>
      <c r="X4" s="275"/>
      <c r="Y4" s="892" t="s">
        <v>352</v>
      </c>
      <c r="Z4" s="152" t="s">
        <v>978</v>
      </c>
      <c r="AE4" s="152" t="s">
        <v>350</v>
      </c>
      <c r="AF4" s="152" t="s">
        <v>351</v>
      </c>
      <c r="AG4" s="275"/>
      <c r="AH4" s="892" t="s">
        <v>352</v>
      </c>
      <c r="AI4" s="152" t="s">
        <v>978</v>
      </c>
      <c r="AN4" s="152" t="s">
        <v>350</v>
      </c>
      <c r="AO4" s="152" t="s">
        <v>351</v>
      </c>
      <c r="AP4" s="275"/>
      <c r="AQ4" s="892" t="s">
        <v>352</v>
      </c>
      <c r="AR4" s="152" t="s">
        <v>978</v>
      </c>
    </row>
    <row r="5" spans="1:44" ht="18" customHeight="1">
      <c r="B5">
        <f t="shared" ref="B5:B10" si="0">B4+1</f>
        <v>2</v>
      </c>
      <c r="C5" s="7" t="s">
        <v>524</v>
      </c>
      <c r="D5" s="631" t="s">
        <v>54</v>
      </c>
      <c r="E5" s="112" t="s">
        <v>1643</v>
      </c>
      <c r="F5" s="15" t="s">
        <v>1644</v>
      </c>
      <c r="G5" s="112">
        <v>2</v>
      </c>
      <c r="H5" s="414" t="s">
        <v>233</v>
      </c>
      <c r="M5" s="276" t="s">
        <v>353</v>
      </c>
      <c r="N5" s="907" t="s">
        <v>354</v>
      </c>
      <c r="O5" s="2286" t="s">
        <v>1645</v>
      </c>
      <c r="P5" s="907">
        <v>1</v>
      </c>
      <c r="Q5" s="378" t="s">
        <v>983</v>
      </c>
      <c r="V5" s="276" t="s">
        <v>1124</v>
      </c>
      <c r="W5" s="907" t="s">
        <v>1460</v>
      </c>
      <c r="X5" s="2286" t="s">
        <v>1646</v>
      </c>
      <c r="Y5" s="907">
        <v>1</v>
      </c>
      <c r="Z5" s="12" t="s">
        <v>1647</v>
      </c>
      <c r="AE5" s="276" t="s">
        <v>1124</v>
      </c>
      <c r="AF5" s="907" t="s">
        <v>1460</v>
      </c>
      <c r="AG5" s="2286" t="s">
        <v>1648</v>
      </c>
      <c r="AH5" s="907">
        <v>1</v>
      </c>
      <c r="AI5" s="12"/>
      <c r="AN5" s="276" t="s">
        <v>1124</v>
      </c>
      <c r="AO5" s="907" t="s">
        <v>1460</v>
      </c>
      <c r="AP5" s="2278" t="s">
        <v>1649</v>
      </c>
      <c r="AQ5" s="288">
        <v>1</v>
      </c>
      <c r="AR5" s="12"/>
    </row>
    <row r="6" spans="1:44" ht="18" customHeight="1">
      <c r="B6">
        <f t="shared" si="0"/>
        <v>3</v>
      </c>
      <c r="C6" s="7" t="s">
        <v>524</v>
      </c>
      <c r="D6" s="631" t="s">
        <v>56</v>
      </c>
      <c r="E6" s="112" t="s">
        <v>1650</v>
      </c>
      <c r="F6" s="15" t="s">
        <v>319</v>
      </c>
      <c r="G6" s="112">
        <v>2</v>
      </c>
      <c r="H6" s="414" t="s">
        <v>233</v>
      </c>
      <c r="M6" s="276" t="s">
        <v>355</v>
      </c>
      <c r="N6" s="907" t="s">
        <v>354</v>
      </c>
      <c r="O6" s="2287"/>
      <c r="P6" s="907">
        <v>2</v>
      </c>
      <c r="Q6" s="378" t="s">
        <v>987</v>
      </c>
      <c r="V6" s="276" t="s">
        <v>1126</v>
      </c>
      <c r="W6" s="154" t="s">
        <v>1651</v>
      </c>
      <c r="X6" s="2287"/>
      <c r="Y6" s="907">
        <v>2</v>
      </c>
      <c r="Z6" s="12" t="s">
        <v>1652</v>
      </c>
      <c r="AE6" s="276" t="s">
        <v>1653</v>
      </c>
      <c r="AF6" s="907" t="s">
        <v>1460</v>
      </c>
      <c r="AG6" s="2287"/>
      <c r="AH6" s="907">
        <v>2</v>
      </c>
      <c r="AI6" s="12"/>
      <c r="AN6" s="276" t="s">
        <v>1653</v>
      </c>
      <c r="AO6" s="907" t="s">
        <v>1460</v>
      </c>
      <c r="AP6" s="2279"/>
      <c r="AQ6" s="288">
        <v>2</v>
      </c>
      <c r="AR6" s="12"/>
    </row>
    <row r="7" spans="1:44" ht="18" customHeight="1">
      <c r="B7">
        <f t="shared" si="0"/>
        <v>4</v>
      </c>
      <c r="C7" s="7" t="s">
        <v>524</v>
      </c>
      <c r="D7" s="631" t="s">
        <v>57</v>
      </c>
      <c r="E7" s="112" t="s">
        <v>1654</v>
      </c>
      <c r="F7" s="15" t="s">
        <v>1655</v>
      </c>
      <c r="G7" s="112">
        <v>2</v>
      </c>
      <c r="H7" s="414" t="s">
        <v>233</v>
      </c>
      <c r="M7" s="277" t="s">
        <v>1656</v>
      </c>
      <c r="N7" s="233" t="s">
        <v>1657</v>
      </c>
      <c r="O7" s="2287"/>
      <c r="P7" s="907">
        <v>3</v>
      </c>
      <c r="Q7" s="12" t="s">
        <v>1658</v>
      </c>
      <c r="V7" s="276" t="s">
        <v>1653</v>
      </c>
      <c r="W7" s="149" t="s">
        <v>1659</v>
      </c>
      <c r="X7" s="2287"/>
      <c r="Y7" s="907">
        <v>3</v>
      </c>
      <c r="Z7" s="12" t="s">
        <v>453</v>
      </c>
      <c r="AE7" s="276" t="s">
        <v>1660</v>
      </c>
      <c r="AF7" s="149" t="s">
        <v>1661</v>
      </c>
      <c r="AG7" s="2287"/>
      <c r="AH7" s="907">
        <v>3</v>
      </c>
      <c r="AI7" s="12"/>
      <c r="AN7" s="276" t="s">
        <v>1660</v>
      </c>
      <c r="AO7" s="149" t="s">
        <v>1661</v>
      </c>
      <c r="AP7" s="2279"/>
      <c r="AQ7" s="288">
        <v>3</v>
      </c>
      <c r="AR7" s="12"/>
    </row>
    <row r="8" spans="1:44" ht="18" customHeight="1">
      <c r="B8">
        <f t="shared" si="0"/>
        <v>5</v>
      </c>
      <c r="C8" s="7" t="s">
        <v>524</v>
      </c>
      <c r="D8" s="631" t="s">
        <v>76</v>
      </c>
      <c r="E8" s="112" t="s">
        <v>1662</v>
      </c>
      <c r="F8" s="15" t="s">
        <v>311</v>
      </c>
      <c r="G8" s="112">
        <v>2</v>
      </c>
      <c r="H8" s="414" t="s">
        <v>233</v>
      </c>
      <c r="M8" s="276" t="s">
        <v>260</v>
      </c>
      <c r="N8" s="149" t="s">
        <v>365</v>
      </c>
      <c r="O8" s="2287"/>
      <c r="P8" s="907"/>
      <c r="Q8" s="12"/>
      <c r="V8" s="276" t="s">
        <v>260</v>
      </c>
      <c r="W8" s="149" t="s">
        <v>365</v>
      </c>
      <c r="X8" s="2287"/>
      <c r="Y8" s="907">
        <v>4</v>
      </c>
      <c r="Z8" s="12"/>
      <c r="AE8" s="276" t="s">
        <v>260</v>
      </c>
      <c r="AF8" s="149" t="s">
        <v>365</v>
      </c>
      <c r="AG8" s="2287"/>
      <c r="AH8" s="907">
        <v>4</v>
      </c>
      <c r="AI8" s="12"/>
      <c r="AN8" s="276" t="s">
        <v>1663</v>
      </c>
      <c r="AO8" s="154" t="s">
        <v>1664</v>
      </c>
      <c r="AP8" s="2279"/>
      <c r="AQ8" s="288">
        <v>4</v>
      </c>
      <c r="AR8" s="12"/>
    </row>
    <row r="9" spans="1:44" ht="18" customHeight="1">
      <c r="B9">
        <f t="shared" si="0"/>
        <v>6</v>
      </c>
      <c r="C9" s="7" t="s">
        <v>524</v>
      </c>
      <c r="D9" s="631" t="s">
        <v>1665</v>
      </c>
      <c r="E9" s="112" t="s">
        <v>1666</v>
      </c>
      <c r="F9" s="15" t="s">
        <v>1667</v>
      </c>
      <c r="G9" s="112">
        <v>2</v>
      </c>
      <c r="H9" s="632" t="s">
        <v>233</v>
      </c>
      <c r="M9" s="276" t="s">
        <v>36</v>
      </c>
      <c r="N9" s="149" t="s">
        <v>365</v>
      </c>
      <c r="O9" s="2287"/>
      <c r="P9" s="907"/>
      <c r="Q9" s="12"/>
      <c r="V9" s="276" t="s">
        <v>1218</v>
      </c>
      <c r="W9" s="154" t="s">
        <v>1664</v>
      </c>
      <c r="X9" s="2287"/>
      <c r="Y9" s="907"/>
      <c r="Z9" s="12" t="s">
        <v>1668</v>
      </c>
      <c r="AE9" s="276" t="s">
        <v>36</v>
      </c>
      <c r="AF9" s="149" t="s">
        <v>365</v>
      </c>
      <c r="AG9" s="2287"/>
      <c r="AH9" s="907"/>
      <c r="AI9" s="12"/>
      <c r="AN9" s="2281" t="s">
        <v>1669</v>
      </c>
      <c r="AO9" s="2282"/>
      <c r="AP9" s="2279"/>
      <c r="AQ9" s="288"/>
      <c r="AR9" s="12"/>
    </row>
    <row r="10" spans="1:44" ht="18" customHeight="1">
      <c r="B10">
        <f t="shared" si="0"/>
        <v>7</v>
      </c>
      <c r="C10" s="7" t="s">
        <v>524</v>
      </c>
      <c r="D10" s="631" t="s">
        <v>1670</v>
      </c>
      <c r="E10" s="112" t="s">
        <v>1671</v>
      </c>
      <c r="F10" s="15" t="s">
        <v>1672</v>
      </c>
      <c r="G10" s="112">
        <v>2</v>
      </c>
      <c r="H10" s="632" t="s">
        <v>233</v>
      </c>
      <c r="M10" s="276" t="s">
        <v>1663</v>
      </c>
      <c r="N10" s="154" t="s">
        <v>1664</v>
      </c>
      <c r="O10" s="2287"/>
      <c r="P10" s="907">
        <v>4</v>
      </c>
      <c r="Q10" s="73"/>
      <c r="V10" s="2288" t="s">
        <v>1673</v>
      </c>
      <c r="W10" s="2289"/>
      <c r="X10" s="2287"/>
      <c r="Y10" s="907">
        <v>5</v>
      </c>
      <c r="Z10" s="73"/>
      <c r="AE10" s="276" t="s">
        <v>1663</v>
      </c>
      <c r="AF10" s="154" t="s">
        <v>1664</v>
      </c>
      <c r="AG10" s="2287"/>
      <c r="AH10" s="907">
        <v>5</v>
      </c>
      <c r="AI10" s="12" t="s">
        <v>1674</v>
      </c>
      <c r="AN10" s="277" t="s">
        <v>1147</v>
      </c>
      <c r="AO10" s="154" t="s">
        <v>1664</v>
      </c>
      <c r="AP10" s="2279"/>
      <c r="AQ10" s="288">
        <v>5</v>
      </c>
      <c r="AR10" s="12" t="s">
        <v>1674</v>
      </c>
    </row>
    <row r="11" spans="1:44" ht="18" customHeight="1">
      <c r="C11" s="7"/>
      <c r="D11" s="229"/>
      <c r="E11" s="112"/>
      <c r="G11" s="112">
        <v>2</v>
      </c>
      <c r="H11" s="632" t="s">
        <v>233</v>
      </c>
      <c r="M11" s="2281" t="s">
        <v>1675</v>
      </c>
      <c r="N11" s="2282"/>
      <c r="O11" s="2287"/>
      <c r="P11" s="907">
        <v>5</v>
      </c>
      <c r="Q11" s="73" t="s">
        <v>1676</v>
      </c>
      <c r="V11" s="277" t="s">
        <v>1677</v>
      </c>
      <c r="W11" s="149" t="s">
        <v>1678</v>
      </c>
      <c r="X11" s="2287"/>
      <c r="Y11" s="907"/>
      <c r="Z11" s="73"/>
      <c r="AE11" s="2281" t="s">
        <v>1679</v>
      </c>
      <c r="AF11" s="2282"/>
      <c r="AG11" s="2287"/>
      <c r="AH11" s="907">
        <v>6</v>
      </c>
      <c r="AI11" s="12"/>
      <c r="AN11" s="277" t="s">
        <v>1680</v>
      </c>
      <c r="AO11" s="154" t="s">
        <v>1664</v>
      </c>
      <c r="AP11" s="2279"/>
      <c r="AQ11" s="288">
        <v>6</v>
      </c>
      <c r="AR11" s="12"/>
    </row>
    <row r="12" spans="1:44" ht="18" customHeight="1">
      <c r="C12" s="7"/>
      <c r="D12" s="229"/>
      <c r="E12" s="112"/>
      <c r="G12" s="112">
        <v>2</v>
      </c>
      <c r="H12" s="632" t="s">
        <v>233</v>
      </c>
      <c r="M12" s="277" t="s">
        <v>36</v>
      </c>
      <c r="N12" s="149" t="s">
        <v>365</v>
      </c>
      <c r="O12" s="2287"/>
      <c r="P12" s="907"/>
      <c r="Q12" s="12"/>
      <c r="V12" s="2288" t="s">
        <v>1679</v>
      </c>
      <c r="W12" s="2289"/>
      <c r="X12" s="2287"/>
      <c r="Y12" s="907">
        <v>6</v>
      </c>
      <c r="Z12" s="12"/>
      <c r="AE12" s="277" t="s">
        <v>1147</v>
      </c>
      <c r="AF12" s="154" t="s">
        <v>1664</v>
      </c>
      <c r="AG12" s="2287"/>
      <c r="AH12" s="907"/>
      <c r="AI12" s="12"/>
      <c r="AN12" s="2281" t="s">
        <v>1681</v>
      </c>
      <c r="AO12" s="2283"/>
      <c r="AP12" s="2279"/>
      <c r="AQ12" s="288"/>
      <c r="AR12" s="12"/>
    </row>
    <row r="13" spans="1:44" ht="18" customHeight="1" thickBot="1">
      <c r="C13" s="7"/>
      <c r="D13" s="631"/>
      <c r="E13" s="112"/>
      <c r="F13" s="15"/>
      <c r="G13" s="112"/>
      <c r="H13" s="414"/>
      <c r="M13" s="277" t="s">
        <v>1682</v>
      </c>
      <c r="N13" s="149" t="s">
        <v>365</v>
      </c>
      <c r="O13" s="2287"/>
      <c r="P13" s="907">
        <v>6</v>
      </c>
      <c r="Q13" s="12"/>
      <c r="V13" s="277" t="s">
        <v>1680</v>
      </c>
      <c r="W13" s="154" t="s">
        <v>1664</v>
      </c>
      <c r="X13" s="2287"/>
      <c r="Y13" s="907">
        <v>7</v>
      </c>
      <c r="Z13" s="12"/>
      <c r="AE13" s="277" t="s">
        <v>1680</v>
      </c>
      <c r="AF13" s="154" t="s">
        <v>1664</v>
      </c>
      <c r="AG13" s="2287"/>
      <c r="AH13" s="907">
        <v>7</v>
      </c>
      <c r="AI13" s="12" t="s">
        <v>1683</v>
      </c>
      <c r="AN13" s="276" t="s">
        <v>260</v>
      </c>
      <c r="AO13" s="149" t="s">
        <v>365</v>
      </c>
      <c r="AP13" s="2280"/>
      <c r="AQ13" s="288">
        <v>7</v>
      </c>
      <c r="AR13" s="12"/>
    </row>
    <row r="14" spans="1:44" ht="18" customHeight="1">
      <c r="M14" s="2281" t="s">
        <v>1679</v>
      </c>
      <c r="N14" s="2282"/>
      <c r="O14" s="2293" t="s">
        <v>1684</v>
      </c>
      <c r="P14" s="907">
        <v>7</v>
      </c>
      <c r="Q14" s="12" t="s">
        <v>1674</v>
      </c>
      <c r="V14" s="277" t="s">
        <v>1147</v>
      </c>
      <c r="W14" s="279" t="s">
        <v>1685</v>
      </c>
      <c r="X14" s="2291" t="s">
        <v>1684</v>
      </c>
      <c r="Y14" s="850"/>
      <c r="Z14" s="12"/>
      <c r="AE14" s="2281" t="s">
        <v>1686</v>
      </c>
      <c r="AF14" s="2283"/>
      <c r="AG14" s="236"/>
      <c r="AH14" s="893">
        <v>8</v>
      </c>
      <c r="AI14" s="12"/>
      <c r="AN14" s="276" t="s">
        <v>36</v>
      </c>
      <c r="AO14" s="149" t="s">
        <v>365</v>
      </c>
      <c r="AP14" s="236"/>
      <c r="AQ14" s="288">
        <v>8</v>
      </c>
      <c r="AR14" s="12" t="s">
        <v>1687</v>
      </c>
    </row>
    <row r="15" spans="1:44" ht="18" customHeight="1">
      <c r="M15" s="277" t="s">
        <v>1680</v>
      </c>
      <c r="N15" s="154" t="s">
        <v>1664</v>
      </c>
      <c r="O15" s="2294"/>
      <c r="P15" s="907">
        <v>8</v>
      </c>
      <c r="Q15" s="12" t="s">
        <v>1683</v>
      </c>
      <c r="V15" s="2288" t="s">
        <v>1688</v>
      </c>
      <c r="W15" s="2295"/>
      <c r="X15" s="2292"/>
      <c r="Y15" s="850">
        <v>8</v>
      </c>
      <c r="Z15" s="12"/>
      <c r="AE15" s="277" t="s">
        <v>1689</v>
      </c>
      <c r="AF15" s="282" t="s">
        <v>1690</v>
      </c>
      <c r="AG15" s="236"/>
      <c r="AH15" s="893">
        <v>9</v>
      </c>
      <c r="AN15" s="277" t="s">
        <v>1689</v>
      </c>
      <c r="AO15" s="151" t="s">
        <v>1690</v>
      </c>
      <c r="AP15" s="236"/>
      <c r="AQ15" s="288">
        <v>9</v>
      </c>
      <c r="AR15" s="10"/>
    </row>
    <row r="16" spans="1:44" ht="18" customHeight="1">
      <c r="B16" s="1">
        <v>1</v>
      </c>
      <c r="C16" s="1" t="s">
        <v>1691</v>
      </c>
      <c r="M16" s="277" t="s">
        <v>1147</v>
      </c>
      <c r="N16" s="154" t="s">
        <v>1664</v>
      </c>
      <c r="V16" s="280" t="s">
        <v>1692</v>
      </c>
      <c r="W16" s="281" t="s">
        <v>354</v>
      </c>
      <c r="X16" s="2292"/>
      <c r="Y16" s="850">
        <v>9</v>
      </c>
      <c r="Z16" s="71" t="s">
        <v>1693</v>
      </c>
      <c r="AE16" s="280" t="s">
        <v>1694</v>
      </c>
      <c r="AF16" s="286" t="s">
        <v>1695</v>
      </c>
      <c r="AG16" s="236"/>
      <c r="AH16" s="893">
        <v>10</v>
      </c>
      <c r="AN16" s="280" t="s">
        <v>1696</v>
      </c>
      <c r="AO16" s="151" t="s">
        <v>1695</v>
      </c>
      <c r="AP16" s="236"/>
      <c r="AQ16" s="288">
        <v>10</v>
      </c>
      <c r="AR16" s="10"/>
    </row>
    <row r="17" spans="2:44" ht="18" customHeight="1">
      <c r="B17" s="1"/>
      <c r="C17" s="1" t="s">
        <v>1697</v>
      </c>
      <c r="M17" s="277" t="s">
        <v>1698</v>
      </c>
      <c r="N17" s="278"/>
      <c r="V17" s="280" t="s">
        <v>1699</v>
      </c>
      <c r="W17" s="281" t="s">
        <v>354</v>
      </c>
      <c r="X17" s="2292"/>
      <c r="Y17" s="907">
        <v>10</v>
      </c>
      <c r="Z17" s="10" t="s">
        <v>1700</v>
      </c>
      <c r="AE17" s="280" t="s">
        <v>1701</v>
      </c>
      <c r="AF17" s="278" t="s">
        <v>1695</v>
      </c>
      <c r="AG17" s="2277" t="s">
        <v>1684</v>
      </c>
      <c r="AH17" s="893">
        <v>11</v>
      </c>
      <c r="AN17" s="280" t="s">
        <v>1701</v>
      </c>
      <c r="AO17" s="151" t="s">
        <v>1695</v>
      </c>
      <c r="AP17" s="2284" t="s">
        <v>1684</v>
      </c>
      <c r="AQ17" s="288">
        <v>11</v>
      </c>
      <c r="AR17" s="10"/>
    </row>
    <row r="18" spans="2:44" ht="18" customHeight="1">
      <c r="B18" s="1">
        <v>2</v>
      </c>
      <c r="C18" s="1" t="s">
        <v>1702</v>
      </c>
      <c r="V18" s="280" t="s">
        <v>1703</v>
      </c>
      <c r="W18" s="281" t="s">
        <v>1704</v>
      </c>
      <c r="X18" s="2292"/>
      <c r="Y18" s="907">
        <v>11</v>
      </c>
      <c r="Z18" s="10" t="s">
        <v>1705</v>
      </c>
      <c r="AE18" s="280" t="s">
        <v>1706</v>
      </c>
      <c r="AF18" s="278" t="s">
        <v>1707</v>
      </c>
      <c r="AG18" s="2277"/>
      <c r="AH18" s="893">
        <v>12</v>
      </c>
      <c r="AN18" s="280" t="s">
        <v>1706</v>
      </c>
      <c r="AO18" s="151" t="s">
        <v>1707</v>
      </c>
      <c r="AP18" s="2284"/>
      <c r="AQ18" s="288">
        <v>12</v>
      </c>
      <c r="AR18" s="10"/>
    </row>
    <row r="19" spans="2:44" ht="18" customHeight="1">
      <c r="B19" s="1"/>
      <c r="C19" s="1" t="s">
        <v>1708</v>
      </c>
      <c r="V19" s="280" t="s">
        <v>1709</v>
      </c>
      <c r="W19" s="282" t="s">
        <v>1710</v>
      </c>
      <c r="X19" s="2292"/>
      <c r="Y19" s="907">
        <v>12</v>
      </c>
      <c r="Z19" s="10"/>
    </row>
    <row r="20" spans="2:44" ht="18" customHeight="1">
      <c r="B20" s="1"/>
      <c r="C20" s="1" t="s">
        <v>1711</v>
      </c>
      <c r="V20" s="280" t="s">
        <v>1698</v>
      </c>
      <c r="W20" s="282" t="s">
        <v>1712</v>
      </c>
      <c r="X20" s="2292"/>
      <c r="Y20" s="893">
        <v>13</v>
      </c>
    </row>
    <row r="21" spans="2:44" ht="18" customHeight="1">
      <c r="B21" s="1"/>
      <c r="C21" s="1" t="s">
        <v>1713</v>
      </c>
    </row>
    <row r="22" spans="2:44" ht="18" customHeight="1">
      <c r="B22" s="1">
        <v>3</v>
      </c>
      <c r="C22" s="1" t="s">
        <v>1714</v>
      </c>
    </row>
    <row r="23" spans="2:44" ht="18" customHeight="1">
      <c r="B23" s="1"/>
      <c r="C23" s="1" t="s">
        <v>1715</v>
      </c>
      <c r="V23" s="2276" t="s">
        <v>1716</v>
      </c>
      <c r="W23" s="2276"/>
      <c r="X23" s="2276"/>
      <c r="Y23" s="2276"/>
      <c r="Z23" s="2276"/>
    </row>
    <row r="24" spans="2:44" ht="18" customHeight="1">
      <c r="B24" s="1"/>
      <c r="C24" s="1" t="s">
        <v>1717</v>
      </c>
    </row>
    <row r="25" spans="2:44" ht="18" customHeight="1">
      <c r="B25" s="1"/>
      <c r="C25" s="1" t="s">
        <v>1718</v>
      </c>
    </row>
  </sheetData>
  <mergeCells count="23">
    <mergeCell ref="A1:C1"/>
    <mergeCell ref="M3:N3"/>
    <mergeCell ref="X14:X20"/>
    <mergeCell ref="M11:N11"/>
    <mergeCell ref="M14:N14"/>
    <mergeCell ref="O5:O13"/>
    <mergeCell ref="O14:O15"/>
    <mergeCell ref="V15:W15"/>
    <mergeCell ref="AN3:AP3"/>
    <mergeCell ref="V23:Z23"/>
    <mergeCell ref="AG17:AG18"/>
    <mergeCell ref="AP5:AP13"/>
    <mergeCell ref="AN9:AO9"/>
    <mergeCell ref="AN12:AO12"/>
    <mergeCell ref="AP17:AP18"/>
    <mergeCell ref="AE3:AF3"/>
    <mergeCell ref="AG5:AG13"/>
    <mergeCell ref="AE11:AF11"/>
    <mergeCell ref="AE14:AF14"/>
    <mergeCell ref="V3:W3"/>
    <mergeCell ref="X5:X13"/>
    <mergeCell ref="V10:W10"/>
    <mergeCell ref="V12:W12"/>
  </mergeCells>
  <phoneticPr fontId="8" type="noConversion"/>
  <hyperlinks>
    <hyperlink ref="H9" location="Stock!M1" display="Display" xr:uid="{896F4140-C6EB-4D3F-B96D-5256B3058A71}"/>
    <hyperlink ref="H11" location="Stock!W1" display="Display" xr:uid="{FE1D3B41-7A50-4A69-83DD-580C96818B5C}"/>
    <hyperlink ref="H12" location="Stock!AF1" display="Display" xr:uid="{8B0EC832-01AE-4137-B59A-71300EFE5A0F}"/>
    <hyperlink ref="Q1" location="Stock!A1" display="Contents" xr:uid="{FD18E421-18F8-4C6C-8674-CA6D88F2A323}"/>
    <hyperlink ref="Z1" location="Stock!A1" display="Contents" xr:uid="{E2279480-C18E-4772-B531-5A9D67FAE3EE}"/>
    <hyperlink ref="AI1" location="Stock!A1" display="Contents" xr:uid="{214851D9-5F56-4434-8502-6427D36829D4}"/>
    <hyperlink ref="AR1" location="Stock!A1" display="Contents" xr:uid="{D3C582EB-350B-4936-84EE-C168FF4924BE}"/>
    <hyperlink ref="H10" location="Stock!W1" display="Display" xr:uid="{96A4F4F8-8818-48E3-8CF5-8DB9F2F72A66}"/>
  </hyperlink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ABAD-74B7-45F9-9BC1-FB77E370EFD2}">
  <sheetPr codeName="Sheet21"/>
  <dimension ref="A1:EN114"/>
  <sheetViews>
    <sheetView topLeftCell="D1" zoomScaleNormal="100" workbookViewId="0">
      <selection activeCell="M1" sqref="M1"/>
    </sheetView>
  </sheetViews>
  <sheetFormatPr defaultRowHeight="14.4"/>
  <cols>
    <col min="2" max="2" width="11" customWidth="1"/>
    <col min="3" max="3" width="26.44140625" bestFit="1" customWidth="1"/>
    <col min="4" max="4" width="37.6640625" bestFit="1" customWidth="1"/>
    <col min="5" max="5" width="54.44140625" bestFit="1" customWidth="1"/>
    <col min="6" max="6" width="11.44140625" bestFit="1" customWidth="1"/>
    <col min="7" max="7" width="11.44140625" customWidth="1"/>
    <col min="8" max="8" width="13.88671875" bestFit="1" customWidth="1"/>
    <col min="9" max="9" width="15.44140625" customWidth="1"/>
    <col min="10" max="10" width="26.44140625" bestFit="1" customWidth="1"/>
    <col min="13" max="13" width="22.5546875" bestFit="1" customWidth="1"/>
    <col min="14" max="14" width="29.44140625" customWidth="1"/>
    <col min="15" max="15" width="42.44140625" customWidth="1"/>
    <col min="16" max="16" width="23.5546875" customWidth="1"/>
    <col min="17" max="17" width="19.88671875" customWidth="1"/>
    <col min="18" max="18" width="76.5546875" customWidth="1"/>
    <col min="19" max="22" width="9.44140625" customWidth="1"/>
    <col min="23" max="23" width="24.44140625" customWidth="1"/>
    <col min="24" max="24" width="29.44140625" customWidth="1"/>
    <col min="25" max="25" width="42.44140625" customWidth="1"/>
    <col min="26" max="26" width="10.5546875" bestFit="1" customWidth="1"/>
    <col min="27" max="27" width="52.5546875" customWidth="1"/>
    <col min="28" max="29" width="8.109375" customWidth="1"/>
    <col min="32" max="32" width="25.5546875" customWidth="1"/>
    <col min="33" max="35" width="30" customWidth="1"/>
    <col min="36" max="36" width="10.5546875" bestFit="1" customWidth="1"/>
    <col min="37" max="37" width="51.5546875" customWidth="1"/>
    <col min="38" max="38" width="29" customWidth="1"/>
    <col min="39" max="39" width="18.88671875" customWidth="1"/>
    <col min="40" max="42" width="10.44140625" customWidth="1"/>
    <col min="43" max="43" width="29.88671875" customWidth="1"/>
    <col min="44" max="44" width="20.5546875" customWidth="1"/>
    <col min="45" max="46" width="30.5546875" customWidth="1"/>
    <col min="47" max="47" width="16.5546875" customWidth="1"/>
    <col min="49" max="49" width="47" customWidth="1"/>
    <col min="53" max="53" width="29.88671875" customWidth="1"/>
    <col min="54" max="54" width="21.88671875" customWidth="1"/>
    <col min="55" max="57" width="22.5546875" customWidth="1"/>
    <col min="58" max="58" width="14.44140625" customWidth="1"/>
    <col min="59" max="59" width="50.5546875" customWidth="1"/>
    <col min="63" max="63" width="40.33203125" customWidth="1"/>
    <col min="64" max="64" width="25.44140625" customWidth="1"/>
    <col min="65" max="65" width="42" customWidth="1"/>
    <col min="66" max="68" width="31.44140625" customWidth="1"/>
    <col min="70" max="70" width="45.44140625" customWidth="1"/>
    <col min="75" max="75" width="25.44140625" customWidth="1"/>
    <col min="76" max="76" width="28.44140625" customWidth="1"/>
    <col min="77" max="79" width="31.44140625" customWidth="1"/>
    <col min="91" max="91" width="45.44140625" customWidth="1"/>
    <col min="96" max="96" width="25.44140625" customWidth="1"/>
    <col min="97" max="97" width="28.44140625" customWidth="1"/>
    <col min="98" max="98" width="31.44140625" customWidth="1"/>
    <col min="99" max="100" width="23.44140625" customWidth="1"/>
    <col min="102" max="102" width="45.44140625" customWidth="1"/>
    <col min="107" max="107" width="21.5546875" customWidth="1"/>
    <col min="108" max="108" width="27.88671875" customWidth="1"/>
    <col min="113" max="113" width="63.44140625" customWidth="1"/>
    <col min="117" max="117" width="17.44140625" customWidth="1"/>
    <col min="118" max="118" width="23" customWidth="1"/>
    <col min="119" max="120" width="15.88671875" customWidth="1"/>
    <col min="121" max="121" width="13.88671875" customWidth="1"/>
    <col min="122" max="122" width="17.44140625" customWidth="1"/>
    <col min="123" max="123" width="14.44140625" customWidth="1"/>
    <col min="124" max="124" width="10.44140625" customWidth="1"/>
    <col min="125" max="125" width="50" customWidth="1"/>
    <col min="130" max="130" width="20" customWidth="1"/>
    <col min="131" max="133" width="22.5546875" customWidth="1"/>
    <col min="134" max="134" width="10.88671875" customWidth="1"/>
    <col min="135" max="135" width="50.5546875" customWidth="1"/>
    <col min="140" max="140" width="20" customWidth="1"/>
    <col min="141" max="143" width="22.5546875" customWidth="1"/>
    <col min="144" max="144" width="10.88671875" customWidth="1"/>
    <col min="145" max="145" width="50.5546875" customWidth="1"/>
  </cols>
  <sheetData>
    <row r="1" spans="1:144" ht="21" customHeight="1">
      <c r="A1" s="2337" t="s">
        <v>1719</v>
      </c>
      <c r="B1" s="2337"/>
      <c r="C1" s="2337"/>
      <c r="D1" s="891"/>
      <c r="E1" s="351"/>
      <c r="F1" s="351"/>
      <c r="G1" s="351"/>
      <c r="H1" s="351"/>
      <c r="I1" s="351"/>
      <c r="M1" s="140" t="s">
        <v>83</v>
      </c>
      <c r="O1" s="122" t="s">
        <v>1720</v>
      </c>
      <c r="P1" s="122"/>
      <c r="Q1" s="122"/>
      <c r="R1" s="198" t="s">
        <v>336</v>
      </c>
      <c r="W1" s="185" t="s">
        <v>164</v>
      </c>
      <c r="X1" s="122"/>
      <c r="Y1" s="122"/>
      <c r="Z1" s="122"/>
      <c r="AA1" s="198" t="s">
        <v>336</v>
      </c>
      <c r="AB1" s="122"/>
      <c r="AF1" s="185" t="s">
        <v>1721</v>
      </c>
      <c r="AG1" s="122"/>
      <c r="AH1" s="122"/>
      <c r="AI1" s="122"/>
      <c r="AJ1" s="122"/>
      <c r="AK1" s="198" t="s">
        <v>336</v>
      </c>
      <c r="AQ1" s="185" t="s">
        <v>1722</v>
      </c>
      <c r="AR1" s="122"/>
      <c r="AS1" s="122"/>
      <c r="AT1" s="122"/>
      <c r="AU1" s="122"/>
      <c r="AV1" s="198" t="s">
        <v>336</v>
      </c>
      <c r="BA1" s="2354" t="s">
        <v>1723</v>
      </c>
      <c r="BB1" s="2354"/>
      <c r="BC1" s="122"/>
      <c r="BD1" s="122"/>
      <c r="BE1" s="122"/>
      <c r="BF1" s="198" t="s">
        <v>336</v>
      </c>
      <c r="BK1" s="185" t="s">
        <v>50</v>
      </c>
      <c r="BL1" s="185"/>
      <c r="BM1" s="122"/>
      <c r="BN1" s="122"/>
      <c r="BO1" s="122"/>
      <c r="BP1" s="122"/>
      <c r="BQ1" s="198" t="s">
        <v>336</v>
      </c>
      <c r="BV1" s="185" t="s">
        <v>1724</v>
      </c>
      <c r="BW1" s="185"/>
      <c r="BX1" s="122"/>
      <c r="BY1" s="122"/>
      <c r="BZ1" s="122"/>
      <c r="CA1" s="122"/>
      <c r="CB1" s="198" t="s">
        <v>336</v>
      </c>
      <c r="CC1" s="416"/>
      <c r="CD1" s="416"/>
      <c r="CE1" s="185" t="s">
        <v>1725</v>
      </c>
      <c r="CF1" s="185"/>
      <c r="CG1" s="122"/>
      <c r="CH1" s="122"/>
      <c r="CI1" s="122"/>
      <c r="CJ1" s="122"/>
      <c r="CK1" s="198" t="s">
        <v>336</v>
      </c>
      <c r="CL1" s="416"/>
      <c r="CQ1" s="185" t="s">
        <v>1726</v>
      </c>
      <c r="CR1" s="185"/>
      <c r="CS1" s="122"/>
      <c r="CT1" s="122"/>
      <c r="CU1" s="122"/>
      <c r="CV1" s="122"/>
      <c r="CW1" s="198" t="s">
        <v>336</v>
      </c>
      <c r="DB1" s="185" t="s">
        <v>1727</v>
      </c>
      <c r="DC1" s="185"/>
      <c r="DD1" s="122"/>
      <c r="DE1" s="122"/>
      <c r="DF1" s="122"/>
      <c r="DG1" s="122"/>
      <c r="DH1" s="198" t="s">
        <v>336</v>
      </c>
      <c r="DM1" s="185" t="s">
        <v>1728</v>
      </c>
      <c r="DN1" s="185"/>
      <c r="DO1" s="185"/>
      <c r="DP1" s="185"/>
      <c r="DQ1" s="122"/>
      <c r="DR1" s="122"/>
      <c r="DS1" s="198" t="s">
        <v>336</v>
      </c>
      <c r="DY1" s="185" t="s">
        <v>167</v>
      </c>
      <c r="DZ1" s="185"/>
      <c r="EA1" s="122"/>
      <c r="EB1" s="122"/>
      <c r="EC1" s="122"/>
      <c r="ED1" s="198" t="s">
        <v>336</v>
      </c>
      <c r="EI1" s="185" t="s">
        <v>166</v>
      </c>
      <c r="EJ1" s="185"/>
      <c r="EK1" s="122"/>
      <c r="EL1" s="122"/>
      <c r="EM1" s="122"/>
      <c r="EN1" s="198" t="s">
        <v>336</v>
      </c>
    </row>
    <row r="2" spans="1:144" ht="21">
      <c r="E2" s="51"/>
      <c r="F2" s="51"/>
      <c r="G2" s="51"/>
      <c r="H2" s="51"/>
      <c r="I2" s="51"/>
    </row>
    <row r="3" spans="1:144" ht="18">
      <c r="B3" s="356" t="s">
        <v>230</v>
      </c>
      <c r="C3" s="356" t="s">
        <v>2</v>
      </c>
      <c r="D3" s="356" t="s">
        <v>122</v>
      </c>
      <c r="E3" s="376" t="s">
        <v>1729</v>
      </c>
      <c r="F3" s="357" t="s">
        <v>232</v>
      </c>
      <c r="G3" s="357" t="s">
        <v>231</v>
      </c>
      <c r="H3" s="357" t="s">
        <v>360</v>
      </c>
      <c r="J3" s="170" t="s">
        <v>1730</v>
      </c>
      <c r="M3" s="2355" t="s">
        <v>1731</v>
      </c>
      <c r="N3" s="2356"/>
      <c r="O3" s="892"/>
      <c r="P3" s="892"/>
      <c r="Q3" s="115" t="s">
        <v>232</v>
      </c>
      <c r="R3" s="131" t="s">
        <v>1732</v>
      </c>
      <c r="S3" s="122"/>
      <c r="W3" s="2355" t="s">
        <v>164</v>
      </c>
      <c r="X3" s="2356"/>
      <c r="Y3" s="892"/>
      <c r="Z3" s="115" t="s">
        <v>232</v>
      </c>
      <c r="AA3" s="115" t="s">
        <v>295</v>
      </c>
      <c r="AF3" s="131" t="s">
        <v>53</v>
      </c>
      <c r="AG3" s="209"/>
      <c r="AH3" s="892"/>
      <c r="AI3" s="892"/>
      <c r="AJ3" s="115" t="s">
        <v>232</v>
      </c>
      <c r="AK3" s="115" t="s">
        <v>295</v>
      </c>
      <c r="AQ3" s="2355" t="s">
        <v>1733</v>
      </c>
      <c r="AR3" s="2356"/>
      <c r="AS3" s="892"/>
      <c r="AT3" s="892"/>
      <c r="AU3" s="197" t="s">
        <v>232</v>
      </c>
      <c r="AV3" s="892" t="s">
        <v>291</v>
      </c>
      <c r="BA3" s="2355" t="s">
        <v>1733</v>
      </c>
      <c r="BB3" s="2356"/>
      <c r="BC3" s="892"/>
      <c r="BD3" s="892"/>
      <c r="BE3" s="197" t="s">
        <v>232</v>
      </c>
      <c r="BF3" s="199" t="s">
        <v>1734</v>
      </c>
      <c r="BK3" s="2355" t="s">
        <v>50</v>
      </c>
      <c r="BL3" s="2356"/>
      <c r="BM3" s="892"/>
      <c r="BN3" s="892"/>
      <c r="BO3" s="892"/>
      <c r="BP3" s="197" t="s">
        <v>232</v>
      </c>
      <c r="BQ3" s="199" t="s">
        <v>1735</v>
      </c>
      <c r="BV3" s="131" t="s">
        <v>1736</v>
      </c>
      <c r="BW3" s="209"/>
      <c r="BX3" s="892"/>
      <c r="BY3" s="892"/>
      <c r="BZ3" s="892"/>
      <c r="CA3" s="197" t="s">
        <v>232</v>
      </c>
      <c r="CB3" s="199" t="s">
        <v>1737</v>
      </c>
      <c r="CC3" s="453"/>
      <c r="CD3" s="453"/>
      <c r="CE3" s="131" t="s">
        <v>1736</v>
      </c>
      <c r="CF3" s="209"/>
      <c r="CG3" s="892"/>
      <c r="CH3" s="892"/>
      <c r="CI3" s="892"/>
      <c r="CJ3" s="197" t="s">
        <v>232</v>
      </c>
      <c r="CK3" s="199" t="s">
        <v>1737</v>
      </c>
      <c r="CL3" s="453"/>
      <c r="CQ3" s="1562" t="s">
        <v>1726</v>
      </c>
      <c r="CR3" s="1563"/>
      <c r="CS3" s="1563"/>
      <c r="CT3" s="892"/>
      <c r="CU3" s="892"/>
      <c r="CV3" s="197" t="s">
        <v>232</v>
      </c>
      <c r="CW3" s="199" t="s">
        <v>1738</v>
      </c>
      <c r="DB3" s="250" t="s">
        <v>1739</v>
      </c>
      <c r="DC3" s="115"/>
      <c r="DD3" s="115"/>
      <c r="DE3" s="892"/>
      <c r="DF3" s="892"/>
      <c r="DG3" s="197" t="s">
        <v>232</v>
      </c>
      <c r="DH3" s="199" t="s">
        <v>1737</v>
      </c>
      <c r="DM3" s="1556" t="s">
        <v>1728</v>
      </c>
      <c r="DN3" s="1557"/>
      <c r="DO3" s="1557"/>
      <c r="DP3" s="1557"/>
      <c r="DQ3" s="892"/>
      <c r="DR3" s="892"/>
      <c r="DS3" s="197" t="s">
        <v>232</v>
      </c>
      <c r="DT3" s="199" t="s">
        <v>1734</v>
      </c>
      <c r="DY3" s="1562" t="s">
        <v>167</v>
      </c>
      <c r="DZ3" s="1563"/>
      <c r="EA3" s="1563"/>
      <c r="EB3" s="1633"/>
      <c r="EC3" s="374" t="s">
        <v>232</v>
      </c>
      <c r="ED3" s="375" t="s">
        <v>1734</v>
      </c>
      <c r="EI3" s="1562" t="s">
        <v>1740</v>
      </c>
      <c r="EJ3" s="1563"/>
      <c r="EK3" s="1563"/>
      <c r="EL3" s="1633"/>
      <c r="EM3" s="374" t="s">
        <v>232</v>
      </c>
      <c r="EN3" s="375" t="s">
        <v>1734</v>
      </c>
    </row>
    <row r="4" spans="1:144" ht="18.600000000000001" thickBot="1">
      <c r="B4" s="835">
        <v>1</v>
      </c>
      <c r="C4" s="349" t="s">
        <v>228</v>
      </c>
      <c r="D4" s="205" t="s">
        <v>83</v>
      </c>
      <c r="E4" s="138" t="s">
        <v>274</v>
      </c>
      <c r="F4" s="138" t="s">
        <v>275</v>
      </c>
      <c r="G4" s="138">
        <v>1</v>
      </c>
      <c r="H4" s="162" t="s">
        <v>233</v>
      </c>
      <c r="J4" t="s">
        <v>174</v>
      </c>
      <c r="M4" s="168" t="s">
        <v>350</v>
      </c>
      <c r="N4" s="169" t="s">
        <v>351</v>
      </c>
      <c r="O4" s="116"/>
      <c r="P4" s="116"/>
      <c r="Q4" s="116" t="s">
        <v>352</v>
      </c>
      <c r="R4" s="53" t="s">
        <v>348</v>
      </c>
      <c r="W4" s="168" t="s">
        <v>350</v>
      </c>
      <c r="X4" s="417" t="s">
        <v>351</v>
      </c>
      <c r="Y4" s="245"/>
      <c r="Z4" s="116" t="s">
        <v>352</v>
      </c>
      <c r="AA4" s="53" t="s">
        <v>348</v>
      </c>
      <c r="AF4" s="168" t="s">
        <v>350</v>
      </c>
      <c r="AG4" s="169" t="s">
        <v>351</v>
      </c>
      <c r="AH4" s="116"/>
      <c r="AI4" s="116"/>
      <c r="AJ4" s="116" t="s">
        <v>352</v>
      </c>
      <c r="AK4" s="53" t="s">
        <v>348</v>
      </c>
      <c r="AQ4" s="168" t="s">
        <v>350</v>
      </c>
      <c r="AR4" s="169" t="s">
        <v>351</v>
      </c>
      <c r="AS4" s="116"/>
      <c r="AT4" s="116"/>
      <c r="AU4" s="116" t="s">
        <v>352</v>
      </c>
      <c r="AV4" s="53" t="s">
        <v>348</v>
      </c>
      <c r="BA4" s="168" t="s">
        <v>350</v>
      </c>
      <c r="BB4" s="169" t="s">
        <v>351</v>
      </c>
      <c r="BC4" s="116"/>
      <c r="BD4" s="116"/>
      <c r="BE4" s="116" t="s">
        <v>352</v>
      </c>
      <c r="BF4" s="53" t="s">
        <v>348</v>
      </c>
      <c r="BK4" s="168" t="s">
        <v>350</v>
      </c>
      <c r="BL4" s="169" t="s">
        <v>351</v>
      </c>
      <c r="BM4" s="116"/>
      <c r="BN4" s="116"/>
      <c r="BO4" s="116"/>
      <c r="BP4" s="116" t="s">
        <v>352</v>
      </c>
      <c r="BQ4" s="53" t="s">
        <v>348</v>
      </c>
      <c r="BV4" s="168" t="s">
        <v>350</v>
      </c>
      <c r="BW4" s="169" t="s">
        <v>351</v>
      </c>
      <c r="BX4" s="116"/>
      <c r="BY4" s="116"/>
      <c r="BZ4" s="116"/>
      <c r="CA4" s="116" t="s">
        <v>352</v>
      </c>
      <c r="CB4" s="53" t="s">
        <v>348</v>
      </c>
      <c r="CC4" s="53"/>
      <c r="CD4" s="53"/>
      <c r="CE4" s="168" t="s">
        <v>350</v>
      </c>
      <c r="CF4" s="169" t="s">
        <v>351</v>
      </c>
      <c r="CG4" s="116"/>
      <c r="CH4" s="116"/>
      <c r="CI4" s="116"/>
      <c r="CJ4" s="116" t="s">
        <v>352</v>
      </c>
      <c r="CK4" s="53" t="s">
        <v>348</v>
      </c>
      <c r="CL4" s="53"/>
      <c r="CQ4" s="168" t="s">
        <v>350</v>
      </c>
      <c r="CR4" s="169" t="s">
        <v>351</v>
      </c>
      <c r="CS4" s="116"/>
      <c r="CT4" s="116"/>
      <c r="CU4" s="116"/>
      <c r="CV4" s="116" t="s">
        <v>352</v>
      </c>
      <c r="CW4" s="53" t="s">
        <v>348</v>
      </c>
      <c r="DB4" s="168" t="s">
        <v>350</v>
      </c>
      <c r="DC4" s="169" t="s">
        <v>351</v>
      </c>
      <c r="DD4" s="116"/>
      <c r="DE4" s="116"/>
      <c r="DF4" s="116"/>
      <c r="DG4" s="116" t="s">
        <v>352</v>
      </c>
      <c r="DH4" s="53" t="s">
        <v>348</v>
      </c>
      <c r="DM4" s="168" t="s">
        <v>350</v>
      </c>
      <c r="DN4" s="169" t="s">
        <v>351</v>
      </c>
      <c r="DO4" s="116"/>
      <c r="DP4" s="116"/>
      <c r="DQ4" s="116"/>
      <c r="DR4" s="116"/>
      <c r="DS4" s="116" t="s">
        <v>352</v>
      </c>
      <c r="DT4" s="53" t="s">
        <v>348</v>
      </c>
      <c r="DY4" s="168" t="s">
        <v>350</v>
      </c>
      <c r="DZ4" s="169" t="s">
        <v>351</v>
      </c>
      <c r="EA4" s="116"/>
      <c r="EB4" s="116"/>
      <c r="EC4" s="52" t="s">
        <v>352</v>
      </c>
      <c r="ED4" s="76" t="s">
        <v>348</v>
      </c>
      <c r="EI4" s="168" t="s">
        <v>350</v>
      </c>
      <c r="EJ4" s="169" t="s">
        <v>351</v>
      </c>
      <c r="EK4" s="116"/>
      <c r="EL4" s="116"/>
      <c r="EM4" s="52" t="s">
        <v>352</v>
      </c>
      <c r="EN4" s="76" t="s">
        <v>348</v>
      </c>
    </row>
    <row r="5" spans="1:144" ht="15.6" customHeight="1">
      <c r="B5" s="835">
        <v>2</v>
      </c>
      <c r="C5" s="349" t="s">
        <v>174</v>
      </c>
      <c r="D5" s="831" t="s">
        <v>174</v>
      </c>
      <c r="E5" s="138" t="s">
        <v>279</v>
      </c>
      <c r="F5" s="138" t="s">
        <v>280</v>
      </c>
      <c r="G5" s="138">
        <v>3</v>
      </c>
      <c r="H5" s="162" t="s">
        <v>233</v>
      </c>
      <c r="J5" t="s">
        <v>261</v>
      </c>
      <c r="M5" s="167" t="s">
        <v>353</v>
      </c>
      <c r="N5" s="189" t="s">
        <v>354</v>
      </c>
      <c r="O5" s="171"/>
      <c r="P5" s="171"/>
      <c r="Q5" s="174">
        <v>1</v>
      </c>
      <c r="R5" s="133"/>
      <c r="W5" s="167" t="s">
        <v>353</v>
      </c>
      <c r="X5" s="189" t="s">
        <v>354</v>
      </c>
      <c r="Y5" s="245"/>
      <c r="Z5" s="418" t="s">
        <v>1125</v>
      </c>
      <c r="AA5" s="133"/>
      <c r="AB5" s="133"/>
      <c r="AF5" s="167" t="s">
        <v>353</v>
      </c>
      <c r="AG5" s="164" t="s">
        <v>354</v>
      </c>
      <c r="AH5" s="164"/>
      <c r="AI5" s="186"/>
      <c r="AJ5" s="284" t="s">
        <v>1125</v>
      </c>
      <c r="AK5" s="178"/>
      <c r="AQ5" s="167" t="s">
        <v>353</v>
      </c>
      <c r="AR5" s="189" t="s">
        <v>354</v>
      </c>
      <c r="AS5" s="171"/>
      <c r="AT5" s="171"/>
      <c r="AU5" s="196">
        <v>1</v>
      </c>
      <c r="AV5" s="178"/>
      <c r="BA5" s="167" t="s">
        <v>353</v>
      </c>
      <c r="BB5" s="189" t="s">
        <v>1741</v>
      </c>
      <c r="BC5" s="189"/>
      <c r="BD5" s="189"/>
      <c r="BE5" s="196">
        <v>1</v>
      </c>
      <c r="BF5" s="178"/>
      <c r="BK5" s="167" t="s">
        <v>1126</v>
      </c>
      <c r="BL5" s="189" t="s">
        <v>1742</v>
      </c>
      <c r="BM5" s="204"/>
      <c r="BN5" s="204"/>
      <c r="BO5" s="204"/>
      <c r="BP5" s="196">
        <v>1</v>
      </c>
      <c r="BQ5" s="178"/>
      <c r="BV5" s="167" t="s">
        <v>1126</v>
      </c>
      <c r="BW5" s="189" t="s">
        <v>1742</v>
      </c>
      <c r="BX5" s="204"/>
      <c r="BY5" s="204"/>
      <c r="BZ5" s="204"/>
      <c r="CA5" s="196">
        <v>1</v>
      </c>
      <c r="CB5" s="178"/>
      <c r="CC5" s="133"/>
      <c r="CD5" s="133"/>
      <c r="CE5" s="167" t="s">
        <v>1126</v>
      </c>
      <c r="CF5" s="189" t="s">
        <v>1742</v>
      </c>
      <c r="CG5" s="204"/>
      <c r="CH5" s="204"/>
      <c r="CI5" s="204"/>
      <c r="CJ5" s="196">
        <v>1</v>
      </c>
      <c r="CK5" s="178"/>
      <c r="CL5" s="133"/>
      <c r="CQ5" s="167" t="s">
        <v>1126</v>
      </c>
      <c r="CR5" s="189" t="s">
        <v>1742</v>
      </c>
      <c r="CS5" s="204"/>
      <c r="CT5" s="204"/>
      <c r="CU5" s="204"/>
      <c r="CV5" s="196">
        <v>1</v>
      </c>
      <c r="CW5" s="178"/>
      <c r="DB5" s="167" t="s">
        <v>1126</v>
      </c>
      <c r="DC5" s="189" t="s">
        <v>1742</v>
      </c>
      <c r="DD5" s="204"/>
      <c r="DE5" s="204"/>
      <c r="DF5" s="204"/>
      <c r="DG5" s="196">
        <v>1</v>
      </c>
      <c r="DH5" s="178"/>
      <c r="DM5" s="167" t="s">
        <v>353</v>
      </c>
      <c r="DN5" s="355" t="s">
        <v>354</v>
      </c>
      <c r="DO5" s="132"/>
      <c r="DP5" s="132"/>
      <c r="DQ5" s="2348" t="s">
        <v>1743</v>
      </c>
      <c r="DR5" s="2313"/>
      <c r="DS5" s="361">
        <v>1</v>
      </c>
      <c r="DT5" s="133" t="s">
        <v>1744</v>
      </c>
      <c r="DY5" s="167" t="s">
        <v>353</v>
      </c>
      <c r="DZ5" s="189" t="s">
        <v>354</v>
      </c>
      <c r="EA5" s="204"/>
      <c r="EB5" s="204"/>
      <c r="EC5" s="363">
        <v>1</v>
      </c>
      <c r="ED5" s="178"/>
      <c r="EI5" s="167" t="s">
        <v>353</v>
      </c>
      <c r="EJ5" s="189" t="s">
        <v>354</v>
      </c>
      <c r="EK5" s="204"/>
      <c r="EL5" s="204"/>
      <c r="EM5" s="363">
        <v>1</v>
      </c>
      <c r="EN5" s="178"/>
    </row>
    <row r="6" spans="1:144" ht="18" customHeight="1" thickBot="1">
      <c r="B6" s="835">
        <v>3.1</v>
      </c>
      <c r="C6" s="515" t="s">
        <v>269</v>
      </c>
      <c r="D6" s="832" t="s">
        <v>1745</v>
      </c>
      <c r="E6" s="138" t="s">
        <v>283</v>
      </c>
      <c r="F6" s="138" t="s">
        <v>284</v>
      </c>
      <c r="G6" s="138">
        <v>1</v>
      </c>
      <c r="H6" s="162" t="s">
        <v>233</v>
      </c>
      <c r="J6" t="s">
        <v>276</v>
      </c>
      <c r="M6" s="172" t="s">
        <v>1746</v>
      </c>
      <c r="N6" s="189" t="s">
        <v>354</v>
      </c>
      <c r="O6" s="171"/>
      <c r="P6" s="171"/>
      <c r="Q6" s="174"/>
      <c r="R6" s="133"/>
      <c r="W6" s="167" t="s">
        <v>1126</v>
      </c>
      <c r="X6" s="189" t="s">
        <v>354</v>
      </c>
      <c r="Y6" s="171"/>
      <c r="Z6" s="418" t="s">
        <v>1127</v>
      </c>
      <c r="AA6" t="s">
        <v>1747</v>
      </c>
      <c r="AB6" s="133"/>
      <c r="AF6" s="167" t="s">
        <v>1126</v>
      </c>
      <c r="AG6" s="189" t="s">
        <v>354</v>
      </c>
      <c r="AH6" s="164"/>
      <c r="AI6" s="186"/>
      <c r="AJ6" s="284" t="s">
        <v>1127</v>
      </c>
      <c r="AK6" s="178"/>
      <c r="AQ6" s="167" t="s">
        <v>1131</v>
      </c>
      <c r="AR6" s="181" t="s">
        <v>1748</v>
      </c>
      <c r="AU6" s="196">
        <v>2</v>
      </c>
      <c r="AV6" s="178" t="s">
        <v>1749</v>
      </c>
      <c r="BA6" s="167" t="s">
        <v>1126</v>
      </c>
      <c r="BB6" s="189"/>
      <c r="BC6" s="201"/>
      <c r="BD6" s="201"/>
      <c r="BE6" s="196">
        <v>2</v>
      </c>
      <c r="BF6" s="178"/>
      <c r="BK6" s="167" t="s">
        <v>353</v>
      </c>
      <c r="BL6" s="189" t="s">
        <v>1750</v>
      </c>
      <c r="BM6" s="204"/>
      <c r="BN6" s="204"/>
      <c r="BO6" s="204"/>
      <c r="BP6" s="196">
        <v>2</v>
      </c>
      <c r="BQ6" s="182"/>
      <c r="BV6" s="167" t="s">
        <v>353</v>
      </c>
      <c r="BW6" s="189" t="s">
        <v>1751</v>
      </c>
      <c r="BX6" s="204"/>
      <c r="BY6" s="204"/>
      <c r="BZ6" s="204"/>
      <c r="CA6" s="196">
        <v>2</v>
      </c>
      <c r="CB6" s="182"/>
      <c r="CC6" s="170"/>
      <c r="CD6" s="170"/>
      <c r="CE6" s="167" t="s">
        <v>353</v>
      </c>
      <c r="CF6" s="189" t="s">
        <v>1751</v>
      </c>
      <c r="CG6" s="204"/>
      <c r="CH6" s="204"/>
      <c r="CI6" s="204"/>
      <c r="CJ6" s="196">
        <v>2</v>
      </c>
      <c r="CK6" s="182"/>
      <c r="CL6" s="170"/>
      <c r="CQ6" s="167" t="s">
        <v>353</v>
      </c>
      <c r="CR6" s="189" t="s">
        <v>1750</v>
      </c>
      <c r="CS6" s="204"/>
      <c r="CT6" s="204"/>
      <c r="CU6" s="204"/>
      <c r="CV6" s="196">
        <v>2</v>
      </c>
      <c r="CW6" s="182"/>
      <c r="DB6" s="167" t="s">
        <v>353</v>
      </c>
      <c r="DC6" s="189" t="s">
        <v>1750</v>
      </c>
      <c r="DD6" s="204"/>
      <c r="DE6" s="204"/>
      <c r="DF6" s="204"/>
      <c r="DG6" s="196">
        <v>2</v>
      </c>
      <c r="DH6" s="182"/>
      <c r="DM6" s="190" t="s">
        <v>1126</v>
      </c>
      <c r="DN6" s="355" t="s">
        <v>1742</v>
      </c>
      <c r="DO6" s="132"/>
      <c r="DP6" s="132"/>
      <c r="DQ6" s="2349"/>
      <c r="DR6" s="2314"/>
      <c r="DS6" s="361">
        <v>2</v>
      </c>
      <c r="DT6" s="133"/>
      <c r="DY6" s="167" t="s">
        <v>1126</v>
      </c>
      <c r="DZ6" s="360" t="s">
        <v>354</v>
      </c>
      <c r="EA6" s="292"/>
      <c r="EB6" s="66"/>
      <c r="EC6" s="363">
        <v>2</v>
      </c>
      <c r="ED6" s="178"/>
      <c r="EI6" s="167" t="s">
        <v>1126</v>
      </c>
      <c r="EJ6" s="360" t="s">
        <v>354</v>
      </c>
      <c r="EK6" s="292"/>
      <c r="EL6" s="66"/>
      <c r="EM6" s="363">
        <v>2</v>
      </c>
      <c r="EN6" s="178"/>
    </row>
    <row r="7" spans="1:144" ht="18" customHeight="1">
      <c r="B7" s="835">
        <v>3.2</v>
      </c>
      <c r="C7" s="515" t="s">
        <v>269</v>
      </c>
      <c r="D7" s="180" t="s">
        <v>164</v>
      </c>
      <c r="E7" s="138" t="s">
        <v>294</v>
      </c>
      <c r="F7" s="138" t="s">
        <v>295</v>
      </c>
      <c r="G7" s="138">
        <v>1</v>
      </c>
      <c r="H7" s="162" t="s">
        <v>233</v>
      </c>
      <c r="J7" t="s">
        <v>172</v>
      </c>
      <c r="M7" s="2332" t="s">
        <v>1752</v>
      </c>
      <c r="N7" s="2333"/>
      <c r="O7" s="2359"/>
      <c r="P7" s="2359"/>
      <c r="Q7" s="2334"/>
      <c r="R7" s="133"/>
      <c r="W7" s="167" t="s">
        <v>370</v>
      </c>
      <c r="X7" s="181" t="s">
        <v>1753</v>
      </c>
      <c r="Y7" s="2363" t="s">
        <v>1754</v>
      </c>
      <c r="Z7" s="418">
        <v>2</v>
      </c>
      <c r="AA7" s="133" t="s">
        <v>1755</v>
      </c>
      <c r="AB7" s="133"/>
      <c r="AF7" s="167" t="s">
        <v>372</v>
      </c>
      <c r="AG7" s="5" t="s">
        <v>1756</v>
      </c>
      <c r="AH7" s="5"/>
      <c r="AI7" s="283"/>
      <c r="AJ7" s="284">
        <v>4</v>
      </c>
      <c r="AQ7" s="190"/>
      <c r="AR7" s="146"/>
      <c r="AU7" s="196"/>
      <c r="AV7" s="178"/>
      <c r="BA7" s="167" t="s">
        <v>1757</v>
      </c>
      <c r="BB7" s="841" t="s">
        <v>1758</v>
      </c>
      <c r="BC7" s="2330"/>
      <c r="BD7" s="2328"/>
      <c r="BE7" s="196">
        <v>3</v>
      </c>
      <c r="BF7" s="178"/>
      <c r="BK7" s="167"/>
      <c r="BL7" s="201"/>
      <c r="BM7" s="256"/>
      <c r="BN7" s="256"/>
      <c r="BO7" s="256"/>
      <c r="BP7" s="196"/>
      <c r="BQ7" s="182"/>
      <c r="BV7" s="167"/>
      <c r="BW7" s="201"/>
      <c r="BX7" s="256"/>
      <c r="BY7" s="256"/>
      <c r="BZ7" s="256"/>
      <c r="CA7" s="196"/>
      <c r="CB7" s="182"/>
      <c r="CC7" s="170"/>
      <c r="CD7" s="170"/>
      <c r="CE7" s="167"/>
      <c r="CF7" s="201"/>
      <c r="CG7" s="256"/>
      <c r="CH7" s="256"/>
      <c r="CI7" s="256"/>
      <c r="CJ7" s="196"/>
      <c r="CK7" s="182"/>
      <c r="CL7" s="170"/>
      <c r="CQ7" s="172"/>
      <c r="CR7" s="201"/>
      <c r="CS7" s="256"/>
      <c r="CT7" s="256"/>
      <c r="CU7" s="256"/>
      <c r="CV7" s="196"/>
      <c r="CW7" s="170"/>
      <c r="DB7" s="167" t="s">
        <v>1759</v>
      </c>
      <c r="DC7" s="2305" t="s">
        <v>1760</v>
      </c>
      <c r="DD7" s="2306"/>
      <c r="DE7" s="2306"/>
      <c r="DF7" s="2307"/>
      <c r="DG7" s="196">
        <v>3</v>
      </c>
      <c r="DH7" s="170" t="s">
        <v>1761</v>
      </c>
      <c r="DM7" s="167" t="s">
        <v>1762</v>
      </c>
      <c r="DN7" s="2331" t="s">
        <v>1763</v>
      </c>
      <c r="DO7" s="2331"/>
      <c r="DP7" s="2344"/>
      <c r="DQ7" s="2349"/>
      <c r="DR7" s="2314"/>
      <c r="DS7" s="361">
        <v>3</v>
      </c>
      <c r="DT7" s="133" t="s">
        <v>1764</v>
      </c>
      <c r="DY7" s="2319" t="s">
        <v>1765</v>
      </c>
      <c r="DZ7" s="2321"/>
      <c r="EA7" s="2321"/>
      <c r="EB7" s="2321"/>
      <c r="EC7" s="217"/>
      <c r="EI7" s="1791" t="s">
        <v>1765</v>
      </c>
      <c r="EJ7" s="1792"/>
      <c r="EK7" s="1792"/>
      <c r="EL7" s="1792"/>
      <c r="EM7" s="217"/>
    </row>
    <row r="8" spans="1:144" ht="24" customHeight="1">
      <c r="B8" s="835">
        <v>3.3</v>
      </c>
      <c r="C8" s="515" t="s">
        <v>269</v>
      </c>
      <c r="D8" s="180" t="s">
        <v>1721</v>
      </c>
      <c r="E8" s="138" t="s">
        <v>290</v>
      </c>
      <c r="F8" s="138" t="s">
        <v>291</v>
      </c>
      <c r="G8" s="138">
        <v>1</v>
      </c>
      <c r="H8" s="162" t="s">
        <v>233</v>
      </c>
      <c r="J8" t="s">
        <v>289</v>
      </c>
      <c r="M8" s="886"/>
      <c r="N8" s="887"/>
      <c r="O8" s="887"/>
      <c r="P8" s="887"/>
      <c r="Q8" s="888"/>
      <c r="R8" s="133" t="s">
        <v>1766</v>
      </c>
      <c r="W8" s="167" t="s">
        <v>1757</v>
      </c>
      <c r="X8" s="181" t="s">
        <v>1767</v>
      </c>
      <c r="Y8" s="2364"/>
      <c r="Z8" s="418">
        <v>3</v>
      </c>
      <c r="AA8" t="s">
        <v>1768</v>
      </c>
      <c r="AF8" s="167" t="s">
        <v>1757</v>
      </c>
      <c r="AG8" s="5" t="s">
        <v>1769</v>
      </c>
      <c r="AH8" s="167"/>
      <c r="AI8" s="164"/>
      <c r="AJ8" s="284">
        <v>2</v>
      </c>
      <c r="AK8" s="182" t="s">
        <v>1770</v>
      </c>
      <c r="AQ8" s="190" t="s">
        <v>372</v>
      </c>
      <c r="AR8" s="191" t="s">
        <v>1771</v>
      </c>
      <c r="AS8" s="171"/>
      <c r="AU8" s="196">
        <v>3</v>
      </c>
      <c r="AV8" s="182" t="s">
        <v>1772</v>
      </c>
      <c r="BA8" s="167" t="s">
        <v>370</v>
      </c>
      <c r="BB8" s="840" t="s">
        <v>413</v>
      </c>
      <c r="BC8" s="842"/>
      <c r="BD8" s="843"/>
      <c r="BE8" s="196">
        <v>4</v>
      </c>
      <c r="BF8" t="s">
        <v>365</v>
      </c>
      <c r="BK8" s="167"/>
      <c r="BL8" s="177"/>
      <c r="BM8" s="205"/>
      <c r="BN8" s="205"/>
      <c r="BO8" s="205"/>
      <c r="BP8" s="196">
        <v>3</v>
      </c>
      <c r="BQ8" s="202"/>
      <c r="BV8" s="167" t="s">
        <v>804</v>
      </c>
      <c r="BW8" s="177" t="s">
        <v>1773</v>
      </c>
      <c r="BX8" s="205"/>
      <c r="BY8" s="205"/>
      <c r="BZ8" s="205"/>
      <c r="CA8" s="196">
        <v>3</v>
      </c>
      <c r="CB8" s="202" t="s">
        <v>1774</v>
      </c>
      <c r="CC8" s="454"/>
      <c r="CD8" s="454"/>
      <c r="CE8" s="454"/>
      <c r="CF8" s="454"/>
      <c r="CG8" s="454"/>
      <c r="CH8" s="454"/>
      <c r="CI8" s="454"/>
      <c r="CJ8" s="454"/>
      <c r="CK8" s="454"/>
      <c r="CL8" s="454"/>
      <c r="CQ8" s="2369" t="s">
        <v>1775</v>
      </c>
      <c r="CR8" s="2370"/>
      <c r="CS8" s="2370"/>
      <c r="CT8" s="2370"/>
      <c r="CU8" s="2371"/>
      <c r="CV8" s="196"/>
      <c r="DB8" s="167" t="s">
        <v>675</v>
      </c>
      <c r="DC8" s="165" t="s">
        <v>433</v>
      </c>
      <c r="DD8" s="2308" t="s">
        <v>1776</v>
      </c>
      <c r="DE8" s="2309"/>
      <c r="DF8" s="2310"/>
      <c r="DG8" s="196">
        <v>4</v>
      </c>
      <c r="DH8" s="170" t="s">
        <v>1777</v>
      </c>
      <c r="DM8" s="167" t="s">
        <v>340</v>
      </c>
      <c r="DN8" s="2331" t="s">
        <v>365</v>
      </c>
      <c r="DO8" s="2331"/>
      <c r="DP8" s="2344"/>
      <c r="DQ8" s="2349"/>
      <c r="DR8" s="2314"/>
      <c r="DS8" s="361">
        <v>3</v>
      </c>
      <c r="DT8" s="133" t="s">
        <v>1778</v>
      </c>
      <c r="DY8" s="327" t="s">
        <v>1779</v>
      </c>
      <c r="DZ8" s="2342" t="s">
        <v>377</v>
      </c>
      <c r="EA8" s="2343"/>
      <c r="EB8" s="63"/>
      <c r="EC8" s="364">
        <v>4</v>
      </c>
      <c r="ED8" s="229" t="s">
        <v>1780</v>
      </c>
      <c r="EI8" s="327" t="s">
        <v>1779</v>
      </c>
      <c r="EJ8" s="2342" t="s">
        <v>377</v>
      </c>
      <c r="EK8" s="2343"/>
      <c r="EL8" s="63"/>
      <c r="EM8" s="364">
        <v>4</v>
      </c>
      <c r="EN8" s="229" t="s">
        <v>1780</v>
      </c>
    </row>
    <row r="9" spans="1:144" ht="18" customHeight="1">
      <c r="B9" s="835">
        <v>3.4</v>
      </c>
      <c r="C9" s="515" t="s">
        <v>269</v>
      </c>
      <c r="D9" s="180" t="s">
        <v>1781</v>
      </c>
      <c r="E9" s="138" t="s">
        <v>277</v>
      </c>
      <c r="F9" s="138" t="s">
        <v>278</v>
      </c>
      <c r="G9" s="138">
        <v>1</v>
      </c>
      <c r="H9" s="162" t="s">
        <v>233</v>
      </c>
      <c r="J9" t="s">
        <v>296</v>
      </c>
      <c r="M9" s="167" t="s">
        <v>1782</v>
      </c>
      <c r="N9" s="165" t="s">
        <v>1783</v>
      </c>
      <c r="O9" s="165"/>
      <c r="P9" s="165"/>
      <c r="Q9" s="134" t="s">
        <v>1129</v>
      </c>
      <c r="R9" s="133" t="s">
        <v>1784</v>
      </c>
      <c r="W9" s="167" t="s">
        <v>1785</v>
      </c>
      <c r="X9" s="419" t="s">
        <v>1786</v>
      </c>
      <c r="Y9" s="2364"/>
      <c r="Z9" s="418">
        <v>4</v>
      </c>
      <c r="AF9" s="167" t="s">
        <v>1787</v>
      </c>
      <c r="AG9" s="2296" t="s">
        <v>1788</v>
      </c>
      <c r="AH9" s="2297"/>
      <c r="AI9" s="66"/>
      <c r="AJ9" s="424">
        <v>3</v>
      </c>
      <c r="AK9" s="178" t="s">
        <v>1789</v>
      </c>
      <c r="AQ9" s="167" t="s">
        <v>1790</v>
      </c>
      <c r="AR9" s="191" t="s">
        <v>1771</v>
      </c>
      <c r="AS9" s="167" t="s">
        <v>1791</v>
      </c>
      <c r="AT9" s="193" t="s">
        <v>354</v>
      </c>
      <c r="AU9" s="196">
        <v>4</v>
      </c>
      <c r="AV9" s="182"/>
      <c r="BA9" s="167" t="s">
        <v>340</v>
      </c>
      <c r="BB9" s="841" t="s">
        <v>1792</v>
      </c>
      <c r="BC9" s="842"/>
      <c r="BD9" s="843"/>
      <c r="BE9" s="196">
        <v>5</v>
      </c>
      <c r="BF9" t="s">
        <v>1793</v>
      </c>
      <c r="BK9" s="200" t="s">
        <v>1794</v>
      </c>
      <c r="BL9" s="177" t="s">
        <v>1795</v>
      </c>
      <c r="BM9" s="2360"/>
      <c r="BN9" s="2361"/>
      <c r="BO9" s="2362"/>
      <c r="BP9" s="196">
        <v>4</v>
      </c>
      <c r="BQ9" s="202"/>
      <c r="BV9" s="200" t="s">
        <v>1794</v>
      </c>
      <c r="BW9" s="177" t="s">
        <v>1795</v>
      </c>
      <c r="BX9" s="2360"/>
      <c r="BY9" s="2361"/>
      <c r="BZ9" s="2362"/>
      <c r="CA9" s="196">
        <v>4</v>
      </c>
      <c r="CB9" s="202"/>
      <c r="CC9" s="454"/>
      <c r="CD9" s="454"/>
      <c r="CE9" s="454"/>
      <c r="CF9" s="454"/>
      <c r="CG9" s="454"/>
      <c r="CH9" s="454"/>
      <c r="CI9" s="454"/>
      <c r="CJ9" s="454"/>
      <c r="CK9" s="454"/>
      <c r="CL9" s="454"/>
      <c r="CQ9" s="200" t="s">
        <v>1126</v>
      </c>
      <c r="CR9" s="2357" t="s">
        <v>1796</v>
      </c>
      <c r="CS9" s="2358"/>
      <c r="CT9" s="167" t="s">
        <v>1797</v>
      </c>
      <c r="CU9" s="858"/>
      <c r="CV9" s="196">
        <v>3</v>
      </c>
      <c r="CW9" s="71"/>
      <c r="DB9" s="167" t="s">
        <v>1798</v>
      </c>
      <c r="DC9" s="165" t="s">
        <v>385</v>
      </c>
      <c r="DD9" s="2308"/>
      <c r="DE9" s="2309"/>
      <c r="DF9" s="2310"/>
      <c r="DG9" s="196">
        <v>5</v>
      </c>
      <c r="DH9" s="170" t="s">
        <v>1799</v>
      </c>
      <c r="DM9" s="167" t="s">
        <v>804</v>
      </c>
      <c r="DN9" s="2331" t="s">
        <v>1800</v>
      </c>
      <c r="DO9" s="2331"/>
      <c r="DP9" s="2344"/>
      <c r="DQ9" s="2349"/>
      <c r="DR9" s="2314"/>
      <c r="DS9" s="361">
        <v>4</v>
      </c>
      <c r="DT9" s="133" t="s">
        <v>1801</v>
      </c>
      <c r="DY9" s="327" t="s">
        <v>1802</v>
      </c>
      <c r="DZ9" s="2352" t="s">
        <v>354</v>
      </c>
      <c r="EA9" s="2353"/>
      <c r="EB9" s="229"/>
      <c r="EC9" s="363">
        <v>5</v>
      </c>
      <c r="ED9" t="s">
        <v>1803</v>
      </c>
      <c r="EI9" s="327" t="s">
        <v>1802</v>
      </c>
      <c r="EJ9" s="2352" t="s">
        <v>354</v>
      </c>
      <c r="EK9" s="2353"/>
      <c r="EL9" s="229"/>
      <c r="EM9" s="363">
        <v>5</v>
      </c>
      <c r="EN9" t="s">
        <v>1803</v>
      </c>
    </row>
    <row r="10" spans="1:144" ht="26.4" customHeight="1" thickBot="1">
      <c r="B10" s="835">
        <v>3.4</v>
      </c>
      <c r="C10" s="515" t="s">
        <v>269</v>
      </c>
      <c r="D10" s="180" t="s">
        <v>50</v>
      </c>
      <c r="E10" s="138" t="s">
        <v>281</v>
      </c>
      <c r="F10" s="138" t="s">
        <v>282</v>
      </c>
      <c r="G10" s="138">
        <v>1</v>
      </c>
      <c r="H10" s="162" t="s">
        <v>233</v>
      </c>
      <c r="J10" t="s">
        <v>228</v>
      </c>
      <c r="M10" s="167" t="s">
        <v>34</v>
      </c>
      <c r="N10" s="165" t="s">
        <v>475</v>
      </c>
      <c r="O10" s="165"/>
      <c r="P10" s="165"/>
      <c r="Q10" s="134" t="s">
        <v>1128</v>
      </c>
      <c r="R10" s="133"/>
      <c r="W10" s="167" t="s">
        <v>402</v>
      </c>
      <c r="X10" s="419" t="s">
        <v>1804</v>
      </c>
      <c r="Y10" s="2364"/>
      <c r="Z10" s="418">
        <v>5</v>
      </c>
      <c r="AA10" t="s">
        <v>1805</v>
      </c>
      <c r="AF10" s="167" t="s">
        <v>1806</v>
      </c>
      <c r="AG10" s="164"/>
      <c r="AH10" s="180"/>
      <c r="AI10" s="205"/>
      <c r="AJ10" s="284" t="s">
        <v>853</v>
      </c>
      <c r="AK10" s="839" t="s">
        <v>1807</v>
      </c>
      <c r="AQ10" s="167" t="s">
        <v>1808</v>
      </c>
      <c r="AR10" s="164" t="s">
        <v>1809</v>
      </c>
      <c r="AS10" s="167" t="s">
        <v>1810</v>
      </c>
      <c r="AT10" s="189" t="s">
        <v>1811</v>
      </c>
      <c r="AU10" s="196">
        <v>5</v>
      </c>
      <c r="AV10" s="10" t="s">
        <v>1812</v>
      </c>
      <c r="BA10" s="167" t="s">
        <v>804</v>
      </c>
      <c r="BB10" s="840" t="s">
        <v>1813</v>
      </c>
      <c r="BC10" s="844"/>
      <c r="BD10" s="843"/>
      <c r="BE10" s="196">
        <v>6</v>
      </c>
      <c r="BF10" t="s">
        <v>1814</v>
      </c>
      <c r="BK10" s="200" t="s">
        <v>1815</v>
      </c>
      <c r="BL10" s="177" t="s">
        <v>385</v>
      </c>
      <c r="BM10" s="200" t="s">
        <v>399</v>
      </c>
      <c r="BN10" s="2311" t="s">
        <v>1816</v>
      </c>
      <c r="BO10" s="2312"/>
      <c r="BP10" s="196">
        <v>5</v>
      </c>
      <c r="BQ10" s="202"/>
      <c r="BV10" s="200" t="s">
        <v>1815</v>
      </c>
      <c r="BW10" s="177" t="s">
        <v>385</v>
      </c>
      <c r="BX10" s="200" t="s">
        <v>399</v>
      </c>
      <c r="BY10" s="2311" t="s">
        <v>1816</v>
      </c>
      <c r="BZ10" s="2312"/>
      <c r="CA10" s="196">
        <v>5</v>
      </c>
      <c r="CB10" s="202"/>
      <c r="CC10" s="454"/>
      <c r="CD10" s="454"/>
      <c r="CE10" s="454"/>
      <c r="CF10" s="454"/>
      <c r="CG10" s="454"/>
      <c r="CH10" s="454"/>
      <c r="CI10" s="454"/>
      <c r="CJ10" s="454"/>
      <c r="CK10" s="454"/>
      <c r="CL10" s="454"/>
      <c r="CQ10" s="200" t="s">
        <v>1817</v>
      </c>
      <c r="CR10" s="882" t="s">
        <v>1818</v>
      </c>
      <c r="CS10" s="882" t="s">
        <v>1819</v>
      </c>
      <c r="CT10" s="167" t="s">
        <v>1820</v>
      </c>
      <c r="CU10" s="858"/>
      <c r="CV10" s="196">
        <v>4</v>
      </c>
      <c r="CW10" s="156"/>
      <c r="DB10" s="167" t="s">
        <v>1821</v>
      </c>
      <c r="DC10" s="165" t="s">
        <v>1763</v>
      </c>
      <c r="DD10" s="881"/>
      <c r="DE10" s="881"/>
      <c r="DF10" s="881"/>
      <c r="DG10" s="257"/>
      <c r="DH10" s="170" t="s">
        <v>1822</v>
      </c>
      <c r="DM10" s="352" t="s">
        <v>1823</v>
      </c>
      <c r="DN10" s="2346" t="s">
        <v>1824</v>
      </c>
      <c r="DO10" s="2347"/>
      <c r="DP10" s="2347"/>
      <c r="DQ10" s="2350"/>
      <c r="DR10" s="2351"/>
      <c r="DS10" s="362">
        <v>5</v>
      </c>
      <c r="DT10" s="133" t="s">
        <v>1825</v>
      </c>
      <c r="DY10" s="373" t="s">
        <v>423</v>
      </c>
      <c r="DZ10" s="877" t="s">
        <v>1826</v>
      </c>
      <c r="EA10" s="876" t="s">
        <v>1827</v>
      </c>
      <c r="EB10" s="876" t="s">
        <v>1828</v>
      </c>
      <c r="EC10" s="217"/>
      <c r="EI10" s="373" t="s">
        <v>423</v>
      </c>
      <c r="EJ10" s="877" t="s">
        <v>1826</v>
      </c>
      <c r="EK10" s="876" t="s">
        <v>1827</v>
      </c>
      <c r="EL10" s="876" t="s">
        <v>1828</v>
      </c>
      <c r="EM10" s="217"/>
    </row>
    <row r="11" spans="1:144" ht="18.75" customHeight="1" thickBot="1">
      <c r="B11" s="835">
        <v>3.5</v>
      </c>
      <c r="C11" s="834" t="s">
        <v>269</v>
      </c>
      <c r="D11" s="180" t="s">
        <v>170</v>
      </c>
      <c r="E11" s="138" t="s">
        <v>285</v>
      </c>
      <c r="F11" s="138" t="s">
        <v>286</v>
      </c>
      <c r="G11" s="138">
        <v>1</v>
      </c>
      <c r="H11" s="162" t="s">
        <v>233</v>
      </c>
      <c r="J11" t="s">
        <v>299</v>
      </c>
      <c r="M11" s="167" t="s">
        <v>1829</v>
      </c>
      <c r="N11" s="165" t="s">
        <v>1830</v>
      </c>
      <c r="O11" s="165"/>
      <c r="P11" s="165"/>
      <c r="Q11" s="134" t="s">
        <v>1136</v>
      </c>
      <c r="R11" s="133"/>
      <c r="W11" s="167" t="s">
        <v>1126</v>
      </c>
      <c r="X11" s="181" t="s">
        <v>1831</v>
      </c>
      <c r="Y11" s="2364"/>
      <c r="Z11" s="418">
        <v>6</v>
      </c>
      <c r="AA11" s="133" t="s">
        <v>1832</v>
      </c>
      <c r="AF11" s="167" t="s">
        <v>1833</v>
      </c>
      <c r="AG11" s="5" t="s">
        <v>1834</v>
      </c>
      <c r="AH11" s="66"/>
      <c r="AI11" s="283"/>
      <c r="AJ11" s="284" t="s">
        <v>937</v>
      </c>
      <c r="AK11" s="187" t="s">
        <v>1835</v>
      </c>
      <c r="AQ11" s="183" t="s">
        <v>1836</v>
      </c>
      <c r="AR11" s="150" t="s">
        <v>1837</v>
      </c>
      <c r="AS11" s="188" t="s">
        <v>1838</v>
      </c>
      <c r="AT11" s="194" t="s">
        <v>1839</v>
      </c>
      <c r="AU11" s="196">
        <v>6</v>
      </c>
      <c r="AV11" s="187" t="s">
        <v>1840</v>
      </c>
      <c r="BA11" s="2329" t="s">
        <v>1841</v>
      </c>
      <c r="BB11" s="2329"/>
      <c r="BC11" s="2301" t="s">
        <v>1842</v>
      </c>
      <c r="BD11" s="2302"/>
      <c r="BE11" s="196"/>
      <c r="BF11" s="178"/>
      <c r="BK11" s="200" t="s">
        <v>1843</v>
      </c>
      <c r="BL11" s="177" t="s">
        <v>1844</v>
      </c>
      <c r="BM11" s="898"/>
      <c r="BN11" s="898"/>
      <c r="BO11" s="242"/>
      <c r="BP11" s="196">
        <v>6</v>
      </c>
      <c r="BQ11" s="182"/>
      <c r="BV11" s="200" t="s">
        <v>1843</v>
      </c>
      <c r="BW11" s="177" t="s">
        <v>1844</v>
      </c>
      <c r="BX11" s="898"/>
      <c r="BY11" s="898"/>
      <c r="BZ11" s="899"/>
      <c r="CA11" s="196">
        <v>6</v>
      </c>
      <c r="CB11" s="182"/>
      <c r="CC11" s="170"/>
      <c r="CD11" s="170"/>
      <c r="CE11" s="170"/>
      <c r="CF11" s="170"/>
      <c r="CG11" s="170"/>
      <c r="CH11" s="170"/>
      <c r="CI11" s="170"/>
      <c r="CJ11" s="170"/>
      <c r="CK11" s="170"/>
      <c r="CL11" s="170"/>
      <c r="CQ11" s="200" t="s">
        <v>434</v>
      </c>
      <c r="CR11" s="2315" t="s">
        <v>1845</v>
      </c>
      <c r="CS11" s="2316"/>
      <c r="CT11" s="183" t="s">
        <v>1846</v>
      </c>
      <c r="CU11" s="858"/>
      <c r="CV11" s="196">
        <v>5</v>
      </c>
      <c r="CW11" s="187"/>
      <c r="DB11" s="192"/>
      <c r="DG11" s="217"/>
      <c r="DM11" s="2329" t="s">
        <v>1847</v>
      </c>
      <c r="DN11" s="2329"/>
      <c r="DO11" s="2329"/>
      <c r="DP11" s="2329"/>
      <c r="DQ11" s="2345"/>
      <c r="DR11" s="2345"/>
      <c r="DY11" s="327" t="s">
        <v>1848</v>
      </c>
      <c r="DZ11" s="367" t="s">
        <v>354</v>
      </c>
      <c r="EA11" s="367" t="s">
        <v>354</v>
      </c>
      <c r="EB11" s="367" t="s">
        <v>354</v>
      </c>
      <c r="EC11" s="364">
        <v>6</v>
      </c>
      <c r="ED11" s="901" t="s">
        <v>1849</v>
      </c>
      <c r="EI11" s="327" t="s">
        <v>1850</v>
      </c>
      <c r="EJ11" s="367" t="s">
        <v>354</v>
      </c>
      <c r="EK11" s="367" t="s">
        <v>354</v>
      </c>
      <c r="EL11" s="367" t="s">
        <v>354</v>
      </c>
      <c r="EM11" s="364">
        <v>6</v>
      </c>
      <c r="EN11" s="901" t="s">
        <v>1849</v>
      </c>
    </row>
    <row r="12" spans="1:144" ht="21.75" customHeight="1" thickBot="1">
      <c r="B12" s="835">
        <v>3.6</v>
      </c>
      <c r="C12" s="834" t="s">
        <v>269</v>
      </c>
      <c r="D12" s="180" t="s">
        <v>1851</v>
      </c>
      <c r="E12" s="138" t="s">
        <v>1852</v>
      </c>
      <c r="F12" s="138"/>
      <c r="G12" s="138"/>
      <c r="H12" s="162"/>
      <c r="J12" t="s">
        <v>1853</v>
      </c>
      <c r="M12" s="167" t="s">
        <v>1854</v>
      </c>
      <c r="N12" s="165" t="s">
        <v>1855</v>
      </c>
      <c r="O12" s="165"/>
      <c r="P12" s="165"/>
      <c r="Q12" s="134" t="s">
        <v>1856</v>
      </c>
      <c r="R12" s="133" t="s">
        <v>1857</v>
      </c>
      <c r="W12" s="167" t="s">
        <v>1858</v>
      </c>
      <c r="X12" s="419" t="s">
        <v>1859</v>
      </c>
      <c r="Y12" s="2364"/>
      <c r="Z12" s="418">
        <v>7</v>
      </c>
      <c r="AA12" s="133" t="s">
        <v>1860</v>
      </c>
      <c r="AF12" s="167" t="s">
        <v>1861</v>
      </c>
      <c r="AG12" s="422" t="s">
        <v>1862</v>
      </c>
      <c r="AI12" s="421"/>
      <c r="AJ12" s="420" t="s">
        <v>942</v>
      </c>
      <c r="AK12" s="9"/>
      <c r="AQ12" s="2319" t="s">
        <v>1863</v>
      </c>
      <c r="AR12" s="2320"/>
      <c r="AS12" s="2319" t="s">
        <v>1864</v>
      </c>
      <c r="AT12" s="2321"/>
      <c r="AU12" s="65">
        <v>7</v>
      </c>
      <c r="AV12" s="10"/>
      <c r="BA12" s="167" t="s">
        <v>1865</v>
      </c>
      <c r="BB12" s="846"/>
      <c r="BC12" s="2303"/>
      <c r="BD12" s="2304"/>
      <c r="BE12" s="196">
        <v>7.1</v>
      </c>
      <c r="BF12" s="178" t="s">
        <v>1866</v>
      </c>
      <c r="BK12" s="183" t="s">
        <v>1867</v>
      </c>
      <c r="BL12" s="164" t="s">
        <v>1868</v>
      </c>
      <c r="BM12" s="183" t="s">
        <v>1869</v>
      </c>
      <c r="BN12" s="164" t="s">
        <v>1868</v>
      </c>
      <c r="BO12" s="171"/>
      <c r="BP12" s="241" t="s">
        <v>876</v>
      </c>
      <c r="BQ12" s="207" t="s">
        <v>1870</v>
      </c>
      <c r="BV12" s="183" t="s">
        <v>1867</v>
      </c>
      <c r="BW12" s="201"/>
      <c r="BX12" s="183" t="s">
        <v>1869</v>
      </c>
      <c r="BY12" s="201"/>
      <c r="BZ12" s="205"/>
      <c r="CA12" s="196">
        <v>7</v>
      </c>
      <c r="CB12" s="207" t="s">
        <v>1871</v>
      </c>
      <c r="CC12" s="240"/>
      <c r="CD12" s="240"/>
      <c r="CE12" s="240"/>
      <c r="CF12" s="240"/>
      <c r="CG12" s="240"/>
      <c r="CH12" s="240"/>
      <c r="CI12" s="240"/>
      <c r="CJ12" s="240"/>
      <c r="CK12" s="240"/>
      <c r="CL12" s="240"/>
      <c r="CQ12" s="183" t="s">
        <v>1872</v>
      </c>
      <c r="CR12" s="189"/>
      <c r="CS12" s="2317" t="s">
        <v>1873</v>
      </c>
      <c r="CT12" s="218" t="s">
        <v>1874</v>
      </c>
      <c r="CU12" s="858"/>
      <c r="CV12" s="216">
        <v>6</v>
      </c>
      <c r="CW12" s="136"/>
      <c r="DB12" s="211" t="s">
        <v>1875</v>
      </c>
      <c r="DC12" s="212"/>
      <c r="DD12" s="212" t="s">
        <v>1876</v>
      </c>
      <c r="DE12" s="212" t="s">
        <v>1877</v>
      </c>
      <c r="DF12" s="212" t="s">
        <v>1878</v>
      </c>
      <c r="DG12" s="213" t="s">
        <v>1879</v>
      </c>
      <c r="DM12" s="221" t="s">
        <v>1880</v>
      </c>
      <c r="DN12" s="221" t="s">
        <v>1881</v>
      </c>
      <c r="DO12" s="221" t="s">
        <v>1882</v>
      </c>
      <c r="DP12" s="221" t="s">
        <v>1883</v>
      </c>
      <c r="DQ12" s="221" t="s">
        <v>1884</v>
      </c>
      <c r="DR12" s="221" t="s">
        <v>1885</v>
      </c>
      <c r="DY12" s="2373" t="s">
        <v>1886</v>
      </c>
      <c r="DZ12" s="2374"/>
      <c r="EA12" s="2374"/>
      <c r="EB12" s="2374"/>
      <c r="ED12" s="229"/>
      <c r="EI12" s="391" t="s">
        <v>1887</v>
      </c>
      <c r="EJ12" s="367" t="s">
        <v>354</v>
      </c>
      <c r="EK12" s="367" t="s">
        <v>354</v>
      </c>
      <c r="EL12" s="367" t="s">
        <v>354</v>
      </c>
      <c r="EM12" s="392">
        <v>7</v>
      </c>
      <c r="EN12" s="901"/>
    </row>
    <row r="13" spans="1:144" ht="21.75" customHeight="1" thickBot="1">
      <c r="B13" s="835">
        <v>4</v>
      </c>
      <c r="C13" s="834" t="s">
        <v>269</v>
      </c>
      <c r="D13" s="180" t="s">
        <v>51</v>
      </c>
      <c r="E13" s="138"/>
      <c r="F13" s="138"/>
      <c r="G13" s="138"/>
      <c r="H13" s="162"/>
      <c r="J13" t="s">
        <v>165</v>
      </c>
      <c r="M13" s="167" t="s">
        <v>1888</v>
      </c>
      <c r="N13" s="165" t="s">
        <v>1889</v>
      </c>
      <c r="O13" s="165"/>
      <c r="P13" s="165"/>
      <c r="Q13" s="134" t="s">
        <v>1890</v>
      </c>
      <c r="R13" s="133"/>
      <c r="W13" s="167" t="s">
        <v>1891</v>
      </c>
      <c r="X13" s="419"/>
      <c r="Y13" s="2364"/>
      <c r="Z13" s="418">
        <v>8</v>
      </c>
      <c r="AA13" s="133" t="s">
        <v>1892</v>
      </c>
      <c r="AF13" s="2322" t="s">
        <v>1836</v>
      </c>
      <c r="AG13" s="2298" t="s">
        <v>1893</v>
      </c>
      <c r="AH13" s="2300" t="s">
        <v>1894</v>
      </c>
      <c r="AI13" s="2313" t="s">
        <v>1895</v>
      </c>
      <c r="AJ13" s="420">
        <v>6</v>
      </c>
      <c r="AQ13" s="883"/>
      <c r="AR13" s="884"/>
      <c r="AS13" s="883"/>
      <c r="AT13" s="885"/>
      <c r="AU13" s="65"/>
      <c r="AV13" s="10"/>
      <c r="BA13" s="167" t="s">
        <v>1896</v>
      </c>
      <c r="BB13" s="841"/>
      <c r="BC13" s="2327" t="s">
        <v>1897</v>
      </c>
      <c r="BD13" s="2328"/>
      <c r="BE13" s="196">
        <v>7.2</v>
      </c>
      <c r="BF13" s="178"/>
      <c r="BK13" s="183" t="s">
        <v>1898</v>
      </c>
      <c r="BL13" s="164" t="s">
        <v>1868</v>
      </c>
      <c r="BM13" s="183" t="s">
        <v>1899</v>
      </c>
      <c r="BN13" s="164" t="s">
        <v>1868</v>
      </c>
      <c r="BO13" s="171"/>
      <c r="BP13" s="241" t="s">
        <v>954</v>
      </c>
      <c r="BQ13" s="240"/>
      <c r="BV13" s="2369" t="s">
        <v>1900</v>
      </c>
      <c r="BW13" s="2370"/>
      <c r="BX13" s="2370"/>
      <c r="BY13" s="2370"/>
      <c r="BZ13" s="2371"/>
      <c r="CA13" s="196"/>
      <c r="CQ13" s="192"/>
      <c r="CR13" s="171"/>
      <c r="CS13" s="2318"/>
      <c r="CT13" s="192"/>
      <c r="CU13" s="215"/>
      <c r="CV13" s="217"/>
      <c r="DM13" s="2050" t="s">
        <v>1901</v>
      </c>
      <c r="DN13" s="2051"/>
      <c r="DO13" s="2051"/>
      <c r="DP13" s="2051"/>
      <c r="DQ13" s="2051"/>
      <c r="DR13" s="2383"/>
      <c r="DS13" s="163">
        <v>6</v>
      </c>
      <c r="DY13" s="365" t="s">
        <v>423</v>
      </c>
      <c r="DZ13" s="876" t="s">
        <v>1902</v>
      </c>
      <c r="EA13" s="876" t="s">
        <v>1903</v>
      </c>
      <c r="EB13" s="876" t="s">
        <v>1828</v>
      </c>
      <c r="EI13" s="2373" t="s">
        <v>1886</v>
      </c>
      <c r="EJ13" s="2374"/>
      <c r="EK13" s="2374"/>
      <c r="EL13" s="2374"/>
      <c r="EN13" s="229"/>
    </row>
    <row r="14" spans="1:144" ht="18.75" customHeight="1" thickBot="1">
      <c r="B14" s="835">
        <v>4</v>
      </c>
      <c r="C14" s="834" t="s">
        <v>269</v>
      </c>
      <c r="D14" s="180" t="s">
        <v>1904</v>
      </c>
      <c r="E14" s="138" t="s">
        <v>1905</v>
      </c>
      <c r="F14" s="138"/>
      <c r="G14" s="138"/>
      <c r="H14" s="162"/>
      <c r="M14" s="167" t="s">
        <v>1746</v>
      </c>
      <c r="N14" s="166">
        <v>33652</v>
      </c>
      <c r="O14" s="166"/>
      <c r="P14" s="166"/>
      <c r="Q14" s="134" t="s">
        <v>1906</v>
      </c>
      <c r="R14" t="s">
        <v>1907</v>
      </c>
      <c r="W14" s="167" t="s">
        <v>428</v>
      </c>
      <c r="X14" s="181"/>
      <c r="Y14" s="2365"/>
      <c r="Z14" s="418">
        <v>9</v>
      </c>
      <c r="AA14" s="133" t="s">
        <v>1908</v>
      </c>
      <c r="AF14" s="2323"/>
      <c r="AG14" s="2298"/>
      <c r="AH14" s="2298"/>
      <c r="AI14" s="2314"/>
      <c r="AJ14" s="423"/>
      <c r="AK14" s="229"/>
      <c r="AL14" s="900"/>
      <c r="AM14" s="900"/>
      <c r="AN14" s="900"/>
      <c r="AQ14" s="183" t="s">
        <v>1909</v>
      </c>
      <c r="AR14" s="184" t="s">
        <v>385</v>
      </c>
      <c r="AS14" s="183" t="s">
        <v>1910</v>
      </c>
      <c r="AT14" s="195" t="s">
        <v>385</v>
      </c>
      <c r="AU14" s="65">
        <v>8</v>
      </c>
      <c r="AV14" s="10" t="s">
        <v>1911</v>
      </c>
      <c r="BA14" s="167" t="s">
        <v>1912</v>
      </c>
      <c r="BB14" s="840"/>
      <c r="BC14" s="2327" t="s">
        <v>1897</v>
      </c>
      <c r="BD14" s="2328"/>
      <c r="BE14" s="196">
        <v>7.3</v>
      </c>
      <c r="BF14" s="178"/>
      <c r="BK14" s="2369" t="s">
        <v>1900</v>
      </c>
      <c r="BL14" s="2370"/>
      <c r="BM14" s="2370"/>
      <c r="BN14" s="2370"/>
      <c r="BO14" s="2382"/>
      <c r="BP14" s="196"/>
      <c r="BV14" s="200" t="s">
        <v>1913</v>
      </c>
      <c r="BW14" s="882" t="s">
        <v>1914</v>
      </c>
      <c r="BX14" s="897" t="s">
        <v>1915</v>
      </c>
      <c r="BY14" s="167" t="s">
        <v>1916</v>
      </c>
      <c r="BZ14" s="902"/>
      <c r="CA14" s="196">
        <v>8</v>
      </c>
      <c r="CB14" s="71"/>
      <c r="CC14" s="9"/>
      <c r="CD14" s="9"/>
      <c r="CE14" s="9"/>
      <c r="CF14" s="9"/>
      <c r="CG14" s="9"/>
      <c r="CH14" s="9"/>
      <c r="CI14" s="9"/>
      <c r="CJ14" s="9"/>
      <c r="CK14" s="9"/>
      <c r="CL14" s="9"/>
      <c r="CQ14" s="192"/>
      <c r="CV14" s="217"/>
      <c r="DB14" s="890" t="s">
        <v>450</v>
      </c>
      <c r="DC14" s="890" t="s">
        <v>1917</v>
      </c>
      <c r="DD14" s="890"/>
      <c r="DM14" s="2384"/>
      <c r="DN14" s="2385"/>
      <c r="DO14" s="2385"/>
      <c r="DP14" s="2385"/>
      <c r="DQ14" s="2385"/>
      <c r="DR14" s="2386"/>
      <c r="DY14" s="366" t="s">
        <v>1802</v>
      </c>
      <c r="DZ14" s="195" t="s">
        <v>1918</v>
      </c>
      <c r="EA14" s="368"/>
      <c r="EB14" s="229"/>
      <c r="EC14" s="363">
        <v>7</v>
      </c>
      <c r="EI14" s="365" t="s">
        <v>423</v>
      </c>
      <c r="EJ14" s="876" t="s">
        <v>1902</v>
      </c>
      <c r="EK14" s="876" t="s">
        <v>1903</v>
      </c>
      <c r="EL14" s="876" t="s">
        <v>1828</v>
      </c>
    </row>
    <row r="15" spans="1:144" ht="15.75" customHeight="1" thickBot="1">
      <c r="B15" s="835">
        <v>5</v>
      </c>
      <c r="C15" s="349" t="s">
        <v>172</v>
      </c>
      <c r="D15" s="180" t="s">
        <v>172</v>
      </c>
      <c r="E15" s="138" t="s">
        <v>292</v>
      </c>
      <c r="F15" s="138" t="s">
        <v>293</v>
      </c>
      <c r="G15" s="138">
        <v>2</v>
      </c>
      <c r="H15" s="162" t="s">
        <v>233</v>
      </c>
      <c r="M15" s="167" t="s">
        <v>1919</v>
      </c>
      <c r="N15" s="165" t="s">
        <v>1920</v>
      </c>
      <c r="O15" s="165"/>
      <c r="P15" s="165"/>
      <c r="Q15" s="134" t="s">
        <v>1921</v>
      </c>
      <c r="R15" t="s">
        <v>1922</v>
      </c>
      <c r="AF15" s="2323"/>
      <c r="AG15" s="2298"/>
      <c r="AH15" s="2298"/>
      <c r="AI15" s="2314"/>
      <c r="AJ15" s="423"/>
      <c r="AK15" s="229"/>
      <c r="AL15" s="900"/>
      <c r="AM15" s="900"/>
      <c r="AN15" s="900"/>
      <c r="AQ15" s="183" t="s">
        <v>1923</v>
      </c>
      <c r="AR15" s="184" t="s">
        <v>1924</v>
      </c>
      <c r="AS15" s="183" t="s">
        <v>1923</v>
      </c>
      <c r="AT15" s="195" t="s">
        <v>1924</v>
      </c>
      <c r="AU15" s="65">
        <v>9</v>
      </c>
      <c r="AV15" s="10" t="s">
        <v>1924</v>
      </c>
      <c r="BA15" s="167" t="s">
        <v>1925</v>
      </c>
      <c r="BB15" s="846"/>
      <c r="BC15" s="845"/>
      <c r="BD15" s="843"/>
      <c r="BE15" s="196">
        <v>7.4</v>
      </c>
      <c r="BF15" s="178" t="s">
        <v>1926</v>
      </c>
      <c r="BK15" s="200" t="s">
        <v>1913</v>
      </c>
      <c r="BL15" s="882" t="s">
        <v>1914</v>
      </c>
      <c r="BM15" s="897" t="s">
        <v>1915</v>
      </c>
      <c r="BN15" s="167" t="s">
        <v>1916</v>
      </c>
      <c r="BO15" s="902"/>
      <c r="BP15" s="196">
        <v>8</v>
      </c>
      <c r="BQ15" s="71"/>
      <c r="BV15" s="200" t="s">
        <v>1927</v>
      </c>
      <c r="BW15" s="882" t="s">
        <v>1928</v>
      </c>
      <c r="BX15" s="882" t="s">
        <v>1928</v>
      </c>
      <c r="BY15" s="183" t="s">
        <v>1929</v>
      </c>
      <c r="BZ15" s="902"/>
      <c r="CA15" s="196">
        <v>9</v>
      </c>
      <c r="CB15" s="156" t="s">
        <v>1930</v>
      </c>
      <c r="CC15" s="9"/>
      <c r="CD15" s="9"/>
      <c r="CE15" s="9"/>
      <c r="CF15" s="9"/>
      <c r="CG15" s="9"/>
      <c r="CH15" s="9"/>
      <c r="CI15" s="9"/>
      <c r="CJ15" s="9"/>
      <c r="CK15" s="9"/>
      <c r="CL15" s="9"/>
      <c r="CQ15" s="211" t="s">
        <v>1875</v>
      </c>
      <c r="CR15" s="212"/>
      <c r="CS15" s="212" t="s">
        <v>1876</v>
      </c>
      <c r="CT15" s="212" t="s">
        <v>1877</v>
      </c>
      <c r="CU15" s="212" t="s">
        <v>1878</v>
      </c>
      <c r="CV15" s="213" t="s">
        <v>1879</v>
      </c>
      <c r="DB15" s="7"/>
      <c r="DC15" s="7"/>
      <c r="DD15" s="7"/>
      <c r="DE15" s="890"/>
      <c r="DF15" s="890"/>
      <c r="DM15" s="2384"/>
      <c r="DN15" s="2385"/>
      <c r="DO15" s="2385"/>
      <c r="DP15" s="2385"/>
      <c r="DQ15" s="2385"/>
      <c r="DR15" s="2386"/>
      <c r="DY15" s="366" t="s">
        <v>1848</v>
      </c>
      <c r="DZ15" s="369" t="s">
        <v>1931</v>
      </c>
      <c r="EA15" s="370" t="s">
        <v>1931</v>
      </c>
      <c r="EB15" s="367" t="s">
        <v>354</v>
      </c>
      <c r="EC15" s="363">
        <v>8</v>
      </c>
      <c r="ED15" s="229" t="s">
        <v>1932</v>
      </c>
      <c r="EI15" s="366" t="s">
        <v>1802</v>
      </c>
      <c r="EJ15" s="195" t="s">
        <v>1918</v>
      </c>
      <c r="EK15" s="368"/>
      <c r="EL15" s="229"/>
      <c r="EM15" s="363">
        <v>8</v>
      </c>
    </row>
    <row r="16" spans="1:144" ht="21" customHeight="1" thickBot="1">
      <c r="B16" s="835">
        <v>6</v>
      </c>
      <c r="C16" s="138" t="s">
        <v>165</v>
      </c>
      <c r="D16" s="178" t="s">
        <v>165</v>
      </c>
      <c r="E16" s="138" t="s">
        <v>307</v>
      </c>
      <c r="F16" s="138" t="s">
        <v>308</v>
      </c>
      <c r="G16" s="138">
        <v>3</v>
      </c>
      <c r="H16" s="162" t="s">
        <v>233</v>
      </c>
      <c r="M16" s="167" t="s">
        <v>1933</v>
      </c>
      <c r="N16" s="165" t="s">
        <v>1934</v>
      </c>
      <c r="O16" s="165"/>
      <c r="P16" s="165"/>
      <c r="Q16" s="134" t="s">
        <v>1935</v>
      </c>
      <c r="R16" t="s">
        <v>1936</v>
      </c>
      <c r="W16" s="133" t="s">
        <v>430</v>
      </c>
      <c r="X16" t="s">
        <v>1937</v>
      </c>
      <c r="Y16" s="7"/>
      <c r="Z16" s="7"/>
      <c r="AF16" s="2324"/>
      <c r="AG16" s="2299"/>
      <c r="AH16" s="2298"/>
      <c r="AI16" s="2314"/>
      <c r="AJ16" s="423"/>
      <c r="AK16" s="229"/>
      <c r="AL16" s="900"/>
      <c r="AM16" s="900"/>
      <c r="AN16" s="900"/>
      <c r="AQ16" s="183" t="s">
        <v>1938</v>
      </c>
      <c r="AR16" s="189" t="s">
        <v>354</v>
      </c>
      <c r="AS16" s="183" t="s">
        <v>1938</v>
      </c>
      <c r="AT16" s="189" t="s">
        <v>354</v>
      </c>
      <c r="AU16" s="65">
        <v>10</v>
      </c>
      <c r="AV16" s="10"/>
      <c r="BA16" s="167" t="s">
        <v>428</v>
      </c>
      <c r="BB16" s="2327" t="s">
        <v>1939</v>
      </c>
      <c r="BC16" s="2330"/>
      <c r="BD16" s="2328"/>
      <c r="BE16" s="196">
        <v>8</v>
      </c>
      <c r="BF16" s="178"/>
      <c r="BK16" s="200" t="s">
        <v>1927</v>
      </c>
      <c r="BL16" s="882" t="s">
        <v>1928</v>
      </c>
      <c r="BM16" s="882" t="s">
        <v>1928</v>
      </c>
      <c r="BN16" s="183" t="s">
        <v>1929</v>
      </c>
      <c r="BO16" s="902"/>
      <c r="BP16" s="196">
        <v>9</v>
      </c>
      <c r="BQ16" s="156" t="s">
        <v>1930</v>
      </c>
      <c r="BV16" s="200" t="s">
        <v>1940</v>
      </c>
      <c r="BW16" s="2315" t="s">
        <v>1845</v>
      </c>
      <c r="BX16" s="2315"/>
      <c r="BY16" s="183" t="s">
        <v>1941</v>
      </c>
      <c r="BZ16" s="902"/>
      <c r="CA16" s="196">
        <v>10</v>
      </c>
      <c r="CB16" s="187" t="s">
        <v>1942</v>
      </c>
      <c r="CC16" s="455"/>
      <c r="CD16" s="455"/>
      <c r="CE16" s="455"/>
      <c r="CF16" s="455"/>
      <c r="CG16" s="455"/>
      <c r="CH16" s="455"/>
      <c r="CI16" s="455"/>
      <c r="CJ16" s="455"/>
      <c r="CK16" s="455"/>
      <c r="CL16" s="455"/>
      <c r="DM16" s="2384"/>
      <c r="DN16" s="2385"/>
      <c r="DO16" s="2385"/>
      <c r="DP16" s="2385"/>
      <c r="DQ16" s="2385"/>
      <c r="DR16" s="2386"/>
      <c r="DY16" s="229"/>
      <c r="DZ16" s="229"/>
      <c r="EA16" s="229"/>
      <c r="EC16" s="889"/>
      <c r="EI16" s="366" t="s">
        <v>1850</v>
      </c>
      <c r="EJ16" s="369" t="s">
        <v>1931</v>
      </c>
      <c r="EK16" s="370" t="s">
        <v>1931</v>
      </c>
      <c r="EL16" s="367" t="s">
        <v>354</v>
      </c>
      <c r="EM16" s="363">
        <v>9</v>
      </c>
      <c r="EN16" s="229" t="s">
        <v>1932</v>
      </c>
    </row>
    <row r="17" spans="2:144" ht="18" customHeight="1" thickBot="1">
      <c r="B17" s="835">
        <v>7</v>
      </c>
      <c r="C17" s="515" t="s">
        <v>421</v>
      </c>
      <c r="D17" s="178" t="s">
        <v>168</v>
      </c>
      <c r="E17" s="138" t="s">
        <v>287</v>
      </c>
      <c r="F17" s="138" t="s">
        <v>288</v>
      </c>
      <c r="G17" s="138">
        <v>1</v>
      </c>
      <c r="H17" s="162" t="s">
        <v>233</v>
      </c>
      <c r="M17" s="167" t="s">
        <v>1943</v>
      </c>
      <c r="N17" s="165" t="s">
        <v>534</v>
      </c>
      <c r="O17" s="165"/>
      <c r="P17" s="165"/>
      <c r="Q17" s="134" t="s">
        <v>1944</v>
      </c>
      <c r="R17" t="s">
        <v>1945</v>
      </c>
      <c r="W17" s="133"/>
      <c r="X17" s="7" t="s">
        <v>1946</v>
      </c>
      <c r="AF17" s="2325" t="s">
        <v>1947</v>
      </c>
      <c r="AG17" s="2326"/>
      <c r="AH17" s="164" t="s">
        <v>1948</v>
      </c>
      <c r="AI17" s="164" t="s">
        <v>1949</v>
      </c>
      <c r="AJ17" s="425">
        <v>7</v>
      </c>
      <c r="AK17" s="229"/>
      <c r="AL17" s="900"/>
      <c r="AM17" s="900"/>
      <c r="AN17" s="900"/>
      <c r="BD17" s="210"/>
      <c r="BK17" s="200" t="s">
        <v>1940</v>
      </c>
      <c r="BL17" s="2315" t="s">
        <v>1845</v>
      </c>
      <c r="BM17" s="2315"/>
      <c r="BN17" s="183" t="s">
        <v>1941</v>
      </c>
      <c r="BO17" s="902"/>
      <c r="BP17" s="196">
        <v>10</v>
      </c>
      <c r="BQ17" s="187" t="s">
        <v>1942</v>
      </c>
      <c r="BV17" s="183" t="s">
        <v>1950</v>
      </c>
      <c r="BW17" s="164"/>
      <c r="BX17" s="2372" t="s">
        <v>1951</v>
      </c>
      <c r="BY17" s="200" t="s">
        <v>1846</v>
      </c>
      <c r="BZ17" s="902"/>
      <c r="CA17" s="196">
        <v>11</v>
      </c>
      <c r="CB17" s="10" t="s">
        <v>1952</v>
      </c>
      <c r="CQ17" s="890" t="s">
        <v>450</v>
      </c>
      <c r="CR17" s="890" t="s">
        <v>1953</v>
      </c>
      <c r="CS17" s="890"/>
      <c r="DM17" s="2384"/>
      <c r="DN17" s="2385"/>
      <c r="DO17" s="2385"/>
      <c r="DP17" s="2385"/>
      <c r="DQ17" s="2385"/>
      <c r="DR17" s="2386"/>
      <c r="DY17" s="372" t="s">
        <v>1875</v>
      </c>
      <c r="DZ17" s="371"/>
      <c r="EA17" s="371" t="s">
        <v>1876</v>
      </c>
      <c r="EB17" s="371" t="s">
        <v>1877</v>
      </c>
      <c r="EC17" s="889"/>
      <c r="ED17" s="229" t="s">
        <v>1954</v>
      </c>
      <c r="EI17" s="366" t="s">
        <v>1887</v>
      </c>
      <c r="EJ17" s="369" t="s">
        <v>1931</v>
      </c>
      <c r="EK17" s="370" t="s">
        <v>1931</v>
      </c>
      <c r="EL17" s="367" t="s">
        <v>354</v>
      </c>
      <c r="EM17" s="363">
        <v>10</v>
      </c>
    </row>
    <row r="18" spans="2:144" ht="18" customHeight="1" thickBot="1">
      <c r="B18" s="835">
        <v>8.1</v>
      </c>
      <c r="C18" s="515" t="s">
        <v>387</v>
      </c>
      <c r="D18" s="178" t="s">
        <v>169</v>
      </c>
      <c r="E18" s="138" t="s">
        <v>297</v>
      </c>
      <c r="F18" s="138" t="s">
        <v>298</v>
      </c>
      <c r="G18" s="138">
        <v>2</v>
      </c>
      <c r="H18" s="162" t="s">
        <v>233</v>
      </c>
      <c r="M18" s="167" t="s">
        <v>1955</v>
      </c>
      <c r="N18" s="165" t="s">
        <v>1956</v>
      </c>
      <c r="O18" s="165"/>
      <c r="P18" s="165"/>
      <c r="Q18" s="134" t="s">
        <v>1957</v>
      </c>
      <c r="R18" s="484" t="s">
        <v>710</v>
      </c>
      <c r="W18" s="296">
        <v>7</v>
      </c>
      <c r="X18" s="133" t="s">
        <v>1958</v>
      </c>
      <c r="AK18" s="229"/>
      <c r="AL18" s="900"/>
      <c r="AM18" s="900"/>
      <c r="AN18" s="900"/>
      <c r="AS18" t="s">
        <v>1959</v>
      </c>
      <c r="BA18" t="s">
        <v>1823</v>
      </c>
      <c r="BB18" s="2336"/>
      <c r="BC18" s="2336"/>
      <c r="BE18">
        <v>8</v>
      </c>
      <c r="BK18" s="200"/>
      <c r="BL18" s="882"/>
      <c r="BM18" s="882"/>
      <c r="BN18" s="200"/>
      <c r="BO18" s="902"/>
      <c r="BP18" s="196"/>
      <c r="BQ18" s="187"/>
      <c r="BV18" s="183"/>
      <c r="BW18" s="164"/>
      <c r="BX18" s="2372"/>
      <c r="BY18" s="208"/>
      <c r="BZ18" s="902"/>
      <c r="CA18" s="196"/>
      <c r="CB18" s="10"/>
      <c r="CQ18" s="890"/>
      <c r="CR18" s="890"/>
      <c r="CS18" s="890"/>
      <c r="DM18" s="2384"/>
      <c r="DN18" s="2385"/>
      <c r="DO18" s="2385"/>
      <c r="DP18" s="2385"/>
      <c r="DQ18" s="2385"/>
      <c r="DR18" s="2386"/>
      <c r="DY18" s="229"/>
      <c r="DZ18" s="229"/>
      <c r="EA18" s="229"/>
      <c r="EB18" s="229"/>
      <c r="EC18" s="889"/>
      <c r="ED18" s="229"/>
      <c r="EI18" s="229"/>
      <c r="EJ18" s="229"/>
      <c r="EK18" s="229"/>
      <c r="EM18" s="889"/>
    </row>
    <row r="19" spans="2:144" ht="15.6" customHeight="1" thickBot="1">
      <c r="B19" s="835">
        <v>8.1999999999999993</v>
      </c>
      <c r="C19" s="515" t="s">
        <v>407</v>
      </c>
      <c r="D19" s="180" t="s">
        <v>302</v>
      </c>
      <c r="E19" s="138" t="s">
        <v>303</v>
      </c>
      <c r="F19" s="138" t="s">
        <v>304</v>
      </c>
      <c r="G19" s="138">
        <v>2</v>
      </c>
      <c r="H19" s="162" t="s">
        <v>233</v>
      </c>
      <c r="M19" s="172"/>
      <c r="N19" s="177"/>
      <c r="O19" s="177"/>
      <c r="P19" s="177"/>
      <c r="Q19" s="174"/>
      <c r="W19" t="s">
        <v>1960</v>
      </c>
      <c r="AI19" s="236"/>
      <c r="AJ19" s="236"/>
      <c r="AK19" s="229"/>
      <c r="AL19" s="900"/>
      <c r="AM19" s="900"/>
      <c r="AN19" s="900"/>
      <c r="AQ19" s="192" t="s">
        <v>430</v>
      </c>
      <c r="AR19" t="s">
        <v>1961</v>
      </c>
      <c r="BA19" t="s">
        <v>572</v>
      </c>
      <c r="BB19" s="2096"/>
      <c r="BC19" s="2096"/>
      <c r="BE19">
        <v>9</v>
      </c>
      <c r="BK19" s="183" t="s">
        <v>1950</v>
      </c>
      <c r="BL19" s="164"/>
      <c r="BM19" s="2372" t="s">
        <v>1951</v>
      </c>
      <c r="BN19" s="200" t="s">
        <v>1846</v>
      </c>
      <c r="BO19" s="902"/>
      <c r="BP19" s="196">
        <v>11</v>
      </c>
      <c r="BQ19" s="10" t="s">
        <v>1952</v>
      </c>
      <c r="BV19" s="183" t="s">
        <v>844</v>
      </c>
      <c r="BW19" s="164"/>
      <c r="BX19" s="2372"/>
      <c r="BY19" s="208" t="s">
        <v>1962</v>
      </c>
      <c r="BZ19" s="902"/>
      <c r="CA19" s="196">
        <v>12</v>
      </c>
      <c r="CB19" s="10" t="s">
        <v>1963</v>
      </c>
      <c r="CQ19" s="7" t="s">
        <v>1964</v>
      </c>
      <c r="CR19" s="7"/>
      <c r="CS19" s="7"/>
      <c r="CT19" s="890"/>
      <c r="CU19" s="890"/>
      <c r="DM19" s="2384"/>
      <c r="DN19" s="2385"/>
      <c r="DO19" s="2385"/>
      <c r="DP19" s="2385"/>
      <c r="DQ19" s="2385"/>
      <c r="DR19" s="2386"/>
      <c r="EB19" s="129"/>
      <c r="EC19" s="889"/>
      <c r="EI19" s="372" t="s">
        <v>1875</v>
      </c>
      <c r="EJ19" s="371"/>
      <c r="EK19" s="371" t="s">
        <v>1876</v>
      </c>
      <c r="EL19" s="371" t="s">
        <v>1877</v>
      </c>
      <c r="EM19" s="889"/>
      <c r="EN19" s="229" t="s">
        <v>1954</v>
      </c>
    </row>
    <row r="20" spans="2:144" ht="15.6" customHeight="1" thickBot="1">
      <c r="B20" s="836">
        <v>8.3000000000000007</v>
      </c>
      <c r="C20" s="838" t="s">
        <v>407</v>
      </c>
      <c r="D20" s="833" t="s">
        <v>167</v>
      </c>
      <c r="E20" s="139" t="s">
        <v>300</v>
      </c>
      <c r="F20" s="139" t="s">
        <v>301</v>
      </c>
      <c r="G20" s="139">
        <v>2</v>
      </c>
      <c r="H20" s="837" t="s">
        <v>233</v>
      </c>
      <c r="M20" s="172"/>
      <c r="N20" s="177"/>
      <c r="O20" s="177"/>
      <c r="P20" s="177"/>
      <c r="Q20" s="174"/>
      <c r="W20" t="s">
        <v>1965</v>
      </c>
      <c r="AI20" s="236"/>
      <c r="AJ20" s="236"/>
      <c r="AK20" s="229"/>
      <c r="AL20" s="900"/>
      <c r="AM20" s="900"/>
      <c r="AN20" s="900"/>
      <c r="AQ20" s="192"/>
      <c r="BK20" s="183"/>
      <c r="BL20" s="164"/>
      <c r="BM20" s="2372"/>
      <c r="BN20" s="208"/>
      <c r="BO20" s="902"/>
      <c r="BP20" s="196"/>
      <c r="BQ20" s="10"/>
      <c r="BV20" s="819"/>
      <c r="BW20" s="132"/>
      <c r="BX20" s="820"/>
      <c r="BY20" s="819"/>
      <c r="BZ20" s="896"/>
      <c r="CA20" s="196"/>
      <c r="CB20" s="10"/>
      <c r="CQ20" s="7"/>
      <c r="CR20" s="7"/>
      <c r="CS20" s="7"/>
      <c r="CT20" s="890"/>
      <c r="CU20" s="890"/>
      <c r="DM20" s="900"/>
      <c r="DN20" s="900"/>
      <c r="DO20" s="900"/>
      <c r="DP20" s="900"/>
      <c r="DQ20" s="900"/>
      <c r="DR20" s="900"/>
      <c r="EB20" s="129"/>
      <c r="EC20" s="889"/>
      <c r="EI20" s="229"/>
      <c r="EJ20" s="229"/>
      <c r="EK20" s="229"/>
      <c r="EL20" s="229"/>
      <c r="EM20" s="889"/>
      <c r="EN20" s="229"/>
    </row>
    <row r="21" spans="2:144" ht="15.6" customHeight="1" thickBot="1">
      <c r="B21" s="836">
        <v>8.4</v>
      </c>
      <c r="C21" s="838" t="s">
        <v>407</v>
      </c>
      <c r="D21" s="833" t="s">
        <v>166</v>
      </c>
      <c r="E21" s="139" t="s">
        <v>305</v>
      </c>
      <c r="F21" s="139" t="s">
        <v>306</v>
      </c>
      <c r="G21" s="139">
        <v>2</v>
      </c>
      <c r="H21" s="837" t="s">
        <v>233</v>
      </c>
      <c r="M21" s="172"/>
      <c r="N21" s="177"/>
      <c r="O21" s="177"/>
      <c r="P21" s="177"/>
      <c r="Q21" s="174"/>
      <c r="AI21" s="236"/>
      <c r="AJ21" s="236"/>
      <c r="AK21" s="229"/>
      <c r="AL21" s="900"/>
      <c r="AM21" s="900"/>
      <c r="AN21" s="900"/>
      <c r="AQ21" s="192"/>
      <c r="BA21" s="211" t="s">
        <v>1875</v>
      </c>
      <c r="BB21" s="212"/>
      <c r="BC21" s="212" t="s">
        <v>1876</v>
      </c>
      <c r="BD21" s="212" t="s">
        <v>1877</v>
      </c>
      <c r="BE21" s="212" t="s">
        <v>1878</v>
      </c>
      <c r="BF21" s="213" t="s">
        <v>1879</v>
      </c>
      <c r="BK21" s="183"/>
      <c r="BL21" s="164"/>
      <c r="BM21" s="2372"/>
      <c r="BN21" s="208"/>
      <c r="BO21" s="902"/>
      <c r="BP21" s="196"/>
      <c r="BQ21" s="10"/>
      <c r="BV21" s="819"/>
      <c r="BW21" s="132"/>
      <c r="BX21" s="820"/>
      <c r="BY21" s="819"/>
      <c r="BZ21" s="896"/>
      <c r="CA21" s="196"/>
      <c r="CB21" s="10"/>
      <c r="CQ21" s="7"/>
      <c r="CR21" s="7"/>
      <c r="CS21" s="7"/>
      <c r="CT21" s="890"/>
      <c r="CU21" s="890"/>
      <c r="DM21" s="900"/>
      <c r="DN21" s="900"/>
      <c r="DO21" s="900"/>
      <c r="DP21" s="900"/>
      <c r="DQ21" s="900"/>
      <c r="DR21" s="900"/>
      <c r="EB21" s="129"/>
      <c r="EC21" s="889"/>
      <c r="EI21" s="229"/>
      <c r="EJ21" s="229"/>
      <c r="EK21" s="229"/>
      <c r="EL21" s="229"/>
      <c r="EM21" s="889"/>
      <c r="EN21" s="229"/>
    </row>
    <row r="22" spans="2:144" ht="15.6" customHeight="1">
      <c r="B22" s="129"/>
      <c r="C22" s="129"/>
      <c r="D22" s="129"/>
      <c r="E22" s="129"/>
      <c r="F22" s="129"/>
      <c r="G22" s="129"/>
      <c r="H22" s="518"/>
      <c r="M22" s="172"/>
      <c r="N22" s="177"/>
      <c r="O22" s="177"/>
      <c r="P22" s="177"/>
      <c r="Q22" s="174"/>
      <c r="AF22" s="133" t="s">
        <v>430</v>
      </c>
      <c r="AG22" s="1502" t="s">
        <v>1966</v>
      </c>
      <c r="AH22" s="1502"/>
      <c r="AI22" s="1502"/>
      <c r="AJ22" s="1502"/>
      <c r="AK22" s="229"/>
      <c r="AL22" s="900"/>
      <c r="AM22" s="900"/>
      <c r="AN22" s="900"/>
      <c r="AQ22" s="192"/>
      <c r="BK22" s="183"/>
      <c r="BL22" s="164"/>
      <c r="BM22" s="2372"/>
      <c r="BN22" s="208"/>
      <c r="BO22" s="902"/>
      <c r="BP22" s="196"/>
      <c r="BQ22" s="10"/>
      <c r="BV22" s="819"/>
      <c r="BW22" s="132"/>
      <c r="BX22" s="820"/>
      <c r="BY22" s="819"/>
      <c r="BZ22" s="896"/>
      <c r="CA22" s="196"/>
      <c r="CB22" s="10"/>
      <c r="CQ22" s="7"/>
      <c r="CR22" s="7"/>
      <c r="CS22" s="7"/>
      <c r="CT22" s="890"/>
      <c r="CU22" s="890"/>
      <c r="DM22" s="900"/>
      <c r="DN22" s="900"/>
      <c r="DO22" s="900"/>
      <c r="DP22" s="900"/>
      <c r="DQ22" s="900"/>
      <c r="DR22" s="900"/>
      <c r="EB22" s="129"/>
      <c r="EC22" s="889"/>
      <c r="EI22" s="229"/>
      <c r="EJ22" s="229"/>
      <c r="EK22" s="229"/>
      <c r="EL22" s="229"/>
      <c r="EM22" s="889"/>
      <c r="EN22" s="229"/>
    </row>
    <row r="23" spans="2:144" ht="15.6" customHeight="1" thickBot="1">
      <c r="B23" s="129"/>
      <c r="C23" s="129"/>
      <c r="D23" s="129"/>
      <c r="E23" s="129"/>
      <c r="F23" s="129"/>
      <c r="G23" s="129"/>
      <c r="H23" s="518"/>
      <c r="M23" s="172"/>
      <c r="N23" s="177"/>
      <c r="O23" s="177"/>
      <c r="P23" s="177"/>
      <c r="Q23" s="174"/>
      <c r="W23" s="133" t="s">
        <v>1967</v>
      </c>
      <c r="AI23" s="236"/>
      <c r="AJ23" s="236"/>
      <c r="AK23" s="229"/>
      <c r="AL23" s="900"/>
      <c r="AM23" s="900"/>
      <c r="AN23" s="900"/>
      <c r="AQ23" s="192"/>
      <c r="BA23" s="214" t="s">
        <v>430</v>
      </c>
      <c r="BB23" s="129" t="s">
        <v>1968</v>
      </c>
      <c r="BC23" s="129"/>
      <c r="BD23" s="129"/>
      <c r="BE23" s="129"/>
      <c r="BK23" s="183"/>
      <c r="BL23" s="164"/>
      <c r="BM23" s="2372"/>
      <c r="BN23" s="208"/>
      <c r="BO23" s="902"/>
      <c r="BP23" s="196"/>
      <c r="BQ23" s="10"/>
      <c r="BV23" s="819"/>
      <c r="BW23" s="132"/>
      <c r="BX23" s="820"/>
      <c r="BY23" s="819"/>
      <c r="BZ23" s="896"/>
      <c r="CA23" s="196"/>
      <c r="CB23" s="10"/>
      <c r="CQ23" s="7"/>
      <c r="CR23" s="7"/>
      <c r="CS23" s="7"/>
      <c r="CT23" s="890"/>
      <c r="CU23" s="890"/>
      <c r="DM23" s="900"/>
      <c r="DN23" s="900"/>
      <c r="DO23" s="900"/>
      <c r="DP23" s="900"/>
      <c r="DQ23" s="900"/>
      <c r="DR23" s="900"/>
      <c r="EB23" s="129"/>
      <c r="EC23" s="889"/>
      <c r="EI23" s="229"/>
      <c r="EJ23" s="229"/>
      <c r="EK23" s="229"/>
      <c r="EL23" s="229"/>
      <c r="EM23" s="889"/>
      <c r="EN23" s="229"/>
    </row>
    <row r="24" spans="2:144" ht="16.2" thickBot="1">
      <c r="M24" s="2332" t="s">
        <v>843</v>
      </c>
      <c r="N24" s="2333"/>
      <c r="O24" s="2333"/>
      <c r="P24" s="2333"/>
      <c r="Q24" s="2334"/>
      <c r="W24" t="s">
        <v>1969</v>
      </c>
      <c r="AF24" t="s">
        <v>1970</v>
      </c>
      <c r="AK24" s="900"/>
      <c r="AL24" s="900"/>
      <c r="AM24" s="900"/>
      <c r="AN24" s="900"/>
      <c r="AQ24" s="2335" t="s">
        <v>1971</v>
      </c>
      <c r="AR24" s="2335"/>
      <c r="AS24" s="2335"/>
      <c r="AT24" s="2335"/>
      <c r="AU24" s="2335"/>
      <c r="BA24" s="1844" t="s">
        <v>1972</v>
      </c>
      <c r="BB24" s="1844"/>
      <c r="BC24" s="1844"/>
      <c r="BD24" s="1844"/>
      <c r="BE24" s="1844"/>
      <c r="BK24" s="183" t="s">
        <v>844</v>
      </c>
      <c r="BL24" s="164"/>
      <c r="BM24" s="2372"/>
      <c r="BN24" s="208" t="s">
        <v>1962</v>
      </c>
      <c r="BO24" s="902"/>
      <c r="BP24" s="196">
        <v>12</v>
      </c>
      <c r="BQ24" s="10" t="s">
        <v>1963</v>
      </c>
      <c r="BV24" s="192"/>
      <c r="CA24" s="196"/>
      <c r="CB24" s="10" t="s">
        <v>1973</v>
      </c>
      <c r="CQ24" s="91" t="s">
        <v>1974</v>
      </c>
      <c r="CR24" s="7"/>
      <c r="CS24" s="7"/>
      <c r="CT24" s="7"/>
      <c r="CU24" s="7"/>
      <c r="CV24" s="890"/>
      <c r="DM24" s="2375" t="s">
        <v>1975</v>
      </c>
      <c r="DN24" s="2376"/>
      <c r="DO24" s="2376"/>
      <c r="DP24" s="2376"/>
      <c r="DQ24" s="2376"/>
      <c r="DR24" s="2377"/>
      <c r="DY24" s="214" t="s">
        <v>430</v>
      </c>
      <c r="DZ24" s="1785" t="s">
        <v>1976</v>
      </c>
      <c r="EA24" s="1785"/>
      <c r="EB24" s="1785"/>
      <c r="EC24" s="1785"/>
      <c r="EL24" s="129"/>
      <c r="EM24" s="889"/>
    </row>
    <row r="25" spans="2:144" ht="16.2" thickBot="1">
      <c r="B25" s="2338" t="s">
        <v>1977</v>
      </c>
      <c r="C25" s="2339"/>
      <c r="D25" s="2340"/>
      <c r="M25" s="167" t="s">
        <v>1978</v>
      </c>
      <c r="N25" s="165" t="s">
        <v>1979</v>
      </c>
      <c r="O25" s="165"/>
      <c r="P25" s="165"/>
      <c r="Q25" s="134" t="e">
        <f>Q18+1</f>
        <v>#VALUE!</v>
      </c>
      <c r="AF25" t="s">
        <v>1980</v>
      </c>
      <c r="AG25" s="7"/>
      <c r="AH25" s="7"/>
      <c r="AI25" s="236"/>
      <c r="AJ25" s="229"/>
      <c r="AK25" s="900"/>
      <c r="AL25" s="900"/>
      <c r="AM25" s="900"/>
      <c r="AN25" s="900"/>
      <c r="AQ25" s="1502" t="s">
        <v>1981</v>
      </c>
      <c r="AR25" s="1502"/>
      <c r="AS25" s="1502"/>
      <c r="AT25" s="1502"/>
      <c r="AU25" s="1502"/>
      <c r="BA25" s="1844" t="s">
        <v>1982</v>
      </c>
      <c r="BB25" s="1844"/>
      <c r="BC25" s="1844"/>
      <c r="BD25" s="1844"/>
      <c r="BE25" s="1844"/>
      <c r="BK25" s="192"/>
      <c r="BP25" s="196"/>
      <c r="BQ25" s="10" t="s">
        <v>1973</v>
      </c>
      <c r="BV25" s="192"/>
      <c r="CA25" s="217"/>
      <c r="CB25" s="217"/>
      <c r="CC25" s="217"/>
      <c r="CD25" s="217"/>
      <c r="CE25" s="217"/>
      <c r="CF25" s="217"/>
      <c r="CG25" s="217"/>
      <c r="CH25" s="217"/>
      <c r="CI25" s="217"/>
      <c r="CJ25" s="217"/>
      <c r="CK25" s="217"/>
      <c r="CQ25" t="s">
        <v>1983</v>
      </c>
      <c r="CT25" s="7"/>
      <c r="CU25" s="7"/>
      <c r="CV25" s="7"/>
      <c r="CW25" s="7"/>
      <c r="DM25" s="354" t="s">
        <v>1984</v>
      </c>
      <c r="DN25" s="2378" t="s">
        <v>1824</v>
      </c>
      <c r="DO25" s="2379"/>
      <c r="DP25" s="171"/>
      <c r="DQ25" s="354" t="s">
        <v>666</v>
      </c>
      <c r="DR25" s="849"/>
      <c r="DS25" s="163">
        <v>7</v>
      </c>
      <c r="DY25" s="889" t="s">
        <v>1985</v>
      </c>
      <c r="DZ25" s="889"/>
      <c r="EA25" s="889"/>
      <c r="EB25" s="889"/>
      <c r="EI25" s="214" t="s">
        <v>430</v>
      </c>
      <c r="EJ25" s="1785" t="s">
        <v>1986</v>
      </c>
      <c r="EK25" s="1785"/>
      <c r="EL25" s="1785"/>
      <c r="EM25" s="1785"/>
    </row>
    <row r="26" spans="2:144" ht="16.2" thickBot="1">
      <c r="B26" s="251" t="s">
        <v>1987</v>
      </c>
      <c r="C26" s="2341"/>
      <c r="D26" s="2341"/>
      <c r="M26" s="167" t="s">
        <v>1988</v>
      </c>
      <c r="N26" s="165" t="s">
        <v>1989</v>
      </c>
      <c r="O26" s="165"/>
      <c r="P26" s="165"/>
      <c r="Q26" s="134">
        <v>11</v>
      </c>
      <c r="W26" t="s">
        <v>1990</v>
      </c>
      <c r="AF26" s="7" t="s">
        <v>1991</v>
      </c>
      <c r="AG26" s="7"/>
      <c r="AH26" s="7"/>
      <c r="AI26" s="236"/>
      <c r="AJ26" s="229"/>
      <c r="AL26" s="900"/>
      <c r="AM26" s="900"/>
      <c r="AN26" s="900"/>
      <c r="AQ26" s="1502" t="s">
        <v>1992</v>
      </c>
      <c r="AR26" s="1502"/>
      <c r="AS26" s="1502"/>
      <c r="AT26" s="1502"/>
      <c r="AU26" s="1502"/>
      <c r="BA26" s="1844" t="s">
        <v>1993</v>
      </c>
      <c r="BB26" s="1844"/>
      <c r="BC26" s="1844"/>
      <c r="BD26" s="1844"/>
      <c r="BE26" s="1844"/>
      <c r="BK26" s="192"/>
      <c r="BP26" s="217"/>
      <c r="BV26" s="211" t="s">
        <v>1875</v>
      </c>
      <c r="BW26" s="212"/>
      <c r="BX26" s="212" t="s">
        <v>1876</v>
      </c>
      <c r="BY26" s="212" t="s">
        <v>1877</v>
      </c>
      <c r="BZ26" s="212" t="s">
        <v>1878</v>
      </c>
      <c r="CA26" s="213" t="s">
        <v>1879</v>
      </c>
      <c r="CQ26" t="s">
        <v>1994</v>
      </c>
      <c r="CR26" s="7"/>
      <c r="CS26" s="7"/>
      <c r="CV26" s="7"/>
      <c r="DM26" s="353" t="s">
        <v>1995</v>
      </c>
      <c r="DN26" s="2380" t="s">
        <v>1824</v>
      </c>
      <c r="DO26" s="2381"/>
      <c r="DP26" s="171"/>
      <c r="DQ26" s="353" t="s">
        <v>455</v>
      </c>
      <c r="DR26" s="849"/>
      <c r="DS26" s="163">
        <v>8</v>
      </c>
      <c r="DT26" t="s">
        <v>1996</v>
      </c>
      <c r="DU26" t="s">
        <v>1997</v>
      </c>
      <c r="DY26" s="1502" t="s">
        <v>1998</v>
      </c>
      <c r="DZ26" s="1502"/>
      <c r="EA26" s="1502"/>
      <c r="EB26" s="1502"/>
      <c r="EC26" s="1502"/>
      <c r="EI26" s="383" t="s">
        <v>1999</v>
      </c>
      <c r="EJ26" s="296"/>
      <c r="EK26" s="296"/>
      <c r="EL26" s="296"/>
      <c r="EM26" s="296"/>
    </row>
    <row r="27" spans="2:144" ht="16.2" thickBot="1">
      <c r="B27" s="251" t="s">
        <v>2000</v>
      </c>
      <c r="C27" s="2066"/>
      <c r="D27" s="2066"/>
      <c r="M27" s="167" t="s">
        <v>2001</v>
      </c>
      <c r="N27" s="165" t="s">
        <v>2002</v>
      </c>
      <c r="O27" s="165"/>
      <c r="P27" s="165"/>
      <c r="Q27" s="134">
        <v>12</v>
      </c>
      <c r="AF27" s="7" t="s">
        <v>2003</v>
      </c>
      <c r="AG27" s="7"/>
      <c r="AH27" s="7"/>
      <c r="AI27" s="236"/>
      <c r="AJ27" s="229"/>
      <c r="BA27" t="s">
        <v>2004</v>
      </c>
      <c r="BK27" s="211" t="s">
        <v>1875</v>
      </c>
      <c r="BL27" s="212"/>
      <c r="BM27" s="212" t="s">
        <v>1876</v>
      </c>
      <c r="BN27" s="212" t="s">
        <v>1877</v>
      </c>
      <c r="BO27" s="212" t="s">
        <v>1878</v>
      </c>
      <c r="BP27" s="213" t="s">
        <v>1879</v>
      </c>
      <c r="CQ27" s="7" t="s">
        <v>2005</v>
      </c>
      <c r="CR27" s="7"/>
      <c r="CS27" s="7"/>
      <c r="CT27" s="7"/>
      <c r="CU27" s="7"/>
      <c r="CV27" s="7"/>
      <c r="DM27" s="167" t="s">
        <v>2006</v>
      </c>
      <c r="DN27" s="2331"/>
      <c r="DO27" s="2331"/>
      <c r="DP27" s="171"/>
      <c r="DQ27" s="167" t="s">
        <v>465</v>
      </c>
      <c r="DR27" s="849"/>
      <c r="DS27" s="163">
        <v>9</v>
      </c>
      <c r="DT27" t="s">
        <v>2007</v>
      </c>
      <c r="DY27" s="1502" t="s">
        <v>2008</v>
      </c>
      <c r="DZ27" s="1502"/>
      <c r="EA27" s="1502"/>
      <c r="EB27" s="1502"/>
      <c r="EC27" s="1502"/>
      <c r="EI27" s="214" t="s">
        <v>2009</v>
      </c>
      <c r="EJ27" s="296"/>
      <c r="EK27" s="296"/>
      <c r="EL27" s="296"/>
      <c r="EM27" s="296"/>
    </row>
    <row r="28" spans="2:144" ht="15.6">
      <c r="B28" s="251" t="s">
        <v>2010</v>
      </c>
      <c r="C28" s="2066"/>
      <c r="D28" s="2066"/>
      <c r="M28" s="167" t="s">
        <v>2011</v>
      </c>
      <c r="N28" s="852"/>
      <c r="O28" s="165"/>
      <c r="P28" s="165"/>
      <c r="Q28" s="134">
        <v>13</v>
      </c>
      <c r="AF28" t="s">
        <v>2012</v>
      </c>
      <c r="AG28" s="7"/>
      <c r="AH28" s="236"/>
      <c r="AI28" s="236"/>
      <c r="BA28" t="s">
        <v>2013</v>
      </c>
      <c r="BV28" s="890" t="s">
        <v>450</v>
      </c>
      <c r="BW28" s="890" t="s">
        <v>2014</v>
      </c>
      <c r="BX28" s="890"/>
      <c r="CQ28" t="s">
        <v>2015</v>
      </c>
      <c r="DM28" s="167" t="s">
        <v>2016</v>
      </c>
      <c r="DN28" s="2380" t="s">
        <v>1824</v>
      </c>
      <c r="DO28" s="2381"/>
      <c r="DQ28" s="167" t="s">
        <v>2017</v>
      </c>
      <c r="DR28" s="164" t="s">
        <v>354</v>
      </c>
      <c r="DS28" s="163">
        <v>10</v>
      </c>
      <c r="DT28" t="s">
        <v>2018</v>
      </c>
      <c r="EB28" s="379"/>
      <c r="EI28" s="214" t="s">
        <v>2019</v>
      </c>
      <c r="EJ28" s="296"/>
      <c r="EK28" s="296"/>
      <c r="EL28" s="296"/>
      <c r="EM28" s="296"/>
    </row>
    <row r="29" spans="2:144" ht="16.2" customHeight="1">
      <c r="M29" s="167" t="s">
        <v>2020</v>
      </c>
      <c r="N29" s="852">
        <v>41200</v>
      </c>
      <c r="O29" s="165"/>
      <c r="P29" s="165"/>
      <c r="Q29" s="134">
        <v>14</v>
      </c>
      <c r="R29" s="129"/>
      <c r="AF29" t="s">
        <v>2021</v>
      </c>
      <c r="AG29" s="7"/>
      <c r="AH29" s="236"/>
      <c r="AI29" s="236"/>
      <c r="BK29" s="890" t="s">
        <v>450</v>
      </c>
      <c r="BL29" s="890" t="s">
        <v>2014</v>
      </c>
      <c r="BM29" s="890"/>
      <c r="BV29" s="7" t="s">
        <v>2022</v>
      </c>
      <c r="BW29" s="7"/>
      <c r="BX29" s="7"/>
      <c r="BY29" s="890"/>
      <c r="BZ29" s="890"/>
      <c r="CQ29" t="s">
        <v>2023</v>
      </c>
      <c r="DM29" s="167" t="s">
        <v>2024</v>
      </c>
      <c r="DN29" s="2380" t="s">
        <v>2025</v>
      </c>
      <c r="DO29" s="2381"/>
      <c r="DP29" s="129"/>
      <c r="DQ29" s="167" t="s">
        <v>2026</v>
      </c>
      <c r="DR29" s="164" t="s">
        <v>354</v>
      </c>
      <c r="DS29" s="163">
        <v>11</v>
      </c>
      <c r="DT29" t="s">
        <v>2027</v>
      </c>
      <c r="DY29" s="380" t="s">
        <v>2028</v>
      </c>
      <c r="EI29" s="384" t="s">
        <v>2029</v>
      </c>
      <c r="EJ29" s="296"/>
      <c r="EK29" s="296"/>
      <c r="EL29" s="296"/>
      <c r="EM29" s="296"/>
    </row>
    <row r="30" spans="2:144" ht="16.2" customHeight="1">
      <c r="M30" s="167" t="s">
        <v>1030</v>
      </c>
      <c r="N30" s="852" t="s">
        <v>2030</v>
      </c>
      <c r="O30" s="165"/>
      <c r="P30" s="165"/>
      <c r="Q30" s="134">
        <v>15</v>
      </c>
      <c r="AF30" s="7"/>
      <c r="AG30" s="7"/>
      <c r="AH30" s="7"/>
      <c r="AI30" s="229"/>
      <c r="BK30" s="7" t="s">
        <v>2022</v>
      </c>
      <c r="BL30" s="7"/>
      <c r="BM30" s="7"/>
      <c r="BN30" s="890"/>
      <c r="BO30" s="890"/>
      <c r="BV30" s="91" t="s">
        <v>2031</v>
      </c>
      <c r="BW30" s="7"/>
      <c r="BX30" s="7"/>
      <c r="BY30" s="7"/>
      <c r="BZ30" s="7"/>
      <c r="CA30" s="890"/>
      <c r="CB30" s="890"/>
      <c r="CC30" s="890"/>
      <c r="CD30" s="890"/>
      <c r="CE30" s="890"/>
      <c r="CF30" s="890"/>
      <c r="CG30" s="890"/>
      <c r="CH30" s="890"/>
      <c r="CI30" s="890"/>
      <c r="CJ30" s="890"/>
      <c r="CK30" s="890"/>
      <c r="DP30" s="889"/>
      <c r="DY30" s="901" t="s">
        <v>2032</v>
      </c>
      <c r="EI30" s="214" t="s">
        <v>2033</v>
      </c>
      <c r="EJ30" s="296"/>
      <c r="EK30" s="296"/>
      <c r="EL30" s="296"/>
      <c r="EM30" s="296"/>
    </row>
    <row r="31" spans="2:144" ht="15.6">
      <c r="M31" s="167" t="s">
        <v>370</v>
      </c>
      <c r="N31" s="852"/>
      <c r="O31" s="165"/>
      <c r="P31" s="165"/>
      <c r="Q31" s="134">
        <v>16</v>
      </c>
      <c r="R31" t="s">
        <v>2034</v>
      </c>
      <c r="AF31" s="7" t="s">
        <v>765</v>
      </c>
      <c r="AG31" s="7"/>
      <c r="AH31" s="7"/>
      <c r="AI31" s="229"/>
      <c r="BK31" s="91" t="s">
        <v>2031</v>
      </c>
      <c r="BL31" s="7"/>
      <c r="BM31" s="7"/>
      <c r="BN31" s="7"/>
      <c r="BO31" s="7"/>
      <c r="BP31" s="890"/>
      <c r="BV31" t="s">
        <v>2035</v>
      </c>
      <c r="BY31" s="7"/>
      <c r="BZ31" s="7"/>
      <c r="CA31" s="7"/>
      <c r="CB31" s="7"/>
      <c r="CC31" s="7"/>
      <c r="CD31" s="7"/>
      <c r="CE31" s="7"/>
      <c r="CF31" s="7"/>
      <c r="CG31" s="7"/>
      <c r="CH31" s="7"/>
      <c r="CI31" s="7"/>
      <c r="CJ31" s="7"/>
      <c r="CK31" s="7"/>
      <c r="CL31" s="7"/>
      <c r="DM31" s="214" t="s">
        <v>430</v>
      </c>
      <c r="DN31" s="129" t="s">
        <v>2036</v>
      </c>
      <c r="DO31" s="129"/>
      <c r="DP31" s="889"/>
      <c r="DY31" t="s">
        <v>2037</v>
      </c>
      <c r="EA31" t="s">
        <v>453</v>
      </c>
      <c r="EI31" s="214" t="s">
        <v>2038</v>
      </c>
      <c r="EJ31" s="296"/>
      <c r="EK31" s="296"/>
      <c r="EL31" s="296"/>
      <c r="EM31" s="296"/>
    </row>
    <row r="32" spans="2:144" ht="15.6" customHeight="1">
      <c r="M32" s="167" t="s">
        <v>1077</v>
      </c>
      <c r="N32" s="852" t="s">
        <v>2039</v>
      </c>
      <c r="O32" s="165"/>
      <c r="P32" s="165"/>
      <c r="Q32" s="134">
        <v>17</v>
      </c>
      <c r="BK32" t="s">
        <v>2035</v>
      </c>
      <c r="BN32" s="7"/>
      <c r="BO32" s="7"/>
      <c r="BP32" s="7"/>
      <c r="BR32" s="206"/>
      <c r="BS32" s="206"/>
      <c r="BT32" s="206"/>
      <c r="BV32" s="7" t="s">
        <v>2040</v>
      </c>
      <c r="BW32" s="7"/>
      <c r="BX32" s="7"/>
      <c r="CA32" s="7"/>
      <c r="CB32" s="7"/>
      <c r="CC32" s="7"/>
      <c r="CD32" s="7"/>
      <c r="CE32" s="7"/>
      <c r="CF32" s="7"/>
      <c r="CG32" s="7"/>
      <c r="CH32" s="7"/>
      <c r="CI32" s="7"/>
      <c r="CJ32" s="7"/>
      <c r="CK32" s="7"/>
      <c r="DM32" s="889" t="s">
        <v>2041</v>
      </c>
      <c r="DN32" s="889"/>
      <c r="DO32" s="889"/>
      <c r="DY32" t="s">
        <v>2042</v>
      </c>
      <c r="EI32" s="214"/>
      <c r="EJ32" s="296"/>
      <c r="EK32" s="296"/>
      <c r="EL32" s="296"/>
      <c r="EM32" s="296"/>
    </row>
    <row r="33" spans="2:144" ht="25.2" customHeight="1">
      <c r="M33" s="2332" t="s">
        <v>2043</v>
      </c>
      <c r="N33" s="2333"/>
      <c r="O33" s="2333"/>
      <c r="P33" s="2333"/>
      <c r="Q33" s="2334"/>
      <c r="BK33" s="7" t="s">
        <v>2044</v>
      </c>
      <c r="BL33" s="7"/>
      <c r="BM33" s="7"/>
      <c r="BP33" s="7"/>
      <c r="BQ33" s="7"/>
      <c r="BR33" s="11"/>
      <c r="BS33" s="11"/>
      <c r="BT33" s="11"/>
      <c r="BV33" s="7" t="s">
        <v>2045</v>
      </c>
      <c r="BW33" s="7"/>
      <c r="BX33" s="7"/>
      <c r="BY33" s="7"/>
      <c r="BZ33" s="7"/>
      <c r="CA33" s="7"/>
      <c r="CB33" s="7"/>
      <c r="CC33" s="7"/>
      <c r="CD33" s="7"/>
      <c r="CE33" s="7"/>
      <c r="CF33" s="7"/>
      <c r="CG33" s="7"/>
      <c r="CH33" s="7"/>
      <c r="CI33" s="7"/>
      <c r="CJ33" s="7"/>
      <c r="CK33" s="7"/>
      <c r="DM33" s="889" t="s">
        <v>2046</v>
      </c>
      <c r="DY33" s="901" t="s">
        <v>2047</v>
      </c>
      <c r="EI33" s="384" t="s">
        <v>2048</v>
      </c>
      <c r="EJ33" s="296"/>
      <c r="EK33" s="296"/>
      <c r="EL33" s="296"/>
      <c r="EM33" s="296"/>
    </row>
    <row r="34" spans="2:144" ht="36.6" customHeight="1">
      <c r="B34" s="138" t="s">
        <v>2049</v>
      </c>
      <c r="C34" s="138"/>
      <c r="D34" s="138"/>
      <c r="E34" s="138"/>
      <c r="F34" s="138"/>
      <c r="G34" s="138"/>
      <c r="H34" s="138"/>
      <c r="M34" s="167" t="s">
        <v>2050</v>
      </c>
      <c r="N34" s="2331"/>
      <c r="O34" s="2331"/>
      <c r="P34" s="2331"/>
      <c r="Q34" s="165">
        <f>Q32+1</f>
        <v>18</v>
      </c>
      <c r="AF34" s="7"/>
      <c r="BK34" s="7" t="s">
        <v>2045</v>
      </c>
      <c r="BL34" s="7"/>
      <c r="BM34" s="7"/>
      <c r="BN34" s="7"/>
      <c r="BO34" s="7"/>
      <c r="BP34" s="7"/>
      <c r="BR34" s="206"/>
      <c r="BS34" s="206"/>
      <c r="BT34" s="206"/>
      <c r="BV34" t="s">
        <v>2051</v>
      </c>
      <c r="DM34" s="889" t="s">
        <v>2052</v>
      </c>
      <c r="DY34" s="382" t="s">
        <v>1827</v>
      </c>
      <c r="EI34" s="214" t="s">
        <v>2053</v>
      </c>
      <c r="EJ34" s="296"/>
      <c r="EK34" s="296"/>
      <c r="EL34" s="296"/>
      <c r="EM34" s="296"/>
    </row>
    <row r="35" spans="2:144" ht="15.6">
      <c r="B35" s="138" t="s">
        <v>2054</v>
      </c>
      <c r="C35" s="138"/>
      <c r="D35" s="138"/>
      <c r="E35" s="138">
        <v>2.2999999999999998</v>
      </c>
      <c r="F35" s="138"/>
      <c r="G35" s="138"/>
      <c r="H35" s="138"/>
      <c r="I35" s="162"/>
      <c r="M35" s="167" t="s">
        <v>2050</v>
      </c>
      <c r="N35" s="2331"/>
      <c r="O35" s="2331"/>
      <c r="P35" s="2331"/>
      <c r="Q35" s="165">
        <f>Q34+1</f>
        <v>19</v>
      </c>
      <c r="AF35" s="7"/>
      <c r="BK35" t="s">
        <v>2055</v>
      </c>
      <c r="BR35" s="11"/>
      <c r="BS35" s="11"/>
      <c r="BT35" s="11"/>
      <c r="BV35" t="s">
        <v>2056</v>
      </c>
      <c r="DM35" s="889" t="s">
        <v>2057</v>
      </c>
      <c r="DY35" s="901" t="s">
        <v>2058</v>
      </c>
      <c r="EI35" s="214" t="s">
        <v>2059</v>
      </c>
      <c r="EJ35" s="296"/>
      <c r="EK35" s="296"/>
      <c r="EL35" s="296"/>
      <c r="EM35" s="296"/>
    </row>
    <row r="36" spans="2:144" ht="34.950000000000003" customHeight="1">
      <c r="B36" s="138" t="s">
        <v>2060</v>
      </c>
      <c r="C36" s="138"/>
      <c r="D36" s="138"/>
      <c r="E36" s="138" t="s">
        <v>2061</v>
      </c>
      <c r="F36" s="138"/>
      <c r="G36" s="138"/>
      <c r="H36" s="138"/>
      <c r="I36" s="162" t="s">
        <v>233</v>
      </c>
      <c r="M36" s="167" t="s">
        <v>1077</v>
      </c>
      <c r="N36" s="165"/>
      <c r="O36" s="165"/>
      <c r="P36" s="165"/>
      <c r="Q36" s="165">
        <f>Q35+1</f>
        <v>20</v>
      </c>
      <c r="BK36" t="s">
        <v>2062</v>
      </c>
      <c r="BV36" t="s">
        <v>2063</v>
      </c>
      <c r="DM36" s="889" t="s">
        <v>2064</v>
      </c>
      <c r="DY36" s="901" t="s">
        <v>2065</v>
      </c>
      <c r="EI36" s="214" t="s">
        <v>2066</v>
      </c>
      <c r="EJ36" s="296"/>
      <c r="EK36" s="296"/>
      <c r="EL36" s="296"/>
      <c r="EM36" s="296"/>
    </row>
    <row r="37" spans="2:144" ht="15.6">
      <c r="B37" s="138" t="s">
        <v>2067</v>
      </c>
      <c r="C37" s="138"/>
      <c r="D37" s="138"/>
      <c r="E37" s="138">
        <v>1</v>
      </c>
      <c r="F37" s="138"/>
      <c r="G37" s="138"/>
      <c r="H37" s="138"/>
      <c r="I37" s="162" t="s">
        <v>233</v>
      </c>
      <c r="M37" s="2332" t="s">
        <v>2068</v>
      </c>
      <c r="N37" s="2333"/>
      <c r="O37" s="2333"/>
      <c r="P37" s="2333"/>
      <c r="Q37" s="2334"/>
      <c r="BK37" t="s">
        <v>2069</v>
      </c>
      <c r="BV37" t="s">
        <v>2070</v>
      </c>
      <c r="DM37" s="889" t="s">
        <v>2071</v>
      </c>
      <c r="EI37" s="214"/>
      <c r="EJ37" s="296"/>
      <c r="EK37" s="296"/>
      <c r="EL37" s="296"/>
      <c r="EM37" s="296"/>
    </row>
    <row r="38" spans="2:144" ht="15.6">
      <c r="B38" s="138" t="s">
        <v>2072</v>
      </c>
      <c r="C38" s="138"/>
      <c r="D38" s="138"/>
      <c r="E38" s="138" t="s">
        <v>2061</v>
      </c>
      <c r="F38" s="138"/>
      <c r="G38" s="138"/>
      <c r="H38" s="138"/>
      <c r="I38" s="162" t="s">
        <v>233</v>
      </c>
      <c r="M38" s="167" t="s">
        <v>2073</v>
      </c>
      <c r="N38" s="165" t="s">
        <v>2074</v>
      </c>
      <c r="O38" s="165"/>
      <c r="P38" s="165"/>
      <c r="Q38" s="134">
        <f>Q36+1</f>
        <v>21</v>
      </c>
      <c r="BK38" t="s">
        <v>2070</v>
      </c>
      <c r="DY38" s="381" t="s">
        <v>2075</v>
      </c>
      <c r="EI38" s="390" t="s">
        <v>2076</v>
      </c>
    </row>
    <row r="39" spans="2:144" ht="27.6" customHeight="1">
      <c r="B39" s="138" t="s">
        <v>2077</v>
      </c>
      <c r="C39" s="138"/>
      <c r="D39" s="138"/>
      <c r="E39" s="138" t="s">
        <v>2061</v>
      </c>
      <c r="F39" s="138"/>
      <c r="G39" s="138"/>
      <c r="H39" s="138"/>
      <c r="I39" s="162" t="s">
        <v>233</v>
      </c>
      <c r="M39" s="167" t="s">
        <v>2078</v>
      </c>
      <c r="N39" s="165" t="s">
        <v>2079</v>
      </c>
      <c r="O39" s="165"/>
      <c r="P39" s="165"/>
      <c r="Q39" s="134">
        <f>Q38+1</f>
        <v>22</v>
      </c>
      <c r="DY39" s="901" t="s">
        <v>2080</v>
      </c>
      <c r="EI39" t="s">
        <v>2081</v>
      </c>
      <c r="EM39" s="7"/>
    </row>
    <row r="40" spans="2:144" ht="27.6" customHeight="1">
      <c r="B40" s="138" t="s">
        <v>2082</v>
      </c>
      <c r="C40" s="138"/>
      <c r="D40" s="138"/>
      <c r="E40" s="138" t="s">
        <v>2061</v>
      </c>
      <c r="F40" s="138"/>
      <c r="G40" s="138"/>
      <c r="H40" s="138"/>
      <c r="I40" s="162" t="s">
        <v>233</v>
      </c>
      <c r="M40" s="167" t="s">
        <v>2083</v>
      </c>
      <c r="N40" s="165" t="s">
        <v>2084</v>
      </c>
      <c r="O40" s="165"/>
      <c r="P40" s="165"/>
      <c r="Q40" s="134">
        <f>Q39+1</f>
        <v>23</v>
      </c>
      <c r="DY40" s="901" t="s">
        <v>2085</v>
      </c>
      <c r="EI40" t="s">
        <v>2086</v>
      </c>
      <c r="EM40" s="7"/>
    </row>
    <row r="41" spans="2:144" ht="27.6" customHeight="1">
      <c r="I41" s="162" t="s">
        <v>233</v>
      </c>
      <c r="M41" s="2332" t="s">
        <v>2087</v>
      </c>
      <c r="N41" s="2333"/>
      <c r="O41" s="2333"/>
      <c r="P41" s="2333"/>
      <c r="Q41" s="2334"/>
      <c r="DY41" s="901" t="s">
        <v>2088</v>
      </c>
      <c r="EI41" s="393" t="s">
        <v>2089</v>
      </c>
    </row>
    <row r="42" spans="2:144" ht="27.6" customHeight="1">
      <c r="M42" s="167" t="s">
        <v>2090</v>
      </c>
      <c r="N42" s="165" t="s">
        <v>2091</v>
      </c>
      <c r="O42" s="165"/>
      <c r="P42" s="165"/>
      <c r="Q42" s="134">
        <f>Q40+1</f>
        <v>24</v>
      </c>
      <c r="R42" t="s">
        <v>2092</v>
      </c>
      <c r="DY42" s="901" t="s">
        <v>2093</v>
      </c>
      <c r="EI42" s="901"/>
      <c r="EL42" s="296"/>
    </row>
    <row r="43" spans="2:144" ht="15.6">
      <c r="M43" s="167" t="s">
        <v>2094</v>
      </c>
      <c r="N43" s="165"/>
      <c r="O43" s="165"/>
      <c r="P43" s="165"/>
      <c r="Q43" s="134">
        <f>Q42+1</f>
        <v>25</v>
      </c>
      <c r="R43" t="s">
        <v>2095</v>
      </c>
      <c r="DY43" s="901" t="s">
        <v>2096</v>
      </c>
      <c r="EI43" s="2388" t="s">
        <v>2097</v>
      </c>
      <c r="EJ43" s="2388"/>
      <c r="EK43" s="2388"/>
      <c r="EL43" s="2388"/>
      <c r="EM43" s="2388"/>
      <c r="EN43" s="2388"/>
    </row>
    <row r="44" spans="2:144" ht="15.6">
      <c r="M44" s="2332" t="s">
        <v>2098</v>
      </c>
      <c r="N44" s="2333"/>
      <c r="O44" s="2333"/>
      <c r="P44" s="2333"/>
      <c r="Q44" s="2334"/>
      <c r="DY44" s="901" t="s">
        <v>2099</v>
      </c>
      <c r="EI44" s="1533" t="s">
        <v>2100</v>
      </c>
      <c r="EJ44" s="1533"/>
      <c r="EK44" s="1533"/>
      <c r="EL44" s="1533"/>
      <c r="EM44" s="1533"/>
      <c r="EN44" s="1533"/>
    </row>
    <row r="45" spans="2:144" ht="15.6">
      <c r="M45" s="167" t="s">
        <v>2101</v>
      </c>
      <c r="N45" s="852"/>
      <c r="O45" s="852"/>
      <c r="P45" s="852"/>
      <c r="Q45" s="134">
        <f>Q43+1</f>
        <v>26</v>
      </c>
      <c r="R45" t="s">
        <v>2102</v>
      </c>
      <c r="DY45" s="901" t="s">
        <v>2103</v>
      </c>
      <c r="EI45" s="382"/>
      <c r="EL45" s="7"/>
    </row>
    <row r="46" spans="2:144" ht="15.6">
      <c r="M46" s="167" t="s">
        <v>2104</v>
      </c>
      <c r="N46" s="852">
        <v>19872537</v>
      </c>
      <c r="O46" s="852"/>
      <c r="P46" s="852"/>
      <c r="Q46" s="134">
        <f>Q45+1</f>
        <v>27</v>
      </c>
      <c r="R46" t="s">
        <v>2105</v>
      </c>
      <c r="DY46" s="901" t="s">
        <v>2106</v>
      </c>
      <c r="EI46" s="2389" t="s">
        <v>2107</v>
      </c>
      <c r="EJ46" s="2389"/>
      <c r="EK46" s="2389"/>
      <c r="EL46" s="2367" t="s">
        <v>2108</v>
      </c>
      <c r="EM46" s="2367"/>
    </row>
    <row r="47" spans="2:144" ht="15.6">
      <c r="M47" s="167" t="s">
        <v>2109</v>
      </c>
      <c r="N47" s="259"/>
      <c r="O47" s="852"/>
      <c r="P47" s="852"/>
      <c r="Q47" s="134">
        <f>Q46+1</f>
        <v>28</v>
      </c>
      <c r="R47" t="s">
        <v>2110</v>
      </c>
      <c r="EI47" s="2368" t="s">
        <v>2111</v>
      </c>
      <c r="EJ47" s="2368"/>
      <c r="EK47" s="2368"/>
      <c r="EL47" s="2366" t="s">
        <v>2112</v>
      </c>
      <c r="EM47" s="2366"/>
    </row>
    <row r="48" spans="2:144" ht="15.6">
      <c r="M48" s="172" t="s">
        <v>465</v>
      </c>
      <c r="N48" s="852"/>
      <c r="O48" s="852"/>
      <c r="P48" s="852"/>
      <c r="Q48" s="134">
        <f>Q47+1</f>
        <v>29</v>
      </c>
      <c r="R48" t="s">
        <v>2113</v>
      </c>
      <c r="DY48" s="381" t="s">
        <v>2114</v>
      </c>
      <c r="EI48" s="2368" t="s">
        <v>2115</v>
      </c>
      <c r="EJ48" s="2368"/>
      <c r="EK48" s="2368"/>
      <c r="EL48" s="2366" t="s">
        <v>2116</v>
      </c>
      <c r="EM48" s="2366"/>
    </row>
    <row r="49" spans="13:143" ht="15.6">
      <c r="M49" s="172" t="s">
        <v>2117</v>
      </c>
      <c r="N49" s="852"/>
      <c r="O49" s="852"/>
      <c r="P49" s="852"/>
      <c r="Q49" s="134">
        <f>Q48+1</f>
        <v>30</v>
      </c>
      <c r="R49" t="s">
        <v>2118</v>
      </c>
      <c r="DY49" s="901" t="s">
        <v>2119</v>
      </c>
      <c r="EI49" s="2368" t="s">
        <v>2120</v>
      </c>
      <c r="EJ49" s="2368"/>
      <c r="EK49" s="2368"/>
      <c r="EL49" s="2366" t="s">
        <v>2121</v>
      </c>
      <c r="EM49" s="2366"/>
    </row>
    <row r="50" spans="13:143" ht="15.6">
      <c r="M50" s="172"/>
      <c r="N50" s="173"/>
      <c r="O50" s="173"/>
      <c r="P50" s="173"/>
      <c r="Q50" s="174"/>
      <c r="DY50" t="s">
        <v>2122</v>
      </c>
      <c r="EI50" s="2368" t="s">
        <v>2123</v>
      </c>
      <c r="EJ50" s="2368"/>
      <c r="EK50" s="2368"/>
      <c r="EL50" s="2366" t="s">
        <v>2124</v>
      </c>
      <c r="EM50" s="2366"/>
    </row>
    <row r="51" spans="13:143" ht="15.6">
      <c r="M51" s="172"/>
      <c r="N51" s="173"/>
      <c r="O51" s="173"/>
      <c r="P51" s="173"/>
      <c r="Q51" s="174"/>
      <c r="EI51" s="2368" t="s">
        <v>2125</v>
      </c>
      <c r="EJ51" s="2368"/>
      <c r="EK51" s="2368"/>
      <c r="EL51" s="2366"/>
      <c r="EM51" s="2366"/>
    </row>
    <row r="52" spans="13:143" ht="19.95" customHeight="1">
      <c r="M52" s="2332" t="s">
        <v>2126</v>
      </c>
      <c r="N52" s="2333"/>
      <c r="O52" s="2333"/>
      <c r="P52" s="2333"/>
      <c r="Q52" s="2334"/>
      <c r="DY52" s="385" t="s">
        <v>2127</v>
      </c>
      <c r="EA52" s="385" t="s">
        <v>2128</v>
      </c>
      <c r="EB52" s="385" t="s">
        <v>2129</v>
      </c>
      <c r="EI52" s="2368" t="s">
        <v>2130</v>
      </c>
      <c r="EJ52" s="2368"/>
      <c r="EK52" s="2368"/>
      <c r="EL52" s="2366"/>
      <c r="EM52" s="2366"/>
    </row>
    <row r="53" spans="13:143" ht="15.6">
      <c r="M53" s="167" t="s">
        <v>2131</v>
      </c>
      <c r="N53" s="166" t="s">
        <v>2132</v>
      </c>
      <c r="O53" s="166" t="s">
        <v>2133</v>
      </c>
      <c r="P53" s="166" t="s">
        <v>1758</v>
      </c>
      <c r="Q53" s="510" t="s">
        <v>2134</v>
      </c>
      <c r="DY53" s="2387" t="s">
        <v>2135</v>
      </c>
      <c r="DZ53" s="2387"/>
      <c r="EA53" s="386">
        <v>0.13</v>
      </c>
      <c r="EB53" s="386">
        <v>0.09</v>
      </c>
      <c r="EI53" s="2368" t="s">
        <v>2136</v>
      </c>
      <c r="EJ53" s="2368"/>
      <c r="EK53" s="2368"/>
      <c r="EL53" s="2366"/>
      <c r="EM53" s="2366"/>
    </row>
    <row r="54" spans="13:143" ht="15.6">
      <c r="M54" s="167" t="s">
        <v>2137</v>
      </c>
      <c r="N54" s="166" t="s">
        <v>2132</v>
      </c>
      <c r="O54" s="166" t="s">
        <v>2133</v>
      </c>
      <c r="P54" s="166" t="s">
        <v>1758</v>
      </c>
      <c r="Q54" s="510" t="s">
        <v>2138</v>
      </c>
      <c r="DY54" s="2387" t="s">
        <v>2139</v>
      </c>
      <c r="DZ54" s="2387"/>
      <c r="EA54" s="387">
        <v>0.13</v>
      </c>
      <c r="EB54" s="387">
        <v>0.09</v>
      </c>
      <c r="EI54" s="901"/>
    </row>
    <row r="55" spans="13:143" ht="15.6">
      <c r="M55" s="167" t="s">
        <v>2140</v>
      </c>
      <c r="N55" s="852" t="s">
        <v>2141</v>
      </c>
      <c r="P55" s="511" t="s">
        <v>2142</v>
      </c>
      <c r="Q55" s="510" t="s">
        <v>2143</v>
      </c>
      <c r="DY55" s="2387" t="s">
        <v>2144</v>
      </c>
      <c r="DZ55" s="2387"/>
      <c r="EA55" s="388">
        <v>6.5000000000000002E-2</v>
      </c>
      <c r="EB55" s="388">
        <v>5.5E-2</v>
      </c>
      <c r="EI55" s="398" t="s">
        <v>2145</v>
      </c>
    </row>
    <row r="56" spans="13:143" ht="18.600000000000001" customHeight="1">
      <c r="M56" s="167" t="s">
        <v>2126</v>
      </c>
      <c r="N56" s="165" t="s">
        <v>2146</v>
      </c>
      <c r="O56" s="165"/>
      <c r="P56" s="165"/>
      <c r="Q56" s="134">
        <v>33</v>
      </c>
      <c r="R56" t="s">
        <v>2147</v>
      </c>
      <c r="DY56" s="2387" t="s">
        <v>2148</v>
      </c>
      <c r="DZ56" s="2387"/>
      <c r="EA56" s="389">
        <v>5</v>
      </c>
      <c r="EB56" s="387">
        <v>0.09</v>
      </c>
      <c r="EI56" s="395" t="s">
        <v>2149</v>
      </c>
      <c r="EJ56" s="395" t="s">
        <v>2150</v>
      </c>
      <c r="EK56" s="395" t="s">
        <v>2151</v>
      </c>
      <c r="EL56" s="395" t="s">
        <v>2152</v>
      </c>
      <c r="EM56" s="10"/>
    </row>
    <row r="57" spans="13:143" ht="26.4">
      <c r="M57" s="172" t="s">
        <v>2153</v>
      </c>
      <c r="N57" s="177" t="s">
        <v>2154</v>
      </c>
      <c r="O57" s="177"/>
      <c r="P57" s="177"/>
      <c r="Q57" s="134">
        <v>34</v>
      </c>
      <c r="R57" t="s">
        <v>2155</v>
      </c>
      <c r="EI57" s="394" t="s">
        <v>2156</v>
      </c>
      <c r="EJ57" s="396" t="s">
        <v>2157</v>
      </c>
      <c r="EK57" s="396" t="s">
        <v>2157</v>
      </c>
      <c r="EL57" s="396" t="s">
        <v>2158</v>
      </c>
      <c r="EM57" s="10"/>
    </row>
    <row r="58" spans="13:143" ht="26.4">
      <c r="M58" s="167" t="s">
        <v>2159</v>
      </c>
      <c r="N58" s="166" t="s">
        <v>2132</v>
      </c>
      <c r="O58" s="166" t="s">
        <v>2133</v>
      </c>
      <c r="P58" s="166" t="s">
        <v>1758</v>
      </c>
      <c r="Q58" s="510" t="s">
        <v>2160</v>
      </c>
      <c r="R58" s="512" t="s">
        <v>2161</v>
      </c>
      <c r="EI58" s="394" t="s">
        <v>2162</v>
      </c>
      <c r="EJ58" s="396" t="s">
        <v>2158</v>
      </c>
      <c r="EK58" s="396" t="s">
        <v>2158</v>
      </c>
      <c r="EL58" s="396" t="s">
        <v>2163</v>
      </c>
      <c r="EM58" s="10"/>
    </row>
    <row r="59" spans="13:143" ht="26.4">
      <c r="M59" s="167" t="s">
        <v>2164</v>
      </c>
      <c r="N59" s="166" t="s">
        <v>2132</v>
      </c>
      <c r="O59" s="166" t="s">
        <v>2133</v>
      </c>
      <c r="P59" s="166" t="s">
        <v>1758</v>
      </c>
      <c r="Q59" s="510" t="s">
        <v>2165</v>
      </c>
      <c r="R59" s="512" t="s">
        <v>2166</v>
      </c>
      <c r="EI59" s="394" t="s">
        <v>2167</v>
      </c>
      <c r="EJ59" s="396" t="s">
        <v>2168</v>
      </c>
      <c r="EK59" s="396" t="s">
        <v>2168</v>
      </c>
      <c r="EL59" s="396" t="s">
        <v>2169</v>
      </c>
      <c r="EM59" s="10"/>
    </row>
    <row r="60" spans="13:143" ht="26.4">
      <c r="M60" s="167" t="s">
        <v>2170</v>
      </c>
      <c r="N60" s="165" t="s">
        <v>2171</v>
      </c>
      <c r="O60" s="513"/>
      <c r="P60" s="283"/>
      <c r="Q60" s="510" t="s">
        <v>2172</v>
      </c>
      <c r="R60" t="s">
        <v>2173</v>
      </c>
      <c r="EI60" s="394" t="s">
        <v>2174</v>
      </c>
      <c r="EJ60" s="396" t="s">
        <v>2163</v>
      </c>
      <c r="EK60" s="396" t="s">
        <v>2163</v>
      </c>
      <c r="EL60" s="396" t="s">
        <v>2175</v>
      </c>
      <c r="EM60" s="10"/>
    </row>
    <row r="61" spans="13:143" ht="26.4">
      <c r="M61" s="167" t="s">
        <v>2176</v>
      </c>
      <c r="N61" s="165" t="s">
        <v>2171</v>
      </c>
      <c r="O61" s="513"/>
      <c r="P61" s="283"/>
      <c r="Q61" s="510" t="s">
        <v>2177</v>
      </c>
      <c r="R61" t="s">
        <v>2178</v>
      </c>
      <c r="EI61" s="394" t="s">
        <v>2179</v>
      </c>
      <c r="EJ61" s="396" t="s">
        <v>2180</v>
      </c>
      <c r="EK61" s="396" t="s">
        <v>2180</v>
      </c>
      <c r="EL61" s="396" t="s">
        <v>2181</v>
      </c>
      <c r="EM61" s="10"/>
    </row>
    <row r="62" spans="13:143" ht="26.4">
      <c r="M62" s="2332" t="s">
        <v>2182</v>
      </c>
      <c r="N62" s="2333"/>
      <c r="O62" s="2333"/>
      <c r="P62" s="2333"/>
      <c r="Q62" s="2334"/>
      <c r="EI62" s="394" t="s">
        <v>2183</v>
      </c>
      <c r="EJ62" s="396" t="s">
        <v>2184</v>
      </c>
      <c r="EK62" s="396" t="s">
        <v>2184</v>
      </c>
      <c r="EL62" s="396" t="s">
        <v>2185</v>
      </c>
      <c r="EM62" s="10"/>
    </row>
    <row r="63" spans="13:143" ht="26.4">
      <c r="M63" s="167" t="s">
        <v>340</v>
      </c>
      <c r="N63" s="165" t="s">
        <v>2186</v>
      </c>
      <c r="O63" s="165"/>
      <c r="P63" s="165"/>
      <c r="Q63" s="510" t="s">
        <v>2187</v>
      </c>
      <c r="R63" t="s">
        <v>2188</v>
      </c>
      <c r="EI63" s="394" t="s">
        <v>2189</v>
      </c>
      <c r="EJ63" s="396" t="s">
        <v>2181</v>
      </c>
      <c r="EK63" s="396" t="s">
        <v>2181</v>
      </c>
      <c r="EL63" s="396" t="s">
        <v>2190</v>
      </c>
      <c r="EM63" s="10"/>
    </row>
    <row r="64" spans="13:143" ht="19.95" customHeight="1">
      <c r="M64" s="172"/>
      <c r="N64" s="165"/>
      <c r="O64" s="514"/>
      <c r="P64" s="165"/>
      <c r="Q64" s="203" t="s">
        <v>2191</v>
      </c>
      <c r="R64" t="s">
        <v>2192</v>
      </c>
      <c r="EI64" s="394" t="s">
        <v>2193</v>
      </c>
      <c r="EJ64" s="396" t="s">
        <v>2185</v>
      </c>
      <c r="EK64" s="396" t="s">
        <v>2185</v>
      </c>
      <c r="EL64" s="397">
        <v>1.4</v>
      </c>
      <c r="EM64" s="10"/>
    </row>
    <row r="65" spans="13:143" ht="28.8">
      <c r="M65" s="172"/>
      <c r="N65" s="165"/>
      <c r="O65" s="177"/>
      <c r="P65" s="177"/>
      <c r="Q65" s="203" t="s">
        <v>2194</v>
      </c>
      <c r="R65" s="9" t="s">
        <v>2195</v>
      </c>
      <c r="EI65" s="394" t="s">
        <v>2196</v>
      </c>
      <c r="EJ65" s="396" t="s">
        <v>2197</v>
      </c>
      <c r="EK65" s="396" t="s">
        <v>2197</v>
      </c>
      <c r="EL65" s="397">
        <v>1.8</v>
      </c>
      <c r="EM65" s="10"/>
    </row>
    <row r="66" spans="13:143" ht="24.6" customHeight="1">
      <c r="M66" s="172"/>
      <c r="N66" s="179"/>
      <c r="O66" s="179"/>
      <c r="P66" s="179"/>
      <c r="Q66" s="117"/>
      <c r="R66" s="9"/>
      <c r="EI66" s="394" t="s">
        <v>2198</v>
      </c>
      <c r="EJ66" s="397">
        <v>1.3</v>
      </c>
      <c r="EK66" s="396" t="s">
        <v>2199</v>
      </c>
      <c r="EL66" s="397">
        <v>2.6</v>
      </c>
      <c r="EM66" s="10"/>
    </row>
    <row r="67" spans="13:143" ht="26.4">
      <c r="M67" s="172"/>
      <c r="N67" s="165"/>
      <c r="O67" s="165"/>
      <c r="P67" s="165"/>
      <c r="Q67" s="203" t="s">
        <v>2200</v>
      </c>
      <c r="R67" t="s">
        <v>2201</v>
      </c>
      <c r="EI67" s="394" t="s">
        <v>2202</v>
      </c>
      <c r="EJ67" s="396" t="s">
        <v>2203</v>
      </c>
      <c r="EK67" s="396" t="s">
        <v>2203</v>
      </c>
      <c r="EL67" s="397">
        <v>3</v>
      </c>
      <c r="EM67" s="10"/>
    </row>
    <row r="68" spans="13:143" ht="26.4">
      <c r="M68" s="172"/>
      <c r="N68" s="165"/>
      <c r="O68" s="165"/>
      <c r="P68" s="165"/>
      <c r="Q68" s="203" t="s">
        <v>2204</v>
      </c>
      <c r="R68" t="s">
        <v>2205</v>
      </c>
      <c r="EI68" s="394" t="s">
        <v>2206</v>
      </c>
      <c r="EJ68" s="397">
        <v>1.7</v>
      </c>
      <c r="EK68" s="397">
        <v>1.7</v>
      </c>
      <c r="EL68" s="397">
        <v>3.4</v>
      </c>
      <c r="EM68" s="10"/>
    </row>
    <row r="69" spans="13:143" ht="26.4">
      <c r="M69" s="172"/>
      <c r="N69" s="165"/>
      <c r="O69" s="165"/>
      <c r="P69" s="165"/>
      <c r="Q69" s="203" t="s">
        <v>2207</v>
      </c>
      <c r="R69" s="171" t="s">
        <v>799</v>
      </c>
      <c r="EI69" s="394" t="s">
        <v>2208</v>
      </c>
      <c r="EJ69" s="397">
        <v>1.9</v>
      </c>
      <c r="EK69" s="397">
        <v>1.9</v>
      </c>
      <c r="EL69" s="397">
        <v>3.8</v>
      </c>
      <c r="EM69" s="10"/>
    </row>
    <row r="70" spans="13:143" ht="15.6">
      <c r="M70" s="2332" t="s">
        <v>2209</v>
      </c>
      <c r="N70" s="2333"/>
      <c r="O70" s="2333"/>
      <c r="P70" s="2333"/>
      <c r="Q70" s="2334"/>
    </row>
    <row r="71" spans="13:143" ht="15.6">
      <c r="M71" s="175" t="s">
        <v>73</v>
      </c>
      <c r="N71" s="165" t="s">
        <v>2210</v>
      </c>
      <c r="O71" s="165"/>
      <c r="P71" s="165"/>
      <c r="Q71" s="134" t="e">
        <f>#REF!+1</f>
        <v>#REF!</v>
      </c>
    </row>
    <row r="72" spans="13:143" ht="15.6">
      <c r="M72" s="2332" t="s">
        <v>2211</v>
      </c>
      <c r="N72" s="2333"/>
      <c r="O72" s="2333"/>
      <c r="P72" s="2333"/>
      <c r="Q72" s="2334"/>
      <c r="EI72" s="398" t="s">
        <v>2212</v>
      </c>
    </row>
    <row r="73" spans="13:143" ht="15.6">
      <c r="M73" s="886" t="s">
        <v>2213</v>
      </c>
      <c r="N73" s="887" t="s">
        <v>941</v>
      </c>
      <c r="O73" s="176" t="s">
        <v>2214</v>
      </c>
      <c r="P73" s="887" t="s">
        <v>1757</v>
      </c>
      <c r="Q73" s="888"/>
      <c r="R73" t="s">
        <v>2215</v>
      </c>
      <c r="EI73" t="s">
        <v>2216</v>
      </c>
    </row>
    <row r="74" spans="13:143" ht="15.6">
      <c r="M74" s="165" t="s">
        <v>2217</v>
      </c>
      <c r="N74" s="165"/>
      <c r="O74" s="165"/>
      <c r="P74" s="165"/>
      <c r="Q74" s="134" t="e">
        <f>Q71+1</f>
        <v>#REF!</v>
      </c>
      <c r="R74" t="s">
        <v>2215</v>
      </c>
    </row>
    <row r="75" spans="13:143" ht="15.6">
      <c r="M75" s="165"/>
      <c r="N75" s="165"/>
      <c r="O75" s="165"/>
      <c r="P75" s="165"/>
      <c r="Q75" s="134" t="e">
        <f>Q74+1</f>
        <v>#REF!</v>
      </c>
      <c r="R75" t="s">
        <v>2215</v>
      </c>
      <c r="EI75" t="s">
        <v>2218</v>
      </c>
    </row>
    <row r="76" spans="13:143" ht="15.6">
      <c r="M76" s="165"/>
      <c r="N76" s="165"/>
      <c r="O76" s="165"/>
      <c r="P76" s="165"/>
      <c r="Q76" s="134" t="e">
        <f>Q75+1</f>
        <v>#REF!</v>
      </c>
      <c r="R76" t="s">
        <v>2215</v>
      </c>
    </row>
    <row r="77" spans="13:143" ht="15.6">
      <c r="M77" s="165"/>
      <c r="N77" s="165"/>
      <c r="O77" s="165"/>
      <c r="P77" s="165"/>
      <c r="Q77" s="134" t="e">
        <f>Q76+1</f>
        <v>#REF!</v>
      </c>
      <c r="R77" t="s">
        <v>2215</v>
      </c>
    </row>
    <row r="78" spans="13:143" ht="15.6">
      <c r="M78" s="165"/>
      <c r="N78" s="165"/>
      <c r="O78" s="165"/>
      <c r="P78" s="165"/>
      <c r="Q78" s="134" t="e">
        <f>Q77+1</f>
        <v>#REF!</v>
      </c>
    </row>
    <row r="79" spans="13:143" ht="15.6">
      <c r="M79" s="2332" t="s">
        <v>2219</v>
      </c>
      <c r="N79" s="2333"/>
      <c r="O79" s="2333"/>
      <c r="P79" s="2333"/>
      <c r="Q79" s="2334"/>
    </row>
    <row r="80" spans="13:143" ht="15.6">
      <c r="M80" s="886" t="s">
        <v>2213</v>
      </c>
      <c r="N80" s="887" t="s">
        <v>941</v>
      </c>
      <c r="O80" s="176" t="s">
        <v>2214</v>
      </c>
      <c r="P80" s="887" t="s">
        <v>1757</v>
      </c>
      <c r="Q80" s="888"/>
      <c r="R80" t="s">
        <v>2220</v>
      </c>
    </row>
    <row r="81" spans="13:18" ht="15.6">
      <c r="M81" s="165" t="s">
        <v>2217</v>
      </c>
      <c r="N81" s="165"/>
      <c r="O81" s="165"/>
      <c r="P81" s="165"/>
      <c r="Q81" s="134" t="e">
        <f>Q78+1</f>
        <v>#REF!</v>
      </c>
      <c r="R81" t="s">
        <v>2220</v>
      </c>
    </row>
    <row r="82" spans="13:18" ht="15.6">
      <c r="M82" s="165"/>
      <c r="N82" s="165"/>
      <c r="O82" s="165"/>
      <c r="P82" s="165"/>
      <c r="Q82" s="134" t="e">
        <f>Q81+1</f>
        <v>#REF!</v>
      </c>
      <c r="R82" t="s">
        <v>2220</v>
      </c>
    </row>
    <row r="83" spans="13:18" ht="15.6">
      <c r="M83" s="165"/>
      <c r="N83" s="165"/>
      <c r="O83" s="165"/>
      <c r="P83" s="165"/>
      <c r="Q83" s="134" t="e">
        <f>Q82+1</f>
        <v>#REF!</v>
      </c>
      <c r="R83" t="s">
        <v>2220</v>
      </c>
    </row>
    <row r="84" spans="13:18" ht="15.6">
      <c r="M84" s="165"/>
      <c r="N84" s="165"/>
      <c r="O84" s="165"/>
      <c r="P84" s="165"/>
      <c r="Q84" s="134" t="e">
        <f>Q83+1</f>
        <v>#REF!</v>
      </c>
      <c r="R84" t="s">
        <v>2220</v>
      </c>
    </row>
    <row r="85" spans="13:18" ht="15.6">
      <c r="M85" s="165"/>
      <c r="N85" s="165"/>
      <c r="O85" s="165"/>
      <c r="P85" s="165"/>
      <c r="Q85" s="134" t="e">
        <f>Q84+1</f>
        <v>#REF!</v>
      </c>
    </row>
    <row r="86" spans="13:18" ht="15.6">
      <c r="M86" s="2332" t="s">
        <v>2221</v>
      </c>
      <c r="N86" s="2333"/>
      <c r="O86" s="2333"/>
      <c r="P86" s="2333"/>
      <c r="Q86" s="2334"/>
    </row>
    <row r="87" spans="13:18" ht="15.6">
      <c r="M87" s="176" t="s">
        <v>2222</v>
      </c>
      <c r="N87" s="176" t="s">
        <v>2223</v>
      </c>
      <c r="O87" s="176" t="s">
        <v>2224</v>
      </c>
      <c r="P87" s="176" t="s">
        <v>2225</v>
      </c>
      <c r="Q87" s="176"/>
      <c r="R87" t="s">
        <v>2220</v>
      </c>
    </row>
    <row r="88" spans="13:18" ht="15.6">
      <c r="M88" s="165"/>
      <c r="N88" s="165"/>
      <c r="O88" s="165"/>
      <c r="P88" s="165"/>
      <c r="Q88" s="134" t="e">
        <f>Q85+1</f>
        <v>#REF!</v>
      </c>
      <c r="R88" t="s">
        <v>2220</v>
      </c>
    </row>
    <row r="89" spans="13:18" ht="15.6">
      <c r="M89" s="165"/>
      <c r="N89" s="165"/>
      <c r="O89" s="165"/>
      <c r="P89" s="165"/>
      <c r="Q89" s="134" t="e">
        <f>Q88+1</f>
        <v>#REF!</v>
      </c>
      <c r="R89" t="s">
        <v>2220</v>
      </c>
    </row>
    <row r="90" spans="13:18" ht="15.6">
      <c r="M90" s="165"/>
      <c r="N90" s="165"/>
      <c r="O90" s="165"/>
      <c r="P90" s="165"/>
      <c r="Q90" s="134" t="e">
        <f>Q89+1</f>
        <v>#REF!</v>
      </c>
      <c r="R90" t="s">
        <v>2220</v>
      </c>
    </row>
    <row r="91" spans="13:18" ht="15.6">
      <c r="M91" s="165"/>
      <c r="N91" s="165"/>
      <c r="O91" s="165"/>
      <c r="P91" s="165"/>
      <c r="Q91" s="134" t="e">
        <f>Q90+1</f>
        <v>#REF!</v>
      </c>
      <c r="R91" t="s">
        <v>2220</v>
      </c>
    </row>
    <row r="92" spans="13:18" ht="15.6">
      <c r="M92" s="165"/>
      <c r="N92" s="165"/>
      <c r="O92" s="165"/>
      <c r="P92" s="165"/>
      <c r="Q92" s="134" t="e">
        <f>Q91+1</f>
        <v>#REF!</v>
      </c>
    </row>
    <row r="93" spans="13:18" ht="15.6">
      <c r="M93" s="2332" t="s">
        <v>2226</v>
      </c>
      <c r="N93" s="2333"/>
      <c r="O93" s="2333"/>
      <c r="P93" s="2333"/>
      <c r="Q93" s="2334"/>
    </row>
    <row r="94" spans="13:18" ht="15.6">
      <c r="M94" s="176" t="s">
        <v>2222</v>
      </c>
      <c r="N94" s="176" t="s">
        <v>2223</v>
      </c>
      <c r="O94" s="176" t="s">
        <v>2224</v>
      </c>
      <c r="P94" s="176" t="s">
        <v>2225</v>
      </c>
      <c r="Q94" s="176"/>
      <c r="R94" t="s">
        <v>2227</v>
      </c>
    </row>
    <row r="95" spans="13:18" ht="15.6">
      <c r="M95" s="165"/>
      <c r="N95" s="165"/>
      <c r="O95" s="165"/>
      <c r="P95" s="165"/>
      <c r="Q95" s="134" t="e">
        <f>Q92+1</f>
        <v>#REF!</v>
      </c>
      <c r="R95" t="s">
        <v>2227</v>
      </c>
    </row>
    <row r="96" spans="13:18" ht="15.6">
      <c r="M96" s="165"/>
      <c r="N96" s="165"/>
      <c r="O96" s="165"/>
      <c r="P96" s="165"/>
      <c r="Q96" s="134" t="e">
        <f>Q95+1</f>
        <v>#REF!</v>
      </c>
      <c r="R96" t="s">
        <v>2227</v>
      </c>
    </row>
    <row r="97" spans="13:18" ht="15.6">
      <c r="M97" s="165"/>
      <c r="N97" s="165"/>
      <c r="O97" s="165"/>
      <c r="P97" s="165"/>
      <c r="Q97" s="134" t="e">
        <f>Q96+1</f>
        <v>#REF!</v>
      </c>
      <c r="R97" t="s">
        <v>2227</v>
      </c>
    </row>
    <row r="98" spans="13:18" ht="15.6">
      <c r="M98" s="165"/>
      <c r="N98" s="165"/>
      <c r="O98" s="165"/>
      <c r="P98" s="165"/>
      <c r="Q98" s="134" t="e">
        <f>Q97+1</f>
        <v>#REF!</v>
      </c>
      <c r="R98" t="s">
        <v>2227</v>
      </c>
    </row>
    <row r="99" spans="13:18" ht="15.6">
      <c r="M99" s="165"/>
      <c r="N99" s="165"/>
      <c r="O99" s="165"/>
      <c r="P99" s="165"/>
      <c r="Q99" s="134" t="e">
        <f>Q98+1</f>
        <v>#REF!</v>
      </c>
    </row>
    <row r="100" spans="13:18" ht="15.6">
      <c r="M100" s="2332" t="s">
        <v>2228</v>
      </c>
      <c r="N100" s="2333"/>
      <c r="O100" s="2333"/>
      <c r="P100" s="2333"/>
      <c r="Q100" s="2334"/>
    </row>
    <row r="101" spans="13:18" ht="15.6">
      <c r="M101" s="176" t="s">
        <v>360</v>
      </c>
      <c r="N101" s="2332" t="s">
        <v>423</v>
      </c>
      <c r="O101" s="2333"/>
      <c r="P101" s="2333"/>
      <c r="Q101" s="2334"/>
      <c r="R101" t="s">
        <v>2227</v>
      </c>
    </row>
    <row r="102" spans="13:18" ht="15.6">
      <c r="M102" s="165" t="s">
        <v>2229</v>
      </c>
      <c r="N102" s="2331"/>
      <c r="O102" s="2331"/>
      <c r="P102" s="2331"/>
      <c r="Q102" s="134" t="e">
        <f>Q99+1</f>
        <v>#REF!</v>
      </c>
      <c r="R102" t="s">
        <v>2227</v>
      </c>
    </row>
    <row r="103" spans="13:18" ht="15.6">
      <c r="M103" s="165" t="s">
        <v>2230</v>
      </c>
      <c r="N103" s="2331"/>
      <c r="O103" s="2331"/>
      <c r="P103" s="2331"/>
      <c r="Q103" s="134" t="e">
        <f>Q102+1</f>
        <v>#REF!</v>
      </c>
      <c r="R103" t="s">
        <v>2227</v>
      </c>
    </row>
    <row r="104" spans="13:18" ht="15.6">
      <c r="M104" s="165" t="s">
        <v>2231</v>
      </c>
      <c r="N104" s="2331"/>
      <c r="O104" s="2331"/>
      <c r="P104" s="2331"/>
      <c r="Q104" s="134" t="e">
        <f>Q103+1</f>
        <v>#REF!</v>
      </c>
      <c r="R104" t="s">
        <v>2227</v>
      </c>
    </row>
    <row r="105" spans="13:18" ht="15.6">
      <c r="M105" s="165" t="s">
        <v>2232</v>
      </c>
      <c r="N105" s="2331"/>
      <c r="O105" s="2331"/>
      <c r="P105" s="2331"/>
      <c r="Q105" s="134" t="e">
        <f>Q104+1</f>
        <v>#REF!</v>
      </c>
      <c r="R105" t="s">
        <v>2227</v>
      </c>
    </row>
    <row r="106" spans="13:18" ht="15.6">
      <c r="M106" s="165"/>
      <c r="N106" s="2331"/>
      <c r="O106" s="2331"/>
      <c r="P106" s="2331"/>
      <c r="Q106" s="134" t="e">
        <f>Q105+1</f>
        <v>#REF!</v>
      </c>
    </row>
    <row r="108" spans="13:18" ht="15.6">
      <c r="M108" s="285" t="s">
        <v>2233</v>
      </c>
      <c r="N108" s="114" t="s">
        <v>2234</v>
      </c>
      <c r="O108" s="114" t="s">
        <v>2235</v>
      </c>
      <c r="P108" s="114" t="s">
        <v>2236</v>
      </c>
      <c r="R108" t="s">
        <v>2237</v>
      </c>
    </row>
    <row r="111" spans="13:18">
      <c r="M111" t="s">
        <v>2238</v>
      </c>
    </row>
    <row r="112" spans="13:18">
      <c r="M112" t="s">
        <v>2239</v>
      </c>
    </row>
    <row r="113" spans="13:13">
      <c r="M113" t="s">
        <v>2240</v>
      </c>
    </row>
    <row r="114" spans="13:13">
      <c r="M114" t="s">
        <v>2241</v>
      </c>
    </row>
  </sheetData>
  <autoFilter ref="BA3:BB16" xr:uid="{2764ABAD-74B7-45F9-9BC1-FB77E370EFD2}">
    <filterColumn colId="0" showButton="0"/>
  </autoFilter>
  <mergeCells count="125">
    <mergeCell ref="DY54:DZ54"/>
    <mergeCell ref="DY55:DZ55"/>
    <mergeCell ref="DY56:DZ56"/>
    <mergeCell ref="EI47:EK47"/>
    <mergeCell ref="EI48:EK48"/>
    <mergeCell ref="EI49:EK49"/>
    <mergeCell ref="EJ9:EK9"/>
    <mergeCell ref="EI13:EL13"/>
    <mergeCell ref="EJ25:EM25"/>
    <mergeCell ref="EI43:EN43"/>
    <mergeCell ref="EI44:EN44"/>
    <mergeCell ref="EL50:EM50"/>
    <mergeCell ref="EL51:EM51"/>
    <mergeCell ref="EL52:EM52"/>
    <mergeCell ref="EL53:EM53"/>
    <mergeCell ref="EI46:EK46"/>
    <mergeCell ref="EL47:EM47"/>
    <mergeCell ref="EL48:EM48"/>
    <mergeCell ref="DM13:DR19"/>
    <mergeCell ref="DY26:EC26"/>
    <mergeCell ref="DY27:EC27"/>
    <mergeCell ref="DZ24:EC24"/>
    <mergeCell ref="EI51:EK51"/>
    <mergeCell ref="EI52:EK52"/>
    <mergeCell ref="EI53:EK53"/>
    <mergeCell ref="CQ8:CU8"/>
    <mergeCell ref="DY3:EB3"/>
    <mergeCell ref="DY53:DZ53"/>
    <mergeCell ref="M7:Q7"/>
    <mergeCell ref="BA3:BB3"/>
    <mergeCell ref="AQ3:AR3"/>
    <mergeCell ref="BX9:BZ9"/>
    <mergeCell ref="Y7:Y14"/>
    <mergeCell ref="BC7:BD7"/>
    <mergeCell ref="EL49:EM49"/>
    <mergeCell ref="EL46:EM46"/>
    <mergeCell ref="EI50:EK50"/>
    <mergeCell ref="BY10:BZ10"/>
    <mergeCell ref="BV13:BZ13"/>
    <mergeCell ref="BW16:BX16"/>
    <mergeCell ref="BX17:BX19"/>
    <mergeCell ref="BL17:BM17"/>
    <mergeCell ref="BM9:BO9"/>
    <mergeCell ref="DY12:EB12"/>
    <mergeCell ref="DM24:DR24"/>
    <mergeCell ref="DN25:DO25"/>
    <mergeCell ref="DN27:DO27"/>
    <mergeCell ref="DN29:DO29"/>
    <mergeCell ref="DN26:DO26"/>
    <mergeCell ref="DN28:DO28"/>
    <mergeCell ref="BM19:BM24"/>
    <mergeCell ref="BK14:BO14"/>
    <mergeCell ref="A1:C1"/>
    <mergeCell ref="B25:D25"/>
    <mergeCell ref="C26:D26"/>
    <mergeCell ref="C27:D27"/>
    <mergeCell ref="C28:D28"/>
    <mergeCell ref="EI3:EL3"/>
    <mergeCell ref="EI7:EL7"/>
    <mergeCell ref="EJ8:EK8"/>
    <mergeCell ref="DN7:DP7"/>
    <mergeCell ref="DN8:DP8"/>
    <mergeCell ref="DN9:DP9"/>
    <mergeCell ref="DM11:DR11"/>
    <mergeCell ref="DN10:DP10"/>
    <mergeCell ref="DQ5:DR10"/>
    <mergeCell ref="DY7:EB7"/>
    <mergeCell ref="DZ8:EA8"/>
    <mergeCell ref="DZ9:EA9"/>
    <mergeCell ref="DM3:DP3"/>
    <mergeCell ref="BA1:BB1"/>
    <mergeCell ref="BK3:BL3"/>
    <mergeCell ref="CQ3:CS3"/>
    <mergeCell ref="CR9:CS9"/>
    <mergeCell ref="W3:X3"/>
    <mergeCell ref="M3:N3"/>
    <mergeCell ref="N106:P106"/>
    <mergeCell ref="M93:Q93"/>
    <mergeCell ref="M100:Q100"/>
    <mergeCell ref="N101:Q101"/>
    <mergeCell ref="N102:P102"/>
    <mergeCell ref="N103:P103"/>
    <mergeCell ref="M62:Q62"/>
    <mergeCell ref="M72:Q72"/>
    <mergeCell ref="M86:Q86"/>
    <mergeCell ref="M79:Q79"/>
    <mergeCell ref="M70:Q70"/>
    <mergeCell ref="AF13:AF16"/>
    <mergeCell ref="AF17:AG17"/>
    <mergeCell ref="AG22:AJ22"/>
    <mergeCell ref="BC13:BD13"/>
    <mergeCell ref="BC14:BD14"/>
    <mergeCell ref="BA11:BB11"/>
    <mergeCell ref="BB16:BD16"/>
    <mergeCell ref="N104:P104"/>
    <mergeCell ref="N105:P105"/>
    <mergeCell ref="M41:Q41"/>
    <mergeCell ref="M44:Q44"/>
    <mergeCell ref="M52:Q52"/>
    <mergeCell ref="M24:Q24"/>
    <mergeCell ref="M37:Q37"/>
    <mergeCell ref="M33:Q33"/>
    <mergeCell ref="N34:P34"/>
    <mergeCell ref="N35:P35"/>
    <mergeCell ref="BA26:BE26"/>
    <mergeCell ref="AQ26:AU26"/>
    <mergeCell ref="BA25:BE25"/>
    <mergeCell ref="BA24:BE24"/>
    <mergeCell ref="AQ24:AU24"/>
    <mergeCell ref="AQ25:AU25"/>
    <mergeCell ref="BB18:BC18"/>
    <mergeCell ref="BB19:BC19"/>
    <mergeCell ref="AG9:AH9"/>
    <mergeCell ref="AG13:AG16"/>
    <mergeCell ref="AH13:AH16"/>
    <mergeCell ref="BC11:BD11"/>
    <mergeCell ref="BC12:BD12"/>
    <mergeCell ref="DC7:DF7"/>
    <mergeCell ref="DD8:DF9"/>
    <mergeCell ref="BN10:BO10"/>
    <mergeCell ref="AI13:AI16"/>
    <mergeCell ref="CR11:CS11"/>
    <mergeCell ref="CS12:CS13"/>
    <mergeCell ref="AQ12:AR12"/>
    <mergeCell ref="AS12:AT12"/>
  </mergeCells>
  <phoneticPr fontId="8" type="noConversion"/>
  <dataValidations disablePrompts="1" count="2">
    <dataValidation type="list" allowBlank="1" showInputMessage="1" showErrorMessage="1" sqref="C22:C23" xr:uid="{5D8F34DE-2FFF-4C8B-AF0F-C2DC48E0332C}">
      <formula1>$J$4:$J$24</formula1>
    </dataValidation>
    <dataValidation type="list" allowBlank="1" showInputMessage="1" showErrorMessage="1" sqref="C4:C21" xr:uid="{32460FFA-D36D-4757-935F-AC336D74F2D7}">
      <formula1>Group_List</formula1>
    </dataValidation>
  </dataValidations>
  <hyperlinks>
    <hyperlink ref="BF1" location="Human_Resources!A1" display="Contents" xr:uid="{8FC3E913-4D80-46DB-87D2-FAE9508A76EC}"/>
    <hyperlink ref="BQ1" location="Human_Resources!A1" display="Contents" xr:uid="{E7762C84-0801-48C2-9B77-A2ABD00FF805}"/>
    <hyperlink ref="CB1" location="Human_Resources!A1" display="Contents" xr:uid="{BBB72AA1-F36E-4A8B-8174-E5797EAC8F48}"/>
    <hyperlink ref="CW1" location="Human_Resources!A1" display="Contents" xr:uid="{67882BA8-1677-4C99-B31E-5CFF63CBE65D}"/>
    <hyperlink ref="AV1" location="Human_Resources!A1" display="Contents" xr:uid="{9A33C51C-DAF8-4273-8947-75E1D1415F9D}"/>
    <hyperlink ref="AK1" location="Human_Resources!A1" display="Contents" xr:uid="{1276E90E-14BF-4AFC-A49B-C1B9626E1353}"/>
    <hyperlink ref="AA1" location="Human_Resources!A1" display="Contents" xr:uid="{D1C734A7-91E6-42E3-9F35-135F81EBA641}"/>
    <hyperlink ref="R1" location="Human_Resources!A1" display="Contents" xr:uid="{5F76BA1B-6813-4C10-86C4-7DC7BFDCCB18}"/>
    <hyperlink ref="DH1" location="Human_Resources!A1" display="Contents" xr:uid="{D8A5B8CF-7E77-4C96-A649-080715492732}"/>
    <hyperlink ref="H6" location="Human_Resources!CU1" display="Display" xr:uid="{3285CEE6-67BA-4F2F-8667-0E9DD5AA3090}"/>
    <hyperlink ref="H18" location="Human_Resources!DA1" display="Display" xr:uid="{80283DF2-2FB7-4B8B-B900-829BB208EC72}"/>
    <hyperlink ref="H17" location="Human_Resources!CE1" display="Display" xr:uid="{8E7A492F-6BB7-4F75-8DA2-63A0CE5733E1}"/>
    <hyperlink ref="H9" location="Human_Resources!AY1" display="Display" xr:uid="{D1AD4F69-BAFE-44E9-B594-6B89D9AF33E0}"/>
    <hyperlink ref="DS1" location="Human_Resources!A1" display="Contents" xr:uid="{6FF3A73D-6058-414E-9C67-95ECB0374000}"/>
    <hyperlink ref="H20" location="Human_Resources!DP1" display="Display" xr:uid="{C2C6FA17-B76E-4BD0-ACF0-11CC87228216}"/>
    <hyperlink ref="ED1" location="Human_Resources!A1" display="Contents" xr:uid="{D77DEA0D-E32F-4892-A3E7-F0F73281ECC9}"/>
    <hyperlink ref="H21" location="Human_Resources!DA1" display="Display" xr:uid="{9517DF59-A66F-43C8-B3E6-16E098BAE8AB}"/>
    <hyperlink ref="EN1" location="Human_Resources!A1" display="Contents" xr:uid="{EE6F9249-8BF3-4128-B303-2645699FA58A}"/>
    <hyperlink ref="H19" location="Human_Resources!DA1" display="Display" xr:uid="{06329247-E70B-4D59-8B42-3BAF5FA1A11D}"/>
    <hyperlink ref="H5" location="Human_Resources!M1" display="Display" xr:uid="{1B99AE71-E2B5-49E8-A324-A7F8843952BF}"/>
    <hyperlink ref="H4" location="Human_Resources!M1" display="Display" xr:uid="{C7B22081-63DF-49C8-80BD-DCD8C573ACAC}"/>
    <hyperlink ref="H7" location="Human_Resources!W1" display="Display" xr:uid="{56EDE35C-5DB6-44F9-96EC-CBBA5360FF6F}"/>
    <hyperlink ref="H8" location="Human_Resources!AF1" display="Display" xr:uid="{186BC37E-A52C-4206-985F-ED8A6EBCE2D6}"/>
    <hyperlink ref="CK1" location="Human_Resources!A1" display="Contents" xr:uid="{E6495B13-C30A-4B30-B354-DEB158DCA4D4}"/>
  </hyperlinks>
  <pageMargins left="0.7" right="0.7" top="0.75" bottom="0.75" header="0.3" footer="0.3"/>
  <drawing r:id="rId1"/>
  <legacyDrawing r:id="rId2"/>
  <tableParts count="2">
    <tablePart r:id="rId3"/>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B884-0AC1-4715-A343-074B16BCC031}">
  <sheetPr codeName="Sheet13"/>
  <dimension ref="A1:BV61"/>
  <sheetViews>
    <sheetView topLeftCell="BN1" workbookViewId="0">
      <selection activeCell="BQ11" sqref="BQ11"/>
    </sheetView>
  </sheetViews>
  <sheetFormatPr defaultColWidth="8.88671875" defaultRowHeight="14.4"/>
  <cols>
    <col min="1" max="1" width="8.88671875" style="129"/>
    <col min="2" max="2" width="21.5546875" style="129" customWidth="1"/>
    <col min="3" max="3" width="32.44140625" style="129" bestFit="1" customWidth="1"/>
    <col min="4" max="4" width="9.109375" style="129" customWidth="1"/>
    <col min="5" max="5" width="48" style="129" customWidth="1"/>
    <col min="6" max="6" width="12.44140625" style="129" customWidth="1"/>
    <col min="7" max="11" width="8.88671875" style="129"/>
    <col min="12" max="12" width="25.109375" style="129" customWidth="1"/>
    <col min="13" max="13" width="22.88671875" style="129" customWidth="1"/>
    <col min="14" max="14" width="18.5546875" style="129" customWidth="1"/>
    <col min="15" max="15" width="18.44140625" style="129" customWidth="1"/>
    <col min="16" max="16" width="9.88671875" style="129" customWidth="1"/>
    <col min="17" max="17" width="61.5546875" style="129" customWidth="1"/>
    <col min="18" max="21" width="8.88671875" style="129"/>
    <col min="22" max="22" width="25.109375" style="129" customWidth="1"/>
    <col min="23" max="23" width="19.88671875" style="129" customWidth="1"/>
    <col min="24" max="24" width="18.5546875" style="129" customWidth="1"/>
    <col min="25" max="25" width="20.88671875" style="129" customWidth="1"/>
    <col min="26" max="26" width="18.44140625" style="129" customWidth="1"/>
    <col min="27" max="27" width="28.5546875" style="129" customWidth="1"/>
    <col min="28" max="28" width="9.88671875" style="129" customWidth="1"/>
    <col min="29" max="29" width="51.5546875" style="129" customWidth="1"/>
    <col min="30" max="33" width="8.88671875" style="129"/>
    <col min="34" max="34" width="25.109375" style="129" customWidth="1"/>
    <col min="35" max="35" width="19.88671875" style="129" customWidth="1"/>
    <col min="36" max="36" width="18.5546875" style="129" customWidth="1"/>
    <col min="37" max="37" width="20.88671875" style="129" customWidth="1"/>
    <col min="38" max="38" width="18.44140625" style="129" customWidth="1"/>
    <col min="39" max="39" width="28.5546875" style="129" customWidth="1"/>
    <col min="40" max="40" width="9.88671875" style="129" customWidth="1"/>
    <col min="41" max="41" width="51.5546875" style="129" customWidth="1"/>
    <col min="42" max="45" width="8.88671875" style="129"/>
    <col min="46" max="46" width="25.109375" style="129" customWidth="1"/>
    <col min="47" max="47" width="31" style="129" customWidth="1"/>
    <col min="48" max="48" width="18.5546875" style="129" customWidth="1"/>
    <col min="49" max="49" width="23.5546875" style="129" customWidth="1"/>
    <col min="50" max="50" width="9.88671875" style="129" customWidth="1"/>
    <col min="51" max="51" width="43.5546875" style="129" customWidth="1"/>
    <col min="52" max="55" width="8.88671875" style="129"/>
    <col min="56" max="56" width="25.109375" style="129" customWidth="1"/>
    <col min="57" max="57" width="31" style="129" customWidth="1"/>
    <col min="58" max="58" width="18.5546875" style="129" customWidth="1"/>
    <col min="59" max="59" width="23.5546875" style="129" customWidth="1"/>
    <col min="60" max="60" width="9.88671875" style="129" customWidth="1"/>
    <col min="61" max="61" width="43.5546875" style="129" customWidth="1"/>
    <col min="62" max="65" width="8.88671875" style="129"/>
    <col min="66" max="66" width="25.109375" style="129" customWidth="1"/>
    <col min="67" max="67" width="31" style="129" customWidth="1"/>
    <col min="68" max="68" width="18.5546875" style="129" customWidth="1"/>
    <col min="69" max="70" width="23.5546875" style="129" customWidth="1"/>
    <col min="71" max="71" width="9.88671875" style="129" customWidth="1"/>
    <col min="72" max="72" width="43.5546875" style="129" customWidth="1"/>
    <col min="75" max="16384" width="8.88671875" style="129"/>
  </cols>
  <sheetData>
    <row r="1" spans="1:72" ht="21" customHeight="1">
      <c r="A1" s="2391" t="s">
        <v>256</v>
      </c>
      <c r="B1" s="2391"/>
      <c r="C1" s="2391"/>
      <c r="D1" s="456"/>
      <c r="E1" s="456"/>
      <c r="F1" s="456"/>
      <c r="G1" s="456" t="s">
        <v>453</v>
      </c>
      <c r="L1" s="237" t="s">
        <v>215</v>
      </c>
      <c r="M1" s="237"/>
      <c r="N1" s="237"/>
      <c r="O1" s="237"/>
      <c r="Q1" s="494" t="s">
        <v>336</v>
      </c>
      <c r="V1" s="237" t="s">
        <v>2242</v>
      </c>
      <c r="W1" s="237"/>
      <c r="X1" s="237"/>
      <c r="Y1" s="237"/>
      <c r="Z1" s="237"/>
      <c r="AA1" s="237"/>
      <c r="AB1" s="494" t="s">
        <v>336</v>
      </c>
      <c r="AH1" s="237" t="s">
        <v>2243</v>
      </c>
      <c r="AI1" s="237"/>
      <c r="AJ1" s="245"/>
      <c r="AK1" s="237"/>
      <c r="AL1" s="237"/>
      <c r="AM1" s="237"/>
      <c r="AN1" s="494" t="s">
        <v>336</v>
      </c>
      <c r="AT1" s="237" t="s">
        <v>209</v>
      </c>
      <c r="AU1" s="237"/>
      <c r="AV1" s="237"/>
      <c r="AW1" s="237"/>
      <c r="AY1" s="494" t="s">
        <v>336</v>
      </c>
      <c r="BD1" s="237" t="s">
        <v>2244</v>
      </c>
      <c r="BE1" s="237"/>
      <c r="BF1" s="237"/>
      <c r="BG1" s="237"/>
      <c r="BI1" s="494" t="s">
        <v>336</v>
      </c>
      <c r="BN1" s="237" t="s">
        <v>333</v>
      </c>
      <c r="BO1" s="237"/>
      <c r="BP1" s="245"/>
      <c r="BQ1" s="237"/>
      <c r="BR1" s="237"/>
      <c r="BT1" s="494" t="s">
        <v>336</v>
      </c>
    </row>
    <row r="2" spans="1:72" ht="13.95" customHeight="1">
      <c r="E2" s="295"/>
    </row>
    <row r="3" spans="1:72" ht="18.600000000000001" thickBot="1">
      <c r="A3" s="599" t="s">
        <v>345</v>
      </c>
      <c r="B3" s="599" t="s">
        <v>2</v>
      </c>
      <c r="C3" s="600" t="s">
        <v>968</v>
      </c>
      <c r="D3" s="600" t="s">
        <v>346</v>
      </c>
      <c r="E3" s="601" t="s">
        <v>430</v>
      </c>
      <c r="F3" s="601" t="s">
        <v>231</v>
      </c>
      <c r="G3" s="602" t="s">
        <v>233</v>
      </c>
      <c r="L3" s="2097" t="s">
        <v>215</v>
      </c>
      <c r="M3" s="2097"/>
      <c r="N3" s="2097"/>
      <c r="P3" s="495" t="s">
        <v>232</v>
      </c>
      <c r="Q3" s="496" t="s">
        <v>325</v>
      </c>
      <c r="V3" s="2097" t="s">
        <v>2242</v>
      </c>
      <c r="W3" s="2097"/>
      <c r="X3" s="2097"/>
      <c r="Y3" s="2097"/>
      <c r="Z3" s="2097"/>
      <c r="AA3" s="2097"/>
      <c r="AB3" s="495" t="s">
        <v>232</v>
      </c>
      <c r="AC3" s="496" t="s">
        <v>326</v>
      </c>
      <c r="AH3" s="1756" t="s">
        <v>2243</v>
      </c>
      <c r="AI3" s="1819"/>
      <c r="AJ3" s="1819"/>
      <c r="AK3" s="1757"/>
      <c r="AL3" s="520"/>
      <c r="AM3" s="520"/>
      <c r="AN3" s="495" t="s">
        <v>232</v>
      </c>
      <c r="AO3" s="496" t="s">
        <v>328</v>
      </c>
      <c r="AT3" s="2392" t="s">
        <v>209</v>
      </c>
      <c r="AU3" s="2392"/>
      <c r="AV3" s="237"/>
      <c r="AX3" s="495" t="s">
        <v>232</v>
      </c>
      <c r="AY3" s="496" t="s">
        <v>330</v>
      </c>
      <c r="BD3" s="2392" t="s">
        <v>2245</v>
      </c>
      <c r="BE3" s="2392"/>
      <c r="BF3" s="237"/>
      <c r="BH3" s="495" t="s">
        <v>232</v>
      </c>
      <c r="BI3" s="496" t="s">
        <v>332</v>
      </c>
      <c r="BN3" s="2097" t="s">
        <v>333</v>
      </c>
      <c r="BO3" s="2097"/>
      <c r="BP3" s="237"/>
      <c r="BQ3" s="2099" t="s">
        <v>232</v>
      </c>
      <c r="BR3" s="2100"/>
      <c r="BS3" s="496" t="s">
        <v>335</v>
      </c>
      <c r="BT3" s="496" t="s">
        <v>234</v>
      </c>
    </row>
    <row r="4" spans="1:72" ht="18.600000000000001" customHeight="1" thickBot="1">
      <c r="A4" s="614">
        <v>1</v>
      </c>
      <c r="B4" s="472" t="s">
        <v>201</v>
      </c>
      <c r="C4" s="469" t="s">
        <v>215</v>
      </c>
      <c r="D4" s="469" t="s">
        <v>325</v>
      </c>
      <c r="E4" s="469" t="s">
        <v>324</v>
      </c>
      <c r="F4" s="469">
        <v>1</v>
      </c>
      <c r="G4" s="603" t="s">
        <v>233</v>
      </c>
      <c r="L4" s="498" t="s">
        <v>350</v>
      </c>
      <c r="M4" s="232" t="s">
        <v>351</v>
      </c>
      <c r="N4" s="245"/>
      <c r="O4" s="245"/>
      <c r="P4" s="116" t="s">
        <v>352</v>
      </c>
      <c r="Q4" s="53" t="s">
        <v>348</v>
      </c>
      <c r="V4" s="498" t="s">
        <v>350</v>
      </c>
      <c r="W4" s="232" t="s">
        <v>351</v>
      </c>
      <c r="X4" s="116"/>
      <c r="Y4" s="116"/>
      <c r="Z4" s="116"/>
      <c r="AA4" s="116"/>
      <c r="AB4" s="116" t="s">
        <v>352</v>
      </c>
      <c r="AC4" s="53" t="s">
        <v>348</v>
      </c>
      <c r="AH4" s="498" t="s">
        <v>350</v>
      </c>
      <c r="AI4" s="232" t="s">
        <v>351</v>
      </c>
      <c r="AJ4" s="116"/>
      <c r="AK4" s="116"/>
      <c r="AL4" s="116"/>
      <c r="AM4" s="116"/>
      <c r="AN4" s="116" t="s">
        <v>352</v>
      </c>
      <c r="AO4" s="53" t="s">
        <v>348</v>
      </c>
      <c r="AT4" s="498" t="s">
        <v>350</v>
      </c>
      <c r="AU4" s="344" t="s">
        <v>351</v>
      </c>
      <c r="AV4" s="2414" t="s">
        <v>2246</v>
      </c>
      <c r="AW4" s="2415"/>
      <c r="AX4" s="116" t="s">
        <v>352</v>
      </c>
      <c r="AY4" s="53" t="s">
        <v>348</v>
      </c>
      <c r="BD4" s="498" t="s">
        <v>350</v>
      </c>
      <c r="BE4" s="344" t="s">
        <v>351</v>
      </c>
      <c r="BF4" s="2414" t="s">
        <v>2246</v>
      </c>
      <c r="BG4" s="2415"/>
      <c r="BH4" s="116" t="s">
        <v>352</v>
      </c>
      <c r="BI4" s="53" t="s">
        <v>348</v>
      </c>
      <c r="BN4" s="498" t="s">
        <v>350</v>
      </c>
      <c r="BO4" s="344" t="s">
        <v>351</v>
      </c>
      <c r="BP4" s="502"/>
      <c r="BQ4" s="2455" t="s">
        <v>2247</v>
      </c>
      <c r="BR4" s="2455"/>
      <c r="BS4" s="434">
        <v>1</v>
      </c>
      <c r="BT4" s="53" t="s">
        <v>348</v>
      </c>
    </row>
    <row r="5" spans="1:72" ht="15.6" customHeight="1">
      <c r="A5" s="615">
        <v>2</v>
      </c>
      <c r="B5" s="616" t="s">
        <v>2248</v>
      </c>
      <c r="C5" s="617" t="s">
        <v>216</v>
      </c>
      <c r="D5" s="138" t="s">
        <v>326</v>
      </c>
      <c r="E5" s="138" t="s">
        <v>2249</v>
      </c>
      <c r="F5" s="618">
        <v>1</v>
      </c>
      <c r="G5" s="619" t="s">
        <v>233</v>
      </c>
      <c r="L5" s="428" t="s">
        <v>353</v>
      </c>
      <c r="M5" s="189" t="s">
        <v>354</v>
      </c>
      <c r="N5" s="2393" t="s">
        <v>2250</v>
      </c>
      <c r="O5" s="2408" t="s">
        <v>2251</v>
      </c>
      <c r="P5" s="508" t="s">
        <v>1125</v>
      </c>
      <c r="Q5" s="133"/>
      <c r="V5" s="167" t="s">
        <v>353</v>
      </c>
      <c r="W5" s="189" t="s">
        <v>354</v>
      </c>
      <c r="X5" s="201"/>
      <c r="Y5" s="2404" t="s">
        <v>2252</v>
      </c>
      <c r="Z5" s="2404"/>
      <c r="AA5" s="2405"/>
      <c r="AB5" s="225">
        <v>1</v>
      </c>
      <c r="AH5" s="167" t="s">
        <v>353</v>
      </c>
      <c r="AI5" s="2380" t="s">
        <v>354</v>
      </c>
      <c r="AJ5" s="2381"/>
      <c r="AK5" s="2404" t="s">
        <v>2252</v>
      </c>
      <c r="AL5" s="2404"/>
      <c r="AM5" s="2405"/>
      <c r="AN5" s="225">
        <v>1</v>
      </c>
      <c r="AO5" s="378" t="s">
        <v>983</v>
      </c>
      <c r="AT5" s="167" t="s">
        <v>353</v>
      </c>
      <c r="AU5" s="189" t="s">
        <v>354</v>
      </c>
      <c r="AV5" s="2416"/>
      <c r="AW5" s="2417"/>
      <c r="AX5" s="157">
        <v>1</v>
      </c>
      <c r="AY5" s="378" t="s">
        <v>983</v>
      </c>
      <c r="BD5" s="167" t="s">
        <v>353</v>
      </c>
      <c r="BE5" s="189" t="s">
        <v>354</v>
      </c>
      <c r="BF5" s="2416"/>
      <c r="BG5" s="2417"/>
      <c r="BH5" s="157">
        <v>1</v>
      </c>
      <c r="BI5" s="378" t="s">
        <v>983</v>
      </c>
      <c r="BN5" s="167" t="s">
        <v>353</v>
      </c>
      <c r="BO5" s="164" t="s">
        <v>354</v>
      </c>
      <c r="BP5" s="502"/>
      <c r="BQ5" s="2455"/>
      <c r="BR5" s="2455"/>
      <c r="BS5" s="434">
        <v>2</v>
      </c>
      <c r="BT5" s="378" t="s">
        <v>983</v>
      </c>
    </row>
    <row r="6" spans="1:72" ht="15.6">
      <c r="A6" s="614">
        <v>3</v>
      </c>
      <c r="B6" s="472" t="s">
        <v>2248</v>
      </c>
      <c r="C6" s="469" t="s">
        <v>212</v>
      </c>
      <c r="D6" s="469" t="s">
        <v>328</v>
      </c>
      <c r="E6" s="469" t="s">
        <v>327</v>
      </c>
      <c r="F6" s="469">
        <v>2</v>
      </c>
      <c r="G6" s="620" t="s">
        <v>233</v>
      </c>
      <c r="L6" s="222" t="s">
        <v>2253</v>
      </c>
      <c r="M6" s="189" t="s">
        <v>2254</v>
      </c>
      <c r="N6" s="2394"/>
      <c r="O6" s="2409"/>
      <c r="P6" s="509" t="s">
        <v>1127</v>
      </c>
      <c r="V6" s="222" t="s">
        <v>355</v>
      </c>
      <c r="W6" s="189" t="s">
        <v>354</v>
      </c>
      <c r="X6" s="189"/>
      <c r="Y6" s="591" t="s">
        <v>1817</v>
      </c>
      <c r="Z6" s="591" t="s">
        <v>201</v>
      </c>
      <c r="AA6" s="591" t="s">
        <v>2255</v>
      </c>
      <c r="AB6" s="225">
        <v>2</v>
      </c>
      <c r="AH6" s="222" t="s">
        <v>355</v>
      </c>
      <c r="AI6" s="2380" t="s">
        <v>354</v>
      </c>
      <c r="AJ6" s="2390"/>
      <c r="AK6" s="591" t="s">
        <v>1817</v>
      </c>
      <c r="AL6" s="591" t="s">
        <v>201</v>
      </c>
      <c r="AM6" s="591" t="s">
        <v>2255</v>
      </c>
      <c r="AN6" s="225">
        <v>2</v>
      </c>
      <c r="AO6" s="378" t="s">
        <v>987</v>
      </c>
      <c r="AT6" s="222" t="s">
        <v>355</v>
      </c>
      <c r="AU6" s="189" t="s">
        <v>354</v>
      </c>
      <c r="AV6" s="2416"/>
      <c r="AW6" s="2417"/>
      <c r="AX6" s="157">
        <v>2</v>
      </c>
      <c r="AY6" s="378" t="s">
        <v>987</v>
      </c>
      <c r="BD6" s="222" t="s">
        <v>355</v>
      </c>
      <c r="BE6" s="189" t="s">
        <v>354</v>
      </c>
      <c r="BF6" s="2416"/>
      <c r="BG6" s="2417"/>
      <c r="BH6" s="157">
        <v>2</v>
      </c>
      <c r="BI6" s="378" t="s">
        <v>987</v>
      </c>
      <c r="BN6" s="222" t="s">
        <v>355</v>
      </c>
      <c r="BO6" s="431" t="s">
        <v>354</v>
      </c>
      <c r="BP6" s="502"/>
      <c r="BQ6" s="2455"/>
      <c r="BR6" s="2455"/>
      <c r="BS6" s="434">
        <v>3</v>
      </c>
      <c r="BT6" s="378" t="s">
        <v>987</v>
      </c>
    </row>
    <row r="7" spans="1:72" ht="16.95" customHeight="1" thickBot="1">
      <c r="A7" s="615">
        <v>4</v>
      </c>
      <c r="B7" s="616" t="s">
        <v>329</v>
      </c>
      <c r="C7" s="138" t="s">
        <v>209</v>
      </c>
      <c r="D7" s="138" t="s">
        <v>330</v>
      </c>
      <c r="E7" s="138" t="s">
        <v>2256</v>
      </c>
      <c r="F7" s="138">
        <v>1</v>
      </c>
      <c r="G7" s="619" t="s">
        <v>233</v>
      </c>
      <c r="L7" s="222" t="s">
        <v>355</v>
      </c>
      <c r="M7" s="189" t="s">
        <v>354</v>
      </c>
      <c r="N7" s="2395"/>
      <c r="O7" s="2409"/>
      <c r="P7" s="157">
        <v>2</v>
      </c>
      <c r="Q7" s="378" t="s">
        <v>2257</v>
      </c>
      <c r="V7" s="222" t="s">
        <v>23</v>
      </c>
      <c r="W7" s="2344" t="s">
        <v>930</v>
      </c>
      <c r="X7" s="2312"/>
      <c r="Y7" s="590" t="s">
        <v>2258</v>
      </c>
      <c r="Z7" s="164" t="s">
        <v>354</v>
      </c>
      <c r="AA7" s="164" t="s">
        <v>354</v>
      </c>
      <c r="AB7" s="225">
        <v>3</v>
      </c>
      <c r="AC7" s="296" t="s">
        <v>2259</v>
      </c>
      <c r="AH7" s="222" t="s">
        <v>23</v>
      </c>
      <c r="AI7" s="2344" t="s">
        <v>930</v>
      </c>
      <c r="AJ7" s="2312"/>
      <c r="AK7" s="590" t="s">
        <v>2258</v>
      </c>
      <c r="AL7" s="164" t="s">
        <v>354</v>
      </c>
      <c r="AM7" s="164" t="s">
        <v>354</v>
      </c>
      <c r="AN7" s="225">
        <v>3</v>
      </c>
      <c r="AO7" s="296" t="s">
        <v>2259</v>
      </c>
      <c r="AT7" s="222" t="s">
        <v>2260</v>
      </c>
      <c r="AU7" s="452" t="s">
        <v>2261</v>
      </c>
      <c r="AV7" s="2418"/>
      <c r="AW7" s="2419"/>
      <c r="AX7" s="434">
        <v>3</v>
      </c>
      <c r="AY7" s="129" t="s">
        <v>2262</v>
      </c>
      <c r="BD7" s="399" t="s">
        <v>2260</v>
      </c>
      <c r="BE7" s="612" t="s">
        <v>2261</v>
      </c>
      <c r="BF7" s="2416"/>
      <c r="BG7" s="2417"/>
      <c r="BH7" s="434">
        <v>3</v>
      </c>
      <c r="BN7" s="222" t="s">
        <v>2263</v>
      </c>
      <c r="BO7" s="225" t="s">
        <v>2261</v>
      </c>
      <c r="BP7" s="225"/>
      <c r="BQ7" s="2455"/>
      <c r="BR7" s="2455"/>
      <c r="BS7" s="434">
        <v>4</v>
      </c>
    </row>
    <row r="8" spans="1:72" ht="16.95" customHeight="1">
      <c r="A8" s="614">
        <v>5</v>
      </c>
      <c r="B8" s="472" t="s">
        <v>329</v>
      </c>
      <c r="C8" s="621" t="s">
        <v>208</v>
      </c>
      <c r="D8" s="469" t="s">
        <v>332</v>
      </c>
      <c r="E8" s="622" t="s">
        <v>331</v>
      </c>
      <c r="F8" s="623">
        <v>1</v>
      </c>
      <c r="G8" s="620" t="s">
        <v>233</v>
      </c>
      <c r="L8" s="222" t="s">
        <v>2264</v>
      </c>
      <c r="M8" s="2396" t="s">
        <v>354</v>
      </c>
      <c r="N8" s="2397"/>
      <c r="O8" s="2409"/>
      <c r="P8" s="157"/>
      <c r="Q8" s="378"/>
      <c r="V8" s="222" t="s">
        <v>2265</v>
      </c>
      <c r="W8" s="2344" t="s">
        <v>2266</v>
      </c>
      <c r="X8" s="2312"/>
      <c r="Y8" s="590" t="s">
        <v>2267</v>
      </c>
      <c r="Z8" s="164" t="s">
        <v>354</v>
      </c>
      <c r="AA8" s="164" t="s">
        <v>354</v>
      </c>
      <c r="AB8" s="225">
        <v>4</v>
      </c>
      <c r="AC8" s="378" t="s">
        <v>983</v>
      </c>
      <c r="AH8" s="222" t="s">
        <v>2268</v>
      </c>
      <c r="AI8" s="2411" t="s">
        <v>2269</v>
      </c>
      <c r="AJ8" s="2412"/>
      <c r="AK8" s="590" t="s">
        <v>2267</v>
      </c>
      <c r="AL8" s="164" t="s">
        <v>354</v>
      </c>
      <c r="AM8" s="164" t="s">
        <v>354</v>
      </c>
      <c r="AN8" s="225">
        <v>4</v>
      </c>
      <c r="AO8" s="129" t="s">
        <v>2270</v>
      </c>
      <c r="AT8" s="1656" t="s">
        <v>2271</v>
      </c>
      <c r="AU8" s="1657"/>
      <c r="AV8" s="1657"/>
      <c r="AW8" s="2424"/>
      <c r="AX8" s="228"/>
      <c r="AY8" s="129" t="s">
        <v>2272</v>
      </c>
      <c r="BD8" s="1603" t="s">
        <v>975</v>
      </c>
      <c r="BE8" s="1603"/>
      <c r="BF8" s="1603"/>
      <c r="BG8" s="1603"/>
      <c r="BH8" s="611"/>
      <c r="BN8" s="222" t="s">
        <v>260</v>
      </c>
      <c r="BO8" s="2457"/>
      <c r="BP8" s="2458"/>
      <c r="BQ8" s="2455"/>
      <c r="BR8" s="2455"/>
      <c r="BS8" s="434">
        <v>5</v>
      </c>
      <c r="BT8" s="129" t="s">
        <v>2273</v>
      </c>
    </row>
    <row r="9" spans="1:72" ht="16.95" customHeight="1" thickBot="1">
      <c r="A9" s="615">
        <v>6</v>
      </c>
      <c r="B9" s="616" t="s">
        <v>329</v>
      </c>
      <c r="C9" s="138" t="s">
        <v>333</v>
      </c>
      <c r="D9" s="138" t="s">
        <v>335</v>
      </c>
      <c r="E9" s="138" t="s">
        <v>334</v>
      </c>
      <c r="F9" s="138">
        <v>2</v>
      </c>
      <c r="G9" s="619" t="s">
        <v>233</v>
      </c>
      <c r="L9" s="222" t="s">
        <v>2274</v>
      </c>
      <c r="M9" s="2396" t="s">
        <v>354</v>
      </c>
      <c r="N9" s="2397"/>
      <c r="O9" s="2409"/>
      <c r="P9" s="157"/>
      <c r="Q9" s="378"/>
      <c r="V9" s="222" t="s">
        <v>2268</v>
      </c>
      <c r="W9" s="2411" t="s">
        <v>2275</v>
      </c>
      <c r="X9" s="2412"/>
      <c r="Y9" s="590" t="s">
        <v>2276</v>
      </c>
      <c r="Z9" s="164" t="s">
        <v>354</v>
      </c>
      <c r="AA9" s="164" t="s">
        <v>354</v>
      </c>
      <c r="AB9" s="225">
        <v>5</v>
      </c>
      <c r="AC9" s="378" t="s">
        <v>987</v>
      </c>
      <c r="AH9" s="399" t="s">
        <v>397</v>
      </c>
      <c r="AI9" s="2397" t="s">
        <v>1858</v>
      </c>
      <c r="AJ9" s="2452"/>
      <c r="AK9" s="590" t="s">
        <v>2276</v>
      </c>
      <c r="AL9" s="164" t="s">
        <v>354</v>
      </c>
      <c r="AM9" s="164" t="s">
        <v>354</v>
      </c>
      <c r="AN9" s="225">
        <v>5</v>
      </c>
      <c r="AO9" s="129" t="s">
        <v>2277</v>
      </c>
      <c r="AT9" s="528" t="s">
        <v>2278</v>
      </c>
      <c r="AU9" s="528"/>
      <c r="AV9" s="225" t="s">
        <v>2279</v>
      </c>
      <c r="AW9" s="225"/>
      <c r="AX9" s="225"/>
      <c r="AY9" s="129" t="s">
        <v>2280</v>
      </c>
      <c r="BD9" s="2425" t="s">
        <v>2281</v>
      </c>
      <c r="BE9" s="2426"/>
      <c r="BF9" s="2425" t="s">
        <v>2282</v>
      </c>
      <c r="BG9" s="2426"/>
      <c r="BH9" s="180"/>
      <c r="BN9" s="222" t="s">
        <v>2283</v>
      </c>
      <c r="BO9" s="2457"/>
      <c r="BP9" s="2458"/>
      <c r="BQ9" s="2455"/>
      <c r="BR9" s="2455"/>
      <c r="BS9" s="434">
        <v>6</v>
      </c>
    </row>
    <row r="10" spans="1:72" ht="16.95" customHeight="1">
      <c r="A10" s="614"/>
      <c r="B10" s="472"/>
      <c r="C10" s="469"/>
      <c r="D10" s="469"/>
      <c r="E10" s="138"/>
      <c r="F10" s="469"/>
      <c r="G10" s="469"/>
      <c r="L10" s="222" t="s">
        <v>23</v>
      </c>
      <c r="M10" s="2344" t="s">
        <v>2284</v>
      </c>
      <c r="N10" s="2435"/>
      <c r="O10" s="2409"/>
      <c r="P10" s="157"/>
      <c r="Q10" s="378" t="s">
        <v>2285</v>
      </c>
      <c r="V10" s="222" t="s">
        <v>397</v>
      </c>
      <c r="W10" s="2396" t="s">
        <v>1858</v>
      </c>
      <c r="X10" s="2396"/>
      <c r="Y10" s="590" t="s">
        <v>2286</v>
      </c>
      <c r="Z10" s="164" t="s">
        <v>354</v>
      </c>
      <c r="AA10" s="164" t="s">
        <v>354</v>
      </c>
      <c r="AB10" s="225">
        <v>6</v>
      </c>
      <c r="AC10" s="378"/>
      <c r="AH10" s="222" t="s">
        <v>2287</v>
      </c>
      <c r="AI10" s="2344" t="s">
        <v>930</v>
      </c>
      <c r="AJ10" s="2312"/>
      <c r="AK10" s="592" t="s">
        <v>2286</v>
      </c>
      <c r="AL10" s="431" t="s">
        <v>354</v>
      </c>
      <c r="AM10" s="431" t="s">
        <v>354</v>
      </c>
      <c r="AN10" s="487">
        <v>6</v>
      </c>
      <c r="AO10" s="378" t="s">
        <v>2288</v>
      </c>
      <c r="AT10" s="2398" t="s">
        <v>2289</v>
      </c>
      <c r="AU10" s="2399"/>
      <c r="AV10" s="2398" t="s">
        <v>2290</v>
      </c>
      <c r="AW10" s="2399"/>
      <c r="AX10" s="608">
        <v>4</v>
      </c>
      <c r="AY10" s="129" t="s">
        <v>2291</v>
      </c>
      <c r="BD10" s="2427" t="s">
        <v>2292</v>
      </c>
      <c r="BE10" s="2428"/>
      <c r="BF10" s="2428" t="s">
        <v>2293</v>
      </c>
      <c r="BG10" s="2431"/>
      <c r="BH10" s="2459">
        <v>4</v>
      </c>
      <c r="BN10" s="2108" t="s">
        <v>2294</v>
      </c>
      <c r="BO10" s="2109"/>
      <c r="BP10" s="2462" t="s">
        <v>2295</v>
      </c>
      <c r="BQ10" s="2456"/>
      <c r="BR10" s="2456"/>
      <c r="BS10" s="434"/>
    </row>
    <row r="11" spans="1:72" ht="23.4" customHeight="1" thickBot="1">
      <c r="L11" s="222" t="s">
        <v>36</v>
      </c>
      <c r="M11" s="2344" t="s">
        <v>2296</v>
      </c>
      <c r="N11" s="2435"/>
      <c r="O11" s="2409"/>
      <c r="P11" s="157">
        <v>3</v>
      </c>
      <c r="Q11" s="129" t="s">
        <v>2297</v>
      </c>
      <c r="W11" s="2407"/>
      <c r="X11" s="2407"/>
      <c r="Y11" s="192"/>
      <c r="Z11" s="171"/>
      <c r="AA11" s="171"/>
      <c r="AB11" s="133"/>
      <c r="AK11" s="192"/>
      <c r="AL11" s="171"/>
      <c r="AM11" s="171"/>
      <c r="AO11" s="129" t="s">
        <v>2298</v>
      </c>
      <c r="AT11" s="2400"/>
      <c r="AU11" s="2401"/>
      <c r="AV11" s="2400"/>
      <c r="AW11" s="2401"/>
      <c r="AX11" s="609"/>
      <c r="AY11" s="129" t="s">
        <v>2299</v>
      </c>
      <c r="BD11" s="2429"/>
      <c r="BE11" s="2430"/>
      <c r="BF11" s="2430"/>
      <c r="BG11" s="2432"/>
      <c r="BH11" s="2460"/>
      <c r="BI11" s="613" t="s">
        <v>2300</v>
      </c>
      <c r="BN11" s="222" t="s">
        <v>2301</v>
      </c>
      <c r="BO11" s="624"/>
      <c r="BP11" s="2443"/>
      <c r="BQ11" s="222" t="s">
        <v>2302</v>
      </c>
      <c r="BR11" s="130" t="s">
        <v>2303</v>
      </c>
      <c r="BS11" s="225">
        <v>7</v>
      </c>
      <c r="BT11" s="129" t="s">
        <v>2304</v>
      </c>
    </row>
    <row r="12" spans="1:72" ht="16.95" customHeight="1" thickBot="1">
      <c r="L12" s="222" t="s">
        <v>2305</v>
      </c>
      <c r="M12" s="499" t="s">
        <v>1763</v>
      </c>
      <c r="N12" s="222" t="s">
        <v>397</v>
      </c>
      <c r="O12" s="2410"/>
      <c r="P12" s="157">
        <v>4</v>
      </c>
      <c r="Q12" s="129" t="s">
        <v>2306</v>
      </c>
      <c r="V12" s="2445" t="s">
        <v>2307</v>
      </c>
      <c r="W12" s="2436" t="s">
        <v>2308</v>
      </c>
      <c r="X12" s="2437"/>
      <c r="Y12" s="2437"/>
      <c r="Z12" s="2442" t="s">
        <v>2309</v>
      </c>
      <c r="AA12" s="2116"/>
      <c r="AB12" s="2422">
        <v>7</v>
      </c>
      <c r="AC12" s="1786" t="s">
        <v>2310</v>
      </c>
      <c r="AH12" s="2233" t="s">
        <v>2311</v>
      </c>
      <c r="AI12" s="2450" t="s">
        <v>2312</v>
      </c>
      <c r="AJ12" s="2450"/>
      <c r="AK12" s="2450"/>
      <c r="AL12" s="2451" t="s">
        <v>2313</v>
      </c>
      <c r="AM12" s="2451"/>
      <c r="AN12" s="345">
        <v>7</v>
      </c>
      <c r="AO12" s="129" t="s">
        <v>2314</v>
      </c>
      <c r="AT12" s="2400"/>
      <c r="AU12" s="2401"/>
      <c r="AV12" s="2400"/>
      <c r="AW12" s="2401"/>
      <c r="AX12" s="609"/>
      <c r="AY12" s="129" t="s">
        <v>2315</v>
      </c>
      <c r="BD12" s="502"/>
      <c r="BE12" s="502"/>
      <c r="BF12" s="502"/>
      <c r="BG12" s="502"/>
      <c r="BN12" s="222" t="s">
        <v>2316</v>
      </c>
      <c r="BO12" s="625"/>
      <c r="BP12" s="2443"/>
      <c r="BQ12" s="222" t="s">
        <v>1025</v>
      </c>
      <c r="BR12" s="130" t="s">
        <v>2317</v>
      </c>
      <c r="BS12" s="225">
        <v>8</v>
      </c>
    </row>
    <row r="13" spans="1:72" ht="16.95" customHeight="1">
      <c r="V13" s="2446"/>
      <c r="W13" s="2438"/>
      <c r="X13" s="2439"/>
      <c r="Y13" s="2439"/>
      <c r="Z13" s="2443"/>
      <c r="AA13" s="2118"/>
      <c r="AB13" s="2422"/>
      <c r="AC13" s="1786"/>
      <c r="AH13" s="2233"/>
      <c r="AI13" s="2450"/>
      <c r="AJ13" s="2450"/>
      <c r="AK13" s="2450"/>
      <c r="AL13" s="2451"/>
      <c r="AM13" s="2451"/>
      <c r="AN13" s="905">
        <v>8</v>
      </c>
      <c r="AT13" s="2402"/>
      <c r="AU13" s="2403"/>
      <c r="AV13" s="2402"/>
      <c r="AW13" s="2403"/>
      <c r="AX13" s="610"/>
      <c r="AY13" s="129" t="s">
        <v>2318</v>
      </c>
      <c r="BD13" s="890" t="s">
        <v>450</v>
      </c>
      <c r="BE13" s="129" t="s">
        <v>2319</v>
      </c>
      <c r="BN13" s="222" t="s">
        <v>2320</v>
      </c>
      <c r="BO13" s="130"/>
      <c r="BP13" s="2463"/>
      <c r="BQ13" s="628" t="s">
        <v>441</v>
      </c>
      <c r="BR13" s="627" t="s">
        <v>2321</v>
      </c>
      <c r="BS13" s="225">
        <v>9</v>
      </c>
    </row>
    <row r="14" spans="1:72" ht="16.95" customHeight="1">
      <c r="L14" s="1709" t="s">
        <v>201</v>
      </c>
      <c r="M14" s="1709"/>
      <c r="N14" s="1709"/>
      <c r="O14" s="1709"/>
      <c r="V14" s="2446"/>
      <c r="W14" s="2438"/>
      <c r="X14" s="2439"/>
      <c r="Y14" s="2439"/>
      <c r="Z14" s="2443"/>
      <c r="AA14" s="2118"/>
      <c r="AB14" s="2422"/>
      <c r="AC14" s="1786"/>
      <c r="AH14" s="2233"/>
      <c r="AI14" s="2450"/>
      <c r="AJ14" s="2450"/>
      <c r="AK14" s="2450"/>
      <c r="AL14" s="2451"/>
      <c r="AM14" s="2451"/>
      <c r="AN14" s="906"/>
      <c r="BD14" s="129" t="s">
        <v>2322</v>
      </c>
      <c r="BN14" s="2453" t="s">
        <v>2323</v>
      </c>
      <c r="BO14" s="2454"/>
      <c r="BP14" s="2454"/>
      <c r="BQ14" s="2454"/>
      <c r="BR14" s="2454"/>
      <c r="BS14" s="225"/>
    </row>
    <row r="15" spans="1:72" ht="12.6" customHeight="1" thickBot="1">
      <c r="L15" s="60" t="s">
        <v>2324</v>
      </c>
      <c r="M15" s="592" t="s">
        <v>549</v>
      </c>
      <c r="N15" s="592" t="s">
        <v>2325</v>
      </c>
      <c r="O15" s="592" t="s">
        <v>488</v>
      </c>
      <c r="V15" s="2447"/>
      <c r="W15" s="2440"/>
      <c r="X15" s="2441"/>
      <c r="Y15" s="2441"/>
      <c r="Z15" s="2444"/>
      <c r="AA15" s="2120"/>
      <c r="AB15" s="2423"/>
      <c r="AC15" s="1786"/>
      <c r="AH15" s="2233"/>
      <c r="AI15" s="2450"/>
      <c r="AJ15" s="2450"/>
      <c r="AK15" s="2450"/>
      <c r="AL15" s="2451"/>
      <c r="AM15" s="2451"/>
      <c r="AN15" s="906"/>
      <c r="BD15" s="129" t="s">
        <v>2326</v>
      </c>
      <c r="BH15" s="138" t="s">
        <v>2327</v>
      </c>
      <c r="BI15" s="138"/>
      <c r="BN15" s="626" t="s">
        <v>2328</v>
      </c>
      <c r="BO15" s="196"/>
      <c r="BP15" s="196"/>
      <c r="BQ15" s="196"/>
      <c r="BR15" s="196"/>
      <c r="BS15" s="2464">
        <v>9</v>
      </c>
    </row>
    <row r="16" spans="1:72" ht="25.2" customHeight="1">
      <c r="L16" s="60" t="s">
        <v>2258</v>
      </c>
      <c r="M16" s="499" t="s">
        <v>825</v>
      </c>
      <c r="N16" s="499" t="s">
        <v>827</v>
      </c>
      <c r="O16" s="499" t="s">
        <v>2329</v>
      </c>
      <c r="P16" s="225">
        <v>6</v>
      </c>
      <c r="Q16" s="606" t="s">
        <v>2330</v>
      </c>
      <c r="V16" s="501" t="s">
        <v>2331</v>
      </c>
      <c r="W16" s="2420" t="s">
        <v>2332</v>
      </c>
      <c r="X16" s="2421"/>
      <c r="AA16" s="502"/>
      <c r="AB16" s="225">
        <v>8</v>
      </c>
      <c r="AC16" s="378" t="s">
        <v>2333</v>
      </c>
      <c r="AH16" s="501" t="s">
        <v>2334</v>
      </c>
      <c r="AI16" s="607" t="s">
        <v>2335</v>
      </c>
      <c r="AJ16" s="594"/>
      <c r="AK16" s="594"/>
      <c r="AL16" s="594"/>
      <c r="AN16" s="345">
        <v>9</v>
      </c>
      <c r="AO16" s="129" t="s">
        <v>2336</v>
      </c>
      <c r="AT16" s="890" t="s">
        <v>450</v>
      </c>
      <c r="AU16" s="129" t="s">
        <v>2337</v>
      </c>
      <c r="BD16" s="129" t="s">
        <v>2338</v>
      </c>
      <c r="BH16" s="138" t="s">
        <v>2339</v>
      </c>
      <c r="BI16" s="138"/>
      <c r="BN16" s="196" t="s">
        <v>2340</v>
      </c>
      <c r="BO16" s="196"/>
      <c r="BP16" s="196"/>
      <c r="BQ16" s="196"/>
      <c r="BR16" s="196"/>
      <c r="BS16" s="1953"/>
      <c r="BT16" s="2461" t="s">
        <v>2341</v>
      </c>
    </row>
    <row r="17" spans="12:72" ht="25.2" customHeight="1">
      <c r="L17" s="60" t="s">
        <v>2267</v>
      </c>
      <c r="M17" s="499" t="s">
        <v>876</v>
      </c>
      <c r="N17" s="499" t="s">
        <v>954</v>
      </c>
      <c r="O17" s="499" t="s">
        <v>1159</v>
      </c>
      <c r="P17" s="225">
        <v>7</v>
      </c>
      <c r="Q17" s="606" t="s">
        <v>2330</v>
      </c>
      <c r="V17" s="593" t="s">
        <v>2271</v>
      </c>
      <c r="W17" s="2058" t="s">
        <v>2342</v>
      </c>
      <c r="X17" s="2059"/>
      <c r="Y17" s="2060"/>
      <c r="Z17" s="110"/>
      <c r="AA17" s="502"/>
      <c r="AB17" s="157">
        <v>9</v>
      </c>
      <c r="AH17" s="222" t="s">
        <v>1339</v>
      </c>
      <c r="AI17" s="2331" t="s">
        <v>2266</v>
      </c>
      <c r="AJ17" s="2344"/>
      <c r="AN17" s="345">
        <v>10</v>
      </c>
      <c r="AO17" s="129" t="s">
        <v>2343</v>
      </c>
      <c r="AU17" s="129" t="s">
        <v>2344</v>
      </c>
      <c r="BD17" s="129" t="s">
        <v>2345</v>
      </c>
      <c r="BH17" s="138" t="s">
        <v>2346</v>
      </c>
      <c r="BI17" s="138" t="s">
        <v>2347</v>
      </c>
      <c r="BN17" s="196"/>
      <c r="BO17" s="196"/>
      <c r="BP17" s="196"/>
      <c r="BQ17" s="196"/>
      <c r="BR17" s="196"/>
      <c r="BS17" s="1953"/>
      <c r="BT17" s="2461"/>
    </row>
    <row r="18" spans="12:72" ht="25.2" customHeight="1">
      <c r="L18" s="60" t="s">
        <v>2276</v>
      </c>
      <c r="M18" s="499" t="s">
        <v>884</v>
      </c>
      <c r="N18" s="499" t="s">
        <v>951</v>
      </c>
      <c r="O18" s="499" t="s">
        <v>955</v>
      </c>
      <c r="P18" s="225">
        <v>8</v>
      </c>
      <c r="Q18" s="606" t="s">
        <v>2330</v>
      </c>
      <c r="V18" s="493" t="s">
        <v>1817</v>
      </c>
      <c r="W18" s="894" t="s">
        <v>399</v>
      </c>
      <c r="X18" s="589"/>
      <c r="Y18" s="894" t="s">
        <v>1881</v>
      </c>
      <c r="Z18" s="895"/>
      <c r="AA18" s="502"/>
      <c r="AB18" s="157"/>
      <c r="AH18" s="501" t="s">
        <v>2348</v>
      </c>
      <c r="AI18" s="493" t="s">
        <v>2349</v>
      </c>
      <c r="AJ18" s="493" t="s">
        <v>2350</v>
      </c>
      <c r="AK18" s="493" t="s">
        <v>2351</v>
      </c>
      <c r="AL18" s="894" t="s">
        <v>2352</v>
      </c>
      <c r="AM18" s="502"/>
      <c r="AN18" s="345"/>
      <c r="AO18" s="378"/>
      <c r="AU18" s="129" t="s">
        <v>2353</v>
      </c>
      <c r="BD18" s="129" t="s">
        <v>2354</v>
      </c>
      <c r="BH18" s="138" t="s">
        <v>2346</v>
      </c>
      <c r="BI18" s="138" t="s">
        <v>2355</v>
      </c>
      <c r="BN18" s="196"/>
      <c r="BO18" s="196"/>
      <c r="BP18" s="196"/>
      <c r="BQ18" s="196"/>
      <c r="BR18" s="196"/>
      <c r="BS18" s="1953"/>
      <c r="BT18" s="2461"/>
    </row>
    <row r="19" spans="12:72" ht="25.2" customHeight="1">
      <c r="L19" s="60" t="s">
        <v>2286</v>
      </c>
      <c r="M19" s="499" t="s">
        <v>893</v>
      </c>
      <c r="N19" s="499" t="s">
        <v>896</v>
      </c>
      <c r="O19" s="499" t="s">
        <v>957</v>
      </c>
      <c r="P19" s="225">
        <v>9</v>
      </c>
      <c r="Q19" s="606" t="s">
        <v>2330</v>
      </c>
      <c r="V19" s="493"/>
      <c r="W19" s="904" t="s">
        <v>2356</v>
      </c>
      <c r="X19" s="588" t="s">
        <v>2357</v>
      </c>
      <c r="Y19" s="904" t="s">
        <v>2356</v>
      </c>
      <c r="Z19" s="588" t="s">
        <v>2357</v>
      </c>
      <c r="AB19" s="225">
        <v>10</v>
      </c>
      <c r="AH19" s="501" t="s">
        <v>2358</v>
      </c>
      <c r="AI19" s="499" t="s">
        <v>2359</v>
      </c>
      <c r="AJ19" s="499" t="s">
        <v>2359</v>
      </c>
      <c r="AK19" s="499" t="s">
        <v>2359</v>
      </c>
      <c r="AL19" s="904" t="s">
        <v>2360</v>
      </c>
      <c r="AM19" s="110"/>
      <c r="AN19" s="345">
        <v>11</v>
      </c>
      <c r="AO19" s="129" t="s">
        <v>2361</v>
      </c>
      <c r="AU19" s="129" t="s">
        <v>2362</v>
      </c>
      <c r="BD19" s="129" t="s">
        <v>2363</v>
      </c>
      <c r="BN19" s="196"/>
      <c r="BO19" s="196"/>
      <c r="BP19" s="196"/>
      <c r="BQ19" s="196"/>
      <c r="BR19" s="196"/>
      <c r="BS19" s="1953"/>
      <c r="BT19" s="2461"/>
    </row>
    <row r="20" spans="12:72" ht="16.95" customHeight="1">
      <c r="L20" s="604" t="s">
        <v>1874</v>
      </c>
      <c r="M20" s="605" t="s">
        <v>2364</v>
      </c>
      <c r="N20" s="605" t="s">
        <v>2364</v>
      </c>
      <c r="O20" s="605" t="s">
        <v>2364</v>
      </c>
      <c r="P20" s="487">
        <v>10</v>
      </c>
      <c r="V20" s="501" t="s">
        <v>2365</v>
      </c>
      <c r="W20" s="347" t="s">
        <v>354</v>
      </c>
      <c r="X20" s="501" t="s">
        <v>2366</v>
      </c>
      <c r="Y20" s="2448" t="s">
        <v>2367</v>
      </c>
      <c r="Z20" s="2449"/>
      <c r="AB20" s="157">
        <v>11</v>
      </c>
      <c r="AC20" s="129" t="s">
        <v>2368</v>
      </c>
      <c r="AH20" s="504" t="s">
        <v>2369</v>
      </c>
      <c r="AI20" s="505" t="s">
        <v>2370</v>
      </c>
      <c r="AJ20" s="110"/>
      <c r="AK20" s="110"/>
      <c r="AL20" s="110"/>
      <c r="AM20" s="110"/>
      <c r="AN20" s="133"/>
      <c r="AO20" s="129" t="s">
        <v>2371</v>
      </c>
      <c r="AT20" s="129" t="s">
        <v>2372</v>
      </c>
      <c r="AW20" s="198" t="s">
        <v>233</v>
      </c>
      <c r="BD20" s="890" t="s">
        <v>2373</v>
      </c>
      <c r="BN20" s="196"/>
      <c r="BO20" s="196"/>
      <c r="BP20" s="196"/>
      <c r="BQ20" s="196"/>
      <c r="BR20" s="196"/>
      <c r="BS20" s="2012"/>
      <c r="BT20" s="2461"/>
    </row>
    <row r="21" spans="12:72" ht="16.95" customHeight="1">
      <c r="L21" s="890"/>
      <c r="M21" s="110"/>
      <c r="N21" s="110"/>
      <c r="O21" s="110"/>
      <c r="P21" s="133"/>
      <c r="V21" s="501" t="s">
        <v>2374</v>
      </c>
      <c r="W21" s="348" t="s">
        <v>2375</v>
      </c>
      <c r="X21" s="214"/>
      <c r="Y21" s="501" t="s">
        <v>2376</v>
      </c>
      <c r="Z21" s="348" t="s">
        <v>2375</v>
      </c>
      <c r="AA21" s="133"/>
      <c r="AB21" s="225">
        <v>12</v>
      </c>
      <c r="AM21" s="214"/>
      <c r="AN21" s="133"/>
      <c r="AT21" s="129" t="s">
        <v>2377</v>
      </c>
      <c r="AW21" s="198" t="s">
        <v>233</v>
      </c>
      <c r="BD21" s="129" t="s">
        <v>2378</v>
      </c>
      <c r="BS21" s="180"/>
    </row>
    <row r="22" spans="12:72" ht="19.2" customHeight="1">
      <c r="L22" s="851" t="s">
        <v>15</v>
      </c>
      <c r="M22" s="851" t="s">
        <v>490</v>
      </c>
      <c r="N22" s="2433" t="s">
        <v>2379</v>
      </c>
      <c r="O22" s="2434"/>
      <c r="V22" s="504" t="s">
        <v>2369</v>
      </c>
      <c r="W22" s="505" t="s">
        <v>2370</v>
      </c>
      <c r="X22" s="506" t="s">
        <v>2380</v>
      </c>
      <c r="AA22" s="214"/>
      <c r="AB22" s="180"/>
      <c r="AH22" s="214"/>
      <c r="AI22" s="192"/>
      <c r="AJ22" s="214"/>
      <c r="AK22" s="214"/>
      <c r="AL22" s="192"/>
      <c r="AW22" s="214"/>
      <c r="BD22" s="890" t="s">
        <v>2381</v>
      </c>
      <c r="BN22" s="596" t="s">
        <v>2382</v>
      </c>
      <c r="BO22" s="1769" t="s">
        <v>2383</v>
      </c>
      <c r="BP22" s="1770"/>
      <c r="BQ22" s="1771"/>
      <c r="BR22" s="502"/>
      <c r="BS22" s="157">
        <v>8</v>
      </c>
      <c r="BT22" s="129" t="s">
        <v>2384</v>
      </c>
    </row>
    <row r="23" spans="12:72" ht="19.2" customHeight="1">
      <c r="L23" s="60" t="s">
        <v>2324</v>
      </c>
      <c r="M23" s="851"/>
      <c r="N23" s="493" t="s">
        <v>2385</v>
      </c>
      <c r="O23" s="493" t="s">
        <v>2386</v>
      </c>
      <c r="Q23" s="129" t="s">
        <v>2387</v>
      </c>
      <c r="AH23" s="129" t="s">
        <v>430</v>
      </c>
      <c r="AI23" s="129" t="s">
        <v>2388</v>
      </c>
      <c r="AM23" s="129" t="s">
        <v>560</v>
      </c>
      <c r="AW23" s="214"/>
      <c r="BD23" s="129" t="s">
        <v>2389</v>
      </c>
      <c r="BG23" s="214"/>
      <c r="BN23" s="596" t="s">
        <v>2390</v>
      </c>
      <c r="BO23" s="1769" t="s">
        <v>385</v>
      </c>
      <c r="BP23" s="1770"/>
      <c r="BQ23" s="1771"/>
      <c r="BR23" s="502"/>
      <c r="BS23" s="157">
        <v>9</v>
      </c>
      <c r="BT23" s="129" t="s">
        <v>2384</v>
      </c>
    </row>
    <row r="24" spans="12:72" ht="19.2" customHeight="1">
      <c r="L24" s="60" t="s">
        <v>2391</v>
      </c>
      <c r="M24" s="499" t="s">
        <v>958</v>
      </c>
      <c r="N24" s="499" t="s">
        <v>959</v>
      </c>
      <c r="O24" s="499" t="s">
        <v>960</v>
      </c>
      <c r="P24" s="225">
        <v>11</v>
      </c>
      <c r="Q24" s="606" t="s">
        <v>2392</v>
      </c>
      <c r="AI24" s="129" t="s">
        <v>2393</v>
      </c>
      <c r="AM24" s="129" t="s">
        <v>2394</v>
      </c>
      <c r="AW24" s="214"/>
      <c r="BD24" s="129" t="s">
        <v>2395</v>
      </c>
      <c r="BG24" s="214"/>
      <c r="BN24" s="595" t="s">
        <v>1147</v>
      </c>
      <c r="BO24" s="529" t="s">
        <v>2396</v>
      </c>
      <c r="BP24" s="502"/>
      <c r="BQ24" s="502"/>
      <c r="BS24" s="157">
        <v>10</v>
      </c>
      <c r="BT24" s="129" t="s">
        <v>2384</v>
      </c>
    </row>
    <row r="25" spans="12:72" ht="19.2" customHeight="1">
      <c r="L25" s="60" t="s">
        <v>2267</v>
      </c>
      <c r="M25" s="499" t="s">
        <v>2397</v>
      </c>
      <c r="N25" s="499" t="s">
        <v>2398</v>
      </c>
      <c r="O25" s="499" t="s">
        <v>2399</v>
      </c>
      <c r="P25" s="225">
        <v>12</v>
      </c>
      <c r="Q25" s="606" t="s">
        <v>2392</v>
      </c>
      <c r="V25" s="129" t="s">
        <v>430</v>
      </c>
      <c r="W25" s="129" t="s">
        <v>2400</v>
      </c>
      <c r="AH25" s="129" t="s">
        <v>2401</v>
      </c>
      <c r="AM25" s="129" t="s">
        <v>2402</v>
      </c>
      <c r="AW25" s="214"/>
      <c r="BG25" s="214"/>
      <c r="BN25" s="595" t="s">
        <v>1331</v>
      </c>
      <c r="BO25" s="130" t="s">
        <v>2403</v>
      </c>
      <c r="BS25" s="434">
        <v>11</v>
      </c>
      <c r="BT25" s="129" t="s">
        <v>2404</v>
      </c>
    </row>
    <row r="26" spans="12:72" ht="19.2" customHeight="1">
      <c r="L26" s="60" t="s">
        <v>2405</v>
      </c>
      <c r="M26" s="499" t="s">
        <v>2406</v>
      </c>
      <c r="N26" s="499" t="s">
        <v>2407</v>
      </c>
      <c r="O26" s="499" t="s">
        <v>2408</v>
      </c>
      <c r="P26" s="225">
        <v>13</v>
      </c>
      <c r="Q26" s="606" t="s">
        <v>2392</v>
      </c>
      <c r="V26" s="129" t="s">
        <v>2409</v>
      </c>
      <c r="AH26" s="129" t="s">
        <v>2410</v>
      </c>
      <c r="AJ26" s="214"/>
      <c r="AK26" s="378"/>
      <c r="AL26" s="378"/>
      <c r="AM26" s="129" t="s">
        <v>2411</v>
      </c>
      <c r="AW26" s="214"/>
      <c r="BG26" s="214"/>
      <c r="BN26" s="590" t="s">
        <v>2412</v>
      </c>
      <c r="BO26" s="130" t="s">
        <v>2413</v>
      </c>
      <c r="BS26" s="157">
        <v>12</v>
      </c>
      <c r="BT26" s="129" t="s">
        <v>2384</v>
      </c>
    </row>
    <row r="27" spans="12:72" ht="19.2" customHeight="1">
      <c r="L27" s="60" t="s">
        <v>2414</v>
      </c>
      <c r="M27" s="499" t="s">
        <v>2415</v>
      </c>
      <c r="N27" s="499" t="s">
        <v>2416</v>
      </c>
      <c r="O27" s="499" t="s">
        <v>2417</v>
      </c>
      <c r="P27" s="225">
        <v>14</v>
      </c>
      <c r="Q27" s="606" t="s">
        <v>2392</v>
      </c>
      <c r="V27" s="129" t="s">
        <v>2418</v>
      </c>
      <c r="W27" s="129" t="s">
        <v>2419</v>
      </c>
      <c r="Y27" s="129" t="s">
        <v>2420</v>
      </c>
      <c r="AH27" s="129" t="s">
        <v>2421</v>
      </c>
      <c r="AM27" s="129" t="s">
        <v>2347</v>
      </c>
      <c r="AN27" s="129" t="s">
        <v>2422</v>
      </c>
      <c r="BG27" s="214"/>
      <c r="BN27" s="590" t="s">
        <v>2423</v>
      </c>
      <c r="BO27" s="225"/>
      <c r="BS27" s="157">
        <v>13</v>
      </c>
      <c r="BT27" s="129" t="s">
        <v>2424</v>
      </c>
    </row>
    <row r="28" spans="12:72" ht="25.2" customHeight="1">
      <c r="L28" s="60" t="s">
        <v>1874</v>
      </c>
      <c r="M28" s="503" t="s">
        <v>2364</v>
      </c>
      <c r="N28" s="503" t="s">
        <v>2425</v>
      </c>
      <c r="O28" s="503" t="s">
        <v>2426</v>
      </c>
      <c r="P28" s="225">
        <v>15</v>
      </c>
      <c r="V28" s="129" t="s">
        <v>2427</v>
      </c>
      <c r="W28" s="129" t="s">
        <v>2419</v>
      </c>
      <c r="Y28" s="129" t="s">
        <v>2428</v>
      </c>
      <c r="AH28" s="129" t="s">
        <v>2429</v>
      </c>
      <c r="AM28" s="129" t="s">
        <v>2430</v>
      </c>
      <c r="AN28" s="129" t="s">
        <v>2431</v>
      </c>
      <c r="BN28" s="890" t="s">
        <v>450</v>
      </c>
      <c r="BO28" s="129" t="s">
        <v>2432</v>
      </c>
    </row>
    <row r="29" spans="12:72" ht="25.2" customHeight="1">
      <c r="V29" s="129" t="s">
        <v>2433</v>
      </c>
      <c r="AH29" s="129" t="s">
        <v>2434</v>
      </c>
      <c r="AM29" s="129" t="s">
        <v>2435</v>
      </c>
      <c r="BN29" s="129" t="s">
        <v>2436</v>
      </c>
      <c r="BQ29" s="214"/>
      <c r="BR29" s="214"/>
    </row>
    <row r="30" spans="12:72" ht="25.2" customHeight="1">
      <c r="Q30" s="296"/>
      <c r="V30" s="129" t="s">
        <v>2437</v>
      </c>
      <c r="AH30" s="129" t="s">
        <v>2438</v>
      </c>
      <c r="AM30" s="129" t="s">
        <v>2439</v>
      </c>
      <c r="AW30" s="214"/>
      <c r="BN30" s="129" t="s">
        <v>2440</v>
      </c>
    </row>
    <row r="31" spans="12:72" ht="25.2" customHeight="1">
      <c r="V31" s="129" t="s">
        <v>2441</v>
      </c>
      <c r="AH31" s="129" t="s">
        <v>2442</v>
      </c>
      <c r="AM31" s="296" t="s">
        <v>2443</v>
      </c>
      <c r="AN31" s="129" t="s">
        <v>2347</v>
      </c>
      <c r="AO31" s="129" t="s">
        <v>2444</v>
      </c>
      <c r="BG31" s="214"/>
      <c r="BN31" s="129" t="s">
        <v>2445</v>
      </c>
      <c r="BQ31" s="214"/>
      <c r="BR31" s="214"/>
    </row>
    <row r="32" spans="12:72" ht="19.2" customHeight="1">
      <c r="O32" s="214"/>
      <c r="Q32" s="890"/>
      <c r="V32" s="129" t="s">
        <v>2446</v>
      </c>
      <c r="AH32" s="129" t="s">
        <v>2447</v>
      </c>
      <c r="AM32" s="296" t="s">
        <v>2448</v>
      </c>
      <c r="AN32" s="129" t="s">
        <v>2347</v>
      </c>
      <c r="AO32" s="129" t="s">
        <v>2449</v>
      </c>
      <c r="AT32" s="507"/>
      <c r="AU32" s="507"/>
      <c r="AV32" s="2406"/>
      <c r="AW32" s="2406"/>
      <c r="BN32" s="2101" t="s">
        <v>2450</v>
      </c>
      <c r="BO32" s="2101"/>
      <c r="BP32" s="2101"/>
      <c r="BQ32" s="2101"/>
      <c r="BR32" s="2101"/>
    </row>
    <row r="33" spans="12:70" ht="19.95" customHeight="1">
      <c r="L33" s="890" t="s">
        <v>450</v>
      </c>
      <c r="M33" s="296" t="s">
        <v>2451</v>
      </c>
      <c r="N33" s="296"/>
      <c r="O33" s="296"/>
      <c r="Q33" s="890"/>
      <c r="R33" s="296"/>
      <c r="V33" s="129" t="s">
        <v>2452</v>
      </c>
      <c r="AH33" s="129" t="s">
        <v>2453</v>
      </c>
      <c r="AM33" s="129" t="s">
        <v>2454</v>
      </c>
      <c r="AT33" s="507"/>
      <c r="AU33" s="507"/>
      <c r="AV33" s="2406"/>
      <c r="AW33" s="2406"/>
      <c r="BD33" s="507"/>
      <c r="BE33" s="507"/>
      <c r="BF33" s="2406"/>
      <c r="BG33" s="2406"/>
      <c r="BN33" s="2101" t="s">
        <v>2455</v>
      </c>
      <c r="BO33" s="2101"/>
      <c r="BP33" s="2101"/>
      <c r="BQ33" s="2101"/>
      <c r="BR33" s="2101"/>
    </row>
    <row r="34" spans="12:70" ht="15" customHeight="1">
      <c r="M34" s="890" t="s">
        <v>2456</v>
      </c>
      <c r="N34" s="890"/>
      <c r="O34" s="890"/>
      <c r="P34" s="296"/>
      <c r="R34" s="890"/>
      <c r="V34" s="129" t="s">
        <v>2457</v>
      </c>
      <c r="AH34" s="129" t="s">
        <v>2458</v>
      </c>
      <c r="AM34" s="296" t="s">
        <v>2459</v>
      </c>
      <c r="AN34" s="129" t="s">
        <v>2430</v>
      </c>
      <c r="AO34" s="129" t="s">
        <v>2460</v>
      </c>
      <c r="BD34" s="507"/>
      <c r="BE34" s="507"/>
      <c r="BF34" s="2406"/>
      <c r="BG34" s="2406"/>
      <c r="BN34" s="129" t="s">
        <v>2461</v>
      </c>
    </row>
    <row r="35" spans="12:70" ht="14.4" customHeight="1">
      <c r="L35" s="890" t="s">
        <v>2462</v>
      </c>
      <c r="M35" s="890"/>
      <c r="N35" s="890"/>
      <c r="O35" s="890"/>
      <c r="P35" s="890"/>
      <c r="R35" s="890"/>
      <c r="V35" s="129" t="s">
        <v>2463</v>
      </c>
      <c r="AH35" s="129" t="s">
        <v>2464</v>
      </c>
      <c r="AU35" s="2413"/>
      <c r="AV35" s="2413"/>
      <c r="AW35" s="2413"/>
      <c r="BN35" s="296" t="s">
        <v>2465</v>
      </c>
      <c r="BO35" s="862"/>
      <c r="BP35" s="862"/>
      <c r="BQ35" s="862"/>
      <c r="BR35" s="862"/>
    </row>
    <row r="36" spans="12:70" ht="15.6">
      <c r="L36" s="890" t="s">
        <v>2466</v>
      </c>
      <c r="O36" s="214"/>
      <c r="P36" s="890"/>
      <c r="V36" s="129" t="s">
        <v>2467</v>
      </c>
      <c r="AH36" s="129" t="s">
        <v>2468</v>
      </c>
      <c r="AT36" s="1785"/>
      <c r="AU36" s="1785"/>
      <c r="AV36" s="1785"/>
      <c r="AW36" s="1785"/>
      <c r="BE36" s="2413"/>
      <c r="BF36" s="2413"/>
      <c r="BG36" s="2413"/>
      <c r="BN36" s="1785"/>
      <c r="BO36" s="1785"/>
      <c r="BP36" s="1785"/>
      <c r="BQ36" s="1785"/>
      <c r="BR36" s="296"/>
    </row>
    <row r="37" spans="12:70">
      <c r="L37" s="129" t="s">
        <v>2469</v>
      </c>
      <c r="O37" s="214"/>
      <c r="V37" s="129" t="s">
        <v>2470</v>
      </c>
      <c r="AH37" s="129" t="s">
        <v>2471</v>
      </c>
      <c r="BD37" s="1785"/>
      <c r="BE37" s="1785"/>
      <c r="BF37" s="1785"/>
      <c r="BG37" s="1785"/>
    </row>
    <row r="38" spans="12:70">
      <c r="L38" s="129" t="s">
        <v>2472</v>
      </c>
      <c r="N38" s="129" t="s">
        <v>2473</v>
      </c>
      <c r="O38" s="214"/>
      <c r="V38" s="129" t="s">
        <v>2474</v>
      </c>
      <c r="AH38" s="129" t="s">
        <v>2475</v>
      </c>
    </row>
    <row r="39" spans="12:70">
      <c r="L39" s="129" t="s">
        <v>2476</v>
      </c>
      <c r="O39" s="214"/>
      <c r="V39" s="129" t="s">
        <v>2477</v>
      </c>
      <c r="AH39" s="129" t="s">
        <v>2478</v>
      </c>
    </row>
    <row r="40" spans="12:70">
      <c r="L40" s="129" t="s">
        <v>2479</v>
      </c>
      <c r="O40" s="214"/>
      <c r="V40" s="129" t="s">
        <v>2480</v>
      </c>
    </row>
    <row r="41" spans="12:70">
      <c r="L41" s="129" t="s">
        <v>2481</v>
      </c>
      <c r="V41" s="129" t="s">
        <v>2482</v>
      </c>
    </row>
    <row r="42" spans="12:70">
      <c r="L42" s="129" t="s">
        <v>2483</v>
      </c>
      <c r="V42" s="129" t="s">
        <v>2484</v>
      </c>
    </row>
    <row r="43" spans="12:70">
      <c r="L43" s="129" t="s">
        <v>2485</v>
      </c>
      <c r="V43" s="129" t="s">
        <v>2486</v>
      </c>
    </row>
    <row r="44" spans="12:70">
      <c r="L44" s="129" t="s">
        <v>2487</v>
      </c>
      <c r="V44" s="129" t="s">
        <v>2488</v>
      </c>
    </row>
    <row r="45" spans="12:70">
      <c r="L45" s="129" t="s">
        <v>2489</v>
      </c>
      <c r="V45" s="129" t="s">
        <v>2490</v>
      </c>
    </row>
    <row r="46" spans="12:70">
      <c r="L46" s="129" t="s">
        <v>2491</v>
      </c>
      <c r="V46" s="129" t="s">
        <v>2492</v>
      </c>
    </row>
    <row r="47" spans="12:70">
      <c r="L47" s="129" t="s">
        <v>2493</v>
      </c>
      <c r="V47" s="129" t="s">
        <v>2494</v>
      </c>
    </row>
    <row r="48" spans="12:70">
      <c r="L48" s="129" t="s">
        <v>2495</v>
      </c>
      <c r="V48" s="129" t="s">
        <v>2496</v>
      </c>
    </row>
    <row r="49" spans="12:22">
      <c r="L49" s="129" t="s">
        <v>2497</v>
      </c>
      <c r="V49" s="129" t="s">
        <v>2498</v>
      </c>
    </row>
    <row r="50" spans="12:22">
      <c r="V50" s="129" t="s">
        <v>2499</v>
      </c>
    </row>
    <row r="51" spans="12:22">
      <c r="V51" s="129" t="s">
        <v>2500</v>
      </c>
    </row>
    <row r="52" spans="12:22">
      <c r="V52" s="129" t="s">
        <v>2501</v>
      </c>
    </row>
    <row r="53" spans="12:22">
      <c r="V53" s="129" t="s">
        <v>2502</v>
      </c>
    </row>
    <row r="54" spans="12:22">
      <c r="L54" s="129" t="s">
        <v>453</v>
      </c>
      <c r="V54" s="129" t="s">
        <v>2503</v>
      </c>
    </row>
    <row r="55" spans="12:22">
      <c r="V55" s="129" t="s">
        <v>2504</v>
      </c>
    </row>
    <row r="56" spans="12:22">
      <c r="V56" s="129" t="s">
        <v>2505</v>
      </c>
    </row>
    <row r="57" spans="12:22" ht="15.6">
      <c r="O57" s="507"/>
      <c r="V57" s="129" t="s">
        <v>2506</v>
      </c>
    </row>
    <row r="58" spans="12:22" ht="15.6">
      <c r="O58" s="507"/>
      <c r="V58" s="129" t="s">
        <v>2507</v>
      </c>
    </row>
    <row r="59" spans="12:22">
      <c r="V59" s="129" t="s">
        <v>2508</v>
      </c>
    </row>
    <row r="60" spans="12:22" ht="15.6">
      <c r="M60" s="110"/>
      <c r="O60" s="133"/>
      <c r="P60" s="133"/>
      <c r="V60" s="129" t="s">
        <v>2509</v>
      </c>
    </row>
    <row r="61" spans="12:22" ht="15.6">
      <c r="M61" s="110"/>
      <c r="O61" s="133"/>
      <c r="P61" s="133"/>
    </row>
  </sheetData>
  <sortState xmlns:xlrd2="http://schemas.microsoft.com/office/spreadsheetml/2017/richdata2" ref="A4:G10">
    <sortCondition ref="A4:A10"/>
  </sortState>
  <mergeCells count="73">
    <mergeCell ref="BH10:BH11"/>
    <mergeCell ref="BN3:BO3"/>
    <mergeCell ref="BT16:BT20"/>
    <mergeCell ref="BP10:BP13"/>
    <mergeCell ref="BN10:BO10"/>
    <mergeCell ref="BS15:BS20"/>
    <mergeCell ref="BN36:BQ36"/>
    <mergeCell ref="BN14:BR14"/>
    <mergeCell ref="BN32:BR32"/>
    <mergeCell ref="BN33:BR33"/>
    <mergeCell ref="BQ3:BR3"/>
    <mergeCell ref="BQ4:BR10"/>
    <mergeCell ref="BO8:BP8"/>
    <mergeCell ref="BO9:BP9"/>
    <mergeCell ref="BO23:BQ23"/>
    <mergeCell ref="BO22:BQ22"/>
    <mergeCell ref="AV10:AW13"/>
    <mergeCell ref="N22:O22"/>
    <mergeCell ref="L14:O14"/>
    <mergeCell ref="M10:N10"/>
    <mergeCell ref="AI7:AJ7"/>
    <mergeCell ref="M11:N11"/>
    <mergeCell ref="W12:Y15"/>
    <mergeCell ref="Z12:AA15"/>
    <mergeCell ref="V12:V15"/>
    <mergeCell ref="AI8:AJ8"/>
    <mergeCell ref="AC12:AC15"/>
    <mergeCell ref="Y20:Z20"/>
    <mergeCell ref="AH12:AH15"/>
    <mergeCell ref="AI12:AK15"/>
    <mergeCell ref="AL12:AM15"/>
    <mergeCell ref="AI9:AJ9"/>
    <mergeCell ref="BD37:BG37"/>
    <mergeCell ref="BE36:BG36"/>
    <mergeCell ref="BD3:BE3"/>
    <mergeCell ref="BD9:BE9"/>
    <mergeCell ref="BF9:BG9"/>
    <mergeCell ref="BD10:BE11"/>
    <mergeCell ref="BF10:BG11"/>
    <mergeCell ref="BD8:BG8"/>
    <mergeCell ref="BF33:BG33"/>
    <mergeCell ref="BF34:BG34"/>
    <mergeCell ref="BF4:BG7"/>
    <mergeCell ref="AT36:AW36"/>
    <mergeCell ref="AV32:AW32"/>
    <mergeCell ref="W7:X7"/>
    <mergeCell ref="W11:X11"/>
    <mergeCell ref="O5:O12"/>
    <mergeCell ref="W10:X10"/>
    <mergeCell ref="W8:X8"/>
    <mergeCell ref="W9:X9"/>
    <mergeCell ref="AV33:AW33"/>
    <mergeCell ref="AU35:AW35"/>
    <mergeCell ref="AV4:AW7"/>
    <mergeCell ref="W16:X16"/>
    <mergeCell ref="W17:Y17"/>
    <mergeCell ref="AB12:AB15"/>
    <mergeCell ref="AK5:AM5"/>
    <mergeCell ref="AT8:AW8"/>
    <mergeCell ref="AI5:AJ5"/>
    <mergeCell ref="AI6:AJ6"/>
    <mergeCell ref="AI17:AJ17"/>
    <mergeCell ref="A1:C1"/>
    <mergeCell ref="AT3:AU3"/>
    <mergeCell ref="L3:N3"/>
    <mergeCell ref="N5:N7"/>
    <mergeCell ref="AH3:AK3"/>
    <mergeCell ref="M8:N8"/>
    <mergeCell ref="M9:N9"/>
    <mergeCell ref="V3:AA3"/>
    <mergeCell ref="AT10:AU13"/>
    <mergeCell ref="Y5:AA5"/>
    <mergeCell ref="AI10:AJ10"/>
  </mergeCells>
  <phoneticPr fontId="8" type="noConversion"/>
  <dataValidations count="2">
    <dataValidation type="list" showInputMessage="1" showErrorMessage="1" sqref="B4:B7" xr:uid="{32FA1D4B-B640-4B8E-8E5F-EEC233241A3D}">
      <formula1>SMS_Group</formula1>
    </dataValidation>
    <dataValidation showInputMessage="1" showErrorMessage="1" sqref="B8:B10" xr:uid="{488FD476-31E8-4C0D-B06C-550FE4A01CC9}"/>
  </dataValidations>
  <hyperlinks>
    <hyperlink ref="Q1" location="Site_manangement!G1" display="Contents" xr:uid="{8B8F731A-1809-499C-9FFD-1CD40EE71BE3}"/>
    <hyperlink ref="G4" location="Site_manangement!L1" display="Display" xr:uid="{31766F9E-85A9-496D-8DFD-20D784EA3A97}"/>
    <hyperlink ref="G7" location="Site_manangement!AY1" display="Display" xr:uid="{E070A482-02BE-4E31-915B-911D687DF09F}"/>
    <hyperlink ref="AY1" location="Site_manangement!G1" display="Contents" xr:uid="{73535538-E4BE-4298-998E-C7B97BFE1EE3}"/>
    <hyperlink ref="BI1" location="Site_manangement!G1" display="Contents" xr:uid="{399C1B31-BB5C-4927-B23E-3275A0EB3C93}"/>
    <hyperlink ref="AB1" location="Site_manangement!G1" display="Contents" xr:uid="{4E82B061-428B-47EF-A62A-68DD279CACE9}"/>
    <hyperlink ref="G8" location="Site_manangement!BI1" display="Display" xr:uid="{0358042F-7281-4666-B463-E308227287CB}"/>
    <hyperlink ref="G5" location="Site_manangement!AB1" display="Display" xr:uid="{94866D53-1990-4EC7-9135-7B7E843E2750}"/>
    <hyperlink ref="AN1" location="Site_manangement!G1" display="Contents" xr:uid="{60A03380-8A21-4D4B-8313-A68628CE9D66}"/>
    <hyperlink ref="BT1" location="Site_manangement!G1" display="Contents" xr:uid="{09CB58AA-BBAA-4A82-9F7F-DCAA90DB9DF0}"/>
    <hyperlink ref="G6" location="Site_manangement!AN1" display="Display" xr:uid="{551A9479-6ED3-41CC-9212-796C5601C5D2}"/>
    <hyperlink ref="G9" location="Site_manangement!BT1" display="Display" xr:uid="{ADCBBE8E-9FD2-4B2D-878A-1A114DF34537}"/>
    <hyperlink ref="AW20" location="Sample_Data!BA1" display="Display" xr:uid="{865871F9-6A9F-4263-BA35-DF3AB11C804C}"/>
    <hyperlink ref="AW21" location="Sample_Data!CA1" display="Display" xr:uid="{F79C974D-2336-4584-A645-AD13F5FA6DAD}"/>
  </hyperlink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70834-D380-4472-B17A-3F8734F8B044}">
  <sheetPr codeName="Sheet5"/>
  <dimension ref="A1:S48"/>
  <sheetViews>
    <sheetView topLeftCell="D1" workbookViewId="0">
      <selection activeCell="E15" sqref="E15"/>
    </sheetView>
  </sheetViews>
  <sheetFormatPr defaultRowHeight="15" customHeight="1"/>
  <cols>
    <col min="1" max="1" width="12.44140625" customWidth="1"/>
    <col min="2" max="2" width="9.44140625" customWidth="1"/>
    <col min="3" max="3" width="16.44140625" customWidth="1"/>
    <col min="4" max="4" width="38.44140625" customWidth="1"/>
    <col min="5" max="5" width="121.5546875" customWidth="1"/>
    <col min="6" max="6" width="100.109375" customWidth="1"/>
    <col min="7" max="8" width="13.5546875" customWidth="1"/>
    <col min="9" max="9" width="19.5546875" customWidth="1"/>
    <col min="10" max="10" width="14.44140625" customWidth="1"/>
    <col min="16" max="16" width="26.109375" style="7" customWidth="1"/>
    <col min="17" max="17" width="37.88671875" customWidth="1"/>
    <col min="18" max="18" width="11.5546875" customWidth="1"/>
    <col min="19" max="19" width="37.5546875" customWidth="1"/>
  </cols>
  <sheetData>
    <row r="1" spans="1:19" ht="21" customHeight="1">
      <c r="A1" s="351" t="s">
        <v>189</v>
      </c>
      <c r="B1" s="351"/>
      <c r="C1" s="351"/>
      <c r="D1" s="351"/>
      <c r="E1" s="351"/>
      <c r="F1" s="351"/>
      <c r="G1" s="351"/>
      <c r="H1" s="351"/>
      <c r="I1" s="351"/>
      <c r="J1" s="351"/>
      <c r="P1" s="185" t="s">
        <v>193</v>
      </c>
      <c r="Q1" s="2"/>
      <c r="R1" s="2"/>
      <c r="S1" s="2"/>
    </row>
    <row r="2" spans="1:19" ht="21">
      <c r="G2" s="51"/>
      <c r="H2" s="51"/>
      <c r="I2" s="51"/>
      <c r="J2" s="51"/>
    </row>
    <row r="3" spans="1:19" ht="18">
      <c r="B3" s="401" t="s">
        <v>345</v>
      </c>
      <c r="C3" s="401" t="s">
        <v>457</v>
      </c>
      <c r="D3" s="401" t="s">
        <v>1120</v>
      </c>
      <c r="E3" s="400" t="s">
        <v>968</v>
      </c>
      <c r="F3" s="400" t="s">
        <v>1123</v>
      </c>
      <c r="G3" s="401" t="s">
        <v>232</v>
      </c>
      <c r="H3" s="401" t="s">
        <v>231</v>
      </c>
      <c r="I3" s="402" t="s">
        <v>2539</v>
      </c>
      <c r="J3" s="401" t="s">
        <v>360</v>
      </c>
      <c r="P3" s="1655" t="s">
        <v>260</v>
      </c>
      <c r="Q3" s="1655"/>
      <c r="R3" s="907" t="s">
        <v>232</v>
      </c>
      <c r="S3" s="137" t="s">
        <v>316</v>
      </c>
    </row>
    <row r="4" spans="1:19" ht="16.95" customHeight="1">
      <c r="B4" s="214">
        <v>1</v>
      </c>
      <c r="C4" s="214"/>
      <c r="D4" s="214" t="s">
        <v>2540</v>
      </c>
      <c r="E4" s="214" t="s">
        <v>2541</v>
      </c>
      <c r="F4" s="214"/>
      <c r="G4" s="214" t="s">
        <v>316</v>
      </c>
      <c r="H4" s="214">
        <v>3</v>
      </c>
      <c r="I4" s="214" t="s">
        <v>2061</v>
      </c>
      <c r="J4" s="406" t="s">
        <v>233</v>
      </c>
      <c r="P4" s="263" t="s">
        <v>350</v>
      </c>
      <c r="Q4" s="152" t="s">
        <v>351</v>
      </c>
      <c r="R4" s="892" t="s">
        <v>352</v>
      </c>
      <c r="S4" s="152" t="s">
        <v>978</v>
      </c>
    </row>
    <row r="5" spans="1:19" ht="16.95" customHeight="1">
      <c r="B5" s="214">
        <v>2</v>
      </c>
      <c r="C5" s="214"/>
      <c r="D5" s="214" t="s">
        <v>2542</v>
      </c>
      <c r="E5" s="214" t="s">
        <v>2543</v>
      </c>
      <c r="F5" s="214"/>
      <c r="G5" s="214" t="s">
        <v>313</v>
      </c>
      <c r="H5" s="214">
        <v>3</v>
      </c>
      <c r="I5" s="214" t="s">
        <v>2061</v>
      </c>
      <c r="J5" s="406" t="s">
        <v>233</v>
      </c>
      <c r="P5" s="264" t="s">
        <v>1142</v>
      </c>
      <c r="Q5" s="149" t="s">
        <v>2544</v>
      </c>
      <c r="R5" s="273" t="s">
        <v>1125</v>
      </c>
      <c r="S5" s="272"/>
    </row>
    <row r="6" spans="1:19" ht="16.95" customHeight="1">
      <c r="B6" s="214">
        <v>3</v>
      </c>
      <c r="C6" s="214"/>
      <c r="D6" s="214" t="s">
        <v>2545</v>
      </c>
      <c r="E6" s="214" t="s">
        <v>2546</v>
      </c>
      <c r="F6" s="214"/>
      <c r="G6" s="214" t="s">
        <v>314</v>
      </c>
      <c r="H6" s="214">
        <v>3</v>
      </c>
      <c r="I6" s="214" t="s">
        <v>2061</v>
      </c>
      <c r="J6" s="406" t="s">
        <v>233</v>
      </c>
      <c r="P6" s="264" t="s">
        <v>2547</v>
      </c>
      <c r="Q6" s="149" t="s">
        <v>2544</v>
      </c>
      <c r="R6" s="273" t="s">
        <v>1127</v>
      </c>
      <c r="S6" s="272"/>
    </row>
    <row r="7" spans="1:19" ht="16.95" customHeight="1">
      <c r="B7" s="214">
        <v>4</v>
      </c>
      <c r="C7" s="214"/>
      <c r="D7" s="214" t="s">
        <v>2548</v>
      </c>
      <c r="E7" s="214" t="s">
        <v>2549</v>
      </c>
      <c r="F7" s="214"/>
      <c r="G7" s="214" t="s">
        <v>318</v>
      </c>
      <c r="H7" s="214">
        <v>3</v>
      </c>
      <c r="I7" s="214" t="s">
        <v>2061</v>
      </c>
      <c r="J7" s="406" t="s">
        <v>233</v>
      </c>
      <c r="P7" s="270"/>
      <c r="Q7" s="271"/>
      <c r="R7" s="109"/>
      <c r="S7" s="272"/>
    </row>
    <row r="8" spans="1:19" ht="16.95" customHeight="1">
      <c r="B8" s="214">
        <v>5</v>
      </c>
      <c r="C8" s="214"/>
      <c r="D8" s="214" t="s">
        <v>2550</v>
      </c>
      <c r="E8" s="214" t="s">
        <v>2551</v>
      </c>
      <c r="F8" s="214"/>
      <c r="G8" s="214" t="s">
        <v>2552</v>
      </c>
      <c r="H8" s="214">
        <v>3</v>
      </c>
      <c r="I8" s="214" t="s">
        <v>2553</v>
      </c>
      <c r="J8" s="406" t="s">
        <v>233</v>
      </c>
      <c r="P8" s="2465" t="s">
        <v>259</v>
      </c>
      <c r="Q8" s="2466"/>
      <c r="R8" s="260"/>
      <c r="S8" s="261"/>
    </row>
    <row r="9" spans="1:19" ht="16.95" customHeight="1">
      <c r="B9" s="214">
        <v>6</v>
      </c>
      <c r="C9" s="214"/>
      <c r="D9" s="214" t="s">
        <v>2554</v>
      </c>
      <c r="E9" s="214" t="s">
        <v>2555</v>
      </c>
      <c r="F9" s="214"/>
      <c r="G9" s="214" t="s">
        <v>2556</v>
      </c>
      <c r="H9" s="214">
        <v>3</v>
      </c>
      <c r="I9" s="214" t="s">
        <v>2557</v>
      </c>
      <c r="J9" s="406" t="s">
        <v>233</v>
      </c>
      <c r="P9" s="264" t="s">
        <v>260</v>
      </c>
      <c r="Q9" s="149" t="s">
        <v>2558</v>
      </c>
      <c r="R9" s="273" t="s">
        <v>1129</v>
      </c>
      <c r="S9" s="12"/>
    </row>
    <row r="10" spans="1:19" ht="16.95" customHeight="1">
      <c r="B10" s="129">
        <v>7</v>
      </c>
      <c r="C10" s="129"/>
      <c r="D10" s="129" t="s">
        <v>2559</v>
      </c>
      <c r="E10" s="129" t="s">
        <v>2560</v>
      </c>
      <c r="F10" s="129"/>
      <c r="G10" s="214" t="s">
        <v>2561</v>
      </c>
      <c r="H10" s="214">
        <v>3</v>
      </c>
      <c r="I10" s="214" t="s">
        <v>2562</v>
      </c>
      <c r="J10" s="406" t="s">
        <v>233</v>
      </c>
      <c r="P10" s="264" t="s">
        <v>1339</v>
      </c>
      <c r="Q10" s="149" t="s">
        <v>2558</v>
      </c>
      <c r="R10" s="273" t="s">
        <v>1128</v>
      </c>
      <c r="S10" s="12"/>
    </row>
    <row r="11" spans="1:19" ht="16.95" customHeight="1">
      <c r="B11" s="129">
        <v>8</v>
      </c>
      <c r="C11" s="129"/>
      <c r="D11" s="129" t="s">
        <v>2563</v>
      </c>
      <c r="E11" s="129" t="s">
        <v>2564</v>
      </c>
      <c r="F11" s="129"/>
      <c r="G11" s="214" t="s">
        <v>2565</v>
      </c>
      <c r="H11" s="129"/>
      <c r="I11" s="129"/>
      <c r="J11" s="129"/>
      <c r="P11" s="264" t="s">
        <v>2566</v>
      </c>
      <c r="Q11" s="149" t="s">
        <v>2558</v>
      </c>
      <c r="R11" s="273" t="s">
        <v>1136</v>
      </c>
      <c r="S11" s="12"/>
    </row>
    <row r="12" spans="1:19" ht="16.95" customHeight="1">
      <c r="B12" s="129"/>
      <c r="C12" s="129"/>
      <c r="D12" s="129"/>
      <c r="E12" s="129"/>
      <c r="F12" s="129"/>
      <c r="G12" s="129"/>
      <c r="H12" s="129"/>
      <c r="I12" s="129"/>
      <c r="J12" s="129"/>
      <c r="P12" s="264" t="s">
        <v>2567</v>
      </c>
      <c r="Q12" s="149" t="s">
        <v>2558</v>
      </c>
      <c r="R12" s="273" t="s">
        <v>1856</v>
      </c>
      <c r="S12" s="12"/>
    </row>
    <row r="13" spans="1:19" ht="16.95" customHeight="1">
      <c r="B13" s="129"/>
      <c r="C13" s="129"/>
      <c r="D13" s="129"/>
      <c r="E13" s="129"/>
      <c r="F13" s="129"/>
      <c r="G13" s="129"/>
      <c r="H13" s="129"/>
      <c r="I13" s="129"/>
      <c r="J13" s="129"/>
      <c r="P13" s="2465" t="s">
        <v>258</v>
      </c>
      <c r="Q13" s="2466"/>
      <c r="R13" s="274"/>
      <c r="S13" s="12"/>
    </row>
    <row r="14" spans="1:19" ht="16.95" customHeight="1">
      <c r="B14" s="129"/>
      <c r="C14" s="129"/>
      <c r="D14" s="129"/>
      <c r="E14" s="129"/>
      <c r="F14" s="129"/>
      <c r="H14" s="129"/>
      <c r="I14" s="129"/>
      <c r="J14" s="129"/>
      <c r="P14" s="264" t="s">
        <v>22</v>
      </c>
      <c r="Q14" s="149" t="s">
        <v>2558</v>
      </c>
      <c r="R14" s="273" t="s">
        <v>392</v>
      </c>
      <c r="S14" s="12"/>
    </row>
    <row r="15" spans="1:19" ht="16.95" customHeight="1">
      <c r="P15" s="264" t="s">
        <v>35</v>
      </c>
      <c r="Q15" s="149" t="s">
        <v>2558</v>
      </c>
      <c r="R15" s="273" t="s">
        <v>414</v>
      </c>
      <c r="S15" s="73"/>
    </row>
    <row r="16" spans="1:19" ht="16.95" customHeight="1">
      <c r="P16" s="264" t="s">
        <v>2568</v>
      </c>
      <c r="Q16" s="149" t="s">
        <v>2558</v>
      </c>
      <c r="R16" s="273" t="s">
        <v>817</v>
      </c>
      <c r="S16" s="12"/>
    </row>
    <row r="17" spans="2:19" ht="16.95" customHeight="1">
      <c r="B17" t="s">
        <v>428</v>
      </c>
      <c r="P17" s="2465" t="s">
        <v>1366</v>
      </c>
      <c r="Q17" s="2466"/>
      <c r="R17" s="274"/>
      <c r="S17" s="262"/>
    </row>
    <row r="18" spans="2:19" ht="14.4">
      <c r="B18">
        <v>5</v>
      </c>
      <c r="D18" t="s">
        <v>2569</v>
      </c>
      <c r="P18" s="264" t="s">
        <v>199</v>
      </c>
      <c r="Q18" s="149" t="s">
        <v>2558</v>
      </c>
      <c r="R18" s="273" t="s">
        <v>833</v>
      </c>
      <c r="S18" s="2467" t="s">
        <v>2570</v>
      </c>
    </row>
    <row r="19" spans="2:19" ht="14.4">
      <c r="B19">
        <v>6</v>
      </c>
      <c r="D19" t="s">
        <v>2571</v>
      </c>
      <c r="P19" s="264" t="s">
        <v>1663</v>
      </c>
      <c r="Q19" s="149" t="s">
        <v>2558</v>
      </c>
      <c r="R19" s="273" t="s">
        <v>837</v>
      </c>
      <c r="S19" s="2468"/>
    </row>
    <row r="20" spans="2:19" ht="14.4">
      <c r="B20">
        <v>7</v>
      </c>
      <c r="D20" t="s">
        <v>2572</v>
      </c>
      <c r="P20" s="264" t="s">
        <v>2573</v>
      </c>
      <c r="Q20" s="149" t="s">
        <v>2558</v>
      </c>
      <c r="R20" s="273">
        <v>5</v>
      </c>
      <c r="S20" s="2468"/>
    </row>
    <row r="21" spans="2:19" ht="18">
      <c r="B21">
        <v>8</v>
      </c>
      <c r="D21" t="s">
        <v>2574</v>
      </c>
      <c r="P21" s="2465" t="s">
        <v>2575</v>
      </c>
      <c r="Q21" s="2466"/>
      <c r="R21" s="273"/>
      <c r="S21" s="2468"/>
    </row>
    <row r="22" spans="2:19" ht="14.4">
      <c r="B22">
        <v>9</v>
      </c>
      <c r="D22" t="s">
        <v>2576</v>
      </c>
      <c r="P22" s="264" t="s">
        <v>1147</v>
      </c>
      <c r="Q22" s="149" t="s">
        <v>2558</v>
      </c>
      <c r="R22" s="273" t="s">
        <v>825</v>
      </c>
      <c r="S22" s="2468"/>
    </row>
    <row r="23" spans="2:19" ht="14.4">
      <c r="D23" t="s">
        <v>453</v>
      </c>
      <c r="P23" s="264" t="s">
        <v>2577</v>
      </c>
      <c r="Q23" s="149" t="s">
        <v>2578</v>
      </c>
      <c r="R23" s="273" t="s">
        <v>827</v>
      </c>
      <c r="S23" s="2468"/>
    </row>
    <row r="24" spans="2:19" ht="14.4">
      <c r="P24" s="264" t="s">
        <v>2579</v>
      </c>
      <c r="Q24" s="149" t="s">
        <v>2580</v>
      </c>
      <c r="R24" s="273" t="s">
        <v>2329</v>
      </c>
      <c r="S24" s="2469"/>
    </row>
    <row r="25" spans="2:19" ht="14.4">
      <c r="P25" s="264" t="s">
        <v>2581</v>
      </c>
      <c r="Q25" s="265"/>
      <c r="R25" s="273" t="s">
        <v>2582</v>
      </c>
    </row>
    <row r="26" spans="2:19" ht="14.4">
      <c r="P26" s="264" t="s">
        <v>2583</v>
      </c>
      <c r="Q26" s="265"/>
      <c r="R26" s="273" t="s">
        <v>2584</v>
      </c>
    </row>
    <row r="27" spans="2:19" ht="18">
      <c r="P27" s="2465" t="s">
        <v>2585</v>
      </c>
      <c r="Q27" s="2466"/>
      <c r="R27" s="273"/>
    </row>
    <row r="28" spans="2:19" ht="14.4">
      <c r="P28" s="269" t="s">
        <v>2585</v>
      </c>
      <c r="Q28" s="149" t="s">
        <v>2586</v>
      </c>
      <c r="R28" s="273" t="s">
        <v>876</v>
      </c>
    </row>
    <row r="29" spans="2:19" ht="14.4">
      <c r="P29" s="269" t="s">
        <v>2587</v>
      </c>
      <c r="Q29" s="149" t="s">
        <v>2588</v>
      </c>
      <c r="R29" s="273" t="s">
        <v>954</v>
      </c>
    </row>
    <row r="30" spans="2:19" ht="14.4">
      <c r="P30" s="269" t="s">
        <v>2589</v>
      </c>
      <c r="Q30" s="149" t="s">
        <v>2586</v>
      </c>
      <c r="R30" s="273" t="s">
        <v>1159</v>
      </c>
    </row>
    <row r="31" spans="2:19" ht="14.4">
      <c r="P31" s="268"/>
      <c r="Q31" s="9"/>
      <c r="R31" s="273"/>
    </row>
    <row r="32" spans="2:19" ht="14.4">
      <c r="P32" s="266" t="s">
        <v>2590</v>
      </c>
      <c r="Q32" s="267"/>
      <c r="R32" s="273">
        <v>8</v>
      </c>
      <c r="S32" s="7"/>
    </row>
    <row r="33" spans="16:19" ht="14.4">
      <c r="S33" s="7"/>
    </row>
    <row r="34" spans="16:19" ht="14.4">
      <c r="S34" s="7"/>
    </row>
    <row r="35" spans="16:19" ht="14.4">
      <c r="P35" s="7" t="s">
        <v>2591</v>
      </c>
      <c r="Q35" s="7"/>
      <c r="R35" s="7"/>
      <c r="S35" s="7"/>
    </row>
    <row r="36" spans="16:19" ht="14.4">
      <c r="P36" s="7" t="s">
        <v>2592</v>
      </c>
      <c r="Q36" s="7"/>
      <c r="R36" s="7"/>
      <c r="S36" s="7"/>
    </row>
    <row r="37" spans="16:19" ht="14.4">
      <c r="P37" s="7" t="s">
        <v>2593</v>
      </c>
      <c r="Q37" s="7"/>
      <c r="R37" s="7"/>
      <c r="S37" s="7"/>
    </row>
    <row r="38" spans="16:19" ht="14.4">
      <c r="P38" s="7" t="s">
        <v>2594</v>
      </c>
      <c r="Q38" s="7"/>
      <c r="R38" s="7"/>
      <c r="S38" s="7"/>
    </row>
    <row r="39" spans="16:19" ht="14.4">
      <c r="P39" s="7" t="s">
        <v>2595</v>
      </c>
      <c r="Q39" s="7"/>
      <c r="R39" s="7"/>
    </row>
    <row r="40" spans="16:19" ht="14.4">
      <c r="P40" s="7" t="s">
        <v>2596</v>
      </c>
      <c r="Q40" s="7"/>
      <c r="R40" s="7"/>
      <c r="S40" s="7"/>
    </row>
    <row r="41" spans="16:19" ht="14.4">
      <c r="P41" s="7" t="s">
        <v>2597</v>
      </c>
      <c r="Q41" s="7"/>
      <c r="R41" s="7"/>
      <c r="S41" s="7"/>
    </row>
    <row r="42" spans="16:19" ht="14.4">
      <c r="P42" s="7" t="s">
        <v>2598</v>
      </c>
      <c r="S42" s="7"/>
    </row>
    <row r="43" spans="16:19" ht="14.4">
      <c r="P43" s="7" t="s">
        <v>2599</v>
      </c>
      <c r="Q43" s="7"/>
      <c r="R43" s="7"/>
    </row>
    <row r="44" spans="16:19" ht="14.4">
      <c r="P44" s="7" t="s">
        <v>2600</v>
      </c>
      <c r="Q44" s="7"/>
      <c r="R44" s="7"/>
    </row>
    <row r="45" spans="16:19" ht="14.4">
      <c r="P45" s="7" t="s">
        <v>2601</v>
      </c>
      <c r="Q45" s="7"/>
      <c r="R45" s="7"/>
    </row>
    <row r="46" spans="16:19" ht="14.4">
      <c r="P46" s="7" t="s">
        <v>2602</v>
      </c>
    </row>
    <row r="47" spans="16:19" ht="14.4">
      <c r="P47" s="7" t="s">
        <v>2603</v>
      </c>
    </row>
    <row r="48" spans="16:19" ht="14.4">
      <c r="P48" s="7" t="s">
        <v>2604</v>
      </c>
    </row>
  </sheetData>
  <mergeCells count="7">
    <mergeCell ref="P27:Q27"/>
    <mergeCell ref="P21:Q21"/>
    <mergeCell ref="P17:Q17"/>
    <mergeCell ref="S18:S24"/>
    <mergeCell ref="P3:Q3"/>
    <mergeCell ref="P8:Q8"/>
    <mergeCell ref="P13:Q13"/>
  </mergeCells>
  <phoneticPr fontId="8" type="noConversion"/>
  <hyperlinks>
    <hyperlink ref="J4" location="Project_Budget!M3" display="Display" xr:uid="{892E470A-C60A-4029-BA57-1ACB3227A18B}"/>
    <hyperlink ref="J5:J7" location="Project_Budget!M3" display="Display" xr:uid="{AE7E0611-59A5-4132-A184-CD10F02EC09A}"/>
    <hyperlink ref="J8:J9" location="Project_Budget!M3" display="Display" xr:uid="{FD04F442-F279-42E6-BEB9-E1A69F32A9E1}"/>
    <hyperlink ref="J10" location="Project_Budget!M3" display="Display" xr:uid="{43141E1E-FA66-457A-849E-625E9C8BEFE6}"/>
  </hyperlinks>
  <pageMargins left="0.7" right="0.7" top="0.75" bottom="0.75" header="0.3" footer="0.3"/>
  <legacy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099A4-8328-44E2-8B9B-1FBE649F5623}">
  <sheetPr codeName="Sheet16"/>
  <dimension ref="A1:K23"/>
  <sheetViews>
    <sheetView workbookViewId="0">
      <selection activeCell="I20" sqref="I20"/>
    </sheetView>
  </sheetViews>
  <sheetFormatPr defaultRowHeight="14.4"/>
  <cols>
    <col min="2" max="2" width="9.44140625" customWidth="1"/>
    <col min="3" max="3" width="38.44140625" customWidth="1"/>
    <col min="4" max="4" width="27.5546875" bestFit="1" customWidth="1"/>
    <col min="5" max="5" width="30.44140625" bestFit="1" customWidth="1"/>
    <col min="6" max="7" width="13.5546875" customWidth="1"/>
    <col min="8" max="8" width="19.5546875" customWidth="1"/>
    <col min="9" max="9" width="14.44140625" customWidth="1"/>
    <col min="11" max="11" width="20.88671875" bestFit="1" customWidth="1"/>
  </cols>
  <sheetData>
    <row r="1" spans="1:11" ht="21" customHeight="1">
      <c r="A1" s="351" t="s">
        <v>2605</v>
      </c>
      <c r="B1" s="351"/>
      <c r="C1" s="351"/>
      <c r="D1" s="351"/>
      <c r="E1" s="351"/>
      <c r="F1" s="351"/>
      <c r="G1" s="351"/>
      <c r="H1" s="351"/>
      <c r="I1" s="351"/>
    </row>
    <row r="2" spans="1:11" ht="21">
      <c r="F2" s="51"/>
      <c r="G2" s="51"/>
      <c r="H2" s="51"/>
      <c r="I2" s="51"/>
    </row>
    <row r="3" spans="1:11" ht="15.6">
      <c r="B3" s="401" t="s">
        <v>345</v>
      </c>
      <c r="C3" s="401" t="s">
        <v>1120</v>
      </c>
      <c r="D3" s="400" t="s">
        <v>968</v>
      </c>
      <c r="E3" s="400" t="s">
        <v>2606</v>
      </c>
      <c r="F3" s="401" t="s">
        <v>232</v>
      </c>
      <c r="G3" s="401" t="s">
        <v>231</v>
      </c>
      <c r="H3" s="402" t="s">
        <v>2539</v>
      </c>
      <c r="I3" s="401" t="s">
        <v>233</v>
      </c>
      <c r="K3" s="412" t="s">
        <v>2607</v>
      </c>
    </row>
    <row r="4" spans="1:11">
      <c r="B4" s="214">
        <v>1</v>
      </c>
      <c r="C4" s="129" t="s">
        <v>248</v>
      </c>
      <c r="D4" s="214" t="s">
        <v>130</v>
      </c>
      <c r="E4" s="214" t="s">
        <v>252</v>
      </c>
      <c r="F4" s="214" t="s">
        <v>253</v>
      </c>
      <c r="G4" s="214">
        <v>4</v>
      </c>
      <c r="H4" s="214" t="s">
        <v>2061</v>
      </c>
      <c r="I4" s="406" t="s">
        <v>233</v>
      </c>
      <c r="K4" s="410" t="s">
        <v>248</v>
      </c>
    </row>
    <row r="5" spans="1:11">
      <c r="B5" s="214">
        <v>2</v>
      </c>
      <c r="C5" s="129" t="s">
        <v>248</v>
      </c>
      <c r="D5" s="214" t="s">
        <v>131</v>
      </c>
      <c r="E5" s="214" t="s">
        <v>249</v>
      </c>
      <c r="F5" s="214" t="s">
        <v>250</v>
      </c>
      <c r="G5" s="214">
        <v>4</v>
      </c>
      <c r="H5" s="214" t="s">
        <v>2553</v>
      </c>
      <c r="I5" s="406" t="s">
        <v>233</v>
      </c>
      <c r="K5" s="411" t="s">
        <v>239</v>
      </c>
    </row>
    <row r="6" spans="1:11">
      <c r="B6" s="214">
        <v>3</v>
      </c>
      <c r="C6" s="129" t="s">
        <v>248</v>
      </c>
      <c r="D6" s="214" t="s">
        <v>2608</v>
      </c>
      <c r="E6" s="214" t="s">
        <v>254</v>
      </c>
      <c r="F6" s="214" t="s">
        <v>255</v>
      </c>
      <c r="G6" s="214">
        <v>4</v>
      </c>
      <c r="H6" s="214" t="s">
        <v>2557</v>
      </c>
      <c r="I6" s="406" t="s">
        <v>233</v>
      </c>
      <c r="K6" s="410" t="s">
        <v>245</v>
      </c>
    </row>
    <row r="7" spans="1:11">
      <c r="B7" s="214">
        <v>4</v>
      </c>
      <c r="C7" s="129" t="s">
        <v>239</v>
      </c>
      <c r="D7" s="214" t="s">
        <v>135</v>
      </c>
      <c r="E7" s="214" t="s">
        <v>241</v>
      </c>
      <c r="F7" s="214" t="s">
        <v>240</v>
      </c>
      <c r="G7" s="214">
        <v>4</v>
      </c>
      <c r="H7" s="214" t="s">
        <v>2562</v>
      </c>
      <c r="I7" s="406" t="s">
        <v>233</v>
      </c>
      <c r="K7" s="411"/>
    </row>
    <row r="8" spans="1:11">
      <c r="B8" s="214">
        <v>5</v>
      </c>
      <c r="C8" s="129" t="s">
        <v>239</v>
      </c>
      <c r="D8" s="214" t="s">
        <v>133</v>
      </c>
      <c r="E8" s="214" t="s">
        <v>242</v>
      </c>
      <c r="F8" s="214" t="s">
        <v>243</v>
      </c>
      <c r="G8" s="214">
        <v>4</v>
      </c>
      <c r="H8" s="214" t="s">
        <v>2609</v>
      </c>
      <c r="I8" s="406" t="s">
        <v>233</v>
      </c>
    </row>
    <row r="9" spans="1:11">
      <c r="B9" s="214">
        <v>6</v>
      </c>
      <c r="C9" s="129" t="s">
        <v>239</v>
      </c>
      <c r="D9" s="214" t="s">
        <v>132</v>
      </c>
      <c r="E9" s="214" t="s">
        <v>2610</v>
      </c>
      <c r="F9" s="214" t="s">
        <v>244</v>
      </c>
      <c r="G9" s="214">
        <v>4</v>
      </c>
      <c r="H9" s="214" t="s">
        <v>2611</v>
      </c>
      <c r="I9" s="406" t="s">
        <v>233</v>
      </c>
    </row>
    <row r="10" spans="1:11">
      <c r="B10" s="129">
        <v>7</v>
      </c>
      <c r="C10" s="129" t="s">
        <v>245</v>
      </c>
      <c r="D10" s="129" t="s">
        <v>134</v>
      </c>
      <c r="E10" s="129" t="s">
        <v>246</v>
      </c>
      <c r="F10" s="214" t="s">
        <v>247</v>
      </c>
      <c r="G10" s="214">
        <v>4</v>
      </c>
      <c r="H10" s="214" t="s">
        <v>2612</v>
      </c>
      <c r="I10" s="406" t="s">
        <v>233</v>
      </c>
    </row>
    <row r="11" spans="1:11">
      <c r="B11" s="129">
        <v>8</v>
      </c>
      <c r="C11" s="129"/>
      <c r="D11" s="129"/>
      <c r="E11" s="129"/>
      <c r="F11" s="214"/>
      <c r="G11" s="129"/>
      <c r="H11" s="129"/>
      <c r="I11" s="129"/>
    </row>
    <row r="12" spans="1:11">
      <c r="B12" s="129"/>
      <c r="C12" s="129"/>
      <c r="D12" s="129"/>
      <c r="E12" s="129"/>
      <c r="F12" s="129"/>
      <c r="G12" s="129"/>
      <c r="H12" s="129"/>
      <c r="I12" s="129"/>
    </row>
    <row r="13" spans="1:11">
      <c r="B13" s="129"/>
      <c r="C13" s="129"/>
      <c r="D13" s="129"/>
      <c r="E13" s="129"/>
      <c r="F13" s="129"/>
      <c r="G13" s="129"/>
      <c r="H13" s="129"/>
      <c r="I13" s="129"/>
    </row>
    <row r="14" spans="1:11">
      <c r="B14" s="129"/>
      <c r="C14" s="129"/>
      <c r="D14" s="129"/>
      <c r="E14" s="129"/>
      <c r="F14" s="129"/>
      <c r="G14" s="129"/>
      <c r="H14" s="129"/>
      <c r="I14" s="129"/>
    </row>
    <row r="17" spans="2:3">
      <c r="B17" t="s">
        <v>428</v>
      </c>
      <c r="C17" t="s">
        <v>2613</v>
      </c>
    </row>
    <row r="18" spans="2:3">
      <c r="C18" t="s">
        <v>2614</v>
      </c>
    </row>
    <row r="19" spans="2:3">
      <c r="C19" t="s">
        <v>2615</v>
      </c>
    </row>
    <row r="20" spans="2:3">
      <c r="C20" t="s">
        <v>2616</v>
      </c>
    </row>
    <row r="21" spans="2:3">
      <c r="C21" t="s">
        <v>2617</v>
      </c>
    </row>
    <row r="22" spans="2:3">
      <c r="C22" t="s">
        <v>2618</v>
      </c>
    </row>
    <row r="23" spans="2:3">
      <c r="C23" t="s">
        <v>453</v>
      </c>
    </row>
  </sheetData>
  <phoneticPr fontId="8" type="noConversion"/>
  <dataValidations count="1">
    <dataValidation type="list" allowBlank="1" showInputMessage="1" showErrorMessage="1" sqref="C4:C11" xr:uid="{F2A3738D-64C2-47DB-8EE9-B7CD84E21609}">
      <formula1>$K$4:$K$8</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4AF82-EFBE-49AB-A78D-F425F803AB49}">
  <sheetPr codeName="Sheet131"/>
  <dimension ref="B2:C30"/>
  <sheetViews>
    <sheetView topLeftCell="A10" workbookViewId="0">
      <selection activeCell="C13" sqref="C13"/>
    </sheetView>
  </sheetViews>
  <sheetFormatPr defaultRowHeight="14.4"/>
  <cols>
    <col min="2" max="2" width="19.44140625" bestFit="1" customWidth="1"/>
    <col min="3" max="3" width="118.5546875" customWidth="1"/>
  </cols>
  <sheetData>
    <row r="2" spans="2:3">
      <c r="B2" t="s">
        <v>2619</v>
      </c>
      <c r="C2" t="s">
        <v>2620</v>
      </c>
    </row>
    <row r="3" spans="2:3">
      <c r="B3" t="s">
        <v>258</v>
      </c>
      <c r="C3" t="s">
        <v>2621</v>
      </c>
    </row>
    <row r="4" spans="2:3">
      <c r="B4" t="s">
        <v>2622</v>
      </c>
      <c r="C4" t="s">
        <v>2623</v>
      </c>
    </row>
    <row r="5" spans="2:3">
      <c r="B5" t="s">
        <v>2624</v>
      </c>
      <c r="C5" t="s">
        <v>2625</v>
      </c>
    </row>
    <row r="6" spans="2:3">
      <c r="B6" t="s">
        <v>2514</v>
      </c>
      <c r="C6" t="s">
        <v>69</v>
      </c>
    </row>
    <row r="7" spans="2:3">
      <c r="B7" t="s">
        <v>2626</v>
      </c>
      <c r="C7" t="s">
        <v>2627</v>
      </c>
    </row>
    <row r="8" spans="2:3">
      <c r="B8" t="s">
        <v>2628</v>
      </c>
      <c r="C8" t="s">
        <v>2629</v>
      </c>
    </row>
    <row r="9" spans="2:3">
      <c r="B9" t="s">
        <v>624</v>
      </c>
      <c r="C9" t="s">
        <v>2630</v>
      </c>
    </row>
    <row r="10" spans="2:3">
      <c r="B10" t="s">
        <v>2631</v>
      </c>
      <c r="C10" t="s">
        <v>2632</v>
      </c>
    </row>
    <row r="11" spans="2:3">
      <c r="B11" t="s">
        <v>2633</v>
      </c>
      <c r="C11" t="s">
        <v>2634</v>
      </c>
    </row>
    <row r="12" spans="2:3">
      <c r="B12" t="s">
        <v>2635</v>
      </c>
      <c r="C12" t="s">
        <v>289</v>
      </c>
    </row>
    <row r="13" spans="2:3">
      <c r="B13" t="s">
        <v>2636</v>
      </c>
      <c r="C13" t="s">
        <v>112</v>
      </c>
    </row>
    <row r="14" spans="2:3">
      <c r="B14" t="s">
        <v>2637</v>
      </c>
      <c r="C14" t="s">
        <v>2638</v>
      </c>
    </row>
    <row r="15" spans="2:3">
      <c r="B15" t="s">
        <v>2639</v>
      </c>
      <c r="C15" t="s">
        <v>2640</v>
      </c>
    </row>
    <row r="16" spans="2:3">
      <c r="B16" t="s">
        <v>112</v>
      </c>
      <c r="C16" t="s">
        <v>2641</v>
      </c>
    </row>
    <row r="17" spans="2:3">
      <c r="B17" t="s">
        <v>2642</v>
      </c>
      <c r="C17" t="s">
        <v>2643</v>
      </c>
    </row>
    <row r="18" spans="2:3">
      <c r="B18" t="s">
        <v>195</v>
      </c>
      <c r="C18" t="s">
        <v>2644</v>
      </c>
    </row>
    <row r="19" spans="2:3">
      <c r="B19" t="s">
        <v>2645</v>
      </c>
      <c r="C19" t="s">
        <v>2642</v>
      </c>
    </row>
    <row r="20" spans="2:3">
      <c r="B20" t="s">
        <v>2646</v>
      </c>
      <c r="C20" t="s">
        <v>2287</v>
      </c>
    </row>
    <row r="21" spans="2:3">
      <c r="B21" t="s">
        <v>2647</v>
      </c>
      <c r="C21" t="s">
        <v>2648</v>
      </c>
    </row>
    <row r="22" spans="2:3">
      <c r="B22" t="s">
        <v>2649</v>
      </c>
      <c r="C22" t="s">
        <v>2650</v>
      </c>
    </row>
    <row r="23" spans="2:3">
      <c r="B23" t="s">
        <v>585</v>
      </c>
      <c r="C23" t="s">
        <v>2651</v>
      </c>
    </row>
    <row r="24" spans="2:3">
      <c r="B24" t="s">
        <v>2652</v>
      </c>
      <c r="C24" t="s">
        <v>2653</v>
      </c>
    </row>
    <row r="25" spans="2:3">
      <c r="B25" t="s">
        <v>2654</v>
      </c>
      <c r="C25" t="s">
        <v>2655</v>
      </c>
    </row>
    <row r="26" spans="2:3">
      <c r="B26" t="s">
        <v>2656</v>
      </c>
      <c r="C26" t="s">
        <v>2657</v>
      </c>
    </row>
    <row r="27" spans="2:3">
      <c r="B27" t="s">
        <v>2658</v>
      </c>
      <c r="C27" t="s">
        <v>2659</v>
      </c>
    </row>
    <row r="28" spans="2:3">
      <c r="B28" t="s">
        <v>248</v>
      </c>
      <c r="C28" t="s">
        <v>2660</v>
      </c>
    </row>
    <row r="29" spans="2:3">
      <c r="B29" t="s">
        <v>2661</v>
      </c>
      <c r="C29" t="s">
        <v>2662</v>
      </c>
    </row>
    <row r="30" spans="2:3">
      <c r="B30" t="s">
        <v>1383</v>
      </c>
      <c r="C30" t="s">
        <v>2663</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5B418-4998-486B-98B1-8F079CE982D3}">
  <sheetPr codeName="Sheet7"/>
  <dimension ref="A1:CG199"/>
  <sheetViews>
    <sheetView topLeftCell="BY1" workbookViewId="0">
      <selection activeCell="CH8" sqref="CH8"/>
    </sheetView>
  </sheetViews>
  <sheetFormatPr defaultRowHeight="24"/>
  <cols>
    <col min="27" max="27" width="18.109375" style="323" customWidth="1"/>
    <col min="28" max="28" width="18.109375" style="324" customWidth="1"/>
    <col min="29" max="29" width="14.109375" style="325" customWidth="1"/>
    <col min="30" max="30" width="19.5546875" style="325" customWidth="1"/>
    <col min="31" max="31" width="18" style="325" customWidth="1"/>
    <col min="32" max="32" width="18.44140625" style="325" customWidth="1"/>
    <col min="33" max="33" width="13.44140625" style="326" customWidth="1"/>
    <col min="34" max="34" width="14.109375" style="325" customWidth="1"/>
    <col min="35" max="35" width="18.5546875" style="325" customWidth="1"/>
    <col min="36" max="36" width="9.44140625" style="326" bestFit="1" customWidth="1"/>
    <col min="37" max="37" width="13.109375" style="326" customWidth="1"/>
    <col min="38" max="38" width="21.44140625" style="325" bestFit="1" customWidth="1"/>
    <col min="39" max="39" width="21.5546875" style="325" customWidth="1"/>
    <col min="53" max="53" width="14.109375" customWidth="1"/>
    <col min="54" max="54" width="25.88671875" customWidth="1"/>
    <col min="55" max="55" width="23.44140625" style="7" customWidth="1"/>
    <col min="56" max="56" width="25.109375" customWidth="1"/>
    <col min="57" max="57" width="18" customWidth="1"/>
    <col min="58" max="78" width="23.5546875" customWidth="1"/>
    <col min="79" max="79" width="31.5546875" bestFit="1" customWidth="1"/>
    <col min="80" max="80" width="31.5546875" customWidth="1"/>
    <col min="81" max="81" width="16.5546875" customWidth="1"/>
    <col min="84" max="84" width="12.44140625" bestFit="1" customWidth="1"/>
    <col min="85" max="85" width="25.44140625" bestFit="1" customWidth="1"/>
  </cols>
  <sheetData>
    <row r="1" spans="1:85" ht="18.600000000000001" thickBot="1">
      <c r="A1" s="2470"/>
      <c r="B1" s="2470"/>
      <c r="AA1" s="293" t="s">
        <v>2664</v>
      </c>
      <c r="AB1" s="294"/>
      <c r="AC1" s="129"/>
      <c r="AD1" s="129"/>
      <c r="AE1" s="129"/>
      <c r="AF1" s="129"/>
      <c r="AG1" s="847"/>
      <c r="AH1" s="129"/>
      <c r="AI1" s="129"/>
      <c r="AJ1" s="847"/>
      <c r="AK1" s="847"/>
      <c r="AL1" s="295"/>
      <c r="AM1" s="296"/>
      <c r="BA1" s="334" t="s">
        <v>2665</v>
      </c>
      <c r="BB1" s="4"/>
      <c r="BC1" s="289"/>
      <c r="BD1" s="247"/>
      <c r="BE1" s="247"/>
      <c r="BF1" s="198" t="s">
        <v>2666</v>
      </c>
      <c r="BG1" s="198"/>
      <c r="BH1" s="198"/>
      <c r="BI1" s="198"/>
      <c r="BJ1" s="198"/>
      <c r="BK1" s="198"/>
      <c r="BL1" s="198"/>
      <c r="BM1" s="198"/>
      <c r="BN1" s="198"/>
      <c r="BO1" s="198"/>
      <c r="BP1" s="198"/>
      <c r="BQ1" s="198"/>
      <c r="BR1" s="198"/>
      <c r="BS1" s="198"/>
      <c r="BT1" s="198"/>
      <c r="BU1" s="198"/>
      <c r="BV1" s="198"/>
      <c r="BW1" s="198"/>
      <c r="BX1" s="198"/>
      <c r="BY1" s="198"/>
      <c r="BZ1" s="198"/>
      <c r="CA1" s="328" t="s">
        <v>2667</v>
      </c>
      <c r="CB1" s="328"/>
      <c r="CC1" s="328"/>
      <c r="CE1" s="329"/>
      <c r="CF1" s="329"/>
      <c r="CG1" s="330"/>
    </row>
    <row r="2" spans="1:85" ht="18.600000000000001" thickBot="1">
      <c r="AA2" s="297"/>
      <c r="AB2" s="298"/>
      <c r="AC2" s="129"/>
      <c r="AD2" s="129"/>
      <c r="AE2" s="2471" t="s">
        <v>2668</v>
      </c>
      <c r="AF2" s="2472"/>
      <c r="AG2" s="2472"/>
      <c r="AH2" s="2473" t="s">
        <v>2669</v>
      </c>
      <c r="AI2" s="2474"/>
      <c r="AJ2" s="2475"/>
      <c r="AK2" s="299"/>
      <c r="AL2" s="295"/>
      <c r="AM2" s="296"/>
      <c r="BA2" s="4"/>
      <c r="BB2" s="4"/>
      <c r="BC2" s="289"/>
      <c r="BD2" s="2476" t="s">
        <v>2670</v>
      </c>
      <c r="BE2" s="2476"/>
      <c r="BF2" s="2476"/>
      <c r="BG2" s="7"/>
      <c r="BH2" s="7"/>
      <c r="BI2" s="7"/>
      <c r="BJ2" s="7"/>
      <c r="BK2" s="7"/>
      <c r="BL2" s="7"/>
      <c r="BM2" s="7"/>
      <c r="BN2" s="7"/>
      <c r="BO2" s="7"/>
      <c r="BP2" s="7"/>
      <c r="BQ2" s="7"/>
      <c r="BR2" s="7"/>
      <c r="BS2" s="7"/>
      <c r="BT2" s="7"/>
      <c r="BU2" s="7"/>
      <c r="BV2" s="7"/>
      <c r="BW2" s="7"/>
      <c r="BX2" s="7"/>
      <c r="BY2" s="7"/>
      <c r="BZ2" s="7"/>
      <c r="CA2" s="329"/>
      <c r="CB2" s="329"/>
      <c r="CC2" s="329" t="s">
        <v>2670</v>
      </c>
      <c r="CD2" s="329" t="s">
        <v>2670</v>
      </c>
      <c r="CE2" s="329"/>
      <c r="CF2" s="329" t="s">
        <v>2670</v>
      </c>
      <c r="CG2" s="329" t="s">
        <v>2670</v>
      </c>
    </row>
    <row r="3" spans="1:85" ht="15.6">
      <c r="AA3" s="300" t="s">
        <v>1126</v>
      </c>
      <c r="AB3" s="301" t="s">
        <v>2671</v>
      </c>
      <c r="AC3" s="302" t="s">
        <v>2672</v>
      </c>
      <c r="AD3" s="302" t="s">
        <v>2673</v>
      </c>
      <c r="AE3" s="303" t="s">
        <v>2674</v>
      </c>
      <c r="AF3" s="303" t="s">
        <v>2675</v>
      </c>
      <c r="AG3" s="304" t="s">
        <v>2676</v>
      </c>
      <c r="AH3" s="303" t="s">
        <v>2677</v>
      </c>
      <c r="AI3" s="303" t="s">
        <v>2678</v>
      </c>
      <c r="AJ3" s="304" t="s">
        <v>2679</v>
      </c>
      <c r="AK3" s="305" t="s">
        <v>441</v>
      </c>
      <c r="AL3" s="303" t="s">
        <v>1124</v>
      </c>
      <c r="AM3" s="306" t="s">
        <v>2680</v>
      </c>
      <c r="BA3" s="335" t="s">
        <v>2681</v>
      </c>
      <c r="BB3" s="335" t="s">
        <v>2331</v>
      </c>
      <c r="BC3" s="336" t="s">
        <v>2334</v>
      </c>
      <c r="BD3" s="335" t="s">
        <v>2682</v>
      </c>
      <c r="BE3" s="336" t="s">
        <v>2683</v>
      </c>
      <c r="BF3" s="337" t="s">
        <v>2684</v>
      </c>
      <c r="BG3" s="337"/>
      <c r="BH3" s="337"/>
      <c r="BI3" s="337"/>
      <c r="BJ3" s="337"/>
      <c r="BK3" s="337"/>
      <c r="BL3" s="337"/>
      <c r="BM3" s="337"/>
      <c r="BN3" s="337"/>
      <c r="BO3" s="337"/>
      <c r="BP3" s="337"/>
      <c r="BQ3" s="337"/>
      <c r="BR3" s="337"/>
      <c r="BS3" s="337"/>
      <c r="BT3" s="337"/>
      <c r="BU3" s="337"/>
      <c r="BV3" s="337"/>
      <c r="BW3" s="337"/>
      <c r="BX3" s="337"/>
      <c r="BY3" s="337"/>
      <c r="BZ3" s="337"/>
      <c r="CA3" s="331" t="s">
        <v>2685</v>
      </c>
      <c r="CB3" s="331" t="s">
        <v>2686</v>
      </c>
      <c r="CC3" s="331" t="s">
        <v>2687</v>
      </c>
      <c r="CD3" s="331" t="s">
        <v>2688</v>
      </c>
      <c r="CE3" s="331" t="s">
        <v>441</v>
      </c>
      <c r="CF3" s="331" t="s">
        <v>1124</v>
      </c>
      <c r="CG3" s="332" t="s">
        <v>2689</v>
      </c>
    </row>
    <row r="4" spans="1:85" ht="15.6">
      <c r="AA4" s="307" t="s">
        <v>2690</v>
      </c>
      <c r="AB4" s="308">
        <v>45154</v>
      </c>
      <c r="AC4" s="129" t="s">
        <v>2691</v>
      </c>
      <c r="AD4" s="129" t="s">
        <v>2692</v>
      </c>
      <c r="AE4" s="309" t="s">
        <v>488</v>
      </c>
      <c r="AF4" s="309" t="s">
        <v>490</v>
      </c>
      <c r="AG4" s="847">
        <v>4</v>
      </c>
      <c r="AH4" s="309" t="s">
        <v>488</v>
      </c>
      <c r="AI4" s="309" t="s">
        <v>490</v>
      </c>
      <c r="AJ4" s="847">
        <v>4</v>
      </c>
      <c r="AK4" s="847" t="s">
        <v>2693</v>
      </c>
      <c r="AL4" s="309" t="s">
        <v>2694</v>
      </c>
      <c r="AM4" s="310" t="s">
        <v>2695</v>
      </c>
      <c r="BA4" s="170">
        <v>26</v>
      </c>
      <c r="BB4" s="170" t="s">
        <v>2696</v>
      </c>
      <c r="BC4" s="8" t="s">
        <v>2697</v>
      </c>
      <c r="BD4" s="170" t="str">
        <f>Table12612717[[#This Row],[Worker Code]]&amp;"-"&amp;Table12612717[[#This Row],[Activity Description]]</f>
        <v>26-Backhoe</v>
      </c>
      <c r="BE4" s="338" t="s">
        <v>1783</v>
      </c>
      <c r="BF4" s="8" t="s">
        <v>2698</v>
      </c>
      <c r="BG4" s="8"/>
      <c r="BH4" s="8"/>
      <c r="BI4" s="8"/>
      <c r="BJ4" s="8"/>
      <c r="BK4" s="8"/>
      <c r="BL4" s="8"/>
      <c r="BM4" s="8"/>
      <c r="BN4" s="8"/>
      <c r="BO4" s="8"/>
      <c r="BP4" s="8"/>
      <c r="BQ4" s="8"/>
      <c r="BR4" s="8"/>
      <c r="BS4" s="8"/>
      <c r="BT4" s="8"/>
      <c r="BU4" s="8"/>
      <c r="BV4" s="8"/>
      <c r="BW4" s="8"/>
      <c r="BX4" s="8"/>
      <c r="BY4" s="8"/>
      <c r="BZ4" s="8"/>
      <c r="CA4" s="329" t="s">
        <v>2699</v>
      </c>
      <c r="CB4" s="342" t="s">
        <v>2700</v>
      </c>
      <c r="CC4" s="329" t="s">
        <v>2701</v>
      </c>
      <c r="CD4" s="329" t="s">
        <v>2702</v>
      </c>
      <c r="CE4" s="329" t="s">
        <v>2693</v>
      </c>
      <c r="CF4" s="329" t="s">
        <v>1783</v>
      </c>
      <c r="CG4" s="333">
        <v>45160</v>
      </c>
    </row>
    <row r="5" spans="1:85" ht="15.6">
      <c r="AA5" s="307" t="s">
        <v>2703</v>
      </c>
      <c r="AB5" s="308">
        <v>45153</v>
      </c>
      <c r="AC5" s="129" t="s">
        <v>2691</v>
      </c>
      <c r="AD5" s="129" t="s">
        <v>2704</v>
      </c>
      <c r="AE5" s="309" t="s">
        <v>488</v>
      </c>
      <c r="AF5" s="309" t="s">
        <v>490</v>
      </c>
      <c r="AG5" s="847">
        <v>4</v>
      </c>
      <c r="AH5" s="309" t="s">
        <v>488</v>
      </c>
      <c r="AI5" s="309" t="s">
        <v>490</v>
      </c>
      <c r="AJ5" s="847">
        <v>4</v>
      </c>
      <c r="AK5" s="847" t="s">
        <v>2693</v>
      </c>
      <c r="AL5" s="309" t="s">
        <v>2694</v>
      </c>
      <c r="AM5" s="310" t="s">
        <v>2705</v>
      </c>
      <c r="BA5" s="170">
        <v>26</v>
      </c>
      <c r="BB5" s="170" t="s">
        <v>2696</v>
      </c>
      <c r="BC5" s="8" t="s">
        <v>2706</v>
      </c>
      <c r="BD5" s="170" t="str">
        <f>Table12612717[[#This Row],[Worker Code]]&amp;"-"&amp;Table12612717[[#This Row],[Activity Description]]</f>
        <v>26-Compactor</v>
      </c>
      <c r="BE5" s="338" t="s">
        <v>1783</v>
      </c>
      <c r="BF5" s="8" t="s">
        <v>2698</v>
      </c>
      <c r="BG5" s="8"/>
      <c r="BH5" s="8"/>
      <c r="BI5" s="8"/>
      <c r="BJ5" s="8"/>
      <c r="BK5" s="8"/>
      <c r="BL5" s="8"/>
      <c r="BM5" s="8"/>
      <c r="BN5" s="8"/>
      <c r="BO5" s="8"/>
      <c r="BP5" s="8"/>
      <c r="BQ5" s="8"/>
      <c r="BR5" s="8"/>
      <c r="BS5" s="8"/>
      <c r="BT5" s="8"/>
      <c r="BU5" s="8"/>
      <c r="BV5" s="8"/>
      <c r="BW5" s="8"/>
      <c r="BX5" s="8"/>
      <c r="BY5" s="8"/>
      <c r="BZ5" s="8"/>
      <c r="CA5" s="329" t="s">
        <v>2707</v>
      </c>
      <c r="CB5" s="342" t="s">
        <v>2708</v>
      </c>
      <c r="CC5" s="329" t="s">
        <v>2709</v>
      </c>
      <c r="CD5" s="329" t="s">
        <v>2710</v>
      </c>
      <c r="CE5" s="329" t="s">
        <v>2693</v>
      </c>
      <c r="CF5" s="329" t="s">
        <v>1783</v>
      </c>
      <c r="CG5" s="333">
        <v>45160</v>
      </c>
    </row>
    <row r="6" spans="1:85" ht="15.6">
      <c r="AA6" s="307" t="s">
        <v>2711</v>
      </c>
      <c r="AB6" s="308">
        <v>45152</v>
      </c>
      <c r="AC6" s="129" t="s">
        <v>2691</v>
      </c>
      <c r="AD6" s="129" t="s">
        <v>2712</v>
      </c>
      <c r="AE6" s="309" t="s">
        <v>488</v>
      </c>
      <c r="AF6" s="309" t="s">
        <v>490</v>
      </c>
      <c r="AG6" s="847">
        <v>4</v>
      </c>
      <c r="AH6" s="309" t="s">
        <v>488</v>
      </c>
      <c r="AI6" s="309" t="s">
        <v>490</v>
      </c>
      <c r="AJ6" s="847">
        <v>4</v>
      </c>
      <c r="AK6" s="847" t="s">
        <v>2693</v>
      </c>
      <c r="AL6" s="309" t="s">
        <v>2694</v>
      </c>
      <c r="AM6" s="310" t="s">
        <v>2713</v>
      </c>
      <c r="BA6" s="170">
        <v>26</v>
      </c>
      <c r="BB6" s="170" t="s">
        <v>2696</v>
      </c>
      <c r="BC6" s="8" t="s">
        <v>2714</v>
      </c>
      <c r="BD6" s="170" t="str">
        <f>Table12612717[[#This Row],[Worker Code]]&amp;"-"&amp;Table12612717[[#This Row],[Activity Description]]</f>
        <v>26-Dump Truck</v>
      </c>
      <c r="BE6" s="338" t="s">
        <v>1783</v>
      </c>
      <c r="BF6" s="8" t="s">
        <v>2698</v>
      </c>
      <c r="BG6" s="8"/>
      <c r="BH6" s="8"/>
      <c r="BI6" s="8"/>
      <c r="BJ6" s="8"/>
      <c r="BK6" s="8"/>
      <c r="BL6" s="8"/>
      <c r="BM6" s="8"/>
      <c r="BN6" s="8"/>
      <c r="BO6" s="8"/>
      <c r="BP6" s="8"/>
      <c r="BQ6" s="8"/>
      <c r="BR6" s="8"/>
      <c r="BS6" s="8"/>
      <c r="BT6" s="8"/>
      <c r="BU6" s="8"/>
      <c r="BV6" s="8"/>
      <c r="BW6" s="8"/>
      <c r="BX6" s="8"/>
      <c r="BY6" s="8"/>
      <c r="BZ6" s="8"/>
      <c r="CA6" s="329" t="s">
        <v>2715</v>
      </c>
      <c r="CB6" s="342" t="s">
        <v>2716</v>
      </c>
      <c r="CC6" s="329" t="s">
        <v>2701</v>
      </c>
      <c r="CD6" s="329" t="s">
        <v>2717</v>
      </c>
      <c r="CE6" s="329" t="s">
        <v>2693</v>
      </c>
      <c r="CF6" s="329" t="s">
        <v>1783</v>
      </c>
      <c r="CG6" s="333">
        <v>45160</v>
      </c>
    </row>
    <row r="7" spans="1:85" ht="15.6">
      <c r="AA7" s="307" t="s">
        <v>2718</v>
      </c>
      <c r="AB7" s="308">
        <v>45151</v>
      </c>
      <c r="AC7" s="129" t="s">
        <v>2691</v>
      </c>
      <c r="AD7" s="129" t="s">
        <v>2719</v>
      </c>
      <c r="AE7" s="309" t="s">
        <v>488</v>
      </c>
      <c r="AF7" s="309" t="s">
        <v>490</v>
      </c>
      <c r="AG7" s="847">
        <v>4</v>
      </c>
      <c r="AH7" s="309" t="s">
        <v>488</v>
      </c>
      <c r="AI7" s="309" t="s">
        <v>490</v>
      </c>
      <c r="AJ7" s="847">
        <v>4</v>
      </c>
      <c r="AK7" s="847" t="s">
        <v>2693</v>
      </c>
      <c r="AL7" s="309" t="s">
        <v>2694</v>
      </c>
      <c r="AM7" s="310" t="s">
        <v>2720</v>
      </c>
      <c r="BA7">
        <v>26</v>
      </c>
      <c r="BB7" t="s">
        <v>2696</v>
      </c>
      <c r="BC7" s="8" t="s">
        <v>2721</v>
      </c>
      <c r="BD7" s="170" t="str">
        <f>Table12612717[[#This Row],[Worker Code]]&amp;"-"&amp;Table12612717[[#This Row],[Activity Description]]</f>
        <v xml:space="preserve">26-Excavator </v>
      </c>
      <c r="BE7" s="338" t="s">
        <v>1783</v>
      </c>
      <c r="BF7" s="8" t="s">
        <v>2698</v>
      </c>
      <c r="BG7" s="8"/>
      <c r="BH7" s="8"/>
      <c r="BI7" s="8"/>
      <c r="BJ7" s="8"/>
      <c r="BK7" s="8"/>
      <c r="BL7" s="8"/>
      <c r="BM7" s="8"/>
      <c r="BN7" s="8"/>
      <c r="BO7" s="8"/>
      <c r="BP7" s="8"/>
      <c r="BQ7" s="8"/>
      <c r="BR7" s="8"/>
      <c r="BS7" s="8"/>
      <c r="BT7" s="8"/>
      <c r="BU7" s="8"/>
      <c r="BV7" s="8"/>
      <c r="BW7" s="8"/>
      <c r="BX7" s="8"/>
      <c r="BY7" s="8"/>
      <c r="BZ7" s="8"/>
      <c r="CA7" s="329" t="s">
        <v>2722</v>
      </c>
      <c r="CB7" s="342" t="s">
        <v>2722</v>
      </c>
      <c r="CC7" s="329" t="s">
        <v>2709</v>
      </c>
      <c r="CD7" s="329" t="s">
        <v>2723</v>
      </c>
      <c r="CE7" s="329" t="s">
        <v>2693</v>
      </c>
      <c r="CF7" s="329" t="s">
        <v>1783</v>
      </c>
      <c r="CG7" s="333">
        <v>45160</v>
      </c>
    </row>
    <row r="8" spans="1:85" ht="15.6">
      <c r="AA8" s="307" t="s">
        <v>2724</v>
      </c>
      <c r="AB8" s="308">
        <v>45150</v>
      </c>
      <c r="AC8" s="129" t="s">
        <v>2691</v>
      </c>
      <c r="AD8" s="129" t="s">
        <v>2725</v>
      </c>
      <c r="AE8" s="309" t="s">
        <v>488</v>
      </c>
      <c r="AF8" s="309" t="s">
        <v>490</v>
      </c>
      <c r="AG8" s="847">
        <v>4</v>
      </c>
      <c r="AH8" s="309" t="s">
        <v>488</v>
      </c>
      <c r="AI8" s="309" t="s">
        <v>490</v>
      </c>
      <c r="AJ8" s="847">
        <v>4</v>
      </c>
      <c r="AK8" s="847" t="s">
        <v>2693</v>
      </c>
      <c r="AL8" s="309" t="s">
        <v>2694</v>
      </c>
      <c r="AM8" s="310" t="s">
        <v>2726</v>
      </c>
      <c r="BA8" s="170">
        <v>26</v>
      </c>
      <c r="BB8" s="170" t="s">
        <v>2696</v>
      </c>
      <c r="BC8" s="8" t="s">
        <v>2727</v>
      </c>
      <c r="BD8" s="170" t="str">
        <f>Table12612717[[#This Row],[Worker Code]]&amp;"-"&amp;Table12612717[[#This Row],[Activity Description]]</f>
        <v>26-Mini Excavator</v>
      </c>
      <c r="BE8" s="338" t="s">
        <v>1783</v>
      </c>
      <c r="BF8" s="8" t="s">
        <v>2698</v>
      </c>
      <c r="BG8" s="8"/>
      <c r="BH8" s="8"/>
      <c r="BI8" s="8"/>
      <c r="BJ8" s="8"/>
      <c r="BK8" s="8"/>
      <c r="BL8" s="8"/>
      <c r="BM8" s="8"/>
      <c r="BN8" s="8"/>
      <c r="BO8" s="8"/>
      <c r="BP8" s="8"/>
      <c r="BQ8" s="8"/>
      <c r="BR8" s="8"/>
      <c r="BS8" s="8"/>
      <c r="BT8" s="8"/>
      <c r="BU8" s="8"/>
      <c r="BV8" s="8"/>
      <c r="BW8" s="8"/>
      <c r="BX8" s="8"/>
      <c r="BY8" s="8"/>
      <c r="BZ8" s="8"/>
      <c r="CA8" s="329" t="s">
        <v>2728</v>
      </c>
      <c r="CB8" s="342" t="s">
        <v>2728</v>
      </c>
      <c r="CC8" s="329" t="s">
        <v>2701</v>
      </c>
      <c r="CD8" s="329" t="s">
        <v>2729</v>
      </c>
      <c r="CE8" s="329" t="s">
        <v>2693</v>
      </c>
      <c r="CF8" s="329" t="s">
        <v>1783</v>
      </c>
      <c r="CG8" s="333">
        <v>45160</v>
      </c>
    </row>
    <row r="9" spans="1:85" ht="15.6">
      <c r="AA9" s="307" t="s">
        <v>2730</v>
      </c>
      <c r="AB9" s="308">
        <v>45149</v>
      </c>
      <c r="AC9" s="129" t="s">
        <v>2691</v>
      </c>
      <c r="AD9" s="129" t="s">
        <v>2731</v>
      </c>
      <c r="AE9" s="309" t="s">
        <v>488</v>
      </c>
      <c r="AF9" s="908" t="s">
        <v>490</v>
      </c>
      <c r="AG9" s="847">
        <v>4</v>
      </c>
      <c r="AH9" s="309" t="s">
        <v>488</v>
      </c>
      <c r="AI9" s="309" t="s">
        <v>490</v>
      </c>
      <c r="AJ9" s="847">
        <v>4</v>
      </c>
      <c r="AK9" s="847" t="s">
        <v>2693</v>
      </c>
      <c r="AL9" s="309" t="s">
        <v>2694</v>
      </c>
      <c r="AM9" s="310" t="s">
        <v>2732</v>
      </c>
      <c r="BA9" s="170">
        <v>26</v>
      </c>
      <c r="BB9" s="170" t="s">
        <v>2696</v>
      </c>
      <c r="BC9" s="338" t="s">
        <v>1221</v>
      </c>
      <c r="BD9" s="339" t="s">
        <v>2733</v>
      </c>
      <c r="BE9" s="338" t="s">
        <v>1783</v>
      </c>
      <c r="BF9" s="8" t="s">
        <v>2698</v>
      </c>
      <c r="BG9" s="8"/>
      <c r="BH9" s="8"/>
      <c r="BI9" s="8"/>
      <c r="BJ9" s="8"/>
      <c r="BK9" s="8"/>
      <c r="BL9" s="8"/>
      <c r="BM9" s="8"/>
      <c r="BN9" s="8"/>
      <c r="BO9" s="8"/>
      <c r="BP9" s="8"/>
      <c r="BQ9" s="8"/>
      <c r="BR9" s="8"/>
      <c r="BS9" s="8"/>
      <c r="BT9" s="8"/>
      <c r="BU9" s="8"/>
      <c r="BV9" s="8"/>
      <c r="BW9" s="8"/>
      <c r="BX9" s="8"/>
      <c r="BY9" s="8"/>
      <c r="BZ9" s="8"/>
      <c r="CA9" s="329" t="s">
        <v>2734</v>
      </c>
      <c r="CB9" s="342" t="s">
        <v>2735</v>
      </c>
      <c r="CC9" s="329" t="s">
        <v>2736</v>
      </c>
      <c r="CD9" s="329" t="s">
        <v>2737</v>
      </c>
      <c r="CE9" s="329" t="s">
        <v>2693</v>
      </c>
      <c r="CF9" s="329" t="s">
        <v>1783</v>
      </c>
      <c r="CG9" s="333">
        <v>45160</v>
      </c>
    </row>
    <row r="10" spans="1:85" ht="15.6">
      <c r="AA10" s="307" t="s">
        <v>2738</v>
      </c>
      <c r="AB10" s="308">
        <v>45148</v>
      </c>
      <c r="AC10" s="129" t="s">
        <v>2691</v>
      </c>
      <c r="AD10" s="129" t="s">
        <v>2739</v>
      </c>
      <c r="AE10" s="309" t="s">
        <v>488</v>
      </c>
      <c r="AF10" s="309" t="s">
        <v>490</v>
      </c>
      <c r="AG10" s="847">
        <v>4</v>
      </c>
      <c r="AH10" s="309" t="s">
        <v>488</v>
      </c>
      <c r="AI10" s="309" t="s">
        <v>490</v>
      </c>
      <c r="AJ10" s="847">
        <v>4</v>
      </c>
      <c r="AK10" s="847" t="s">
        <v>2693</v>
      </c>
      <c r="AL10" s="309" t="s">
        <v>2694</v>
      </c>
      <c r="AM10" s="310" t="s">
        <v>2740</v>
      </c>
      <c r="BA10">
        <v>28</v>
      </c>
      <c r="BB10" t="s">
        <v>2741</v>
      </c>
      <c r="BC10" s="8" t="s">
        <v>2697</v>
      </c>
      <c r="BD10" s="170" t="str">
        <f>Table12612717[[#This Row],[Worker Code]]&amp;"-"&amp;Table12612717[[#This Row],[Activity Description]]</f>
        <v>28-Backhoe</v>
      </c>
      <c r="BE10" s="338" t="s">
        <v>1783</v>
      </c>
      <c r="BF10" s="8" t="s">
        <v>2698</v>
      </c>
      <c r="BG10" s="8"/>
      <c r="BH10" s="8"/>
      <c r="BI10" s="8"/>
      <c r="BJ10" s="8"/>
      <c r="BK10" s="8"/>
      <c r="BL10" s="8"/>
      <c r="BM10" s="8"/>
      <c r="BN10" s="8"/>
      <c r="BO10" s="8"/>
      <c r="BP10" s="8"/>
      <c r="BQ10" s="8"/>
      <c r="BR10" s="8"/>
      <c r="BS10" s="8"/>
      <c r="BT10" s="8"/>
      <c r="BU10" s="8"/>
      <c r="BV10" s="8"/>
      <c r="BW10" s="8"/>
      <c r="BX10" s="8"/>
      <c r="BY10" s="8"/>
      <c r="BZ10" s="8"/>
      <c r="CA10" s="329" t="s">
        <v>2742</v>
      </c>
      <c r="CB10" s="342" t="s">
        <v>2743</v>
      </c>
      <c r="CC10" s="329" t="s">
        <v>2736</v>
      </c>
      <c r="CD10" s="329" t="s">
        <v>2744</v>
      </c>
      <c r="CE10" s="329" t="s">
        <v>2693</v>
      </c>
      <c r="CF10" s="329" t="s">
        <v>1783</v>
      </c>
      <c r="CG10" s="333">
        <v>45160</v>
      </c>
    </row>
    <row r="11" spans="1:85" ht="15.6">
      <c r="AA11" s="307" t="s">
        <v>2745</v>
      </c>
      <c r="AB11" s="308">
        <v>45147</v>
      </c>
      <c r="AC11" s="129" t="s">
        <v>2691</v>
      </c>
      <c r="AD11" s="129" t="s">
        <v>2746</v>
      </c>
      <c r="AE11" s="309" t="s">
        <v>488</v>
      </c>
      <c r="AF11" s="309" t="s">
        <v>490</v>
      </c>
      <c r="AG11" s="847">
        <v>4</v>
      </c>
      <c r="AH11" s="309" t="s">
        <v>488</v>
      </c>
      <c r="AI11" s="309" t="s">
        <v>490</v>
      </c>
      <c r="AJ11" s="847">
        <v>4</v>
      </c>
      <c r="AK11" s="847" t="s">
        <v>2693</v>
      </c>
      <c r="AL11" s="309" t="s">
        <v>2694</v>
      </c>
      <c r="AM11" s="310" t="s">
        <v>2747</v>
      </c>
      <c r="BA11">
        <v>28</v>
      </c>
      <c r="BB11" t="s">
        <v>2741</v>
      </c>
      <c r="BC11" s="8" t="s">
        <v>2706</v>
      </c>
      <c r="BD11" s="170" t="str">
        <f>Table12612717[[#This Row],[Worker Code]]&amp;"-"&amp;Table12612717[[#This Row],[Activity Description]]</f>
        <v>28-Compactor</v>
      </c>
      <c r="BE11" s="338" t="s">
        <v>1783</v>
      </c>
      <c r="BF11" s="8" t="s">
        <v>2698</v>
      </c>
      <c r="BG11" s="8"/>
      <c r="BH11" s="8"/>
      <c r="BI11" s="8"/>
      <c r="BJ11" s="8"/>
      <c r="BK11" s="8"/>
      <c r="BL11" s="8"/>
      <c r="BM11" s="8"/>
      <c r="BN11" s="8"/>
      <c r="BO11" s="8"/>
      <c r="BP11" s="8"/>
      <c r="BQ11" s="8"/>
      <c r="BR11" s="8"/>
      <c r="BS11" s="8"/>
      <c r="BT11" s="8"/>
      <c r="BU11" s="8"/>
      <c r="BV11" s="8"/>
      <c r="BW11" s="8"/>
      <c r="BX11" s="8"/>
      <c r="BY11" s="8"/>
      <c r="BZ11" s="8"/>
      <c r="CA11" s="329" t="s">
        <v>2449</v>
      </c>
      <c r="CB11" s="342" t="s">
        <v>2748</v>
      </c>
      <c r="CC11" s="329" t="s">
        <v>2749</v>
      </c>
      <c r="CD11" s="329" t="s">
        <v>2750</v>
      </c>
      <c r="CE11" s="329" t="s">
        <v>2693</v>
      </c>
      <c r="CF11" s="329" t="s">
        <v>1783</v>
      </c>
      <c r="CG11" s="333">
        <v>45160</v>
      </c>
    </row>
    <row r="12" spans="1:85" ht="15.6">
      <c r="AA12" s="307" t="s">
        <v>2751</v>
      </c>
      <c r="AB12" s="311">
        <v>45146</v>
      </c>
      <c r="AC12" s="129" t="s">
        <v>2691</v>
      </c>
      <c r="AD12" s="312" t="s">
        <v>2752</v>
      </c>
      <c r="AE12" s="309" t="s">
        <v>488</v>
      </c>
      <c r="AF12" s="309" t="s">
        <v>490</v>
      </c>
      <c r="AG12" s="313">
        <v>4</v>
      </c>
      <c r="AH12" s="309" t="s">
        <v>488</v>
      </c>
      <c r="AI12" s="309" t="s">
        <v>490</v>
      </c>
      <c r="AJ12" s="847">
        <v>4</v>
      </c>
      <c r="AK12" s="847" t="s">
        <v>2693</v>
      </c>
      <c r="AL12" s="309" t="s">
        <v>2694</v>
      </c>
      <c r="AM12" s="310" t="s">
        <v>2753</v>
      </c>
      <c r="BA12">
        <v>28</v>
      </c>
      <c r="BB12" t="s">
        <v>2741</v>
      </c>
      <c r="BC12" s="8" t="s">
        <v>2714</v>
      </c>
      <c r="BD12" s="170" t="str">
        <f>Table12612717[[#This Row],[Worker Code]]&amp;"-"&amp;Table12612717[[#This Row],[Activity Description]]</f>
        <v>28-Dump Truck</v>
      </c>
      <c r="BE12" s="338" t="s">
        <v>1783</v>
      </c>
      <c r="BF12" s="8" t="s">
        <v>2698</v>
      </c>
      <c r="BG12" s="8"/>
      <c r="BH12" s="8"/>
      <c r="BI12" s="8"/>
      <c r="BJ12" s="8"/>
      <c r="BK12" s="8"/>
      <c r="BL12" s="8"/>
      <c r="BM12" s="8"/>
      <c r="BN12" s="8"/>
      <c r="BO12" s="8"/>
      <c r="BP12" s="8"/>
      <c r="BQ12" s="8"/>
      <c r="BR12" s="8"/>
      <c r="BS12" s="8"/>
      <c r="BT12" s="8"/>
      <c r="BU12" s="8"/>
      <c r="BV12" s="8"/>
      <c r="BW12" s="8"/>
      <c r="BX12" s="8"/>
      <c r="BY12" s="8"/>
      <c r="BZ12" s="8"/>
      <c r="CA12" s="329" t="s">
        <v>2754</v>
      </c>
      <c r="CB12" s="342" t="s">
        <v>2755</v>
      </c>
      <c r="CC12" s="329" t="s">
        <v>2736</v>
      </c>
      <c r="CD12" s="329" t="s">
        <v>2756</v>
      </c>
      <c r="CE12" s="329" t="s">
        <v>2693</v>
      </c>
      <c r="CF12" s="329" t="s">
        <v>1783</v>
      </c>
      <c r="CG12" s="333">
        <v>45160</v>
      </c>
    </row>
    <row r="13" spans="1:85" ht="15.6">
      <c r="AA13" s="307" t="s">
        <v>2757</v>
      </c>
      <c r="AB13" s="308">
        <v>45145</v>
      </c>
      <c r="AC13" s="129" t="s">
        <v>2691</v>
      </c>
      <c r="AD13" s="312" t="s">
        <v>2758</v>
      </c>
      <c r="AE13" s="309" t="s">
        <v>488</v>
      </c>
      <c r="AF13" s="309" t="s">
        <v>490</v>
      </c>
      <c r="AG13" s="313">
        <v>4</v>
      </c>
      <c r="AH13" s="309" t="s">
        <v>488</v>
      </c>
      <c r="AI13" s="309" t="s">
        <v>490</v>
      </c>
      <c r="AJ13" s="847">
        <v>4</v>
      </c>
      <c r="AK13" s="847" t="s">
        <v>2693</v>
      </c>
      <c r="AL13" s="309" t="s">
        <v>2694</v>
      </c>
      <c r="AM13" s="310" t="s">
        <v>2759</v>
      </c>
      <c r="BA13">
        <v>28</v>
      </c>
      <c r="BB13" t="s">
        <v>2741</v>
      </c>
      <c r="BC13" s="8" t="s">
        <v>2721</v>
      </c>
      <c r="BD13" s="170" t="str">
        <f>Table12612717[[#This Row],[Worker Code]]&amp;"-"&amp;Table12612717[[#This Row],[Activity Description]]</f>
        <v xml:space="preserve">28-Excavator </v>
      </c>
      <c r="BE13" s="338" t="s">
        <v>1783</v>
      </c>
      <c r="BF13" s="8" t="s">
        <v>2698</v>
      </c>
      <c r="BG13" s="8"/>
      <c r="BH13" s="8"/>
      <c r="BI13" s="8"/>
      <c r="BJ13" s="8"/>
      <c r="BK13" s="8"/>
      <c r="BL13" s="8"/>
      <c r="BM13" s="8"/>
      <c r="BN13" s="8"/>
      <c r="BO13" s="8"/>
      <c r="BP13" s="8"/>
      <c r="BQ13" s="8"/>
      <c r="BR13" s="8"/>
      <c r="BS13" s="8"/>
      <c r="BT13" s="8"/>
      <c r="BU13" s="8"/>
      <c r="BV13" s="8"/>
      <c r="BW13" s="8"/>
      <c r="BX13" s="8"/>
      <c r="BY13" s="8"/>
      <c r="BZ13" s="8"/>
      <c r="CA13" s="329" t="s">
        <v>2760</v>
      </c>
      <c r="CB13" s="342" t="s">
        <v>2761</v>
      </c>
      <c r="CC13" s="329" t="s">
        <v>2709</v>
      </c>
      <c r="CD13" s="329" t="s">
        <v>2762</v>
      </c>
      <c r="CE13" s="329" t="s">
        <v>2693</v>
      </c>
      <c r="CF13" s="329" t="s">
        <v>1783</v>
      </c>
      <c r="CG13" s="333">
        <v>45160</v>
      </c>
    </row>
    <row r="14" spans="1:85" ht="15.6">
      <c r="AA14" s="307" t="s">
        <v>2763</v>
      </c>
      <c r="AB14" s="308">
        <v>45143</v>
      </c>
      <c r="AC14" s="129" t="s">
        <v>2691</v>
      </c>
      <c r="AD14" s="312" t="s">
        <v>2764</v>
      </c>
      <c r="AE14" s="309" t="s">
        <v>488</v>
      </c>
      <c r="AF14" s="309" t="s">
        <v>490</v>
      </c>
      <c r="AG14" s="313">
        <v>4</v>
      </c>
      <c r="AH14" s="309" t="s">
        <v>488</v>
      </c>
      <c r="AI14" s="309" t="s">
        <v>490</v>
      </c>
      <c r="AJ14" s="847">
        <v>4</v>
      </c>
      <c r="AK14" s="847" t="s">
        <v>2693</v>
      </c>
      <c r="AL14" s="309" t="s">
        <v>2694</v>
      </c>
      <c r="AM14" s="310" t="s">
        <v>2765</v>
      </c>
      <c r="BA14">
        <v>28</v>
      </c>
      <c r="BB14" t="s">
        <v>2741</v>
      </c>
      <c r="BC14" s="8" t="s">
        <v>2727</v>
      </c>
      <c r="BD14" s="170" t="str">
        <f>Table12612717[[#This Row],[Worker Code]]&amp;"-"&amp;Table12612717[[#This Row],[Activity Description]]</f>
        <v>28-Mini Excavator</v>
      </c>
      <c r="BE14" s="338" t="s">
        <v>1783</v>
      </c>
      <c r="BF14" s="8" t="s">
        <v>2698</v>
      </c>
      <c r="BG14" s="8"/>
      <c r="BH14" s="8"/>
      <c r="BI14" s="8"/>
      <c r="BJ14" s="8"/>
      <c r="BK14" s="8"/>
      <c r="BL14" s="8"/>
      <c r="BM14" s="8"/>
      <c r="BN14" s="8"/>
      <c r="BO14" s="8"/>
      <c r="BP14" s="8"/>
      <c r="BQ14" s="8"/>
      <c r="BR14" s="8"/>
      <c r="BS14" s="8"/>
      <c r="BT14" s="8"/>
      <c r="BU14" s="8"/>
      <c r="BV14" s="8"/>
      <c r="BW14" s="8"/>
      <c r="BX14" s="8"/>
      <c r="BY14" s="8"/>
      <c r="BZ14" s="8"/>
      <c r="CA14" s="329" t="s">
        <v>2766</v>
      </c>
      <c r="CB14" s="342" t="s">
        <v>2767</v>
      </c>
      <c r="CC14" s="329" t="s">
        <v>2768</v>
      </c>
      <c r="CD14" s="329" t="s">
        <v>2769</v>
      </c>
      <c r="CE14" s="329" t="s">
        <v>2693</v>
      </c>
      <c r="CF14" s="329" t="s">
        <v>1783</v>
      </c>
      <c r="CG14" s="333">
        <v>45160</v>
      </c>
    </row>
    <row r="15" spans="1:85" ht="15.6">
      <c r="AA15" s="307" t="s">
        <v>2770</v>
      </c>
      <c r="AB15" s="308">
        <v>45142</v>
      </c>
      <c r="AC15" s="129" t="s">
        <v>2691</v>
      </c>
      <c r="AD15" s="312" t="s">
        <v>2771</v>
      </c>
      <c r="AE15" s="309" t="s">
        <v>488</v>
      </c>
      <c r="AF15" s="309" t="s">
        <v>490</v>
      </c>
      <c r="AG15" s="313">
        <v>4</v>
      </c>
      <c r="AH15" s="309" t="s">
        <v>488</v>
      </c>
      <c r="AI15" s="309" t="s">
        <v>490</v>
      </c>
      <c r="AJ15" s="847">
        <v>4</v>
      </c>
      <c r="AK15" s="847" t="s">
        <v>2693</v>
      </c>
      <c r="AL15" s="309" t="s">
        <v>2694</v>
      </c>
      <c r="AM15" s="310" t="s">
        <v>2772</v>
      </c>
      <c r="BA15">
        <v>29</v>
      </c>
      <c r="BB15" t="s">
        <v>2773</v>
      </c>
      <c r="BC15" s="8" t="s">
        <v>2449</v>
      </c>
      <c r="BD15" s="170" t="str">
        <f>Table12612717[[#This Row],[Worker Code]]&amp;"-"&amp;Table12612717[[#This Row],[Activity Description]]</f>
        <v>29-Concreting</v>
      </c>
      <c r="BE15" s="338" t="s">
        <v>1783</v>
      </c>
      <c r="BF15" s="8" t="s">
        <v>2698</v>
      </c>
      <c r="BG15" s="8"/>
      <c r="BH15" s="8"/>
      <c r="BI15" s="8"/>
      <c r="BJ15" s="8"/>
      <c r="BK15" s="8"/>
      <c r="BL15" s="8"/>
      <c r="BM15" s="8"/>
      <c r="BN15" s="8"/>
      <c r="BO15" s="8"/>
      <c r="BP15" s="8"/>
      <c r="BQ15" s="8"/>
      <c r="BR15" s="8"/>
      <c r="BS15" s="8"/>
      <c r="BT15" s="8"/>
      <c r="BU15" s="8"/>
      <c r="BV15" s="8"/>
      <c r="BW15" s="8"/>
      <c r="BX15" s="8"/>
      <c r="BY15" s="8"/>
      <c r="BZ15" s="8"/>
      <c r="CA15" s="329" t="s">
        <v>2774</v>
      </c>
      <c r="CB15" s="342" t="s">
        <v>2775</v>
      </c>
      <c r="CC15" s="329" t="s">
        <v>2776</v>
      </c>
      <c r="CD15" s="329" t="s">
        <v>2777</v>
      </c>
      <c r="CE15" s="329" t="s">
        <v>2693</v>
      </c>
      <c r="CF15" s="329" t="s">
        <v>1783</v>
      </c>
      <c r="CG15" s="333">
        <v>45160</v>
      </c>
    </row>
    <row r="16" spans="1:85" ht="15.6">
      <c r="AA16" s="307" t="s">
        <v>2778</v>
      </c>
      <c r="AB16" s="308">
        <v>45141</v>
      </c>
      <c r="AC16" s="129" t="s">
        <v>2691</v>
      </c>
      <c r="AD16" s="312" t="s">
        <v>2779</v>
      </c>
      <c r="AE16" s="309" t="s">
        <v>488</v>
      </c>
      <c r="AF16" s="309" t="s">
        <v>490</v>
      </c>
      <c r="AG16" s="313">
        <v>4</v>
      </c>
      <c r="AH16" s="309" t="s">
        <v>488</v>
      </c>
      <c r="AI16" s="309" t="s">
        <v>490</v>
      </c>
      <c r="AJ16" s="847">
        <v>4</v>
      </c>
      <c r="AK16" s="847" t="s">
        <v>2693</v>
      </c>
      <c r="AL16" s="309" t="s">
        <v>2694</v>
      </c>
      <c r="AM16" s="310" t="s">
        <v>2780</v>
      </c>
      <c r="BA16">
        <v>29</v>
      </c>
      <c r="BB16" t="s">
        <v>2773</v>
      </c>
      <c r="BC16" s="7" t="s">
        <v>2781</v>
      </c>
      <c r="BD16" t="s">
        <v>2782</v>
      </c>
      <c r="BE16" t="s">
        <v>2783</v>
      </c>
      <c r="BF16" s="340">
        <v>44756.442337962966</v>
      </c>
      <c r="BG16" s="340"/>
      <c r="BH16" s="340"/>
      <c r="BI16" s="340"/>
      <c r="BJ16" s="340"/>
      <c r="BK16" s="340"/>
      <c r="BL16" s="340"/>
      <c r="BM16" s="340"/>
      <c r="BN16" s="340"/>
      <c r="BO16" s="340"/>
      <c r="BP16" s="340"/>
      <c r="BQ16" s="340"/>
      <c r="BR16" s="340"/>
      <c r="BS16" s="340"/>
      <c r="BT16" s="340"/>
      <c r="BU16" s="340"/>
      <c r="BV16" s="340"/>
      <c r="BW16" s="340"/>
      <c r="BX16" s="340"/>
      <c r="BY16" s="8"/>
      <c r="BZ16" s="340"/>
      <c r="CA16" s="329" t="s">
        <v>2784</v>
      </c>
      <c r="CB16" s="342" t="s">
        <v>2785</v>
      </c>
      <c r="CC16" s="329" t="s">
        <v>2776</v>
      </c>
      <c r="CD16" s="329" t="s">
        <v>2786</v>
      </c>
      <c r="CE16" s="329" t="s">
        <v>2693</v>
      </c>
      <c r="CF16" s="329" t="s">
        <v>1783</v>
      </c>
      <c r="CG16" s="333">
        <v>45160</v>
      </c>
    </row>
    <row r="17" spans="27:85" ht="15.6">
      <c r="AA17" s="307" t="s">
        <v>2787</v>
      </c>
      <c r="AB17" s="308">
        <v>45140</v>
      </c>
      <c r="AC17" s="129" t="s">
        <v>2691</v>
      </c>
      <c r="AD17" s="312" t="s">
        <v>2788</v>
      </c>
      <c r="AE17" s="309" t="s">
        <v>488</v>
      </c>
      <c r="AF17" s="309" t="s">
        <v>490</v>
      </c>
      <c r="AG17" s="313">
        <v>4</v>
      </c>
      <c r="AH17" s="309" t="s">
        <v>488</v>
      </c>
      <c r="AI17" s="309" t="s">
        <v>490</v>
      </c>
      <c r="AJ17" s="847">
        <v>4</v>
      </c>
      <c r="AK17" s="847" t="s">
        <v>2693</v>
      </c>
      <c r="AL17" s="309" t="s">
        <v>2694</v>
      </c>
      <c r="AM17" s="310" t="s">
        <v>2789</v>
      </c>
      <c r="BA17">
        <v>29</v>
      </c>
      <c r="BB17" t="s">
        <v>2773</v>
      </c>
      <c r="BC17" s="8" t="s">
        <v>2790</v>
      </c>
      <c r="BD17" s="170" t="str">
        <f>Table12612717[[#This Row],[Worker Code]]&amp;"-"&amp;Table12612717[[#This Row],[Activity Description]]</f>
        <v>29-House Cleaning</v>
      </c>
      <c r="BE17" s="338" t="s">
        <v>1783</v>
      </c>
      <c r="BF17" s="8" t="s">
        <v>2698</v>
      </c>
      <c r="BG17" s="8"/>
      <c r="BH17" s="8"/>
      <c r="BI17" s="8"/>
      <c r="BJ17" s="8"/>
      <c r="BK17" s="8"/>
      <c r="BL17" s="8"/>
      <c r="BM17" s="8"/>
      <c r="BN17" s="8"/>
      <c r="BO17" s="8"/>
      <c r="BP17" s="8"/>
      <c r="BQ17" s="8"/>
      <c r="BR17" s="8"/>
      <c r="BS17" s="8"/>
      <c r="BT17" s="8"/>
      <c r="BU17" s="8"/>
      <c r="BV17" s="8"/>
      <c r="BW17" s="8"/>
      <c r="BX17" s="8"/>
      <c r="BY17" s="8"/>
      <c r="BZ17" s="8"/>
      <c r="CA17" s="329" t="s">
        <v>2791</v>
      </c>
      <c r="CB17" s="342" t="s">
        <v>2792</v>
      </c>
      <c r="CC17" s="329" t="s">
        <v>2768</v>
      </c>
      <c r="CD17" s="329" t="s">
        <v>2793</v>
      </c>
      <c r="CE17" s="329" t="s">
        <v>2693</v>
      </c>
      <c r="CF17" s="329" t="s">
        <v>1783</v>
      </c>
      <c r="CG17" s="333">
        <v>45160</v>
      </c>
    </row>
    <row r="18" spans="27:85" ht="15.6">
      <c r="AA18" s="307" t="s">
        <v>2794</v>
      </c>
      <c r="AB18" s="308">
        <v>45139</v>
      </c>
      <c r="AC18" s="129" t="s">
        <v>2691</v>
      </c>
      <c r="AD18" s="312" t="s">
        <v>2795</v>
      </c>
      <c r="AE18" s="309" t="s">
        <v>488</v>
      </c>
      <c r="AF18" s="309" t="s">
        <v>490</v>
      </c>
      <c r="AG18" s="313">
        <v>4</v>
      </c>
      <c r="AH18" s="309" t="s">
        <v>488</v>
      </c>
      <c r="AI18" s="309" t="s">
        <v>490</v>
      </c>
      <c r="AJ18" s="847">
        <v>4</v>
      </c>
      <c r="AK18" s="847" t="s">
        <v>2693</v>
      </c>
      <c r="AL18" s="309" t="s">
        <v>2694</v>
      </c>
      <c r="AM18" s="310" t="s">
        <v>2796</v>
      </c>
      <c r="BA18" s="170">
        <v>29</v>
      </c>
      <c r="BB18" s="170" t="s">
        <v>2773</v>
      </c>
      <c r="BC18" s="8" t="s">
        <v>2797</v>
      </c>
      <c r="BD18" s="170" t="s">
        <v>2798</v>
      </c>
      <c r="BE18" s="338" t="s">
        <v>2783</v>
      </c>
      <c r="BF18" s="341">
        <v>44645.695509259262</v>
      </c>
      <c r="BG18" s="341"/>
      <c r="BH18" s="341"/>
      <c r="BI18" s="341"/>
      <c r="BJ18" s="341"/>
      <c r="BK18" s="341"/>
      <c r="BL18" s="341"/>
      <c r="BM18" s="341"/>
      <c r="BN18" s="341"/>
      <c r="BO18" s="341"/>
      <c r="BP18" s="341"/>
      <c r="BQ18" s="341"/>
      <c r="BR18" s="341"/>
      <c r="BS18" s="341"/>
      <c r="BT18" s="341"/>
      <c r="BU18" s="341"/>
      <c r="BV18" s="341"/>
      <c r="BW18" s="341"/>
      <c r="BX18" s="341"/>
      <c r="BY18" s="8"/>
      <c r="BZ18" s="341"/>
      <c r="CA18" s="329" t="s">
        <v>2799</v>
      </c>
      <c r="CB18" s="342" t="s">
        <v>2800</v>
      </c>
      <c r="CC18" s="329" t="s">
        <v>2749</v>
      </c>
      <c r="CD18" s="329" t="s">
        <v>2801</v>
      </c>
      <c r="CE18" s="329" t="s">
        <v>2693</v>
      </c>
      <c r="CF18" s="329" t="s">
        <v>1783</v>
      </c>
      <c r="CG18" s="333">
        <v>45160</v>
      </c>
    </row>
    <row r="19" spans="27:85" ht="15.6">
      <c r="AA19" s="307" t="s">
        <v>2802</v>
      </c>
      <c r="AB19" s="308">
        <v>45138</v>
      </c>
      <c r="AC19" s="129" t="s">
        <v>2691</v>
      </c>
      <c r="AD19" s="312" t="s">
        <v>2803</v>
      </c>
      <c r="AE19" s="309" t="s">
        <v>488</v>
      </c>
      <c r="AF19" s="309" t="s">
        <v>490</v>
      </c>
      <c r="AG19" s="313">
        <v>4</v>
      </c>
      <c r="AH19" s="309" t="s">
        <v>488</v>
      </c>
      <c r="AI19" s="309" t="s">
        <v>490</v>
      </c>
      <c r="AJ19" s="847">
        <v>4</v>
      </c>
      <c r="AK19" s="847" t="s">
        <v>2693</v>
      </c>
      <c r="AL19" s="309" t="s">
        <v>2694</v>
      </c>
      <c r="AM19" s="310" t="s">
        <v>2804</v>
      </c>
      <c r="BA19" s="170">
        <v>29</v>
      </c>
      <c r="BB19" s="170" t="s">
        <v>2773</v>
      </c>
      <c r="BC19" s="8" t="s">
        <v>751</v>
      </c>
      <c r="BD19" s="170" t="str">
        <f>Table12612717[[#This Row],[Worker Code]]&amp;"-"&amp;Table12612717[[#This Row],[Activity Description]]</f>
        <v>29-Site Security</v>
      </c>
      <c r="BE19" s="338" t="s">
        <v>1783</v>
      </c>
      <c r="BF19" s="8" t="s">
        <v>2698</v>
      </c>
      <c r="BG19" s="8"/>
      <c r="BH19" s="8"/>
      <c r="BI19" s="8"/>
      <c r="BJ19" s="8"/>
      <c r="BK19" s="8"/>
      <c r="BL19" s="8"/>
      <c r="BM19" s="8"/>
      <c r="BN19" s="8"/>
      <c r="BO19" s="8"/>
      <c r="BP19" s="8"/>
      <c r="BQ19" s="8"/>
      <c r="BR19" s="8"/>
      <c r="BS19" s="8"/>
      <c r="BT19" s="8"/>
      <c r="BU19" s="8"/>
      <c r="BV19" s="8"/>
      <c r="BW19" s="8"/>
      <c r="BX19" s="8"/>
      <c r="BY19" s="8"/>
      <c r="BZ19" s="8"/>
      <c r="CA19" s="329" t="s">
        <v>2805</v>
      </c>
      <c r="CB19" s="342" t="s">
        <v>2806</v>
      </c>
      <c r="CC19" s="329" t="s">
        <v>2807</v>
      </c>
      <c r="CD19" s="329" t="s">
        <v>2808</v>
      </c>
      <c r="CE19" s="329" t="s">
        <v>2693</v>
      </c>
      <c r="CF19" s="329" t="s">
        <v>1783</v>
      </c>
      <c r="CG19" s="333">
        <v>45160</v>
      </c>
    </row>
    <row r="20" spans="27:85" ht="15.6">
      <c r="AA20" s="307" t="s">
        <v>2809</v>
      </c>
      <c r="AB20" s="308">
        <v>45136</v>
      </c>
      <c r="AC20" s="129" t="s">
        <v>2691</v>
      </c>
      <c r="AD20" s="312" t="s">
        <v>2810</v>
      </c>
      <c r="AE20" s="309" t="s">
        <v>488</v>
      </c>
      <c r="AF20" s="309" t="s">
        <v>490</v>
      </c>
      <c r="AG20" s="313">
        <v>4</v>
      </c>
      <c r="AH20" s="309" t="s">
        <v>488</v>
      </c>
      <c r="AI20" s="309" t="s">
        <v>490</v>
      </c>
      <c r="AJ20" s="847">
        <v>4</v>
      </c>
      <c r="AK20" s="847" t="s">
        <v>2693</v>
      </c>
      <c r="AL20" s="309" t="s">
        <v>2694</v>
      </c>
      <c r="AM20" s="310" t="s">
        <v>2811</v>
      </c>
      <c r="BA20" s="170">
        <v>30</v>
      </c>
      <c r="BB20" s="170" t="s">
        <v>2812</v>
      </c>
      <c r="BC20" s="8" t="s">
        <v>2715</v>
      </c>
      <c r="BD20" s="170" t="s">
        <v>2813</v>
      </c>
      <c r="BE20" s="338" t="s">
        <v>2783</v>
      </c>
      <c r="BF20" s="341">
        <v>44679.358622685184</v>
      </c>
      <c r="BG20" s="341"/>
      <c r="BH20" s="341"/>
      <c r="BI20" s="341"/>
      <c r="BJ20" s="341"/>
      <c r="BK20" s="341"/>
      <c r="BL20" s="341"/>
      <c r="BM20" s="341"/>
      <c r="BN20" s="341"/>
      <c r="BO20" s="341"/>
      <c r="BP20" s="341"/>
      <c r="BQ20" s="341"/>
      <c r="BR20" s="341"/>
      <c r="BS20" s="341"/>
      <c r="BT20" s="341"/>
      <c r="BU20" s="341"/>
      <c r="BV20" s="341"/>
      <c r="BW20" s="341"/>
      <c r="BX20" s="341"/>
      <c r="BY20" s="8"/>
      <c r="BZ20" s="341"/>
      <c r="CA20" s="329" t="s">
        <v>2814</v>
      </c>
      <c r="CB20" s="342" t="s">
        <v>2815</v>
      </c>
      <c r="CC20" s="329" t="s">
        <v>2749</v>
      </c>
      <c r="CD20" s="329" t="s">
        <v>2816</v>
      </c>
      <c r="CE20" s="329" t="s">
        <v>2693</v>
      </c>
      <c r="CF20" s="329" t="s">
        <v>1783</v>
      </c>
      <c r="CG20" s="333">
        <v>45160</v>
      </c>
    </row>
    <row r="21" spans="27:85" ht="15.6">
      <c r="AA21" s="307" t="s">
        <v>2817</v>
      </c>
      <c r="AB21" s="308">
        <v>45135</v>
      </c>
      <c r="AC21" s="129" t="s">
        <v>2691</v>
      </c>
      <c r="AD21" s="312" t="s">
        <v>2818</v>
      </c>
      <c r="AE21" s="309" t="s">
        <v>488</v>
      </c>
      <c r="AF21" s="309" t="s">
        <v>490</v>
      </c>
      <c r="AG21" s="313">
        <v>4</v>
      </c>
      <c r="AH21" s="309" t="s">
        <v>488</v>
      </c>
      <c r="AI21" s="309" t="s">
        <v>490</v>
      </c>
      <c r="AJ21" s="847">
        <v>4</v>
      </c>
      <c r="AK21" s="847" t="s">
        <v>2693</v>
      </c>
      <c r="AL21" s="309" t="s">
        <v>2694</v>
      </c>
      <c r="AM21" s="310" t="s">
        <v>2819</v>
      </c>
      <c r="BA21" s="170">
        <v>30</v>
      </c>
      <c r="BB21" s="170" t="s">
        <v>2812</v>
      </c>
      <c r="BC21" s="8" t="s">
        <v>2790</v>
      </c>
      <c r="BD21" s="170" t="s">
        <v>2820</v>
      </c>
      <c r="BE21" s="338" t="s">
        <v>1783</v>
      </c>
      <c r="BF21" s="341" t="s">
        <v>2821</v>
      </c>
      <c r="BG21" s="341"/>
      <c r="BH21" s="341"/>
      <c r="BI21" s="341"/>
      <c r="BJ21" s="341"/>
      <c r="BK21" s="341"/>
      <c r="BL21" s="341"/>
      <c r="BM21" s="341"/>
      <c r="BN21" s="341"/>
      <c r="BO21" s="341"/>
      <c r="BP21" s="341"/>
      <c r="BQ21" s="341"/>
      <c r="BR21" s="341"/>
      <c r="BS21" s="341"/>
      <c r="BT21" s="341"/>
      <c r="BU21" s="341"/>
      <c r="BV21" s="341"/>
      <c r="BW21" s="341"/>
      <c r="BX21" s="341"/>
      <c r="BY21" s="8"/>
      <c r="BZ21" s="341"/>
      <c r="CA21" s="329" t="s">
        <v>2822</v>
      </c>
      <c r="CB21" s="342" t="s">
        <v>2823</v>
      </c>
      <c r="CC21" s="329" t="s">
        <v>2807</v>
      </c>
      <c r="CD21" s="329" t="s">
        <v>2824</v>
      </c>
      <c r="CE21" s="329" t="s">
        <v>2693</v>
      </c>
      <c r="CF21" s="329" t="s">
        <v>1783</v>
      </c>
      <c r="CG21" s="333">
        <v>45160</v>
      </c>
    </row>
    <row r="22" spans="27:85" ht="15.6">
      <c r="AA22" s="307" t="s">
        <v>2825</v>
      </c>
      <c r="AB22" s="308">
        <v>45134</v>
      </c>
      <c r="AC22" s="129" t="s">
        <v>2691</v>
      </c>
      <c r="AD22" s="312" t="s">
        <v>2826</v>
      </c>
      <c r="AE22" s="309" t="s">
        <v>488</v>
      </c>
      <c r="AF22" s="309" t="s">
        <v>490</v>
      </c>
      <c r="AG22" s="313">
        <v>4</v>
      </c>
      <c r="AH22" s="309" t="s">
        <v>488</v>
      </c>
      <c r="AI22" s="309" t="s">
        <v>490</v>
      </c>
      <c r="AJ22" s="847">
        <v>4</v>
      </c>
      <c r="AK22" s="847" t="s">
        <v>2693</v>
      </c>
      <c r="AL22" s="309" t="s">
        <v>2694</v>
      </c>
      <c r="AM22" s="310" t="s">
        <v>2827</v>
      </c>
      <c r="BA22" s="170">
        <v>30</v>
      </c>
      <c r="BB22" s="170" t="s">
        <v>2812</v>
      </c>
      <c r="BC22" s="8" t="s">
        <v>2828</v>
      </c>
      <c r="BD22" s="170" t="s">
        <v>2829</v>
      </c>
      <c r="BE22" s="338" t="s">
        <v>2783</v>
      </c>
      <c r="BF22" s="341">
        <v>44621.365543981483</v>
      </c>
      <c r="BG22" s="341"/>
      <c r="BH22" s="341"/>
      <c r="BI22" s="341"/>
      <c r="BJ22" s="341"/>
      <c r="BK22" s="341"/>
      <c r="BL22" s="341"/>
      <c r="BM22" s="341"/>
      <c r="BN22" s="341"/>
      <c r="BO22" s="341"/>
      <c r="BP22" s="341"/>
      <c r="BQ22" s="341"/>
      <c r="BR22" s="341"/>
      <c r="BS22" s="341"/>
      <c r="BT22" s="341"/>
      <c r="BU22" s="341"/>
      <c r="BV22" s="341"/>
      <c r="BW22" s="341"/>
      <c r="BX22" s="341"/>
      <c r="BY22" s="8"/>
      <c r="BZ22" s="341"/>
      <c r="CA22" s="329" t="s">
        <v>2830</v>
      </c>
      <c r="CB22" s="342" t="s">
        <v>2831</v>
      </c>
      <c r="CC22" s="329" t="s">
        <v>2709</v>
      </c>
      <c r="CD22" s="329" t="s">
        <v>2832</v>
      </c>
      <c r="CE22" s="329" t="s">
        <v>2693</v>
      </c>
      <c r="CF22" s="329" t="s">
        <v>1783</v>
      </c>
      <c r="CG22" s="333">
        <v>45160</v>
      </c>
    </row>
    <row r="23" spans="27:85" ht="15.6">
      <c r="AA23" s="314">
        <v>45132</v>
      </c>
      <c r="AB23" s="308">
        <v>45132</v>
      </c>
      <c r="AC23" s="129" t="s">
        <v>2691</v>
      </c>
      <c r="AD23" s="312" t="s">
        <v>2833</v>
      </c>
      <c r="AE23" s="312" t="s">
        <v>488</v>
      </c>
      <c r="AF23" s="309"/>
      <c r="AG23" s="313">
        <v>4</v>
      </c>
      <c r="AH23" s="312" t="s">
        <v>488</v>
      </c>
      <c r="AI23" s="309"/>
      <c r="AJ23" s="847">
        <v>4</v>
      </c>
      <c r="AK23" s="847" t="s">
        <v>2693</v>
      </c>
      <c r="AL23" s="309" t="s">
        <v>2834</v>
      </c>
      <c r="AM23" s="310"/>
      <c r="BA23">
        <v>30</v>
      </c>
      <c r="BB23" t="s">
        <v>2812</v>
      </c>
      <c r="BC23" s="7" t="s">
        <v>2835</v>
      </c>
      <c r="BD23" t="s">
        <v>2836</v>
      </c>
      <c r="BE23" t="s">
        <v>2783</v>
      </c>
      <c r="BF23" s="340">
        <v>44625.681319444448</v>
      </c>
      <c r="BG23" s="340"/>
      <c r="BH23" s="340"/>
      <c r="BI23" s="340"/>
      <c r="BJ23" s="340"/>
      <c r="BK23" s="340"/>
      <c r="BL23" s="340"/>
      <c r="BM23" s="340"/>
      <c r="BN23" s="340"/>
      <c r="BO23" s="340"/>
      <c r="BP23" s="340"/>
      <c r="BQ23" s="340"/>
      <c r="BR23" s="340"/>
      <c r="BS23" s="340"/>
      <c r="BT23" s="340"/>
      <c r="BU23" s="340"/>
      <c r="BV23" s="340"/>
      <c r="BW23" s="340"/>
      <c r="BX23" s="340"/>
      <c r="BY23" s="8"/>
      <c r="BZ23" s="340"/>
      <c r="CA23" s="329" t="s">
        <v>2790</v>
      </c>
      <c r="CB23" s="342" t="s">
        <v>2837</v>
      </c>
      <c r="CC23" s="329" t="s">
        <v>2749</v>
      </c>
      <c r="CD23" s="329" t="s">
        <v>2838</v>
      </c>
      <c r="CE23" s="329" t="s">
        <v>2693</v>
      </c>
      <c r="CF23" s="329" t="s">
        <v>1783</v>
      </c>
      <c r="CG23" s="333">
        <v>45160</v>
      </c>
    </row>
    <row r="24" spans="27:85" ht="15.6">
      <c r="AA24" s="314">
        <v>45131</v>
      </c>
      <c r="AB24" s="308">
        <v>45131</v>
      </c>
      <c r="AC24" s="129" t="s">
        <v>2691</v>
      </c>
      <c r="AD24" s="312" t="s">
        <v>2839</v>
      </c>
      <c r="AE24" s="312" t="s">
        <v>488</v>
      </c>
      <c r="AF24" s="309"/>
      <c r="AG24" s="313">
        <v>4</v>
      </c>
      <c r="AH24" s="312" t="s">
        <v>488</v>
      </c>
      <c r="AI24" s="309"/>
      <c r="AJ24" s="847">
        <v>4</v>
      </c>
      <c r="AK24" s="847" t="s">
        <v>2693</v>
      </c>
      <c r="AL24" s="309" t="s">
        <v>2834</v>
      </c>
      <c r="AM24" s="310"/>
      <c r="BA24" s="170">
        <v>31</v>
      </c>
      <c r="BB24" s="170" t="s">
        <v>2840</v>
      </c>
      <c r="BC24" s="8" t="s">
        <v>2715</v>
      </c>
      <c r="BD24" s="170" t="s">
        <v>2841</v>
      </c>
      <c r="BE24" s="338" t="s">
        <v>2783</v>
      </c>
      <c r="BF24" s="341">
        <v>44679.358287037037</v>
      </c>
      <c r="BG24" s="341"/>
      <c r="BH24" s="341"/>
      <c r="BI24" s="341"/>
      <c r="BJ24" s="341"/>
      <c r="BK24" s="341"/>
      <c r="BL24" s="341"/>
      <c r="BM24" s="341"/>
      <c r="BN24" s="341"/>
      <c r="BO24" s="341"/>
      <c r="BP24" s="341"/>
      <c r="BQ24" s="341"/>
      <c r="BR24" s="341"/>
      <c r="BS24" s="341"/>
      <c r="BT24" s="341"/>
      <c r="BU24" s="341"/>
      <c r="BV24" s="341"/>
      <c r="BW24" s="341"/>
      <c r="BX24" s="341"/>
      <c r="BY24" s="8"/>
      <c r="BZ24" s="341"/>
      <c r="CA24" s="329" t="s">
        <v>2842</v>
      </c>
      <c r="CB24" s="342" t="s">
        <v>2843</v>
      </c>
      <c r="CC24" s="329" t="s">
        <v>2701</v>
      </c>
      <c r="CD24" s="329" t="s">
        <v>2844</v>
      </c>
      <c r="CE24" s="329" t="s">
        <v>2693</v>
      </c>
      <c r="CF24" s="329" t="s">
        <v>1783</v>
      </c>
      <c r="CG24" s="333">
        <v>45160</v>
      </c>
    </row>
    <row r="25" spans="27:85" ht="15.6">
      <c r="AA25" s="314">
        <v>45129</v>
      </c>
      <c r="AB25" s="308">
        <v>45129</v>
      </c>
      <c r="AC25" s="129" t="s">
        <v>2691</v>
      </c>
      <c r="AD25" s="312" t="s">
        <v>2845</v>
      </c>
      <c r="AE25" s="312" t="s">
        <v>488</v>
      </c>
      <c r="AF25" s="309"/>
      <c r="AG25" s="313">
        <v>4</v>
      </c>
      <c r="AH25" s="312" t="s">
        <v>488</v>
      </c>
      <c r="AI25" s="309"/>
      <c r="AJ25" s="847">
        <v>4</v>
      </c>
      <c r="AK25" s="847" t="s">
        <v>2693</v>
      </c>
      <c r="AL25" s="309" t="s">
        <v>2834</v>
      </c>
      <c r="AM25" s="310"/>
      <c r="BA25">
        <v>31</v>
      </c>
      <c r="BB25" t="s">
        <v>2840</v>
      </c>
      <c r="BC25" s="8" t="s">
        <v>2449</v>
      </c>
      <c r="BD25" s="170" t="str">
        <f>Table12612717[[#This Row],[Worker Code]]&amp;"-"&amp;Table12612717[[#This Row],[Activity Description]]</f>
        <v>31-Concreting</v>
      </c>
      <c r="BE25" s="338" t="s">
        <v>1783</v>
      </c>
      <c r="BF25" s="8" t="s">
        <v>2698</v>
      </c>
      <c r="BG25" s="8"/>
      <c r="BH25" s="8"/>
      <c r="BI25" s="8"/>
      <c r="BJ25" s="8"/>
      <c r="BK25" s="8"/>
      <c r="BL25" s="8"/>
      <c r="BM25" s="8"/>
      <c r="BN25" s="8"/>
      <c r="BO25" s="8"/>
      <c r="BP25" s="8"/>
      <c r="BQ25" s="8"/>
      <c r="BR25" s="8"/>
      <c r="BS25" s="8"/>
      <c r="BT25" s="8"/>
      <c r="BU25" s="8"/>
      <c r="BV25" s="8"/>
      <c r="BW25" s="8"/>
      <c r="BX25" s="8"/>
      <c r="BY25" s="8"/>
      <c r="BZ25" s="8"/>
      <c r="CA25" s="329" t="s">
        <v>2846</v>
      </c>
      <c r="CB25" s="342" t="s">
        <v>2847</v>
      </c>
      <c r="CC25" s="329" t="s">
        <v>2768</v>
      </c>
      <c r="CD25" s="329" t="s">
        <v>2848</v>
      </c>
      <c r="CE25" s="329" t="s">
        <v>2693</v>
      </c>
      <c r="CF25" s="329" t="s">
        <v>1783</v>
      </c>
      <c r="CG25" s="333">
        <v>45160</v>
      </c>
    </row>
    <row r="26" spans="27:85" ht="15.6">
      <c r="AA26" s="314">
        <v>45128</v>
      </c>
      <c r="AB26" s="308">
        <v>45128</v>
      </c>
      <c r="AC26" s="129" t="s">
        <v>2691</v>
      </c>
      <c r="AD26" s="312" t="s">
        <v>2849</v>
      </c>
      <c r="AE26" s="312" t="s">
        <v>488</v>
      </c>
      <c r="AF26" s="309"/>
      <c r="AG26" s="313">
        <v>4</v>
      </c>
      <c r="AH26" s="312" t="s">
        <v>488</v>
      </c>
      <c r="AI26" s="309"/>
      <c r="AJ26" s="847">
        <v>4</v>
      </c>
      <c r="AK26" s="847" t="s">
        <v>2693</v>
      </c>
      <c r="AL26" s="309" t="s">
        <v>2834</v>
      </c>
      <c r="AM26" s="310"/>
      <c r="BA26" s="170">
        <v>31</v>
      </c>
      <c r="BB26" s="170" t="s">
        <v>2840</v>
      </c>
      <c r="BC26" s="8" t="s">
        <v>2828</v>
      </c>
      <c r="BD26" s="170" t="s">
        <v>2850</v>
      </c>
      <c r="BE26" s="338" t="s">
        <v>2783</v>
      </c>
      <c r="BF26" s="341">
        <v>44621.365104166667</v>
      </c>
      <c r="BG26" s="341"/>
      <c r="BH26" s="341"/>
      <c r="BI26" s="341"/>
      <c r="BJ26" s="341"/>
      <c r="BK26" s="341"/>
      <c r="BL26" s="341"/>
      <c r="BM26" s="341"/>
      <c r="BN26" s="341"/>
      <c r="BO26" s="341"/>
      <c r="BP26" s="341"/>
      <c r="BQ26" s="341"/>
      <c r="BR26" s="341"/>
      <c r="BS26" s="341"/>
      <c r="BT26" s="341"/>
      <c r="BU26" s="341"/>
      <c r="BV26" s="341"/>
      <c r="BW26" s="341"/>
      <c r="BX26" s="341"/>
      <c r="BY26" s="8"/>
      <c r="BZ26" s="341"/>
      <c r="CA26" s="329" t="s">
        <v>2851</v>
      </c>
      <c r="CB26" s="342" t="s">
        <v>2851</v>
      </c>
      <c r="CC26" s="329" t="s">
        <v>2852</v>
      </c>
      <c r="CD26" s="329" t="s">
        <v>2853</v>
      </c>
      <c r="CE26" s="329" t="s">
        <v>2693</v>
      </c>
      <c r="CF26" s="329" t="s">
        <v>1783</v>
      </c>
      <c r="CG26" s="333">
        <v>45160</v>
      </c>
    </row>
    <row r="27" spans="27:85" ht="15.6">
      <c r="AA27" s="314">
        <v>45127</v>
      </c>
      <c r="AB27" s="308">
        <v>45127</v>
      </c>
      <c r="AC27" s="129" t="s">
        <v>2691</v>
      </c>
      <c r="AD27" s="312" t="s">
        <v>2854</v>
      </c>
      <c r="AE27" s="312" t="s">
        <v>488</v>
      </c>
      <c r="AF27" s="309"/>
      <c r="AG27" s="313">
        <v>4</v>
      </c>
      <c r="AH27" s="312" t="s">
        <v>488</v>
      </c>
      <c r="AI27" s="309"/>
      <c r="AJ27" s="847">
        <v>4</v>
      </c>
      <c r="AK27" s="847" t="s">
        <v>2693</v>
      </c>
      <c r="AL27" s="309" t="s">
        <v>2834</v>
      </c>
      <c r="AM27" s="310"/>
      <c r="BA27" s="170">
        <v>31</v>
      </c>
      <c r="BB27" s="170" t="s">
        <v>2840</v>
      </c>
      <c r="BC27" s="8" t="s">
        <v>2855</v>
      </c>
      <c r="BD27" s="170" t="s">
        <v>2856</v>
      </c>
      <c r="BE27" s="338" t="s">
        <v>2783</v>
      </c>
      <c r="BF27" s="341">
        <v>44735.60365740741</v>
      </c>
      <c r="BG27" s="341"/>
      <c r="BH27" s="341"/>
      <c r="BI27" s="341"/>
      <c r="BJ27" s="341"/>
      <c r="BK27" s="341"/>
      <c r="BL27" s="341"/>
      <c r="BM27" s="341"/>
      <c r="BN27" s="341"/>
      <c r="BO27" s="341"/>
      <c r="BP27" s="341"/>
      <c r="BQ27" s="341"/>
      <c r="BR27" s="341"/>
      <c r="BS27" s="341"/>
      <c r="BT27" s="341"/>
      <c r="BU27" s="341"/>
      <c r="BV27" s="341"/>
      <c r="BW27" s="341"/>
      <c r="BX27" s="341"/>
      <c r="BY27" s="8"/>
      <c r="BZ27" s="341"/>
      <c r="CA27" s="329" t="s">
        <v>2857</v>
      </c>
      <c r="CB27" s="342" t="s">
        <v>2858</v>
      </c>
      <c r="CC27" s="329" t="s">
        <v>2859</v>
      </c>
      <c r="CD27" s="329" t="s">
        <v>2860</v>
      </c>
      <c r="CE27" s="329" t="s">
        <v>2693</v>
      </c>
      <c r="CF27" s="329" t="s">
        <v>1783</v>
      </c>
      <c r="CG27" s="333">
        <v>45160</v>
      </c>
    </row>
    <row r="28" spans="27:85" ht="15.6">
      <c r="AA28" s="314">
        <v>45126</v>
      </c>
      <c r="AB28" s="308">
        <v>45126</v>
      </c>
      <c r="AC28" s="129" t="s">
        <v>2691</v>
      </c>
      <c r="AD28" s="312" t="s">
        <v>2861</v>
      </c>
      <c r="AE28" s="312" t="s">
        <v>488</v>
      </c>
      <c r="AF28" s="309"/>
      <c r="AG28" s="313">
        <v>4</v>
      </c>
      <c r="AH28" s="312" t="s">
        <v>488</v>
      </c>
      <c r="AI28" s="309"/>
      <c r="AJ28" s="847">
        <v>4</v>
      </c>
      <c r="AK28" s="847" t="s">
        <v>2693</v>
      </c>
      <c r="AL28" s="309" t="s">
        <v>2834</v>
      </c>
      <c r="AM28" s="310"/>
      <c r="BA28" s="170">
        <v>31</v>
      </c>
      <c r="BB28" s="170" t="s">
        <v>2840</v>
      </c>
      <c r="BC28" s="8" t="s">
        <v>2862</v>
      </c>
      <c r="BD28" s="170" t="s">
        <v>2863</v>
      </c>
      <c r="BE28" s="338" t="s">
        <v>2783</v>
      </c>
      <c r="BF28" s="341">
        <v>44621.365358796298</v>
      </c>
      <c r="BG28" s="341"/>
      <c r="BH28" s="341"/>
      <c r="BI28" s="341"/>
      <c r="BJ28" s="341"/>
      <c r="BK28" s="341"/>
      <c r="BL28" s="341"/>
      <c r="BM28" s="341"/>
      <c r="BN28" s="341"/>
      <c r="BO28" s="341"/>
      <c r="BP28" s="341"/>
      <c r="BQ28" s="341"/>
      <c r="BR28" s="341"/>
      <c r="BS28" s="341"/>
      <c r="BT28" s="341"/>
      <c r="BU28" s="341"/>
      <c r="BV28" s="341"/>
      <c r="BW28" s="341"/>
      <c r="BX28" s="341"/>
      <c r="BY28" s="8"/>
      <c r="BZ28" s="341"/>
      <c r="CA28" s="329" t="s">
        <v>2864</v>
      </c>
      <c r="CB28" s="342" t="s">
        <v>2865</v>
      </c>
      <c r="CC28" s="329" t="s">
        <v>601</v>
      </c>
      <c r="CD28" s="329" t="s">
        <v>2866</v>
      </c>
      <c r="CE28" s="329" t="s">
        <v>2693</v>
      </c>
      <c r="CF28" s="329" t="s">
        <v>1783</v>
      </c>
      <c r="CG28" s="333">
        <v>45160</v>
      </c>
    </row>
    <row r="29" spans="27:85" ht="15.6">
      <c r="AA29" s="314">
        <v>45125</v>
      </c>
      <c r="AB29" s="308">
        <v>45125</v>
      </c>
      <c r="AC29" s="129" t="s">
        <v>2691</v>
      </c>
      <c r="AD29" s="312" t="s">
        <v>2867</v>
      </c>
      <c r="AE29" s="312" t="s">
        <v>488</v>
      </c>
      <c r="AF29" s="309"/>
      <c r="AG29" s="313">
        <v>4</v>
      </c>
      <c r="AH29" s="312" t="s">
        <v>488</v>
      </c>
      <c r="AI29" s="309"/>
      <c r="AJ29" s="847">
        <v>4</v>
      </c>
      <c r="AK29" s="847" t="s">
        <v>2693</v>
      </c>
      <c r="AL29" s="309" t="s">
        <v>2834</v>
      </c>
      <c r="AM29" s="310"/>
      <c r="BA29">
        <v>31</v>
      </c>
      <c r="BB29" t="s">
        <v>2840</v>
      </c>
      <c r="BC29" s="7" t="s">
        <v>2868</v>
      </c>
      <c r="BD29" t="s">
        <v>2869</v>
      </c>
      <c r="BE29" t="s">
        <v>2783</v>
      </c>
      <c r="BF29" s="340">
        <v>44720.472395833334</v>
      </c>
      <c r="BG29" s="340"/>
      <c r="BH29" s="340"/>
      <c r="BI29" s="340"/>
      <c r="BJ29" s="340"/>
      <c r="BK29" s="340"/>
      <c r="BL29" s="340"/>
      <c r="BM29" s="340"/>
      <c r="BN29" s="340"/>
      <c r="BO29" s="340"/>
      <c r="BP29" s="340"/>
      <c r="BQ29" s="340"/>
      <c r="BR29" s="340"/>
      <c r="BS29" s="340"/>
      <c r="BT29" s="340"/>
      <c r="BU29" s="340"/>
      <c r="BV29" s="340"/>
      <c r="BW29" s="340"/>
      <c r="BX29" s="340"/>
      <c r="BY29" s="8"/>
      <c r="BZ29" s="340"/>
      <c r="CA29" s="329" t="s">
        <v>2870</v>
      </c>
      <c r="CB29" s="342" t="s">
        <v>2871</v>
      </c>
      <c r="CC29" s="329" t="s">
        <v>2736</v>
      </c>
      <c r="CD29" s="329" t="s">
        <v>2872</v>
      </c>
      <c r="CE29" s="329" t="s">
        <v>2693</v>
      </c>
      <c r="CF29" s="329" t="s">
        <v>1783</v>
      </c>
      <c r="CG29" s="333">
        <v>45160</v>
      </c>
    </row>
    <row r="30" spans="27:85" ht="15.6">
      <c r="AA30" s="314">
        <v>45124</v>
      </c>
      <c r="AB30" s="311">
        <v>45124</v>
      </c>
      <c r="AC30" s="129" t="s">
        <v>2691</v>
      </c>
      <c r="AD30" s="312" t="s">
        <v>2873</v>
      </c>
      <c r="AE30" s="312" t="s">
        <v>488</v>
      </c>
      <c r="AF30" s="309"/>
      <c r="AG30" s="313">
        <v>4</v>
      </c>
      <c r="AH30" s="312" t="s">
        <v>488</v>
      </c>
      <c r="AI30" s="309"/>
      <c r="AJ30" s="313">
        <v>4</v>
      </c>
      <c r="AK30" s="847" t="s">
        <v>2693</v>
      </c>
      <c r="AL30" s="309" t="s">
        <v>2834</v>
      </c>
      <c r="AM30" s="310"/>
      <c r="BA30">
        <v>34</v>
      </c>
      <c r="BB30" t="s">
        <v>2874</v>
      </c>
      <c r="BC30" s="8" t="s">
        <v>2449</v>
      </c>
      <c r="BD30" s="170" t="str">
        <f>Table12612717[[#This Row],[Worker Code]]&amp;"-"&amp;Table12612717[[#This Row],[Activity Description]]</f>
        <v>34-Concreting</v>
      </c>
      <c r="BE30" s="338" t="s">
        <v>1783</v>
      </c>
      <c r="BF30" s="8" t="s">
        <v>2698</v>
      </c>
      <c r="BG30" s="8"/>
      <c r="BH30" s="8"/>
      <c r="BI30" s="8"/>
      <c r="BJ30" s="8"/>
      <c r="BK30" s="8"/>
      <c r="BL30" s="8"/>
      <c r="BM30" s="8"/>
      <c r="BN30" s="8"/>
      <c r="BO30" s="8"/>
      <c r="BP30" s="8"/>
      <c r="BQ30" s="8"/>
      <c r="BR30" s="8"/>
      <c r="BS30" s="8"/>
      <c r="BT30" s="8"/>
      <c r="BU30" s="8"/>
      <c r="BV30" s="8"/>
      <c r="BW30" s="8"/>
      <c r="BX30" s="8"/>
      <c r="BY30" s="8"/>
      <c r="BZ30" s="8"/>
      <c r="CA30" s="329" t="s">
        <v>2875</v>
      </c>
      <c r="CB30" s="342" t="s">
        <v>2876</v>
      </c>
      <c r="CC30" s="329" t="s">
        <v>2736</v>
      </c>
      <c r="CD30" s="329" t="s">
        <v>2877</v>
      </c>
      <c r="CE30" s="329" t="s">
        <v>2693</v>
      </c>
      <c r="CF30" s="329" t="s">
        <v>1783</v>
      </c>
      <c r="CG30" s="333">
        <v>45160</v>
      </c>
    </row>
    <row r="31" spans="27:85" ht="15.6">
      <c r="AA31" s="314">
        <v>45122</v>
      </c>
      <c r="AB31" s="311">
        <v>45122</v>
      </c>
      <c r="AC31" s="129" t="s">
        <v>2691</v>
      </c>
      <c r="AD31" s="312" t="s">
        <v>2878</v>
      </c>
      <c r="AE31" s="312" t="s">
        <v>488</v>
      </c>
      <c r="AF31" s="309"/>
      <c r="AG31" s="313">
        <v>4</v>
      </c>
      <c r="AH31" s="312" t="s">
        <v>488</v>
      </c>
      <c r="AI31" s="309"/>
      <c r="AJ31" s="313">
        <v>4</v>
      </c>
      <c r="AK31" s="847" t="s">
        <v>2693</v>
      </c>
      <c r="AL31" s="309" t="s">
        <v>2834</v>
      </c>
      <c r="AM31" s="310"/>
      <c r="BA31">
        <v>36</v>
      </c>
      <c r="BB31" t="s">
        <v>2879</v>
      </c>
      <c r="BC31" s="8" t="s">
        <v>2449</v>
      </c>
      <c r="BD31" s="8" t="str">
        <f>Table12612717[[#This Row],[Worker Code]]&amp;"-"&amp;Table12612717[[#This Row],[Activity Description]]</f>
        <v>36-Concreting</v>
      </c>
      <c r="BE31" s="338" t="s">
        <v>1783</v>
      </c>
      <c r="BF31" s="8" t="s">
        <v>2698</v>
      </c>
      <c r="BG31" s="8"/>
      <c r="BH31" s="8"/>
      <c r="BI31" s="8"/>
      <c r="BJ31" s="8"/>
      <c r="BK31" s="8"/>
      <c r="BL31" s="8"/>
      <c r="BM31" s="8"/>
      <c r="BN31" s="8"/>
      <c r="BO31" s="8"/>
      <c r="BP31" s="8"/>
      <c r="BQ31" s="8"/>
      <c r="BR31" s="8"/>
      <c r="BS31" s="8"/>
      <c r="BT31" s="8"/>
      <c r="BU31" s="8"/>
      <c r="BV31" s="8"/>
      <c r="BW31" s="8"/>
      <c r="BX31" s="8"/>
      <c r="BY31" s="8"/>
      <c r="BZ31" s="8"/>
      <c r="CA31" s="329" t="s">
        <v>2880</v>
      </c>
      <c r="CB31" s="342" t="s">
        <v>2880</v>
      </c>
      <c r="CC31" s="329" t="s">
        <v>1221</v>
      </c>
      <c r="CD31" s="329" t="s">
        <v>2881</v>
      </c>
      <c r="CE31" s="329" t="s">
        <v>2693</v>
      </c>
      <c r="CF31" s="329" t="s">
        <v>1783</v>
      </c>
      <c r="CG31" s="333">
        <v>45160</v>
      </c>
    </row>
    <row r="32" spans="27:85" ht="15.6">
      <c r="AA32" s="315">
        <v>45121</v>
      </c>
      <c r="AB32" s="316">
        <v>45121</v>
      </c>
      <c r="AC32" s="129" t="s">
        <v>2691</v>
      </c>
      <c r="AD32" s="317" t="s">
        <v>2882</v>
      </c>
      <c r="AE32" s="317" t="s">
        <v>549</v>
      </c>
      <c r="AF32" s="318"/>
      <c r="AG32" s="319">
        <v>4</v>
      </c>
      <c r="AH32" s="317" t="s">
        <v>518</v>
      </c>
      <c r="AI32" s="318"/>
      <c r="AJ32" s="319">
        <v>4</v>
      </c>
      <c r="AK32" s="847" t="s">
        <v>2693</v>
      </c>
      <c r="AL32" s="318" t="s">
        <v>2834</v>
      </c>
      <c r="AM32" s="320"/>
      <c r="BA32">
        <v>37</v>
      </c>
      <c r="BB32" t="s">
        <v>2883</v>
      </c>
      <c r="BC32" s="8" t="s">
        <v>2449</v>
      </c>
      <c r="BD32" s="8" t="str">
        <f>Table12612717[[#This Row],[Worker Code]]&amp;"-"&amp;Table12612717[[#This Row],[Activity Description]]</f>
        <v>37-Concreting</v>
      </c>
      <c r="BE32" s="338" t="s">
        <v>1783</v>
      </c>
      <c r="BF32" s="8" t="s">
        <v>2698</v>
      </c>
      <c r="BG32" s="8"/>
      <c r="BH32" s="8"/>
      <c r="BI32" s="8"/>
      <c r="BJ32" s="8"/>
      <c r="BK32" s="8"/>
      <c r="BL32" s="8"/>
      <c r="BM32" s="8"/>
      <c r="BN32" s="8"/>
      <c r="BO32" s="8"/>
      <c r="BP32" s="8"/>
      <c r="BQ32" s="8"/>
      <c r="BR32" s="8"/>
      <c r="BS32" s="8"/>
      <c r="BT32" s="8"/>
      <c r="BU32" s="8"/>
      <c r="BV32" s="8"/>
      <c r="BW32" s="8"/>
      <c r="BX32" s="8"/>
      <c r="BY32" s="8"/>
      <c r="BZ32" s="8"/>
      <c r="CA32" s="329" t="s">
        <v>2884</v>
      </c>
      <c r="CB32" s="342" t="s">
        <v>2885</v>
      </c>
      <c r="CC32" s="329" t="s">
        <v>2886</v>
      </c>
      <c r="CD32" s="329" t="s">
        <v>2887</v>
      </c>
      <c r="CE32" s="329" t="s">
        <v>2693</v>
      </c>
      <c r="CF32" s="329" t="s">
        <v>1783</v>
      </c>
      <c r="CG32" s="333">
        <v>45160</v>
      </c>
    </row>
    <row r="33" spans="27:85" ht="15.6">
      <c r="AA33" s="315">
        <v>45120</v>
      </c>
      <c r="AB33" s="316">
        <v>45120</v>
      </c>
      <c r="AC33" s="129" t="s">
        <v>2691</v>
      </c>
      <c r="AD33" s="317" t="s">
        <v>2888</v>
      </c>
      <c r="AE33" s="317" t="s">
        <v>488</v>
      </c>
      <c r="AF33" s="318"/>
      <c r="AG33" s="319">
        <v>4</v>
      </c>
      <c r="AH33" s="317" t="s">
        <v>488</v>
      </c>
      <c r="AI33" s="318"/>
      <c r="AJ33" s="319">
        <v>4</v>
      </c>
      <c r="AK33" s="847" t="s">
        <v>2693</v>
      </c>
      <c r="AL33" s="318" t="s">
        <v>2834</v>
      </c>
      <c r="AM33" s="320"/>
      <c r="BA33">
        <v>38</v>
      </c>
      <c r="BB33" t="s">
        <v>2889</v>
      </c>
      <c r="BC33" s="8" t="s">
        <v>2449</v>
      </c>
      <c r="BD33" s="170" t="str">
        <f>Table12612717[[#This Row],[Worker Code]]&amp;"-"&amp;Table12612717[[#This Row],[Activity Description]]</f>
        <v>38-Concreting</v>
      </c>
      <c r="BE33" s="338" t="s">
        <v>1783</v>
      </c>
      <c r="BF33" s="8" t="s">
        <v>2698</v>
      </c>
      <c r="BG33" s="8"/>
      <c r="BH33" s="8"/>
      <c r="BI33" s="8"/>
      <c r="BJ33" s="8"/>
      <c r="BK33" s="8"/>
      <c r="BL33" s="8"/>
      <c r="BM33" s="8"/>
      <c r="BN33" s="8"/>
      <c r="BO33" s="8"/>
      <c r="BP33" s="8"/>
      <c r="BQ33" s="8"/>
      <c r="BR33" s="8"/>
      <c r="BS33" s="8"/>
      <c r="BT33" s="8"/>
      <c r="BU33" s="8"/>
      <c r="BV33" s="8"/>
      <c r="BW33" s="8"/>
      <c r="BX33" s="8"/>
      <c r="BY33" s="8"/>
      <c r="BZ33" s="8"/>
      <c r="CA33" s="329" t="s">
        <v>2890</v>
      </c>
      <c r="CB33" s="342" t="s">
        <v>2891</v>
      </c>
      <c r="CC33" s="329" t="s">
        <v>2886</v>
      </c>
      <c r="CD33" s="329" t="s">
        <v>2892</v>
      </c>
      <c r="CE33" s="329" t="s">
        <v>2693</v>
      </c>
      <c r="CF33" s="329" t="s">
        <v>1783</v>
      </c>
      <c r="CG33" s="333">
        <v>45160</v>
      </c>
    </row>
    <row r="34" spans="27:85" ht="15.6">
      <c r="AA34" s="314">
        <v>45119</v>
      </c>
      <c r="AB34" s="311">
        <v>45119</v>
      </c>
      <c r="AC34" s="129" t="s">
        <v>2691</v>
      </c>
      <c r="AD34" s="312" t="s">
        <v>2893</v>
      </c>
      <c r="AE34" s="317" t="s">
        <v>488</v>
      </c>
      <c r="AF34" s="318"/>
      <c r="AG34" s="319">
        <v>4</v>
      </c>
      <c r="AH34" s="312" t="s">
        <v>488</v>
      </c>
      <c r="AI34" s="309"/>
      <c r="AJ34" s="319">
        <v>4</v>
      </c>
      <c r="AK34" s="847" t="s">
        <v>2693</v>
      </c>
      <c r="AL34" s="309" t="s">
        <v>2834</v>
      </c>
      <c r="AM34" s="310"/>
      <c r="BA34" s="170">
        <v>39</v>
      </c>
      <c r="BB34" s="170" t="s">
        <v>2894</v>
      </c>
      <c r="BC34" s="8" t="s">
        <v>2697</v>
      </c>
      <c r="BD34" s="170" t="str">
        <f>Table12612717[[#This Row],[Worker Code]]&amp;"-"&amp;Table12612717[[#This Row],[Activity Description]]</f>
        <v>39-Backhoe</v>
      </c>
      <c r="BE34" s="338" t="s">
        <v>1783</v>
      </c>
      <c r="BF34" s="8" t="s">
        <v>2698</v>
      </c>
      <c r="BG34" s="8"/>
      <c r="BH34" s="8"/>
      <c r="BI34" s="8"/>
      <c r="BJ34" s="8"/>
      <c r="BK34" s="8"/>
      <c r="BL34" s="8"/>
      <c r="BM34" s="8"/>
      <c r="BN34" s="8"/>
      <c r="BO34" s="8"/>
      <c r="BP34" s="8"/>
      <c r="BQ34" s="8"/>
      <c r="BR34" s="8"/>
      <c r="BS34" s="8"/>
      <c r="BT34" s="8"/>
      <c r="BU34" s="8"/>
      <c r="BV34" s="8"/>
      <c r="BW34" s="8"/>
      <c r="BX34" s="8"/>
      <c r="BY34" s="8"/>
      <c r="BZ34" s="8"/>
      <c r="CA34" s="329" t="s">
        <v>2895</v>
      </c>
      <c r="CB34" s="342" t="s">
        <v>2896</v>
      </c>
      <c r="CC34" s="329" t="s">
        <v>2886</v>
      </c>
      <c r="CD34" s="329" t="s">
        <v>2897</v>
      </c>
      <c r="CE34" s="329" t="s">
        <v>2693</v>
      </c>
      <c r="CF34" s="329" t="s">
        <v>1783</v>
      </c>
      <c r="CG34" s="333">
        <v>45160</v>
      </c>
    </row>
    <row r="35" spans="27:85" ht="15.6">
      <c r="AA35" s="315">
        <v>45118</v>
      </c>
      <c r="AB35" s="308">
        <v>45118</v>
      </c>
      <c r="AC35" s="129" t="s">
        <v>2691</v>
      </c>
      <c r="AD35" s="129" t="s">
        <v>2898</v>
      </c>
      <c r="AE35" s="317" t="s">
        <v>488</v>
      </c>
      <c r="AF35" s="318"/>
      <c r="AG35" s="847">
        <v>4</v>
      </c>
      <c r="AH35" s="317" t="s">
        <v>488</v>
      </c>
      <c r="AI35" s="318"/>
      <c r="AJ35" s="847">
        <v>4</v>
      </c>
      <c r="AK35" s="847" t="s">
        <v>2693</v>
      </c>
      <c r="AL35" s="318" t="s">
        <v>2834</v>
      </c>
      <c r="AM35" s="320"/>
      <c r="BA35" s="170">
        <v>39</v>
      </c>
      <c r="BB35" s="170" t="s">
        <v>2894</v>
      </c>
      <c r="BC35" s="8" t="s">
        <v>2706</v>
      </c>
      <c r="BD35" s="170" t="str">
        <f>Table12612717[[#This Row],[Worker Code]]&amp;"-"&amp;Table12612717[[#This Row],[Activity Description]]</f>
        <v>39-Compactor</v>
      </c>
      <c r="BE35" s="338" t="s">
        <v>1783</v>
      </c>
      <c r="BF35" s="8" t="s">
        <v>2698</v>
      </c>
      <c r="BG35" s="8"/>
      <c r="BH35" s="8"/>
      <c r="BI35" s="8"/>
      <c r="BJ35" s="8"/>
      <c r="BK35" s="8"/>
      <c r="BL35" s="8"/>
      <c r="BM35" s="8"/>
      <c r="BN35" s="8"/>
      <c r="BO35" s="8"/>
      <c r="BP35" s="8"/>
      <c r="BQ35" s="8"/>
      <c r="BR35" s="8"/>
      <c r="BS35" s="8"/>
      <c r="BT35" s="8"/>
      <c r="BU35" s="8"/>
      <c r="BV35" s="8"/>
      <c r="BW35" s="8"/>
      <c r="BX35" s="8"/>
      <c r="BY35" s="8"/>
      <c r="BZ35" s="8"/>
      <c r="CA35" s="329" t="s">
        <v>2895</v>
      </c>
      <c r="CB35" s="342" t="s">
        <v>2896</v>
      </c>
      <c r="CC35" s="329" t="s">
        <v>2886</v>
      </c>
      <c r="CD35" s="329" t="s">
        <v>2899</v>
      </c>
      <c r="CE35" s="329" t="s">
        <v>2693</v>
      </c>
      <c r="CF35" s="329" t="s">
        <v>1783</v>
      </c>
      <c r="CG35" s="333">
        <v>45160</v>
      </c>
    </row>
    <row r="36" spans="27:85" ht="15.6">
      <c r="AA36" s="315">
        <v>45117</v>
      </c>
      <c r="AB36" s="308">
        <v>45117</v>
      </c>
      <c r="AC36" s="129" t="s">
        <v>2691</v>
      </c>
      <c r="AD36" s="129" t="s">
        <v>2900</v>
      </c>
      <c r="AE36" s="317" t="s">
        <v>488</v>
      </c>
      <c r="AF36" s="318"/>
      <c r="AG36" s="847">
        <v>4</v>
      </c>
      <c r="AH36" s="317" t="s">
        <v>488</v>
      </c>
      <c r="AI36" s="318"/>
      <c r="AJ36" s="847">
        <v>4</v>
      </c>
      <c r="AK36" s="847" t="s">
        <v>2693</v>
      </c>
      <c r="AL36" s="318" t="s">
        <v>2834</v>
      </c>
      <c r="AM36" s="320"/>
      <c r="BA36" s="170">
        <v>39</v>
      </c>
      <c r="BB36" s="170" t="s">
        <v>2894</v>
      </c>
      <c r="BC36" s="8" t="s">
        <v>2714</v>
      </c>
      <c r="BD36" s="170" t="str">
        <f>Table12612717[[#This Row],[Worker Code]]&amp;"-"&amp;Table12612717[[#This Row],[Activity Description]]</f>
        <v>39-Dump Truck</v>
      </c>
      <c r="BE36" s="338" t="s">
        <v>1783</v>
      </c>
      <c r="BF36" s="8" t="s">
        <v>2698</v>
      </c>
      <c r="BG36" s="8"/>
      <c r="BH36" s="8"/>
      <c r="BI36" s="8"/>
      <c r="BJ36" s="8"/>
      <c r="BK36" s="8"/>
      <c r="BL36" s="8"/>
      <c r="BM36" s="8"/>
      <c r="BN36" s="8"/>
      <c r="BO36" s="8"/>
      <c r="BP36" s="8"/>
      <c r="BQ36" s="8"/>
      <c r="BR36" s="8"/>
      <c r="BS36" s="8"/>
      <c r="BT36" s="8"/>
      <c r="BU36" s="8"/>
      <c r="BV36" s="8"/>
      <c r="BW36" s="8"/>
      <c r="BX36" s="8"/>
      <c r="BY36" s="8"/>
      <c r="BZ36" s="8"/>
      <c r="CA36" s="329" t="s">
        <v>2901</v>
      </c>
      <c r="CB36" s="342" t="s">
        <v>2902</v>
      </c>
      <c r="CC36" s="329" t="s">
        <v>2886</v>
      </c>
      <c r="CD36" s="329" t="s">
        <v>2903</v>
      </c>
      <c r="CE36" s="329" t="s">
        <v>2693</v>
      </c>
      <c r="CF36" s="329" t="s">
        <v>1783</v>
      </c>
      <c r="CG36" s="333">
        <v>45160</v>
      </c>
    </row>
    <row r="37" spans="27:85" ht="15.6">
      <c r="AA37" s="315">
        <v>45115</v>
      </c>
      <c r="AB37" s="308">
        <v>45115</v>
      </c>
      <c r="AC37" s="129" t="s">
        <v>2691</v>
      </c>
      <c r="AD37" s="129" t="s">
        <v>2904</v>
      </c>
      <c r="AE37" s="317" t="s">
        <v>488</v>
      </c>
      <c r="AF37" s="318"/>
      <c r="AG37" s="847">
        <v>4</v>
      </c>
      <c r="AH37" s="317" t="s">
        <v>488</v>
      </c>
      <c r="AI37" s="318"/>
      <c r="AJ37" s="847">
        <v>4</v>
      </c>
      <c r="AK37" s="847" t="s">
        <v>2693</v>
      </c>
      <c r="AL37" s="318" t="s">
        <v>2834</v>
      </c>
      <c r="AM37" s="320"/>
      <c r="BA37">
        <v>39</v>
      </c>
      <c r="BB37" t="s">
        <v>2894</v>
      </c>
      <c r="BC37" s="8" t="s">
        <v>2721</v>
      </c>
      <c r="BD37" s="170" t="str">
        <f>Table12612717[[#This Row],[Worker Code]]&amp;"-"&amp;Table12612717[[#This Row],[Activity Description]]</f>
        <v xml:space="preserve">39-Excavator </v>
      </c>
      <c r="BE37" s="338" t="s">
        <v>1783</v>
      </c>
      <c r="BF37" s="8" t="s">
        <v>2698</v>
      </c>
      <c r="BG37" s="8"/>
      <c r="BH37" s="8"/>
      <c r="BI37" s="8"/>
      <c r="BJ37" s="8"/>
      <c r="BK37" s="8"/>
      <c r="BL37" s="8"/>
      <c r="BM37" s="8"/>
      <c r="BN37" s="8"/>
      <c r="BO37" s="8"/>
      <c r="BP37" s="8"/>
      <c r="BQ37" s="8"/>
      <c r="BR37" s="8"/>
      <c r="BS37" s="8"/>
      <c r="BT37" s="8"/>
      <c r="BU37" s="8"/>
      <c r="BV37" s="8"/>
      <c r="BW37" s="8"/>
      <c r="BX37" s="8"/>
      <c r="BY37" s="8"/>
      <c r="BZ37" s="8"/>
      <c r="CA37" s="329" t="s">
        <v>2905</v>
      </c>
      <c r="CB37" s="342" t="s">
        <v>2906</v>
      </c>
      <c r="CC37" s="329" t="s">
        <v>2886</v>
      </c>
      <c r="CD37" s="329" t="s">
        <v>2907</v>
      </c>
      <c r="CE37" s="329" t="s">
        <v>2693</v>
      </c>
      <c r="CF37" s="329" t="s">
        <v>1783</v>
      </c>
      <c r="CG37" s="333">
        <v>45160</v>
      </c>
    </row>
    <row r="38" spans="27:85" ht="15.6">
      <c r="AA38" s="315">
        <v>45114</v>
      </c>
      <c r="AB38" s="308">
        <v>45114</v>
      </c>
      <c r="AC38" s="129" t="s">
        <v>2691</v>
      </c>
      <c r="AD38" s="129" t="s">
        <v>2908</v>
      </c>
      <c r="AE38" s="317" t="s">
        <v>488</v>
      </c>
      <c r="AF38" s="318"/>
      <c r="AG38" s="847">
        <v>4</v>
      </c>
      <c r="AH38" s="317" t="s">
        <v>488</v>
      </c>
      <c r="AI38" s="318"/>
      <c r="AJ38" s="847">
        <v>4</v>
      </c>
      <c r="AK38" s="847" t="s">
        <v>2693</v>
      </c>
      <c r="AL38" s="318" t="s">
        <v>2834</v>
      </c>
      <c r="AM38" s="320"/>
      <c r="BA38" s="170">
        <v>39</v>
      </c>
      <c r="BB38" s="170" t="s">
        <v>2894</v>
      </c>
      <c r="BC38" s="8" t="s">
        <v>2727</v>
      </c>
      <c r="BD38" s="170" t="str">
        <f>Table12612717[[#This Row],[Worker Code]]&amp;"-"&amp;Table12612717[[#This Row],[Activity Description]]</f>
        <v>39-Mini Excavator</v>
      </c>
      <c r="BE38" s="338" t="s">
        <v>1783</v>
      </c>
      <c r="BF38" s="8" t="s">
        <v>2698</v>
      </c>
      <c r="BG38" s="8"/>
      <c r="BH38" s="8"/>
      <c r="BI38" s="8"/>
      <c r="BJ38" s="8"/>
      <c r="BK38" s="8"/>
      <c r="BL38" s="8"/>
      <c r="BM38" s="8"/>
      <c r="BN38" s="8"/>
      <c r="BO38" s="8"/>
      <c r="BP38" s="8"/>
      <c r="BQ38" s="8"/>
      <c r="BR38" s="8"/>
      <c r="BS38" s="8"/>
      <c r="BT38" s="8"/>
      <c r="BU38" s="8"/>
      <c r="BV38" s="8"/>
      <c r="BW38" s="8"/>
      <c r="BX38" s="8"/>
      <c r="BY38" s="8"/>
      <c r="BZ38" s="8"/>
      <c r="CA38" s="329" t="s">
        <v>2909</v>
      </c>
      <c r="CB38" s="342" t="s">
        <v>2910</v>
      </c>
      <c r="CC38" s="329" t="s">
        <v>2886</v>
      </c>
      <c r="CD38" s="329" t="s">
        <v>2911</v>
      </c>
      <c r="CE38" s="329" t="s">
        <v>2693</v>
      </c>
      <c r="CF38" s="329" t="s">
        <v>1783</v>
      </c>
      <c r="CG38" s="333">
        <v>45160</v>
      </c>
    </row>
    <row r="39" spans="27:85" ht="15.6">
      <c r="AA39" s="315">
        <v>45113</v>
      </c>
      <c r="AB39" s="308">
        <v>45113</v>
      </c>
      <c r="AC39" s="129" t="s">
        <v>2691</v>
      </c>
      <c r="AD39" s="129" t="s">
        <v>2912</v>
      </c>
      <c r="AE39" s="317" t="s">
        <v>488</v>
      </c>
      <c r="AF39" s="318"/>
      <c r="AG39" s="847">
        <v>4</v>
      </c>
      <c r="AH39" s="317" t="s">
        <v>488</v>
      </c>
      <c r="AI39" s="318"/>
      <c r="AJ39" s="847">
        <v>4</v>
      </c>
      <c r="AK39" s="847" t="s">
        <v>2693</v>
      </c>
      <c r="AL39" s="318" t="s">
        <v>2834</v>
      </c>
      <c r="AM39" s="320"/>
      <c r="BA39">
        <v>40</v>
      </c>
      <c r="BB39" t="s">
        <v>2913</v>
      </c>
      <c r="BC39" s="8" t="s">
        <v>2914</v>
      </c>
      <c r="BD39" s="170" t="str">
        <f>Table12612717[[#This Row],[Worker Code]]&amp;"-"&amp;Table12612717[[#This Row],[Activity Description]]</f>
        <v>40-Lorry</v>
      </c>
      <c r="BE39" s="338" t="s">
        <v>1783</v>
      </c>
      <c r="BF39" s="8" t="s">
        <v>2698</v>
      </c>
      <c r="BG39" s="8"/>
      <c r="BH39" s="8"/>
      <c r="BI39" s="8"/>
      <c r="BJ39" s="8"/>
      <c r="BK39" s="8"/>
      <c r="BL39" s="8"/>
      <c r="BM39" s="8"/>
      <c r="BN39" s="8"/>
      <c r="BO39" s="8"/>
      <c r="BP39" s="8"/>
      <c r="BQ39" s="8"/>
      <c r="BR39" s="8"/>
      <c r="BS39" s="8"/>
      <c r="BT39" s="8"/>
      <c r="BU39" s="8"/>
      <c r="BV39" s="8"/>
      <c r="BW39" s="8"/>
      <c r="BX39" s="8"/>
      <c r="BY39" s="8"/>
      <c r="BZ39" s="8"/>
      <c r="CA39" s="329" t="s">
        <v>2915</v>
      </c>
      <c r="CB39" s="342" t="s">
        <v>2916</v>
      </c>
      <c r="CC39" s="329" t="s">
        <v>2886</v>
      </c>
      <c r="CD39" s="329" t="s">
        <v>2917</v>
      </c>
      <c r="CE39" s="329" t="s">
        <v>2693</v>
      </c>
      <c r="CF39" s="329" t="s">
        <v>1783</v>
      </c>
      <c r="CG39" s="333">
        <v>45160</v>
      </c>
    </row>
    <row r="40" spans="27:85" ht="15.6">
      <c r="AA40" s="315">
        <v>45112</v>
      </c>
      <c r="AB40" s="308">
        <v>45112</v>
      </c>
      <c r="AC40" s="129" t="s">
        <v>2691</v>
      </c>
      <c r="AD40" s="129" t="s">
        <v>2918</v>
      </c>
      <c r="AE40" s="317" t="s">
        <v>488</v>
      </c>
      <c r="AF40" s="318"/>
      <c r="AG40" s="847">
        <v>4</v>
      </c>
      <c r="AH40" s="317" t="s">
        <v>488</v>
      </c>
      <c r="AI40" s="318"/>
      <c r="AJ40" s="847">
        <v>4</v>
      </c>
      <c r="AK40" s="847" t="s">
        <v>2693</v>
      </c>
      <c r="AL40" s="318" t="s">
        <v>2834</v>
      </c>
      <c r="AM40" s="320"/>
      <c r="BA40">
        <v>40</v>
      </c>
      <c r="BB40" t="s">
        <v>2913</v>
      </c>
      <c r="BC40" s="8" t="s">
        <v>2864</v>
      </c>
      <c r="BD40" s="170" t="str">
        <f>Table12612717[[#This Row],[Worker Code]]&amp;"-"&amp;Table12612717[[#This Row],[Activity Description]]</f>
        <v>40-Machinery Maintainence</v>
      </c>
      <c r="BE40" s="338" t="s">
        <v>1783</v>
      </c>
      <c r="BF40" s="8" t="s">
        <v>2698</v>
      </c>
      <c r="BG40" s="8"/>
      <c r="BH40" s="8"/>
      <c r="BI40" s="8"/>
      <c r="BJ40" s="8"/>
      <c r="BK40" s="8"/>
      <c r="BL40" s="8"/>
      <c r="BM40" s="8"/>
      <c r="BN40" s="8"/>
      <c r="BO40" s="8"/>
      <c r="BP40" s="8"/>
      <c r="BQ40" s="8"/>
      <c r="BR40" s="8"/>
      <c r="BS40" s="8"/>
      <c r="BT40" s="8"/>
      <c r="BU40" s="8"/>
      <c r="BV40" s="8"/>
      <c r="BW40" s="8"/>
      <c r="BX40" s="8"/>
      <c r="BY40" s="8"/>
      <c r="BZ40" s="8"/>
      <c r="CA40" s="329" t="s">
        <v>2919</v>
      </c>
      <c r="CB40" s="342" t="s">
        <v>2920</v>
      </c>
      <c r="CC40" s="329" t="s">
        <v>2921</v>
      </c>
      <c r="CD40" s="329" t="s">
        <v>2922</v>
      </c>
      <c r="CE40" s="329" t="s">
        <v>2693</v>
      </c>
      <c r="CF40" s="329" t="s">
        <v>1783</v>
      </c>
      <c r="CG40" s="333">
        <v>45160</v>
      </c>
    </row>
    <row r="41" spans="27:85" ht="15.6">
      <c r="AA41" s="315">
        <v>45111</v>
      </c>
      <c r="AB41" s="308">
        <v>45111</v>
      </c>
      <c r="AC41" s="129" t="s">
        <v>2691</v>
      </c>
      <c r="AD41" s="129" t="s">
        <v>2923</v>
      </c>
      <c r="AE41" s="317" t="s">
        <v>488</v>
      </c>
      <c r="AF41" s="318"/>
      <c r="AG41" s="847">
        <v>4</v>
      </c>
      <c r="AH41" s="317" t="s">
        <v>488</v>
      </c>
      <c r="AI41" s="318"/>
      <c r="AJ41" s="847">
        <v>4</v>
      </c>
      <c r="AK41" s="847" t="s">
        <v>2693</v>
      </c>
      <c r="AL41" s="318" t="s">
        <v>2834</v>
      </c>
      <c r="AM41" s="320"/>
      <c r="BA41" s="170">
        <v>40</v>
      </c>
      <c r="BB41" s="170" t="s">
        <v>2913</v>
      </c>
      <c r="BC41" s="8" t="s">
        <v>2862</v>
      </c>
      <c r="BD41" s="170" t="s">
        <v>2924</v>
      </c>
      <c r="BE41" s="338" t="s">
        <v>2783</v>
      </c>
      <c r="BF41" s="341">
        <v>44609.428101851852</v>
      </c>
      <c r="BG41" s="341"/>
      <c r="BH41" s="341"/>
      <c r="BI41" s="341"/>
      <c r="BJ41" s="341"/>
      <c r="BK41" s="341"/>
      <c r="BL41" s="341"/>
      <c r="BM41" s="341"/>
      <c r="BN41" s="341"/>
      <c r="BO41" s="341"/>
      <c r="BP41" s="341"/>
      <c r="BQ41" s="341"/>
      <c r="BR41" s="341"/>
      <c r="BS41" s="341"/>
      <c r="BT41" s="341"/>
      <c r="BU41" s="341"/>
      <c r="BV41" s="341"/>
      <c r="BW41" s="341"/>
      <c r="BX41" s="341"/>
      <c r="BY41" s="8"/>
      <c r="BZ41" s="341"/>
      <c r="CA41" s="329" t="s">
        <v>2925</v>
      </c>
      <c r="CB41" s="342" t="s">
        <v>2926</v>
      </c>
      <c r="CC41" s="329" t="s">
        <v>2701</v>
      </c>
      <c r="CD41" s="329" t="s">
        <v>2927</v>
      </c>
      <c r="CE41" s="329" t="s">
        <v>2693</v>
      </c>
      <c r="CF41" s="329" t="s">
        <v>1783</v>
      </c>
      <c r="CG41" s="333">
        <v>45160</v>
      </c>
    </row>
    <row r="42" spans="27:85" ht="15.6">
      <c r="AA42" s="315">
        <v>45110</v>
      </c>
      <c r="AB42" s="308">
        <v>45110</v>
      </c>
      <c r="AC42" s="129" t="s">
        <v>2691</v>
      </c>
      <c r="AD42" s="129" t="s">
        <v>2928</v>
      </c>
      <c r="AE42" s="317" t="s">
        <v>488</v>
      </c>
      <c r="AF42" s="318"/>
      <c r="AG42" s="847">
        <v>4</v>
      </c>
      <c r="AH42" s="317" t="s">
        <v>488</v>
      </c>
      <c r="AI42" s="318"/>
      <c r="AJ42" s="847">
        <v>4</v>
      </c>
      <c r="AK42" s="847" t="s">
        <v>2693</v>
      </c>
      <c r="AL42" s="318" t="s">
        <v>2834</v>
      </c>
      <c r="AM42" s="320"/>
      <c r="BA42" s="170">
        <v>41</v>
      </c>
      <c r="BB42" s="170" t="s">
        <v>2929</v>
      </c>
      <c r="BC42" s="8" t="s">
        <v>2715</v>
      </c>
      <c r="BD42" s="170" t="s">
        <v>2930</v>
      </c>
      <c r="BE42" s="338" t="s">
        <v>2783</v>
      </c>
      <c r="BF42" s="341">
        <v>44733.435324074075</v>
      </c>
      <c r="BG42" s="341"/>
      <c r="BH42" s="341"/>
      <c r="BI42" s="341"/>
      <c r="BJ42" s="341"/>
      <c r="BK42" s="341"/>
      <c r="BL42" s="341"/>
      <c r="BM42" s="341"/>
      <c r="BN42" s="341"/>
      <c r="BO42" s="341"/>
      <c r="BP42" s="341"/>
      <c r="BQ42" s="341"/>
      <c r="BR42" s="341"/>
      <c r="BS42" s="341"/>
      <c r="BT42" s="341"/>
      <c r="BU42" s="341"/>
      <c r="BV42" s="341"/>
      <c r="BW42" s="341"/>
      <c r="BX42" s="341"/>
      <c r="BY42" s="8"/>
      <c r="BZ42" s="341"/>
      <c r="CA42" s="329" t="s">
        <v>2931</v>
      </c>
      <c r="CB42" s="342" t="s">
        <v>2932</v>
      </c>
      <c r="CC42" s="329" t="s">
        <v>2859</v>
      </c>
      <c r="CD42" s="329" t="s">
        <v>2933</v>
      </c>
      <c r="CE42" s="329" t="s">
        <v>2693</v>
      </c>
      <c r="CF42" s="329" t="s">
        <v>1783</v>
      </c>
      <c r="CG42" s="333">
        <v>45160</v>
      </c>
    </row>
    <row r="43" spans="27:85" ht="15.6">
      <c r="AA43" s="315">
        <v>45108</v>
      </c>
      <c r="AB43" s="308">
        <v>45108</v>
      </c>
      <c r="AC43" s="129" t="s">
        <v>2691</v>
      </c>
      <c r="AD43" s="129" t="s">
        <v>2934</v>
      </c>
      <c r="AE43" s="317" t="s">
        <v>488</v>
      </c>
      <c r="AF43" s="318"/>
      <c r="AG43" s="847">
        <v>4</v>
      </c>
      <c r="AH43" s="317" t="s">
        <v>488</v>
      </c>
      <c r="AI43" s="318"/>
      <c r="AJ43" s="847">
        <v>4</v>
      </c>
      <c r="AK43" s="847" t="s">
        <v>2693</v>
      </c>
      <c r="AL43" s="318" t="s">
        <v>2834</v>
      </c>
      <c r="AM43" s="320"/>
      <c r="BA43" s="170">
        <v>41</v>
      </c>
      <c r="BB43" s="170" t="s">
        <v>2929</v>
      </c>
      <c r="BC43" s="8" t="s">
        <v>2925</v>
      </c>
      <c r="BD43" s="170" t="s">
        <v>2935</v>
      </c>
      <c r="BE43" s="338" t="s">
        <v>1783</v>
      </c>
      <c r="BF43" s="341" t="s">
        <v>2936</v>
      </c>
      <c r="BG43" s="341"/>
      <c r="BH43" s="341"/>
      <c r="BI43" s="341"/>
      <c r="BJ43" s="341"/>
      <c r="BK43" s="341"/>
      <c r="BL43" s="341"/>
      <c r="BM43" s="341"/>
      <c r="BN43" s="341"/>
      <c r="BO43" s="341"/>
      <c r="BP43" s="341"/>
      <c r="BQ43" s="341"/>
      <c r="BR43" s="341"/>
      <c r="BS43" s="341"/>
      <c r="BT43" s="341"/>
      <c r="BU43" s="341"/>
      <c r="BV43" s="341"/>
      <c r="BW43" s="341"/>
      <c r="BX43" s="341"/>
      <c r="BY43" s="8"/>
      <c r="BZ43" s="341"/>
      <c r="CA43" s="329" t="s">
        <v>2937</v>
      </c>
      <c r="CB43" s="342" t="s">
        <v>2938</v>
      </c>
      <c r="CC43" s="329" t="s">
        <v>2859</v>
      </c>
      <c r="CD43" s="329" t="s">
        <v>2939</v>
      </c>
      <c r="CE43" s="329" t="s">
        <v>2693</v>
      </c>
      <c r="CF43" s="329" t="s">
        <v>1783</v>
      </c>
      <c r="CG43" s="333">
        <v>45160</v>
      </c>
    </row>
    <row r="44" spans="27:85" ht="15.6">
      <c r="AA44" s="315">
        <v>45107</v>
      </c>
      <c r="AB44" s="308">
        <v>45107</v>
      </c>
      <c r="AC44" s="129" t="s">
        <v>2691</v>
      </c>
      <c r="AD44" s="129" t="s">
        <v>2940</v>
      </c>
      <c r="AE44" s="317" t="s">
        <v>488</v>
      </c>
      <c r="AF44" s="318"/>
      <c r="AG44" s="847">
        <v>4</v>
      </c>
      <c r="AH44" s="317" t="s">
        <v>488</v>
      </c>
      <c r="AI44" s="318"/>
      <c r="AJ44" s="847">
        <v>4</v>
      </c>
      <c r="AK44" s="847" t="s">
        <v>2693</v>
      </c>
      <c r="AL44" s="318" t="s">
        <v>2834</v>
      </c>
      <c r="AM44" s="320"/>
      <c r="BA44" s="170">
        <v>42</v>
      </c>
      <c r="BB44" s="170" t="s">
        <v>2941</v>
      </c>
      <c r="BC44" s="8" t="s">
        <v>2715</v>
      </c>
      <c r="BD44" s="170" t="s">
        <v>2942</v>
      </c>
      <c r="BE44" s="338" t="s">
        <v>2783</v>
      </c>
      <c r="BF44" s="341">
        <v>44733.435381944444</v>
      </c>
      <c r="BG44" s="341"/>
      <c r="BH44" s="341"/>
      <c r="BI44" s="341"/>
      <c r="BJ44" s="341"/>
      <c r="BK44" s="341"/>
      <c r="BL44" s="341"/>
      <c r="BM44" s="341"/>
      <c r="BN44" s="341"/>
      <c r="BO44" s="341"/>
      <c r="BP44" s="341"/>
      <c r="BQ44" s="341"/>
      <c r="BR44" s="341"/>
      <c r="BS44" s="341"/>
      <c r="BT44" s="341"/>
      <c r="BU44" s="341"/>
      <c r="BV44" s="341"/>
      <c r="BW44" s="341"/>
      <c r="BX44" s="341"/>
      <c r="BY44" s="8"/>
      <c r="BZ44" s="341"/>
      <c r="CA44" s="329" t="s">
        <v>2943</v>
      </c>
      <c r="CB44" s="342" t="s">
        <v>2944</v>
      </c>
      <c r="CC44" s="329" t="s">
        <v>2945</v>
      </c>
      <c r="CD44" s="329" t="s">
        <v>2946</v>
      </c>
      <c r="CE44" s="329" t="s">
        <v>2693</v>
      </c>
      <c r="CF44" s="329" t="s">
        <v>1783</v>
      </c>
      <c r="CG44" s="333">
        <v>45160</v>
      </c>
    </row>
    <row r="45" spans="27:85" ht="15.6">
      <c r="AA45" s="315">
        <v>45105</v>
      </c>
      <c r="AB45" s="308">
        <v>45105</v>
      </c>
      <c r="AC45" s="129" t="s">
        <v>2691</v>
      </c>
      <c r="AD45" s="129" t="s">
        <v>2947</v>
      </c>
      <c r="AE45" s="317" t="s">
        <v>488</v>
      </c>
      <c r="AF45" s="318"/>
      <c r="AG45" s="847">
        <v>4</v>
      </c>
      <c r="AH45" s="317" t="s">
        <v>488</v>
      </c>
      <c r="AI45" s="318"/>
      <c r="AJ45" s="847">
        <v>4</v>
      </c>
      <c r="AK45" s="847" t="s">
        <v>2693</v>
      </c>
      <c r="AL45" s="318" t="s">
        <v>2834</v>
      </c>
      <c r="AM45" s="320"/>
      <c r="BA45" s="170">
        <v>43</v>
      </c>
      <c r="BB45" s="170" t="s">
        <v>2948</v>
      </c>
      <c r="BC45" s="8" t="s">
        <v>2715</v>
      </c>
      <c r="BD45" s="170" t="s">
        <v>2949</v>
      </c>
      <c r="BE45" s="338" t="s">
        <v>2783</v>
      </c>
      <c r="BF45" s="341">
        <v>44733.43545138889</v>
      </c>
      <c r="BG45" s="341"/>
      <c r="BH45" s="341"/>
      <c r="BI45" s="341"/>
      <c r="BJ45" s="341"/>
      <c r="BK45" s="341"/>
      <c r="BL45" s="341"/>
      <c r="BM45" s="341"/>
      <c r="BN45" s="341"/>
      <c r="BO45" s="341"/>
      <c r="BP45" s="341"/>
      <c r="BQ45" s="341"/>
      <c r="BR45" s="341"/>
      <c r="BS45" s="341"/>
      <c r="BT45" s="341"/>
      <c r="BU45" s="341"/>
      <c r="BV45" s="341"/>
      <c r="BW45" s="341"/>
      <c r="BX45" s="341"/>
      <c r="BY45" s="8"/>
      <c r="BZ45" s="341"/>
      <c r="CA45" s="329" t="s">
        <v>2950</v>
      </c>
      <c r="CB45" s="342" t="s">
        <v>2951</v>
      </c>
      <c r="CC45" s="329" t="s">
        <v>2749</v>
      </c>
      <c r="CD45" s="329" t="s">
        <v>2952</v>
      </c>
      <c r="CE45" s="329" t="s">
        <v>2693</v>
      </c>
      <c r="CF45" s="329" t="s">
        <v>1783</v>
      </c>
      <c r="CG45" s="333">
        <v>45160</v>
      </c>
    </row>
    <row r="46" spans="27:85" ht="15.6">
      <c r="AA46" s="315">
        <v>45104</v>
      </c>
      <c r="AB46" s="308">
        <v>45104</v>
      </c>
      <c r="AC46" s="129" t="s">
        <v>2691</v>
      </c>
      <c r="AD46" s="129" t="s">
        <v>2953</v>
      </c>
      <c r="AE46" s="317" t="s">
        <v>488</v>
      </c>
      <c r="AF46" s="318"/>
      <c r="AG46" s="847">
        <v>4</v>
      </c>
      <c r="AH46" s="317" t="s">
        <v>488</v>
      </c>
      <c r="AI46" s="318"/>
      <c r="AJ46" s="847">
        <v>4</v>
      </c>
      <c r="AK46" s="847" t="s">
        <v>2693</v>
      </c>
      <c r="AL46" s="318" t="s">
        <v>2834</v>
      </c>
      <c r="AM46" s="320"/>
      <c r="BA46" s="170">
        <v>44</v>
      </c>
      <c r="BB46" s="170" t="s">
        <v>2954</v>
      </c>
      <c r="BC46" s="8" t="s">
        <v>2715</v>
      </c>
      <c r="BD46" s="170" t="s">
        <v>2955</v>
      </c>
      <c r="BE46" s="338" t="s">
        <v>2783</v>
      </c>
      <c r="BF46" s="341">
        <v>44733.435497685183</v>
      </c>
      <c r="BG46" s="341"/>
      <c r="BH46" s="341"/>
      <c r="BI46" s="341"/>
      <c r="BJ46" s="341"/>
      <c r="BK46" s="341"/>
      <c r="BL46" s="341"/>
      <c r="BM46" s="341"/>
      <c r="BN46" s="341"/>
      <c r="BO46" s="341"/>
      <c r="BP46" s="341"/>
      <c r="BQ46" s="341"/>
      <c r="BR46" s="341"/>
      <c r="BS46" s="341"/>
      <c r="BT46" s="341"/>
      <c r="BU46" s="341"/>
      <c r="BV46" s="341"/>
      <c r="BW46" s="341"/>
      <c r="BX46" s="341"/>
      <c r="BY46" s="8"/>
      <c r="BZ46" s="341"/>
      <c r="CA46" s="329" t="s">
        <v>2950</v>
      </c>
      <c r="CB46" s="342" t="s">
        <v>2951</v>
      </c>
      <c r="CC46" s="329" t="s">
        <v>2749</v>
      </c>
      <c r="CD46" s="329" t="s">
        <v>2956</v>
      </c>
      <c r="CE46" s="329" t="s">
        <v>2693</v>
      </c>
      <c r="CF46" s="329" t="s">
        <v>1783</v>
      </c>
      <c r="CG46" s="333">
        <v>45160</v>
      </c>
    </row>
    <row r="47" spans="27:85" ht="15.6">
      <c r="AA47" s="315">
        <v>45103</v>
      </c>
      <c r="AB47" s="308">
        <v>45103</v>
      </c>
      <c r="AC47" s="129" t="s">
        <v>2691</v>
      </c>
      <c r="AD47" s="129" t="s">
        <v>2957</v>
      </c>
      <c r="AE47" s="317" t="s">
        <v>488</v>
      </c>
      <c r="AF47" s="318"/>
      <c r="AG47" s="847">
        <v>4</v>
      </c>
      <c r="AH47" s="317" t="s">
        <v>488</v>
      </c>
      <c r="AI47" s="318"/>
      <c r="AJ47" s="847">
        <v>4</v>
      </c>
      <c r="AK47" s="847" t="s">
        <v>2693</v>
      </c>
      <c r="AL47" s="318" t="s">
        <v>2834</v>
      </c>
      <c r="AM47" s="320"/>
      <c r="BA47" s="170">
        <v>45</v>
      </c>
      <c r="BB47" s="170" t="s">
        <v>2958</v>
      </c>
      <c r="BC47" s="8" t="s">
        <v>2715</v>
      </c>
      <c r="BD47" s="170" t="s">
        <v>2959</v>
      </c>
      <c r="BE47" s="338" t="s">
        <v>2783</v>
      </c>
      <c r="BF47" s="341">
        <v>44733.435624999998</v>
      </c>
      <c r="BG47" s="341"/>
      <c r="BH47" s="341"/>
      <c r="BI47" s="341"/>
      <c r="BJ47" s="341"/>
      <c r="BK47" s="341"/>
      <c r="BL47" s="341"/>
      <c r="BM47" s="341"/>
      <c r="BN47" s="341"/>
      <c r="BO47" s="341"/>
      <c r="BP47" s="341"/>
      <c r="BQ47" s="341"/>
      <c r="BR47" s="341"/>
      <c r="BS47" s="341"/>
      <c r="BT47" s="341"/>
      <c r="BU47" s="341"/>
      <c r="BV47" s="341"/>
      <c r="BW47" s="341"/>
      <c r="BX47" s="341"/>
      <c r="BY47" s="8"/>
      <c r="BZ47" s="341"/>
      <c r="CA47" s="329" t="s">
        <v>2960</v>
      </c>
      <c r="CB47" s="342" t="s">
        <v>2961</v>
      </c>
      <c r="CC47" s="329" t="s">
        <v>2852</v>
      </c>
      <c r="CD47" s="329" t="s">
        <v>2962</v>
      </c>
      <c r="CE47" s="329" t="s">
        <v>2693</v>
      </c>
      <c r="CF47" s="329" t="s">
        <v>1783</v>
      </c>
      <c r="CG47" s="333">
        <v>45160</v>
      </c>
    </row>
    <row r="48" spans="27:85" ht="15.6">
      <c r="AA48" s="315">
        <v>45101</v>
      </c>
      <c r="AB48" s="308">
        <v>45101</v>
      </c>
      <c r="AC48" s="129" t="s">
        <v>2691</v>
      </c>
      <c r="AD48" s="129" t="s">
        <v>2963</v>
      </c>
      <c r="AE48" s="317" t="s">
        <v>488</v>
      </c>
      <c r="AF48" s="318"/>
      <c r="AG48" s="847">
        <v>4</v>
      </c>
      <c r="AH48" s="317" t="s">
        <v>488</v>
      </c>
      <c r="AI48" s="318"/>
      <c r="AJ48" s="847">
        <v>4</v>
      </c>
      <c r="AK48" s="847" t="s">
        <v>2693</v>
      </c>
      <c r="AL48" s="318" t="s">
        <v>2834</v>
      </c>
      <c r="AM48" s="320"/>
      <c r="BA48" s="170">
        <v>46</v>
      </c>
      <c r="BB48" s="170" t="s">
        <v>2964</v>
      </c>
      <c r="BC48" s="8" t="s">
        <v>2715</v>
      </c>
      <c r="BD48" s="170" t="s">
        <v>2965</v>
      </c>
      <c r="BE48" s="338" t="s">
        <v>2783</v>
      </c>
      <c r="BF48" s="341">
        <v>44733.435671296298</v>
      </c>
      <c r="BG48" s="341"/>
      <c r="BH48" s="341"/>
      <c r="BI48" s="341"/>
      <c r="BJ48" s="341"/>
      <c r="BK48" s="341"/>
      <c r="BL48" s="341"/>
      <c r="BM48" s="341"/>
      <c r="BN48" s="341"/>
      <c r="BO48" s="341"/>
      <c r="BP48" s="341"/>
      <c r="BQ48" s="341"/>
      <c r="BR48" s="341"/>
      <c r="BS48" s="341"/>
      <c r="BT48" s="341"/>
      <c r="BU48" s="341"/>
      <c r="BV48" s="341"/>
      <c r="BW48" s="341"/>
      <c r="BX48" s="341"/>
      <c r="BY48" s="8"/>
      <c r="BZ48" s="341"/>
      <c r="CA48" s="329" t="s">
        <v>2966</v>
      </c>
      <c r="CB48" s="342" t="s">
        <v>2967</v>
      </c>
      <c r="CC48" s="329" t="s">
        <v>2701</v>
      </c>
      <c r="CD48" s="329" t="s">
        <v>2968</v>
      </c>
      <c r="CE48" s="329" t="s">
        <v>2693</v>
      </c>
      <c r="CF48" s="329" t="s">
        <v>1783</v>
      </c>
      <c r="CG48" s="333">
        <v>45160</v>
      </c>
    </row>
    <row r="49" spans="27:85" ht="15.6">
      <c r="AA49" s="315">
        <v>45100</v>
      </c>
      <c r="AB49" s="308">
        <v>45100</v>
      </c>
      <c r="AC49" s="129" t="s">
        <v>2691</v>
      </c>
      <c r="AD49" s="129" t="s">
        <v>2969</v>
      </c>
      <c r="AE49" s="317" t="s">
        <v>488</v>
      </c>
      <c r="AF49" s="318"/>
      <c r="AG49" s="847">
        <v>4</v>
      </c>
      <c r="AH49" s="317" t="s">
        <v>488</v>
      </c>
      <c r="AI49" s="318"/>
      <c r="AJ49" s="847">
        <v>4</v>
      </c>
      <c r="AK49" s="847" t="s">
        <v>2693</v>
      </c>
      <c r="AL49" s="318" t="s">
        <v>2834</v>
      </c>
      <c r="AM49" s="320"/>
      <c r="BA49">
        <v>49</v>
      </c>
      <c r="BB49" t="s">
        <v>2964</v>
      </c>
      <c r="BC49" s="7" t="s">
        <v>2715</v>
      </c>
      <c r="BD49" t="s">
        <v>2970</v>
      </c>
      <c r="BE49" t="s">
        <v>2783</v>
      </c>
      <c r="BF49" s="340">
        <v>44817.607037037036</v>
      </c>
      <c r="BG49" s="340"/>
      <c r="BH49" s="340"/>
      <c r="BI49" s="340"/>
      <c r="BJ49" s="340"/>
      <c r="BK49" s="340"/>
      <c r="BL49" s="340"/>
      <c r="BM49" s="340"/>
      <c r="BN49" s="340"/>
      <c r="BO49" s="340"/>
      <c r="BP49" s="340"/>
      <c r="BQ49" s="340"/>
      <c r="BR49" s="340"/>
      <c r="BS49" s="340"/>
      <c r="BT49" s="340"/>
      <c r="BU49" s="340"/>
      <c r="BV49" s="340"/>
      <c r="BW49" s="340"/>
      <c r="BX49" s="340"/>
      <c r="BY49" s="8"/>
      <c r="BZ49" s="340"/>
      <c r="CA49" s="329" t="s">
        <v>737</v>
      </c>
      <c r="CB49" s="342" t="s">
        <v>738</v>
      </c>
      <c r="CC49" s="329" t="s">
        <v>2859</v>
      </c>
      <c r="CD49" s="329" t="s">
        <v>2971</v>
      </c>
      <c r="CE49" s="329" t="s">
        <v>2693</v>
      </c>
      <c r="CF49" s="329" t="s">
        <v>1783</v>
      </c>
      <c r="CG49" s="333">
        <v>45160</v>
      </c>
    </row>
    <row r="50" spans="27:85" ht="15.6">
      <c r="AA50" s="315">
        <v>45099</v>
      </c>
      <c r="AB50" s="308">
        <v>45099</v>
      </c>
      <c r="AC50" s="129" t="s">
        <v>2691</v>
      </c>
      <c r="AD50" s="129" t="s">
        <v>2972</v>
      </c>
      <c r="AE50" s="317" t="s">
        <v>488</v>
      </c>
      <c r="AF50" s="318"/>
      <c r="AG50" s="847">
        <v>4</v>
      </c>
      <c r="AH50" s="317" t="s">
        <v>488</v>
      </c>
      <c r="AI50" s="318"/>
      <c r="AJ50" s="847">
        <v>4</v>
      </c>
      <c r="AK50" s="847" t="s">
        <v>2693</v>
      </c>
      <c r="AL50" s="318" t="s">
        <v>2834</v>
      </c>
      <c r="AM50" s="320"/>
      <c r="BA50">
        <v>4</v>
      </c>
      <c r="BB50" t="s">
        <v>2973</v>
      </c>
      <c r="BC50" s="8" t="s">
        <v>2449</v>
      </c>
      <c r="BD50" s="170" t="str">
        <f>Table12612717[[#This Row],[Worker Code]]&amp;"-"&amp;Table12612717[[#This Row],[Activity Description]]</f>
        <v>4-Concreting</v>
      </c>
      <c r="BE50" s="338" t="s">
        <v>1783</v>
      </c>
      <c r="BF50" s="8" t="s">
        <v>2698</v>
      </c>
      <c r="BG50" s="8"/>
      <c r="BH50" s="8"/>
      <c r="BI50" s="8"/>
      <c r="BJ50" s="8"/>
      <c r="BK50" s="8"/>
      <c r="BL50" s="8"/>
      <c r="BM50" s="8"/>
      <c r="BN50" s="8"/>
      <c r="BO50" s="8"/>
      <c r="BP50" s="8"/>
      <c r="BQ50" s="8"/>
      <c r="BR50" s="8"/>
      <c r="BS50" s="8"/>
      <c r="BT50" s="8"/>
      <c r="BU50" s="8"/>
      <c r="BV50" s="8"/>
      <c r="BW50" s="8"/>
      <c r="BX50" s="8"/>
      <c r="BY50" s="8"/>
      <c r="BZ50" s="8"/>
      <c r="CA50" s="329" t="s">
        <v>2974</v>
      </c>
      <c r="CB50" s="342" t="s">
        <v>2975</v>
      </c>
      <c r="CC50" s="329" t="s">
        <v>2749</v>
      </c>
      <c r="CD50" s="329" t="s">
        <v>2976</v>
      </c>
      <c r="CE50" s="329" t="s">
        <v>2693</v>
      </c>
      <c r="CF50" s="329" t="s">
        <v>1783</v>
      </c>
      <c r="CG50" s="333">
        <v>45160</v>
      </c>
    </row>
    <row r="51" spans="27:85" ht="15.6">
      <c r="AA51" s="315">
        <v>45098</v>
      </c>
      <c r="AB51" s="308">
        <v>45098</v>
      </c>
      <c r="AC51" s="129" t="s">
        <v>2691</v>
      </c>
      <c r="AD51" s="129" t="s">
        <v>2977</v>
      </c>
      <c r="AE51" s="317" t="s">
        <v>488</v>
      </c>
      <c r="AF51" s="318"/>
      <c r="AG51" s="847">
        <v>4</v>
      </c>
      <c r="AH51" s="317" t="s">
        <v>488</v>
      </c>
      <c r="AI51" s="318"/>
      <c r="AJ51" s="847">
        <v>4</v>
      </c>
      <c r="AK51" s="847" t="s">
        <v>2693</v>
      </c>
      <c r="AL51" s="318" t="s">
        <v>2834</v>
      </c>
      <c r="AM51" s="320"/>
      <c r="BA51" s="170">
        <v>4</v>
      </c>
      <c r="BB51" s="170" t="s">
        <v>2973</v>
      </c>
      <c r="BC51" s="8" t="s">
        <v>2799</v>
      </c>
      <c r="BD51" s="170" t="s">
        <v>2978</v>
      </c>
      <c r="BE51" s="338" t="s">
        <v>1783</v>
      </c>
      <c r="BF51" s="8" t="s">
        <v>2979</v>
      </c>
      <c r="BG51" s="8"/>
      <c r="BH51" s="8"/>
      <c r="BI51" s="8"/>
      <c r="BJ51" s="8"/>
      <c r="BK51" s="8"/>
      <c r="BL51" s="8"/>
      <c r="BM51" s="8"/>
      <c r="BN51" s="8"/>
      <c r="BO51" s="8"/>
      <c r="BP51" s="8"/>
      <c r="BQ51" s="8"/>
      <c r="BR51" s="8"/>
      <c r="BS51" s="8"/>
      <c r="BT51" s="8"/>
      <c r="BU51" s="8"/>
      <c r="BV51" s="8"/>
      <c r="BW51" s="8"/>
      <c r="BX51" s="8"/>
      <c r="BY51" s="8"/>
      <c r="BZ51" s="8"/>
      <c r="CA51" s="329" t="s">
        <v>751</v>
      </c>
      <c r="CB51" s="342" t="s">
        <v>752</v>
      </c>
      <c r="CC51" s="329" t="s">
        <v>2980</v>
      </c>
      <c r="CD51" s="329" t="s">
        <v>2981</v>
      </c>
      <c r="CE51" s="329" t="s">
        <v>2693</v>
      </c>
      <c r="CF51" s="329" t="s">
        <v>1783</v>
      </c>
      <c r="CG51" s="333">
        <v>45160</v>
      </c>
    </row>
    <row r="52" spans="27:85" ht="15.6">
      <c r="AA52" s="315">
        <v>45097</v>
      </c>
      <c r="AB52" s="308">
        <v>45097</v>
      </c>
      <c r="AC52" s="129" t="s">
        <v>2691</v>
      </c>
      <c r="AD52" s="129" t="s">
        <v>2982</v>
      </c>
      <c r="AE52" s="317" t="s">
        <v>488</v>
      </c>
      <c r="AF52" s="318"/>
      <c r="AG52" s="847">
        <v>4</v>
      </c>
      <c r="AH52" s="317" t="s">
        <v>488</v>
      </c>
      <c r="AI52" s="318"/>
      <c r="AJ52" s="847">
        <v>4</v>
      </c>
      <c r="AK52" s="847" t="s">
        <v>2693</v>
      </c>
      <c r="AL52" s="318" t="s">
        <v>2834</v>
      </c>
      <c r="AM52" s="320"/>
      <c r="BA52" s="170">
        <v>4</v>
      </c>
      <c r="BB52" s="170" t="s">
        <v>2973</v>
      </c>
      <c r="BC52" s="8" t="s">
        <v>2790</v>
      </c>
      <c r="BD52" s="170" t="str">
        <f>Table12612717[[#This Row],[Worker Code]]&amp;"-"&amp;Table12612717[[#This Row],[Activity Description]]</f>
        <v>4-House Cleaning</v>
      </c>
      <c r="BE52" s="338" t="s">
        <v>1783</v>
      </c>
      <c r="BF52" s="8" t="s">
        <v>2698</v>
      </c>
      <c r="BG52" s="8"/>
      <c r="BH52" s="8"/>
      <c r="BI52" s="8"/>
      <c r="BJ52" s="8"/>
      <c r="BK52" s="8"/>
      <c r="BL52" s="8"/>
      <c r="BM52" s="8"/>
      <c r="BN52" s="8"/>
      <c r="BO52" s="8"/>
      <c r="BP52" s="8"/>
      <c r="BQ52" s="8"/>
      <c r="BR52" s="8"/>
      <c r="BS52" s="8"/>
      <c r="BT52" s="8"/>
      <c r="BU52" s="8"/>
      <c r="BV52" s="8"/>
      <c r="BW52" s="8"/>
      <c r="BX52" s="8"/>
      <c r="BY52" s="8"/>
      <c r="BZ52" s="8"/>
      <c r="CA52" s="329" t="s">
        <v>2983</v>
      </c>
      <c r="CB52" s="342" t="s">
        <v>2984</v>
      </c>
      <c r="CC52" s="329" t="s">
        <v>2701</v>
      </c>
      <c r="CD52" s="329" t="s">
        <v>2985</v>
      </c>
      <c r="CE52" s="329" t="s">
        <v>2693</v>
      </c>
      <c r="CF52" s="329" t="s">
        <v>1783</v>
      </c>
      <c r="CG52" s="333">
        <v>45160</v>
      </c>
    </row>
    <row r="53" spans="27:85" ht="15.6">
      <c r="AA53" s="315">
        <v>45096</v>
      </c>
      <c r="AB53" s="308">
        <v>45096</v>
      </c>
      <c r="AC53" s="129" t="s">
        <v>2691</v>
      </c>
      <c r="AD53" s="129" t="s">
        <v>2986</v>
      </c>
      <c r="AE53" s="317" t="s">
        <v>488</v>
      </c>
      <c r="AF53" s="318"/>
      <c r="AG53" s="847">
        <v>4</v>
      </c>
      <c r="AH53" s="317" t="s">
        <v>488</v>
      </c>
      <c r="AI53" s="318"/>
      <c r="AJ53" s="847">
        <v>4</v>
      </c>
      <c r="AK53" s="847" t="s">
        <v>2693</v>
      </c>
      <c r="AL53" s="318" t="s">
        <v>2834</v>
      </c>
      <c r="AM53" s="320"/>
      <c r="BA53" s="170">
        <v>4</v>
      </c>
      <c r="BB53" s="170" t="s">
        <v>2973</v>
      </c>
      <c r="BC53" s="8" t="s">
        <v>751</v>
      </c>
      <c r="BD53" s="170" t="str">
        <f>Table12612717[[#This Row],[Worker Code]]&amp;"-"&amp;Table12612717[[#This Row],[Activity Description]]</f>
        <v>4-Site Security</v>
      </c>
      <c r="BE53" s="338" t="s">
        <v>1783</v>
      </c>
      <c r="BF53" s="8" t="s">
        <v>2698</v>
      </c>
      <c r="BG53" s="8"/>
      <c r="BH53" s="8"/>
      <c r="BI53" s="8"/>
      <c r="BJ53" s="8"/>
      <c r="BK53" s="8"/>
      <c r="BL53" s="8"/>
      <c r="BM53" s="8"/>
      <c r="BN53" s="8"/>
      <c r="BO53" s="8"/>
      <c r="BP53" s="8"/>
      <c r="BQ53" s="8"/>
      <c r="BR53" s="8"/>
      <c r="BS53" s="8"/>
      <c r="BT53" s="8"/>
      <c r="BU53" s="8"/>
      <c r="BV53" s="8"/>
      <c r="BW53" s="8"/>
      <c r="BX53" s="8"/>
      <c r="BY53" s="8"/>
      <c r="BZ53" s="8"/>
      <c r="CA53" s="329" t="s">
        <v>2987</v>
      </c>
      <c r="CB53" s="342" t="s">
        <v>2988</v>
      </c>
      <c r="CC53" s="329" t="s">
        <v>601</v>
      </c>
      <c r="CD53" s="329" t="s">
        <v>2989</v>
      </c>
      <c r="CE53" s="329" t="s">
        <v>2693</v>
      </c>
      <c r="CF53" s="329" t="s">
        <v>1783</v>
      </c>
      <c r="CG53" s="333">
        <v>45160</v>
      </c>
    </row>
    <row r="54" spans="27:85" ht="15.6">
      <c r="AA54" s="315">
        <v>45094</v>
      </c>
      <c r="AB54" s="308">
        <v>45094</v>
      </c>
      <c r="AC54" s="129" t="s">
        <v>2691</v>
      </c>
      <c r="AD54" s="129" t="s">
        <v>2990</v>
      </c>
      <c r="AE54" s="317" t="s">
        <v>488</v>
      </c>
      <c r="AF54" s="318"/>
      <c r="AG54" s="847">
        <v>4</v>
      </c>
      <c r="AH54" s="317" t="s">
        <v>488</v>
      </c>
      <c r="AI54" s="318"/>
      <c r="AJ54" s="847">
        <v>4</v>
      </c>
      <c r="AK54" s="847" t="s">
        <v>2693</v>
      </c>
      <c r="AL54" s="318" t="s">
        <v>2834</v>
      </c>
      <c r="AM54" s="320"/>
      <c r="BA54" s="170">
        <v>4</v>
      </c>
      <c r="BB54" s="170" t="s">
        <v>2973</v>
      </c>
      <c r="BC54" s="8" t="s">
        <v>2862</v>
      </c>
      <c r="BD54" s="170" t="s">
        <v>2991</v>
      </c>
      <c r="BE54" s="338" t="s">
        <v>2783</v>
      </c>
      <c r="BF54" s="341">
        <v>44621.372418981482</v>
      </c>
      <c r="BG54" s="341"/>
      <c r="BH54" s="341"/>
      <c r="BI54" s="341"/>
      <c r="BJ54" s="341"/>
      <c r="BK54" s="341"/>
      <c r="BL54" s="341"/>
      <c r="BM54" s="341"/>
      <c r="BN54" s="341"/>
      <c r="BO54" s="341"/>
      <c r="BP54" s="341"/>
      <c r="BQ54" s="341"/>
      <c r="BR54" s="341"/>
      <c r="BS54" s="341"/>
      <c r="BT54" s="341"/>
      <c r="BU54" s="341"/>
      <c r="BV54" s="341"/>
      <c r="BW54" s="341"/>
      <c r="BX54" s="341"/>
      <c r="BY54" s="8"/>
      <c r="BZ54" s="341"/>
      <c r="CA54" s="329" t="s">
        <v>2992</v>
      </c>
      <c r="CB54" s="342" t="s">
        <v>2992</v>
      </c>
      <c r="CC54" s="329" t="s">
        <v>2993</v>
      </c>
      <c r="CD54" s="329" t="s">
        <v>2994</v>
      </c>
      <c r="CE54" s="329" t="s">
        <v>2693</v>
      </c>
      <c r="CF54" s="329" t="s">
        <v>1783</v>
      </c>
      <c r="CG54" s="333">
        <v>45160</v>
      </c>
    </row>
    <row r="55" spans="27:85" ht="15.6">
      <c r="AA55" s="315">
        <v>45093</v>
      </c>
      <c r="AB55" s="308">
        <v>45093</v>
      </c>
      <c r="AC55" s="129" t="s">
        <v>2691</v>
      </c>
      <c r="AD55" s="129" t="s">
        <v>2995</v>
      </c>
      <c r="AE55" s="317" t="s">
        <v>488</v>
      </c>
      <c r="AF55" s="318"/>
      <c r="AG55" s="847">
        <v>4</v>
      </c>
      <c r="AH55" s="317" t="s">
        <v>488</v>
      </c>
      <c r="AI55" s="318"/>
      <c r="AJ55" s="847">
        <v>4</v>
      </c>
      <c r="AK55" s="847" t="s">
        <v>2693</v>
      </c>
      <c r="AL55" s="318" t="s">
        <v>2834</v>
      </c>
      <c r="AM55" s="320"/>
      <c r="BA55" s="170"/>
      <c r="BB55" s="170"/>
      <c r="BC55" s="8"/>
      <c r="BD55" s="170"/>
      <c r="BE55" s="338"/>
      <c r="BF55" s="341"/>
      <c r="BG55" s="341"/>
      <c r="BH55" s="341"/>
      <c r="BI55" s="341"/>
      <c r="BJ55" s="341"/>
      <c r="BK55" s="341"/>
      <c r="BL55" s="341"/>
      <c r="BM55" s="341"/>
      <c r="BN55" s="341"/>
      <c r="BO55" s="341"/>
      <c r="BP55" s="341"/>
      <c r="BQ55" s="341"/>
      <c r="BR55" s="341"/>
      <c r="BS55" s="341"/>
      <c r="BT55" s="341"/>
      <c r="BU55" s="341"/>
      <c r="BV55" s="341"/>
      <c r="BW55" s="341"/>
      <c r="BX55" s="341"/>
      <c r="BY55" s="8"/>
      <c r="BZ55" s="341"/>
      <c r="CA55" s="329" t="s">
        <v>2996</v>
      </c>
      <c r="CB55" s="342" t="s">
        <v>2997</v>
      </c>
      <c r="CC55" s="329" t="s">
        <v>601</v>
      </c>
      <c r="CD55" s="329" t="s">
        <v>2998</v>
      </c>
      <c r="CE55" s="329" t="s">
        <v>2693</v>
      </c>
      <c r="CF55" s="329" t="s">
        <v>1783</v>
      </c>
      <c r="CG55" s="333">
        <v>45160</v>
      </c>
    </row>
    <row r="56" spans="27:85" ht="15.6">
      <c r="AA56" s="315">
        <v>45092</v>
      </c>
      <c r="AB56" s="308">
        <v>45092</v>
      </c>
      <c r="AC56" s="129" t="s">
        <v>2691</v>
      </c>
      <c r="AD56" s="129" t="s">
        <v>2999</v>
      </c>
      <c r="AE56" s="317" t="s">
        <v>488</v>
      </c>
      <c r="AF56" s="318"/>
      <c r="AG56" s="847">
        <v>4</v>
      </c>
      <c r="AH56" s="317" t="s">
        <v>488</v>
      </c>
      <c r="AI56" s="318"/>
      <c r="AJ56" s="847">
        <v>4</v>
      </c>
      <c r="AK56" s="847" t="s">
        <v>2693</v>
      </c>
      <c r="AL56" s="318" t="s">
        <v>2834</v>
      </c>
      <c r="AM56" s="320"/>
      <c r="BA56" s="170"/>
      <c r="BB56" s="170"/>
      <c r="BC56" s="8"/>
      <c r="BD56" s="170"/>
      <c r="BE56" s="338"/>
      <c r="BF56" s="341"/>
      <c r="BG56" s="341"/>
      <c r="BH56" s="341"/>
      <c r="BI56" s="341"/>
      <c r="BJ56" s="341"/>
      <c r="BK56" s="341"/>
      <c r="BL56" s="341"/>
      <c r="BM56" s="341"/>
      <c r="BN56" s="341"/>
      <c r="BO56" s="341"/>
      <c r="BP56" s="341"/>
      <c r="BQ56" s="341"/>
      <c r="BR56" s="341"/>
      <c r="BS56" s="341"/>
      <c r="BT56" s="341"/>
      <c r="BU56" s="341"/>
      <c r="BV56" s="341"/>
      <c r="BW56" s="341"/>
      <c r="BX56" s="341"/>
      <c r="BY56" s="8"/>
      <c r="BZ56" s="341"/>
      <c r="CA56" s="329" t="s">
        <v>3000</v>
      </c>
      <c r="CB56" s="342" t="s">
        <v>3001</v>
      </c>
      <c r="CC56" s="329" t="s">
        <v>2859</v>
      </c>
      <c r="CD56" s="329" t="s">
        <v>3002</v>
      </c>
      <c r="CE56" s="329" t="s">
        <v>2693</v>
      </c>
      <c r="CF56" s="329" t="s">
        <v>1783</v>
      </c>
      <c r="CG56" s="333">
        <v>45160</v>
      </c>
    </row>
    <row r="57" spans="27:85" ht="15.6">
      <c r="AA57" s="315">
        <v>45091</v>
      </c>
      <c r="AB57" s="308">
        <v>45091</v>
      </c>
      <c r="AC57" s="129" t="s">
        <v>2691</v>
      </c>
      <c r="AD57" s="129" t="s">
        <v>3003</v>
      </c>
      <c r="AE57" s="317" t="s">
        <v>549</v>
      </c>
      <c r="AF57" s="318"/>
      <c r="AG57" s="847">
        <v>4</v>
      </c>
      <c r="AH57" s="317" t="s">
        <v>518</v>
      </c>
      <c r="AI57" s="318"/>
      <c r="AJ57" s="847">
        <v>4</v>
      </c>
      <c r="AK57" s="847" t="s">
        <v>2693</v>
      </c>
      <c r="AL57" s="318" t="s">
        <v>2834</v>
      </c>
      <c r="AM57" s="320"/>
      <c r="BA57" s="170"/>
      <c r="BB57" s="170"/>
      <c r="BC57" s="8"/>
      <c r="BD57" s="170"/>
      <c r="BE57" s="338"/>
      <c r="BF57" s="341"/>
      <c r="BG57" s="341"/>
      <c r="BH57" s="341"/>
      <c r="BI57" s="341"/>
      <c r="BJ57" s="341"/>
      <c r="BK57" s="341"/>
      <c r="BL57" s="341"/>
      <c r="BM57" s="341"/>
      <c r="BN57" s="341"/>
      <c r="BO57" s="341"/>
      <c r="BP57" s="341"/>
      <c r="BQ57" s="341"/>
      <c r="BR57" s="341"/>
      <c r="BS57" s="341"/>
      <c r="BT57" s="341"/>
      <c r="BU57" s="341"/>
      <c r="BV57" s="341"/>
      <c r="BW57" s="341"/>
      <c r="BX57" s="341"/>
      <c r="BY57" s="8"/>
      <c r="BZ57" s="341"/>
      <c r="CA57" s="329" t="s">
        <v>3004</v>
      </c>
      <c r="CB57" s="342" t="s">
        <v>3005</v>
      </c>
      <c r="CC57" s="329" t="s">
        <v>2736</v>
      </c>
      <c r="CD57" s="329" t="s">
        <v>3006</v>
      </c>
      <c r="CE57" s="329" t="s">
        <v>2693</v>
      </c>
      <c r="CF57" s="329" t="s">
        <v>1783</v>
      </c>
      <c r="CG57" s="333">
        <v>45160</v>
      </c>
    </row>
    <row r="58" spans="27:85" ht="15.6">
      <c r="AA58" s="315">
        <v>45090</v>
      </c>
      <c r="AB58" s="308">
        <v>45090</v>
      </c>
      <c r="AC58" s="129" t="s">
        <v>2691</v>
      </c>
      <c r="AD58" s="129" t="s">
        <v>3007</v>
      </c>
      <c r="AE58" s="317" t="s">
        <v>488</v>
      </c>
      <c r="AF58" s="318"/>
      <c r="AG58" s="847">
        <v>4</v>
      </c>
      <c r="AH58" s="317" t="s">
        <v>488</v>
      </c>
      <c r="AI58" s="318"/>
      <c r="AJ58" s="847">
        <v>4</v>
      </c>
      <c r="AK58" s="847" t="s">
        <v>2693</v>
      </c>
      <c r="AL58" s="318" t="s">
        <v>2834</v>
      </c>
      <c r="AM58" s="320"/>
      <c r="BA58" s="170"/>
      <c r="BB58" s="170"/>
      <c r="BC58" s="8"/>
      <c r="BD58" s="170"/>
      <c r="BE58" s="338"/>
      <c r="BF58" s="341"/>
      <c r="BG58" s="341"/>
      <c r="BH58" s="341"/>
      <c r="BI58" s="341"/>
      <c r="BJ58" s="341"/>
      <c r="BK58" s="341"/>
      <c r="BL58" s="341"/>
      <c r="BM58" s="341"/>
      <c r="BN58" s="341"/>
      <c r="BO58" s="341"/>
      <c r="BP58" s="341"/>
      <c r="BQ58" s="341"/>
      <c r="BR58" s="341"/>
      <c r="BS58" s="341"/>
      <c r="BT58" s="341"/>
      <c r="BU58" s="341"/>
      <c r="BV58" s="341"/>
      <c r="BW58" s="341"/>
      <c r="BX58" s="341"/>
      <c r="BY58" s="8"/>
      <c r="BZ58" s="341"/>
      <c r="CA58" s="329" t="s">
        <v>3008</v>
      </c>
      <c r="CB58" s="343" t="s">
        <v>3009</v>
      </c>
      <c r="CC58" s="329" t="s">
        <v>2709</v>
      </c>
      <c r="CD58" s="329" t="s">
        <v>3010</v>
      </c>
      <c r="CE58" s="329" t="s">
        <v>2693</v>
      </c>
      <c r="CF58" s="329" t="s">
        <v>1783</v>
      </c>
      <c r="CG58" s="333">
        <v>45160</v>
      </c>
    </row>
    <row r="59" spans="27:85" ht="15.6">
      <c r="AA59" s="315">
        <v>45089</v>
      </c>
      <c r="AB59" s="308">
        <v>45089</v>
      </c>
      <c r="AC59" s="129" t="s">
        <v>2691</v>
      </c>
      <c r="AD59" s="129" t="s">
        <v>3011</v>
      </c>
      <c r="AE59" s="317" t="s">
        <v>488</v>
      </c>
      <c r="AF59" s="318"/>
      <c r="AG59" s="847">
        <v>4</v>
      </c>
      <c r="AH59" s="317" t="s">
        <v>488</v>
      </c>
      <c r="AI59" s="318"/>
      <c r="AJ59" s="847">
        <v>4</v>
      </c>
      <c r="AK59" s="847" t="s">
        <v>2693</v>
      </c>
      <c r="AL59" s="318" t="s">
        <v>2834</v>
      </c>
      <c r="AM59" s="320"/>
      <c r="BA59" s="170"/>
      <c r="BB59" s="170"/>
      <c r="BC59" s="8"/>
      <c r="BD59" s="170"/>
      <c r="BE59" s="338"/>
      <c r="BF59" s="341"/>
      <c r="BG59" s="341"/>
      <c r="BH59" s="341"/>
      <c r="BI59" s="341"/>
      <c r="BJ59" s="341"/>
      <c r="BK59" s="341"/>
      <c r="BL59" s="341"/>
      <c r="BM59" s="341"/>
      <c r="BN59" s="341"/>
      <c r="BO59" s="341"/>
      <c r="BP59" s="341"/>
      <c r="BQ59" s="341"/>
      <c r="BR59" s="341"/>
      <c r="BS59" s="341"/>
      <c r="BT59" s="341"/>
      <c r="BU59" s="341"/>
      <c r="BV59" s="341"/>
      <c r="BW59" s="341"/>
      <c r="BX59" s="341"/>
      <c r="BY59" s="341"/>
      <c r="BZ59" s="341"/>
      <c r="CA59" s="329"/>
      <c r="CB59" s="329"/>
      <c r="CC59" s="329"/>
      <c r="CD59" s="329"/>
      <c r="CE59" s="329"/>
      <c r="CF59" s="329"/>
      <c r="CG59" s="330"/>
    </row>
    <row r="60" spans="27:85" ht="15.6">
      <c r="AA60" s="315">
        <v>45087</v>
      </c>
      <c r="AB60" s="308">
        <v>45087</v>
      </c>
      <c r="AC60" s="129" t="s">
        <v>2691</v>
      </c>
      <c r="AD60" s="129" t="s">
        <v>3012</v>
      </c>
      <c r="AE60" s="317" t="s">
        <v>488</v>
      </c>
      <c r="AF60" s="318"/>
      <c r="AG60" s="847">
        <v>4</v>
      </c>
      <c r="AH60" s="317" t="s">
        <v>488</v>
      </c>
      <c r="AI60" s="318"/>
      <c r="AJ60" s="847">
        <v>4</v>
      </c>
      <c r="AK60" s="847" t="s">
        <v>2693</v>
      </c>
      <c r="AL60" s="318" t="s">
        <v>2834</v>
      </c>
      <c r="AM60" s="320"/>
      <c r="BA60" s="170"/>
      <c r="BB60" s="170"/>
      <c r="BC60" s="8"/>
      <c r="BD60" s="170"/>
      <c r="BE60" s="338"/>
      <c r="BF60" s="341"/>
      <c r="BG60" s="341"/>
      <c r="BH60" s="341"/>
      <c r="BI60" s="341"/>
      <c r="BJ60" s="341"/>
      <c r="BK60" s="341"/>
      <c r="BL60" s="341"/>
      <c r="BM60" s="341"/>
      <c r="BN60" s="341"/>
      <c r="BO60" s="341"/>
      <c r="BP60" s="341"/>
      <c r="BQ60" s="341"/>
      <c r="BR60" s="341"/>
      <c r="BS60" s="341"/>
      <c r="BT60" s="341"/>
      <c r="BU60" s="341"/>
      <c r="BV60" s="341"/>
      <c r="BW60" s="341"/>
      <c r="BX60" s="341"/>
      <c r="BY60" s="341"/>
      <c r="BZ60" s="341"/>
      <c r="CA60" s="329"/>
      <c r="CB60" s="329"/>
      <c r="CC60" s="329"/>
      <c r="CD60" s="329"/>
      <c r="CE60" s="329"/>
      <c r="CF60" s="329"/>
      <c r="CG60" s="330"/>
    </row>
    <row r="61" spans="27:85" ht="14.4">
      <c r="AA61" s="315">
        <v>45086</v>
      </c>
      <c r="AB61" s="308">
        <v>45086</v>
      </c>
      <c r="AC61" s="129" t="s">
        <v>2691</v>
      </c>
      <c r="AD61" s="129" t="s">
        <v>3013</v>
      </c>
      <c r="AE61" s="317" t="s">
        <v>488</v>
      </c>
      <c r="AF61" s="318"/>
      <c r="AG61" s="847">
        <v>4</v>
      </c>
      <c r="AH61" s="317" t="s">
        <v>488</v>
      </c>
      <c r="AI61" s="318"/>
      <c r="AJ61" s="847">
        <v>4</v>
      </c>
      <c r="AK61" s="847" t="s">
        <v>2693</v>
      </c>
      <c r="AL61" s="318" t="s">
        <v>2834</v>
      </c>
      <c r="AM61" s="320"/>
      <c r="BA61" s="170"/>
      <c r="BB61" s="170"/>
      <c r="BC61" s="8"/>
      <c r="BD61" s="170"/>
      <c r="BE61" s="338"/>
      <c r="BF61" s="341"/>
      <c r="BG61" s="341"/>
      <c r="BH61" s="341"/>
      <c r="BI61" s="341"/>
      <c r="BJ61" s="341"/>
      <c r="BK61" s="341"/>
      <c r="BL61" s="341"/>
      <c r="BM61" s="341"/>
      <c r="BN61" s="341"/>
      <c r="BO61" s="341"/>
      <c r="BP61" s="341"/>
      <c r="BQ61" s="341"/>
      <c r="BR61" s="341"/>
      <c r="BS61" s="341"/>
      <c r="BT61" s="341"/>
      <c r="BU61" s="341"/>
      <c r="BV61" s="341"/>
      <c r="BW61" s="341"/>
      <c r="BX61" s="341"/>
      <c r="BY61" s="341"/>
      <c r="BZ61" s="341"/>
    </row>
    <row r="62" spans="27:85" ht="14.4">
      <c r="AA62" s="315">
        <v>45085</v>
      </c>
      <c r="AB62" s="308">
        <v>45085</v>
      </c>
      <c r="AC62" s="129" t="s">
        <v>2691</v>
      </c>
      <c r="AD62" s="129" t="s">
        <v>3014</v>
      </c>
      <c r="AE62" s="317" t="s">
        <v>488</v>
      </c>
      <c r="AF62" s="318"/>
      <c r="AG62" s="847">
        <v>4</v>
      </c>
      <c r="AH62" s="317" t="s">
        <v>488</v>
      </c>
      <c r="AI62" s="318"/>
      <c r="AJ62" s="847">
        <v>4</v>
      </c>
      <c r="AK62" s="847" t="s">
        <v>2693</v>
      </c>
      <c r="AL62" s="318" t="s">
        <v>2834</v>
      </c>
      <c r="AM62" s="320"/>
    </row>
    <row r="63" spans="27:85" ht="14.4">
      <c r="AA63" s="315">
        <v>45084</v>
      </c>
      <c r="AB63" s="308">
        <v>45084</v>
      </c>
      <c r="AC63" s="129" t="s">
        <v>2691</v>
      </c>
      <c r="AD63" s="129" t="s">
        <v>3015</v>
      </c>
      <c r="AE63" s="317" t="s">
        <v>488</v>
      </c>
      <c r="AF63" s="318"/>
      <c r="AG63" s="847">
        <v>4</v>
      </c>
      <c r="AH63" s="317" t="s">
        <v>488</v>
      </c>
      <c r="AI63" s="318"/>
      <c r="AJ63" s="847">
        <v>4</v>
      </c>
      <c r="AK63" s="847" t="s">
        <v>2693</v>
      </c>
      <c r="AL63" s="318" t="s">
        <v>2834</v>
      </c>
      <c r="AM63" s="320"/>
    </row>
    <row r="64" spans="27:85" ht="14.4">
      <c r="AA64" s="315">
        <v>45083</v>
      </c>
      <c r="AB64" s="308">
        <v>45083</v>
      </c>
      <c r="AC64" s="129" t="s">
        <v>2691</v>
      </c>
      <c r="AD64" s="129" t="s">
        <v>3016</v>
      </c>
      <c r="AE64" s="317" t="s">
        <v>488</v>
      </c>
      <c r="AF64" s="318"/>
      <c r="AG64" s="847">
        <v>4</v>
      </c>
      <c r="AH64" s="317" t="s">
        <v>488</v>
      </c>
      <c r="AI64" s="318"/>
      <c r="AJ64" s="847">
        <v>4</v>
      </c>
      <c r="AK64" s="847" t="s">
        <v>2693</v>
      </c>
      <c r="AL64" s="318" t="s">
        <v>2834</v>
      </c>
      <c r="AM64" s="320"/>
    </row>
    <row r="65" spans="27:39" ht="14.4">
      <c r="AA65" s="315">
        <v>45080</v>
      </c>
      <c r="AB65" s="308">
        <v>45080</v>
      </c>
      <c r="AC65" s="129" t="s">
        <v>2691</v>
      </c>
      <c r="AD65" s="129" t="s">
        <v>3017</v>
      </c>
      <c r="AE65" s="317" t="s">
        <v>488</v>
      </c>
      <c r="AF65" s="318"/>
      <c r="AG65" s="847">
        <v>4</v>
      </c>
      <c r="AH65" s="317" t="s">
        <v>488</v>
      </c>
      <c r="AI65" s="318"/>
      <c r="AJ65" s="847">
        <v>4</v>
      </c>
      <c r="AK65" s="847" t="s">
        <v>2693</v>
      </c>
      <c r="AL65" s="318" t="s">
        <v>2834</v>
      </c>
      <c r="AM65" s="320"/>
    </row>
    <row r="66" spans="27:39" ht="14.4">
      <c r="AA66" s="315">
        <v>45079</v>
      </c>
      <c r="AB66" s="308">
        <v>45079</v>
      </c>
      <c r="AC66" s="129" t="s">
        <v>2691</v>
      </c>
      <c r="AD66" s="129" t="s">
        <v>3018</v>
      </c>
      <c r="AE66" s="317" t="s">
        <v>488</v>
      </c>
      <c r="AF66" s="318"/>
      <c r="AG66" s="847">
        <v>4</v>
      </c>
      <c r="AH66" s="317" t="s">
        <v>488</v>
      </c>
      <c r="AI66" s="318"/>
      <c r="AJ66" s="847">
        <v>4</v>
      </c>
      <c r="AK66" s="847" t="s">
        <v>2693</v>
      </c>
      <c r="AL66" s="318" t="s">
        <v>2834</v>
      </c>
      <c r="AM66" s="320"/>
    </row>
    <row r="67" spans="27:39" ht="14.4">
      <c r="AA67" s="315">
        <v>45078</v>
      </c>
      <c r="AB67" s="308">
        <v>45078</v>
      </c>
      <c r="AC67" s="129" t="s">
        <v>2691</v>
      </c>
      <c r="AD67" s="129" t="s">
        <v>3019</v>
      </c>
      <c r="AE67" s="317" t="s">
        <v>488</v>
      </c>
      <c r="AF67" s="318"/>
      <c r="AG67" s="847">
        <v>4</v>
      </c>
      <c r="AH67" s="317" t="s">
        <v>488</v>
      </c>
      <c r="AI67" s="318"/>
      <c r="AJ67" s="847">
        <v>4</v>
      </c>
      <c r="AK67" s="847" t="s">
        <v>2693</v>
      </c>
      <c r="AL67" s="318" t="s">
        <v>2834</v>
      </c>
      <c r="AM67" s="320"/>
    </row>
    <row r="68" spans="27:39" ht="14.4">
      <c r="AA68" s="315">
        <v>45077</v>
      </c>
      <c r="AB68" s="308">
        <v>45077</v>
      </c>
      <c r="AC68" s="129" t="s">
        <v>2691</v>
      </c>
      <c r="AD68" s="129" t="s">
        <v>3020</v>
      </c>
      <c r="AE68" s="317" t="s">
        <v>488</v>
      </c>
      <c r="AF68" s="318"/>
      <c r="AG68" s="847">
        <v>4</v>
      </c>
      <c r="AH68" s="317" t="s">
        <v>488</v>
      </c>
      <c r="AI68" s="318"/>
      <c r="AJ68" s="847">
        <v>4</v>
      </c>
      <c r="AK68" s="847" t="s">
        <v>2693</v>
      </c>
      <c r="AL68" s="318" t="s">
        <v>2834</v>
      </c>
      <c r="AM68" s="320"/>
    </row>
    <row r="69" spans="27:39" ht="14.4">
      <c r="AA69" s="315">
        <v>45076</v>
      </c>
      <c r="AB69" s="308">
        <v>45076</v>
      </c>
      <c r="AC69" s="129" t="s">
        <v>2691</v>
      </c>
      <c r="AD69" s="129" t="s">
        <v>3021</v>
      </c>
      <c r="AE69" s="317" t="s">
        <v>488</v>
      </c>
      <c r="AF69" s="318"/>
      <c r="AG69" s="847">
        <v>4</v>
      </c>
      <c r="AH69" s="317" t="s">
        <v>488</v>
      </c>
      <c r="AI69" s="318"/>
      <c r="AJ69" s="847">
        <v>4</v>
      </c>
      <c r="AK69" s="847" t="s">
        <v>2693</v>
      </c>
      <c r="AL69" s="318" t="s">
        <v>2834</v>
      </c>
      <c r="AM69" s="320"/>
    </row>
    <row r="70" spans="27:39" ht="14.4">
      <c r="AA70" s="315">
        <v>45075</v>
      </c>
      <c r="AB70" s="308">
        <v>45075</v>
      </c>
      <c r="AC70" s="129" t="s">
        <v>2691</v>
      </c>
      <c r="AD70" s="129" t="s">
        <v>3022</v>
      </c>
      <c r="AE70" s="317" t="s">
        <v>488</v>
      </c>
      <c r="AF70" s="318"/>
      <c r="AG70" s="847">
        <v>4</v>
      </c>
      <c r="AH70" s="317" t="s">
        <v>488</v>
      </c>
      <c r="AI70" s="318"/>
      <c r="AJ70" s="847">
        <v>4</v>
      </c>
      <c r="AK70" s="847" t="s">
        <v>2693</v>
      </c>
      <c r="AL70" s="318" t="s">
        <v>2834</v>
      </c>
      <c r="AM70" s="320"/>
    </row>
    <row r="71" spans="27:39" ht="14.4">
      <c r="AA71" s="315">
        <v>45073</v>
      </c>
      <c r="AB71" s="308">
        <v>45073</v>
      </c>
      <c r="AC71" s="129" t="s">
        <v>2691</v>
      </c>
      <c r="AD71" s="129" t="s">
        <v>3023</v>
      </c>
      <c r="AE71" s="317" t="s">
        <v>549</v>
      </c>
      <c r="AF71" s="318"/>
      <c r="AG71" s="847">
        <v>4</v>
      </c>
      <c r="AH71" s="317" t="s">
        <v>488</v>
      </c>
      <c r="AI71" s="318"/>
      <c r="AJ71" s="847">
        <v>4</v>
      </c>
      <c r="AK71" s="847" t="s">
        <v>2693</v>
      </c>
      <c r="AL71" s="318" t="s">
        <v>2834</v>
      </c>
      <c r="AM71" s="320"/>
    </row>
    <row r="72" spans="27:39" ht="14.4">
      <c r="AA72" s="315">
        <v>45072</v>
      </c>
      <c r="AB72" s="308">
        <v>45072</v>
      </c>
      <c r="AC72" s="129" t="s">
        <v>2691</v>
      </c>
      <c r="AD72" s="129" t="s">
        <v>3024</v>
      </c>
      <c r="AE72" s="317" t="s">
        <v>549</v>
      </c>
      <c r="AF72" s="318"/>
      <c r="AG72" s="847">
        <v>4</v>
      </c>
      <c r="AH72" s="317" t="s">
        <v>488</v>
      </c>
      <c r="AI72" s="318"/>
      <c r="AJ72" s="847">
        <v>4</v>
      </c>
      <c r="AK72" s="847" t="s">
        <v>2693</v>
      </c>
      <c r="AL72" s="318" t="s">
        <v>2834</v>
      </c>
      <c r="AM72" s="320"/>
    </row>
    <row r="73" spans="27:39" ht="14.4">
      <c r="AA73" s="315">
        <v>45071</v>
      </c>
      <c r="AB73" s="308">
        <v>45071</v>
      </c>
      <c r="AC73" s="129" t="s">
        <v>2691</v>
      </c>
      <c r="AD73" s="129" t="s">
        <v>3025</v>
      </c>
      <c r="AE73" s="317" t="s">
        <v>488</v>
      </c>
      <c r="AF73" s="318"/>
      <c r="AG73" s="847">
        <v>4</v>
      </c>
      <c r="AH73" s="317" t="s">
        <v>488</v>
      </c>
      <c r="AI73" s="318"/>
      <c r="AJ73" s="847">
        <v>4</v>
      </c>
      <c r="AK73" s="847" t="s">
        <v>2693</v>
      </c>
      <c r="AL73" s="318" t="s">
        <v>2834</v>
      </c>
      <c r="AM73" s="320"/>
    </row>
    <row r="74" spans="27:39" ht="14.4">
      <c r="AA74" s="315">
        <v>45070</v>
      </c>
      <c r="AB74" s="308">
        <v>45070</v>
      </c>
      <c r="AC74" s="129" t="s">
        <v>2691</v>
      </c>
      <c r="AD74" s="129" t="s">
        <v>3026</v>
      </c>
      <c r="AE74" s="317" t="s">
        <v>488</v>
      </c>
      <c r="AF74" s="318"/>
      <c r="AG74" s="847">
        <v>4</v>
      </c>
      <c r="AH74" s="317" t="s">
        <v>488</v>
      </c>
      <c r="AI74" s="318"/>
      <c r="AJ74" s="847">
        <v>4</v>
      </c>
      <c r="AK74" s="847" t="s">
        <v>2693</v>
      </c>
      <c r="AL74" s="318" t="s">
        <v>2834</v>
      </c>
      <c r="AM74" s="320"/>
    </row>
    <row r="75" spans="27:39" ht="14.4">
      <c r="AA75" s="315">
        <v>45069</v>
      </c>
      <c r="AB75" s="308">
        <v>45069</v>
      </c>
      <c r="AC75" s="129" t="s">
        <v>2691</v>
      </c>
      <c r="AD75" s="129" t="s">
        <v>3027</v>
      </c>
      <c r="AE75" s="317" t="s">
        <v>488</v>
      </c>
      <c r="AF75" s="318"/>
      <c r="AG75" s="847">
        <v>4</v>
      </c>
      <c r="AH75" s="317" t="s">
        <v>488</v>
      </c>
      <c r="AI75" s="318"/>
      <c r="AJ75" s="847">
        <v>4</v>
      </c>
      <c r="AK75" s="847" t="s">
        <v>2693</v>
      </c>
      <c r="AL75" s="318" t="s">
        <v>2834</v>
      </c>
      <c r="AM75" s="320"/>
    </row>
    <row r="76" spans="27:39" ht="14.4">
      <c r="AA76" s="315">
        <v>45068</v>
      </c>
      <c r="AB76" s="308">
        <v>45068</v>
      </c>
      <c r="AC76" s="129" t="s">
        <v>2691</v>
      </c>
      <c r="AD76" s="129" t="s">
        <v>3028</v>
      </c>
      <c r="AE76" s="317" t="s">
        <v>488</v>
      </c>
      <c r="AF76" s="318"/>
      <c r="AG76" s="847">
        <v>4</v>
      </c>
      <c r="AH76" s="317" t="s">
        <v>488</v>
      </c>
      <c r="AI76" s="318"/>
      <c r="AJ76" s="847">
        <v>4</v>
      </c>
      <c r="AK76" s="847" t="s">
        <v>2693</v>
      </c>
      <c r="AL76" s="318" t="s">
        <v>2834</v>
      </c>
      <c r="AM76" s="320"/>
    </row>
    <row r="77" spans="27:39" ht="14.4">
      <c r="AA77" s="315">
        <v>45066</v>
      </c>
      <c r="AB77" s="308">
        <v>45066</v>
      </c>
      <c r="AC77" s="129" t="s">
        <v>2691</v>
      </c>
      <c r="AD77" s="129" t="s">
        <v>3029</v>
      </c>
      <c r="AE77" s="317" t="s">
        <v>488</v>
      </c>
      <c r="AF77" s="318"/>
      <c r="AG77" s="847">
        <v>4</v>
      </c>
      <c r="AH77" s="317" t="s">
        <v>488</v>
      </c>
      <c r="AI77" s="318"/>
      <c r="AJ77" s="847">
        <v>4</v>
      </c>
      <c r="AK77" s="847" t="s">
        <v>2693</v>
      </c>
      <c r="AL77" s="318" t="s">
        <v>2834</v>
      </c>
      <c r="AM77" s="320"/>
    </row>
    <row r="78" spans="27:39" ht="14.4">
      <c r="AA78" s="315">
        <v>45065</v>
      </c>
      <c r="AB78" s="308">
        <v>45065</v>
      </c>
      <c r="AC78" s="129" t="s">
        <v>2691</v>
      </c>
      <c r="AD78" s="129" t="s">
        <v>3030</v>
      </c>
      <c r="AE78" s="317" t="s">
        <v>488</v>
      </c>
      <c r="AF78" s="318"/>
      <c r="AG78" s="847">
        <v>4</v>
      </c>
      <c r="AH78" s="317" t="s">
        <v>488</v>
      </c>
      <c r="AI78" s="318"/>
      <c r="AJ78" s="847">
        <v>4</v>
      </c>
      <c r="AK78" s="847" t="s">
        <v>2693</v>
      </c>
      <c r="AL78" s="318" t="s">
        <v>2834</v>
      </c>
      <c r="AM78" s="320"/>
    </row>
    <row r="79" spans="27:39" ht="14.4">
      <c r="AA79" s="315">
        <v>45064</v>
      </c>
      <c r="AB79" s="308">
        <v>45064</v>
      </c>
      <c r="AC79" s="129" t="s">
        <v>2691</v>
      </c>
      <c r="AD79" s="129" t="s">
        <v>3031</v>
      </c>
      <c r="AE79" s="317" t="s">
        <v>488</v>
      </c>
      <c r="AF79" s="318"/>
      <c r="AG79" s="847">
        <v>4</v>
      </c>
      <c r="AH79" s="317" t="s">
        <v>488</v>
      </c>
      <c r="AI79" s="318"/>
      <c r="AJ79" s="847">
        <v>4</v>
      </c>
      <c r="AK79" s="847" t="s">
        <v>2693</v>
      </c>
      <c r="AL79" s="318" t="s">
        <v>2834</v>
      </c>
      <c r="AM79" s="320"/>
    </row>
    <row r="80" spans="27:39" ht="14.4">
      <c r="AA80" s="315">
        <v>45063</v>
      </c>
      <c r="AB80" s="308">
        <v>45063</v>
      </c>
      <c r="AC80" s="129" t="s">
        <v>2691</v>
      </c>
      <c r="AD80" s="129" t="s">
        <v>3032</v>
      </c>
      <c r="AE80" s="317" t="s">
        <v>488</v>
      </c>
      <c r="AF80" s="318"/>
      <c r="AG80" s="847">
        <v>4</v>
      </c>
      <c r="AH80" s="317" t="s">
        <v>488</v>
      </c>
      <c r="AI80" s="318"/>
      <c r="AJ80" s="847">
        <v>4</v>
      </c>
      <c r="AK80" s="847" t="s">
        <v>2693</v>
      </c>
      <c r="AL80" s="318" t="s">
        <v>2834</v>
      </c>
      <c r="AM80" s="320"/>
    </row>
    <row r="81" spans="27:39" ht="14.4">
      <c r="AA81" s="315">
        <v>45062</v>
      </c>
      <c r="AB81" s="308">
        <v>45062</v>
      </c>
      <c r="AC81" s="129" t="s">
        <v>2691</v>
      </c>
      <c r="AD81" s="129" t="s">
        <v>3033</v>
      </c>
      <c r="AE81" s="317" t="s">
        <v>488</v>
      </c>
      <c r="AF81" s="318"/>
      <c r="AG81" s="847">
        <v>4</v>
      </c>
      <c r="AH81" s="317" t="s">
        <v>488</v>
      </c>
      <c r="AI81" s="318"/>
      <c r="AJ81" s="847">
        <v>4</v>
      </c>
      <c r="AK81" s="847" t="s">
        <v>2693</v>
      </c>
      <c r="AL81" s="318" t="s">
        <v>2834</v>
      </c>
      <c r="AM81" s="320"/>
    </row>
    <row r="82" spans="27:39" ht="14.4">
      <c r="AA82" s="315">
        <v>45061</v>
      </c>
      <c r="AB82" s="308">
        <v>45061</v>
      </c>
      <c r="AC82" s="129" t="s">
        <v>2691</v>
      </c>
      <c r="AD82" s="129" t="s">
        <v>3034</v>
      </c>
      <c r="AE82" s="317" t="s">
        <v>488</v>
      </c>
      <c r="AF82" s="318"/>
      <c r="AG82" s="847">
        <v>4</v>
      </c>
      <c r="AH82" s="317" t="s">
        <v>488</v>
      </c>
      <c r="AI82" s="318"/>
      <c r="AJ82" s="847">
        <v>4</v>
      </c>
      <c r="AK82" s="847" t="s">
        <v>2693</v>
      </c>
      <c r="AL82" s="318" t="s">
        <v>2834</v>
      </c>
      <c r="AM82" s="320"/>
    </row>
    <row r="83" spans="27:39" ht="14.4">
      <c r="AA83" s="315">
        <v>45059</v>
      </c>
      <c r="AB83" s="308">
        <v>45059</v>
      </c>
      <c r="AC83" s="129" t="s">
        <v>2691</v>
      </c>
      <c r="AD83" s="129" t="s">
        <v>3035</v>
      </c>
      <c r="AE83" s="317" t="s">
        <v>488</v>
      </c>
      <c r="AF83" s="318"/>
      <c r="AG83" s="847">
        <v>4</v>
      </c>
      <c r="AH83" s="317" t="s">
        <v>488</v>
      </c>
      <c r="AI83" s="318"/>
      <c r="AJ83" s="847">
        <v>4</v>
      </c>
      <c r="AK83" s="847" t="s">
        <v>2693</v>
      </c>
      <c r="AL83" s="318" t="s">
        <v>2834</v>
      </c>
      <c r="AM83" s="320"/>
    </row>
    <row r="84" spans="27:39" ht="14.4">
      <c r="AA84" s="315">
        <v>45058</v>
      </c>
      <c r="AB84" s="308">
        <v>45058</v>
      </c>
      <c r="AC84" s="129" t="s">
        <v>2691</v>
      </c>
      <c r="AD84" s="129" t="s">
        <v>3036</v>
      </c>
      <c r="AE84" s="317" t="s">
        <v>488</v>
      </c>
      <c r="AF84" s="318"/>
      <c r="AG84" s="847">
        <v>4</v>
      </c>
      <c r="AH84" s="317" t="s">
        <v>488</v>
      </c>
      <c r="AI84" s="318"/>
      <c r="AJ84" s="847">
        <v>4</v>
      </c>
      <c r="AK84" s="847" t="s">
        <v>2693</v>
      </c>
      <c r="AL84" s="318" t="s">
        <v>2834</v>
      </c>
      <c r="AM84" s="320"/>
    </row>
    <row r="85" spans="27:39" ht="14.4">
      <c r="AA85" s="315">
        <v>45057</v>
      </c>
      <c r="AB85" s="308">
        <v>45057</v>
      </c>
      <c r="AC85" s="129" t="s">
        <v>2691</v>
      </c>
      <c r="AD85" s="129" t="s">
        <v>3037</v>
      </c>
      <c r="AE85" s="317" t="s">
        <v>488</v>
      </c>
      <c r="AF85" s="318"/>
      <c r="AG85" s="847">
        <v>4</v>
      </c>
      <c r="AH85" s="317" t="s">
        <v>488</v>
      </c>
      <c r="AI85" s="318"/>
      <c r="AJ85" s="847">
        <v>4</v>
      </c>
      <c r="AK85" s="847" t="s">
        <v>2693</v>
      </c>
      <c r="AL85" s="318" t="s">
        <v>2834</v>
      </c>
      <c r="AM85" s="320"/>
    </row>
    <row r="86" spans="27:39" ht="14.4">
      <c r="AA86" s="315">
        <v>45056</v>
      </c>
      <c r="AB86" s="308">
        <v>45056</v>
      </c>
      <c r="AC86" s="129" t="s">
        <v>2691</v>
      </c>
      <c r="AD86" s="129" t="s">
        <v>3038</v>
      </c>
      <c r="AE86" s="317" t="s">
        <v>488</v>
      </c>
      <c r="AF86" s="318"/>
      <c r="AG86" s="847">
        <v>4</v>
      </c>
      <c r="AH86" s="317" t="s">
        <v>488</v>
      </c>
      <c r="AI86" s="318"/>
      <c r="AJ86" s="847">
        <v>4</v>
      </c>
      <c r="AK86" s="847" t="s">
        <v>2693</v>
      </c>
      <c r="AL86" s="318" t="s">
        <v>2834</v>
      </c>
      <c r="AM86" s="320"/>
    </row>
    <row r="87" spans="27:39" ht="14.4">
      <c r="AA87" s="315">
        <v>45055</v>
      </c>
      <c r="AB87" s="308">
        <v>45055</v>
      </c>
      <c r="AC87" s="129" t="s">
        <v>2691</v>
      </c>
      <c r="AD87" s="129" t="s">
        <v>3039</v>
      </c>
      <c r="AE87" s="317" t="s">
        <v>488</v>
      </c>
      <c r="AF87" s="318"/>
      <c r="AG87" s="847">
        <v>4</v>
      </c>
      <c r="AH87" s="317" t="s">
        <v>488</v>
      </c>
      <c r="AI87" s="318"/>
      <c r="AJ87" s="847">
        <v>4</v>
      </c>
      <c r="AK87" s="847" t="s">
        <v>2693</v>
      </c>
      <c r="AL87" s="318" t="s">
        <v>2834</v>
      </c>
      <c r="AM87" s="320"/>
    </row>
    <row r="88" spans="27:39" ht="14.4">
      <c r="AA88" s="315">
        <v>45054</v>
      </c>
      <c r="AB88" s="308">
        <v>45054</v>
      </c>
      <c r="AC88" s="129" t="s">
        <v>2691</v>
      </c>
      <c r="AD88" s="129" t="s">
        <v>3040</v>
      </c>
      <c r="AE88" s="317" t="s">
        <v>488</v>
      </c>
      <c r="AF88" s="318"/>
      <c r="AG88" s="847">
        <v>4</v>
      </c>
      <c r="AH88" s="317" t="s">
        <v>488</v>
      </c>
      <c r="AI88" s="318"/>
      <c r="AJ88" s="847">
        <v>4</v>
      </c>
      <c r="AK88" s="847" t="s">
        <v>2693</v>
      </c>
      <c r="AL88" s="318" t="s">
        <v>2834</v>
      </c>
      <c r="AM88" s="320"/>
    </row>
    <row r="89" spans="27:39" ht="14.4">
      <c r="AA89" s="315">
        <v>45052</v>
      </c>
      <c r="AB89" s="308">
        <v>45052</v>
      </c>
      <c r="AC89" s="129" t="s">
        <v>2691</v>
      </c>
      <c r="AD89" s="129" t="s">
        <v>3041</v>
      </c>
      <c r="AE89" s="317" t="s">
        <v>488</v>
      </c>
      <c r="AF89" s="318"/>
      <c r="AG89" s="847">
        <v>4</v>
      </c>
      <c r="AH89" s="317" t="s">
        <v>488</v>
      </c>
      <c r="AI89" s="318"/>
      <c r="AJ89" s="847">
        <v>4</v>
      </c>
      <c r="AK89" s="847" t="s">
        <v>2693</v>
      </c>
      <c r="AL89" s="318" t="s">
        <v>2834</v>
      </c>
      <c r="AM89" s="320"/>
    </row>
    <row r="90" spans="27:39" ht="14.4">
      <c r="AA90" s="315">
        <v>45051</v>
      </c>
      <c r="AB90" s="308">
        <v>45051</v>
      </c>
      <c r="AC90" s="129" t="s">
        <v>2691</v>
      </c>
      <c r="AD90" s="129" t="s">
        <v>3042</v>
      </c>
      <c r="AE90" s="317" t="s">
        <v>488</v>
      </c>
      <c r="AF90" s="318"/>
      <c r="AG90" s="847">
        <v>4</v>
      </c>
      <c r="AH90" s="317" t="s">
        <v>488</v>
      </c>
      <c r="AI90" s="318"/>
      <c r="AJ90" s="847">
        <v>4</v>
      </c>
      <c r="AK90" s="847" t="s">
        <v>2693</v>
      </c>
      <c r="AL90" s="318" t="s">
        <v>2834</v>
      </c>
      <c r="AM90" s="320"/>
    </row>
    <row r="91" spans="27:39" ht="14.4">
      <c r="AA91" s="315">
        <v>45049</v>
      </c>
      <c r="AB91" s="308">
        <v>45049</v>
      </c>
      <c r="AC91" s="129" t="s">
        <v>2691</v>
      </c>
      <c r="AD91" s="129" t="s">
        <v>3043</v>
      </c>
      <c r="AE91" s="317" t="s">
        <v>488</v>
      </c>
      <c r="AF91" s="318"/>
      <c r="AG91" s="847">
        <v>4</v>
      </c>
      <c r="AH91" s="317" t="s">
        <v>488</v>
      </c>
      <c r="AI91" s="318"/>
      <c r="AJ91" s="847">
        <v>4</v>
      </c>
      <c r="AK91" s="847" t="s">
        <v>2693</v>
      </c>
      <c r="AL91" s="318" t="s">
        <v>2834</v>
      </c>
      <c r="AM91" s="320"/>
    </row>
    <row r="92" spans="27:39" ht="14.4">
      <c r="AA92" s="315">
        <v>45048</v>
      </c>
      <c r="AB92" s="308">
        <v>45048</v>
      </c>
      <c r="AC92" s="129" t="s">
        <v>2691</v>
      </c>
      <c r="AD92" s="129" t="s">
        <v>3044</v>
      </c>
      <c r="AE92" s="317" t="s">
        <v>488</v>
      </c>
      <c r="AF92" s="318"/>
      <c r="AG92" s="847">
        <v>4</v>
      </c>
      <c r="AH92" s="317" t="s">
        <v>488</v>
      </c>
      <c r="AI92" s="318"/>
      <c r="AJ92" s="847">
        <v>4</v>
      </c>
      <c r="AK92" s="847" t="s">
        <v>2693</v>
      </c>
      <c r="AL92" s="318" t="s">
        <v>2834</v>
      </c>
      <c r="AM92" s="320"/>
    </row>
    <row r="93" spans="27:39" ht="14.4">
      <c r="AA93" s="315">
        <v>45045</v>
      </c>
      <c r="AB93" s="308">
        <v>45045</v>
      </c>
      <c r="AC93" s="129" t="s">
        <v>2691</v>
      </c>
      <c r="AD93" s="129" t="s">
        <v>3045</v>
      </c>
      <c r="AE93" s="317" t="s">
        <v>488</v>
      </c>
      <c r="AF93" s="318"/>
      <c r="AG93" s="847">
        <v>4</v>
      </c>
      <c r="AH93" s="317" t="s">
        <v>488</v>
      </c>
      <c r="AI93" s="318"/>
      <c r="AJ93" s="847">
        <v>4</v>
      </c>
      <c r="AK93" s="847" t="s">
        <v>2693</v>
      </c>
      <c r="AL93" s="318" t="s">
        <v>2834</v>
      </c>
      <c r="AM93" s="320"/>
    </row>
    <row r="94" spans="27:39" ht="14.4">
      <c r="AA94" s="315">
        <v>45044</v>
      </c>
      <c r="AB94" s="308">
        <v>45044</v>
      </c>
      <c r="AC94" s="129" t="s">
        <v>2691</v>
      </c>
      <c r="AD94" s="129" t="s">
        <v>3046</v>
      </c>
      <c r="AE94" s="317" t="s">
        <v>488</v>
      </c>
      <c r="AF94" s="318"/>
      <c r="AG94" s="847">
        <v>4</v>
      </c>
      <c r="AH94" s="317" t="s">
        <v>488</v>
      </c>
      <c r="AI94" s="318"/>
      <c r="AJ94" s="847">
        <v>4</v>
      </c>
      <c r="AK94" s="847" t="s">
        <v>2693</v>
      </c>
      <c r="AL94" s="318" t="s">
        <v>2834</v>
      </c>
      <c r="AM94" s="320"/>
    </row>
    <row r="95" spans="27:39" ht="14.4">
      <c r="AA95" s="315">
        <v>45043</v>
      </c>
      <c r="AB95" s="308">
        <v>45043</v>
      </c>
      <c r="AC95" s="129" t="s">
        <v>2691</v>
      </c>
      <c r="AD95" s="129" t="s">
        <v>3047</v>
      </c>
      <c r="AE95" s="317" t="s">
        <v>488</v>
      </c>
      <c r="AF95" s="318"/>
      <c r="AG95" s="847">
        <v>4</v>
      </c>
      <c r="AH95" s="317" t="s">
        <v>488</v>
      </c>
      <c r="AI95" s="318"/>
      <c r="AJ95" s="847">
        <v>4</v>
      </c>
      <c r="AK95" s="847" t="s">
        <v>2693</v>
      </c>
      <c r="AL95" s="318" t="s">
        <v>2834</v>
      </c>
      <c r="AM95" s="320"/>
    </row>
    <row r="96" spans="27:39" ht="14.4">
      <c r="AA96" s="315">
        <v>45042</v>
      </c>
      <c r="AB96" s="308">
        <v>45042</v>
      </c>
      <c r="AC96" s="129" t="s">
        <v>2691</v>
      </c>
      <c r="AD96" s="129" t="s">
        <v>3048</v>
      </c>
      <c r="AE96" s="317" t="s">
        <v>488</v>
      </c>
      <c r="AF96" s="318"/>
      <c r="AG96" s="847">
        <v>4</v>
      </c>
      <c r="AH96" s="317" t="s">
        <v>488</v>
      </c>
      <c r="AI96" s="318"/>
      <c r="AJ96" s="847">
        <v>4</v>
      </c>
      <c r="AK96" s="847" t="s">
        <v>2693</v>
      </c>
      <c r="AL96" s="318" t="s">
        <v>2834</v>
      </c>
      <c r="AM96" s="320"/>
    </row>
    <row r="97" spans="27:39" ht="14.4">
      <c r="AA97" s="315">
        <v>45041</v>
      </c>
      <c r="AB97" s="308">
        <v>45041</v>
      </c>
      <c r="AC97" s="129" t="s">
        <v>2691</v>
      </c>
      <c r="AD97" s="129" t="s">
        <v>3049</v>
      </c>
      <c r="AE97" s="317" t="s">
        <v>488</v>
      </c>
      <c r="AF97" s="318"/>
      <c r="AG97" s="847">
        <v>4</v>
      </c>
      <c r="AH97" s="317" t="s">
        <v>488</v>
      </c>
      <c r="AI97" s="318"/>
      <c r="AJ97" s="847">
        <v>4</v>
      </c>
      <c r="AK97" s="847" t="s">
        <v>2693</v>
      </c>
      <c r="AL97" s="318" t="s">
        <v>2834</v>
      </c>
      <c r="AM97" s="320"/>
    </row>
    <row r="98" spans="27:39" ht="14.4">
      <c r="AA98" s="315">
        <v>45036</v>
      </c>
      <c r="AB98" s="308">
        <v>45036</v>
      </c>
      <c r="AC98" s="129" t="s">
        <v>2691</v>
      </c>
      <c r="AD98" s="129" t="s">
        <v>3050</v>
      </c>
      <c r="AE98" s="317" t="s">
        <v>518</v>
      </c>
      <c r="AF98" s="318"/>
      <c r="AG98" s="847">
        <v>4</v>
      </c>
      <c r="AH98" s="317" t="s">
        <v>518</v>
      </c>
      <c r="AI98" s="318"/>
      <c r="AJ98" s="847">
        <v>4</v>
      </c>
      <c r="AK98" s="847" t="s">
        <v>2693</v>
      </c>
      <c r="AL98" s="318" t="s">
        <v>2834</v>
      </c>
      <c r="AM98" s="320"/>
    </row>
    <row r="99" spans="27:39" ht="14.4">
      <c r="AA99" s="315">
        <v>45035</v>
      </c>
      <c r="AB99" s="308">
        <v>45035</v>
      </c>
      <c r="AC99" s="129" t="s">
        <v>2691</v>
      </c>
      <c r="AD99" s="129" t="s">
        <v>3051</v>
      </c>
      <c r="AE99" s="317" t="s">
        <v>488</v>
      </c>
      <c r="AF99" s="318"/>
      <c r="AG99" s="847">
        <v>4</v>
      </c>
      <c r="AH99" s="317" t="s">
        <v>488</v>
      </c>
      <c r="AI99" s="318"/>
      <c r="AJ99" s="847">
        <v>4</v>
      </c>
      <c r="AK99" s="847" t="s">
        <v>2693</v>
      </c>
      <c r="AL99" s="318" t="s">
        <v>2834</v>
      </c>
      <c r="AM99" s="320"/>
    </row>
    <row r="100" spans="27:39" ht="14.4">
      <c r="AA100" s="315">
        <v>45034</v>
      </c>
      <c r="AB100" s="308">
        <v>45034</v>
      </c>
      <c r="AC100" s="129" t="s">
        <v>2691</v>
      </c>
      <c r="AD100" s="129" t="s">
        <v>3052</v>
      </c>
      <c r="AE100" s="317" t="s">
        <v>488</v>
      </c>
      <c r="AF100" s="318"/>
      <c r="AG100" s="847">
        <v>4</v>
      </c>
      <c r="AH100" s="317" t="s">
        <v>488</v>
      </c>
      <c r="AI100" s="318"/>
      <c r="AJ100" s="847">
        <v>4</v>
      </c>
      <c r="AK100" s="847" t="s">
        <v>2693</v>
      </c>
      <c r="AL100" s="318" t="s">
        <v>2834</v>
      </c>
      <c r="AM100" s="320"/>
    </row>
    <row r="101" spans="27:39" ht="14.4">
      <c r="AA101" s="315">
        <v>45033</v>
      </c>
      <c r="AB101" s="308">
        <v>45033</v>
      </c>
      <c r="AC101" s="129" t="s">
        <v>2691</v>
      </c>
      <c r="AD101" s="129" t="s">
        <v>3053</v>
      </c>
      <c r="AE101" s="317" t="s">
        <v>488</v>
      </c>
      <c r="AF101" s="318"/>
      <c r="AG101" s="847">
        <v>4</v>
      </c>
      <c r="AH101" s="317" t="s">
        <v>488</v>
      </c>
      <c r="AI101" s="318"/>
      <c r="AJ101" s="847">
        <v>4</v>
      </c>
      <c r="AK101" s="847" t="s">
        <v>2693</v>
      </c>
      <c r="AL101" s="318" t="s">
        <v>2834</v>
      </c>
      <c r="AM101" s="320"/>
    </row>
    <row r="102" spans="27:39" ht="14.4">
      <c r="AA102" s="315">
        <v>45030</v>
      </c>
      <c r="AB102" s="308">
        <v>45030</v>
      </c>
      <c r="AC102" s="129" t="s">
        <v>2691</v>
      </c>
      <c r="AD102" s="129" t="s">
        <v>3054</v>
      </c>
      <c r="AE102" s="317" t="s">
        <v>488</v>
      </c>
      <c r="AF102" s="318"/>
      <c r="AG102" s="847">
        <v>4</v>
      </c>
      <c r="AH102" s="317" t="s">
        <v>488</v>
      </c>
      <c r="AI102" s="318"/>
      <c r="AJ102" s="847">
        <v>4</v>
      </c>
      <c r="AK102" s="847" t="s">
        <v>2693</v>
      </c>
      <c r="AL102" s="318" t="s">
        <v>2834</v>
      </c>
      <c r="AM102" s="320"/>
    </row>
    <row r="103" spans="27:39" ht="14.4">
      <c r="AA103" s="315">
        <v>45029</v>
      </c>
      <c r="AB103" s="308">
        <v>45029</v>
      </c>
      <c r="AC103" s="129" t="s">
        <v>2691</v>
      </c>
      <c r="AD103" s="129" t="s">
        <v>3055</v>
      </c>
      <c r="AE103" s="317" t="s">
        <v>488</v>
      </c>
      <c r="AF103" s="318"/>
      <c r="AG103" s="847">
        <v>4</v>
      </c>
      <c r="AH103" s="317" t="s">
        <v>488</v>
      </c>
      <c r="AI103" s="318"/>
      <c r="AJ103" s="847">
        <v>4</v>
      </c>
      <c r="AK103" s="847" t="s">
        <v>2693</v>
      </c>
      <c r="AL103" s="318" t="s">
        <v>2834</v>
      </c>
      <c r="AM103" s="320"/>
    </row>
    <row r="104" spans="27:39" ht="14.4">
      <c r="AA104" s="315">
        <v>45028</v>
      </c>
      <c r="AB104" s="308">
        <v>45028</v>
      </c>
      <c r="AC104" s="129" t="s">
        <v>2691</v>
      </c>
      <c r="AD104" s="129" t="s">
        <v>3056</v>
      </c>
      <c r="AE104" s="317" t="s">
        <v>488</v>
      </c>
      <c r="AF104" s="318"/>
      <c r="AG104" s="847">
        <v>4</v>
      </c>
      <c r="AH104" s="317" t="s">
        <v>488</v>
      </c>
      <c r="AI104" s="318"/>
      <c r="AJ104" s="847">
        <v>4</v>
      </c>
      <c r="AK104" s="847" t="s">
        <v>2693</v>
      </c>
      <c r="AL104" s="318" t="s">
        <v>2834</v>
      </c>
      <c r="AM104" s="320"/>
    </row>
    <row r="105" spans="27:39" ht="14.4">
      <c r="AA105" s="315">
        <v>45027</v>
      </c>
      <c r="AB105" s="308">
        <v>45027</v>
      </c>
      <c r="AC105" s="129" t="s">
        <v>2691</v>
      </c>
      <c r="AD105" s="129" t="s">
        <v>3057</v>
      </c>
      <c r="AE105" s="317" t="s">
        <v>488</v>
      </c>
      <c r="AF105" s="318"/>
      <c r="AG105" s="847">
        <v>4</v>
      </c>
      <c r="AH105" s="317" t="s">
        <v>488</v>
      </c>
      <c r="AI105" s="318"/>
      <c r="AJ105" s="847">
        <v>4</v>
      </c>
      <c r="AK105" s="847" t="s">
        <v>2693</v>
      </c>
      <c r="AL105" s="318" t="s">
        <v>2834</v>
      </c>
      <c r="AM105" s="320"/>
    </row>
    <row r="106" spans="27:39" ht="14.4">
      <c r="AA106" s="315">
        <v>45026</v>
      </c>
      <c r="AB106" s="308">
        <v>45026</v>
      </c>
      <c r="AC106" s="129" t="s">
        <v>2691</v>
      </c>
      <c r="AD106" s="129" t="s">
        <v>3058</v>
      </c>
      <c r="AE106" s="317" t="s">
        <v>488</v>
      </c>
      <c r="AF106" s="318"/>
      <c r="AG106" s="847">
        <v>4</v>
      </c>
      <c r="AH106" s="317" t="s">
        <v>488</v>
      </c>
      <c r="AI106" s="318"/>
      <c r="AJ106" s="847">
        <v>4</v>
      </c>
      <c r="AK106" s="847" t="s">
        <v>2693</v>
      </c>
      <c r="AL106" s="318" t="s">
        <v>2834</v>
      </c>
      <c r="AM106" s="320"/>
    </row>
    <row r="107" spans="27:39" ht="14.4">
      <c r="AA107" s="315">
        <v>45024</v>
      </c>
      <c r="AB107" s="308">
        <v>45024</v>
      </c>
      <c r="AC107" s="129" t="s">
        <v>2691</v>
      </c>
      <c r="AD107" s="129" t="s">
        <v>3059</v>
      </c>
      <c r="AE107" s="317" t="s">
        <v>488</v>
      </c>
      <c r="AF107" s="318"/>
      <c r="AG107" s="847">
        <v>4</v>
      </c>
      <c r="AH107" s="317" t="s">
        <v>488</v>
      </c>
      <c r="AI107" s="318"/>
      <c r="AJ107" s="847">
        <v>4</v>
      </c>
      <c r="AK107" s="847" t="s">
        <v>2693</v>
      </c>
      <c r="AL107" s="318" t="s">
        <v>2834</v>
      </c>
      <c r="AM107" s="320"/>
    </row>
    <row r="108" spans="27:39" ht="14.4">
      <c r="AA108" s="315">
        <v>45023</v>
      </c>
      <c r="AB108" s="308">
        <v>45023</v>
      </c>
      <c r="AC108" s="129" t="s">
        <v>2691</v>
      </c>
      <c r="AD108" s="129" t="s">
        <v>3060</v>
      </c>
      <c r="AE108" s="317" t="s">
        <v>488</v>
      </c>
      <c r="AF108" s="318"/>
      <c r="AG108" s="847">
        <v>4</v>
      </c>
      <c r="AH108" s="317" t="s">
        <v>488</v>
      </c>
      <c r="AI108" s="318"/>
      <c r="AJ108" s="847">
        <v>4</v>
      </c>
      <c r="AK108" s="847" t="s">
        <v>2693</v>
      </c>
      <c r="AL108" s="318" t="s">
        <v>2834</v>
      </c>
      <c r="AM108" s="320"/>
    </row>
    <row r="109" spans="27:39" ht="14.4">
      <c r="AA109" s="315">
        <v>45022</v>
      </c>
      <c r="AB109" s="308">
        <v>45022</v>
      </c>
      <c r="AC109" s="129" t="s">
        <v>2691</v>
      </c>
      <c r="AD109" s="129" t="s">
        <v>3061</v>
      </c>
      <c r="AE109" s="317" t="s">
        <v>488</v>
      </c>
      <c r="AF109" s="318"/>
      <c r="AG109" s="847">
        <v>4</v>
      </c>
      <c r="AH109" s="317" t="s">
        <v>488</v>
      </c>
      <c r="AI109" s="318"/>
      <c r="AJ109" s="847">
        <v>4</v>
      </c>
      <c r="AK109" s="847" t="s">
        <v>2693</v>
      </c>
      <c r="AL109" s="318" t="s">
        <v>2834</v>
      </c>
      <c r="AM109" s="320"/>
    </row>
    <row r="110" spans="27:39" ht="14.4">
      <c r="AA110" s="315">
        <v>45021</v>
      </c>
      <c r="AB110" s="308">
        <v>45021</v>
      </c>
      <c r="AC110" s="129" t="s">
        <v>2691</v>
      </c>
      <c r="AD110" s="129" t="s">
        <v>3062</v>
      </c>
      <c r="AE110" s="317" t="s">
        <v>518</v>
      </c>
      <c r="AF110" s="318"/>
      <c r="AG110" s="847">
        <v>4</v>
      </c>
      <c r="AH110" s="317" t="s">
        <v>518</v>
      </c>
      <c r="AI110" s="318"/>
      <c r="AJ110" s="847">
        <v>4</v>
      </c>
      <c r="AK110" s="847" t="s">
        <v>2693</v>
      </c>
      <c r="AL110" s="318" t="s">
        <v>2834</v>
      </c>
      <c r="AM110" s="320"/>
    </row>
    <row r="111" spans="27:39" ht="14.4">
      <c r="AA111" s="315">
        <v>45020</v>
      </c>
      <c r="AB111" s="308">
        <v>45020</v>
      </c>
      <c r="AC111" s="129" t="s">
        <v>2691</v>
      </c>
      <c r="AD111" s="129" t="s">
        <v>3063</v>
      </c>
      <c r="AE111" s="317" t="s">
        <v>488</v>
      </c>
      <c r="AF111" s="318"/>
      <c r="AG111" s="847">
        <v>4</v>
      </c>
      <c r="AH111" s="317" t="s">
        <v>488</v>
      </c>
      <c r="AI111" s="318"/>
      <c r="AJ111" s="847">
        <v>4</v>
      </c>
      <c r="AK111" s="847" t="s">
        <v>2693</v>
      </c>
      <c r="AL111" s="318" t="s">
        <v>2834</v>
      </c>
      <c r="AM111" s="320"/>
    </row>
    <row r="112" spans="27:39" ht="14.4">
      <c r="AA112" s="315">
        <v>45019</v>
      </c>
      <c r="AB112" s="308">
        <v>45019</v>
      </c>
      <c r="AC112" s="129" t="s">
        <v>2691</v>
      </c>
      <c r="AD112" s="129" t="s">
        <v>3064</v>
      </c>
      <c r="AE112" s="317" t="s">
        <v>518</v>
      </c>
      <c r="AF112" s="318"/>
      <c r="AG112" s="847">
        <v>4</v>
      </c>
      <c r="AH112" s="317" t="s">
        <v>518</v>
      </c>
      <c r="AI112" s="318"/>
      <c r="AJ112" s="847">
        <v>4</v>
      </c>
      <c r="AK112" s="847" t="s">
        <v>2693</v>
      </c>
      <c r="AL112" s="318" t="s">
        <v>2834</v>
      </c>
      <c r="AM112" s="320"/>
    </row>
    <row r="113" spans="27:39" ht="14.4">
      <c r="AA113" s="321">
        <v>45018</v>
      </c>
      <c r="AB113" s="308">
        <v>45018</v>
      </c>
      <c r="AC113" s="129" t="s">
        <v>2691</v>
      </c>
      <c r="AD113" s="129" t="s">
        <v>3065</v>
      </c>
      <c r="AE113" s="318" t="s">
        <v>488</v>
      </c>
      <c r="AF113" s="318" t="s">
        <v>490</v>
      </c>
      <c r="AG113" s="847">
        <v>4</v>
      </c>
      <c r="AH113" s="318" t="s">
        <v>488</v>
      </c>
      <c r="AI113" s="318" t="s">
        <v>490</v>
      </c>
      <c r="AJ113" s="847">
        <v>4</v>
      </c>
      <c r="AK113" s="847" t="s">
        <v>2693</v>
      </c>
      <c r="AL113" s="318" t="s">
        <v>2694</v>
      </c>
      <c r="AM113" s="320">
        <v>44989.651319444441</v>
      </c>
    </row>
    <row r="114" spans="27:39" ht="14.4">
      <c r="AA114" s="321">
        <v>45017</v>
      </c>
      <c r="AB114" s="308">
        <v>45017</v>
      </c>
      <c r="AC114" s="129" t="s">
        <v>2691</v>
      </c>
      <c r="AD114" s="129" t="s">
        <v>3066</v>
      </c>
      <c r="AE114" s="318" t="s">
        <v>488</v>
      </c>
      <c r="AF114" s="318" t="s">
        <v>490</v>
      </c>
      <c r="AG114" s="847">
        <v>4</v>
      </c>
      <c r="AH114" s="318" t="s">
        <v>488</v>
      </c>
      <c r="AI114" s="318" t="s">
        <v>490</v>
      </c>
      <c r="AJ114" s="847">
        <v>4</v>
      </c>
      <c r="AK114" s="847" t="s">
        <v>2693</v>
      </c>
      <c r="AL114" s="318" t="s">
        <v>2694</v>
      </c>
      <c r="AM114" s="320">
        <v>44989.651284722226</v>
      </c>
    </row>
    <row r="115" spans="27:39" ht="14.4">
      <c r="AA115" s="315">
        <v>45017</v>
      </c>
      <c r="AB115" s="308">
        <v>45017</v>
      </c>
      <c r="AC115" s="322" t="s">
        <v>3067</v>
      </c>
      <c r="AD115" s="129" t="s">
        <v>3068</v>
      </c>
      <c r="AE115" s="317" t="s">
        <v>518</v>
      </c>
      <c r="AF115" s="318"/>
      <c r="AG115" s="847">
        <v>4</v>
      </c>
      <c r="AH115" s="317" t="s">
        <v>518</v>
      </c>
      <c r="AI115" s="318"/>
      <c r="AJ115" s="847">
        <v>4</v>
      </c>
      <c r="AK115" s="847" t="s">
        <v>2693</v>
      </c>
      <c r="AL115" s="318" t="s">
        <v>2834</v>
      </c>
      <c r="AM115" s="320"/>
    </row>
    <row r="116" spans="27:39" ht="14.4">
      <c r="AA116" s="321">
        <v>45016</v>
      </c>
      <c r="AB116" s="308">
        <v>45016</v>
      </c>
      <c r="AC116" s="129" t="s">
        <v>2691</v>
      </c>
      <c r="AD116" s="129" t="s">
        <v>3069</v>
      </c>
      <c r="AE116" s="318" t="s">
        <v>488</v>
      </c>
      <c r="AF116" s="318" t="s">
        <v>490</v>
      </c>
      <c r="AG116" s="847">
        <v>4</v>
      </c>
      <c r="AH116" s="318" t="s">
        <v>488</v>
      </c>
      <c r="AI116" s="318" t="s">
        <v>490</v>
      </c>
      <c r="AJ116" s="847">
        <v>4</v>
      </c>
      <c r="AK116" s="847" t="s">
        <v>2693</v>
      </c>
      <c r="AL116" s="318" t="s">
        <v>2694</v>
      </c>
      <c r="AM116" s="320">
        <v>44989.651261574072</v>
      </c>
    </row>
    <row r="117" spans="27:39" ht="14.4">
      <c r="AA117" s="315">
        <v>45016</v>
      </c>
      <c r="AB117" s="308">
        <v>45016</v>
      </c>
      <c r="AC117" s="322" t="s">
        <v>3067</v>
      </c>
      <c r="AD117" s="129" t="s">
        <v>3070</v>
      </c>
      <c r="AE117" s="317" t="s">
        <v>488</v>
      </c>
      <c r="AF117" s="318"/>
      <c r="AG117" s="847">
        <v>4</v>
      </c>
      <c r="AH117" s="317" t="s">
        <v>488</v>
      </c>
      <c r="AI117" s="318"/>
      <c r="AJ117" s="847">
        <v>4</v>
      </c>
      <c r="AK117" s="847" t="s">
        <v>2693</v>
      </c>
      <c r="AL117" s="318" t="s">
        <v>2834</v>
      </c>
      <c r="AM117" s="320"/>
    </row>
    <row r="118" spans="27:39" ht="14.4">
      <c r="AA118" s="321">
        <v>45015</v>
      </c>
      <c r="AB118" s="308">
        <v>45015</v>
      </c>
      <c r="AC118" s="129" t="s">
        <v>2691</v>
      </c>
      <c r="AD118" s="129" t="s">
        <v>3071</v>
      </c>
      <c r="AE118" s="318" t="s">
        <v>488</v>
      </c>
      <c r="AF118" s="318" t="s">
        <v>490</v>
      </c>
      <c r="AG118" s="847">
        <v>4</v>
      </c>
      <c r="AH118" s="318" t="s">
        <v>488</v>
      </c>
      <c r="AI118" s="318" t="s">
        <v>490</v>
      </c>
      <c r="AJ118" s="847">
        <v>4</v>
      </c>
      <c r="AK118" s="847" t="s">
        <v>2693</v>
      </c>
      <c r="AL118" s="318" t="s">
        <v>2694</v>
      </c>
      <c r="AM118" s="320">
        <v>44989.651238425926</v>
      </c>
    </row>
    <row r="119" spans="27:39" ht="14.4">
      <c r="AA119" s="315">
        <v>45015</v>
      </c>
      <c r="AB119" s="308">
        <v>45015</v>
      </c>
      <c r="AC119" s="322" t="s">
        <v>3067</v>
      </c>
      <c r="AD119" s="129" t="s">
        <v>3072</v>
      </c>
      <c r="AE119" s="317" t="s">
        <v>488</v>
      </c>
      <c r="AF119" s="318"/>
      <c r="AG119" s="847">
        <v>4</v>
      </c>
      <c r="AH119" s="317" t="s">
        <v>488</v>
      </c>
      <c r="AI119" s="318"/>
      <c r="AJ119" s="847">
        <v>4</v>
      </c>
      <c r="AK119" s="847" t="s">
        <v>2693</v>
      </c>
      <c r="AL119" s="318" t="s">
        <v>2834</v>
      </c>
      <c r="AM119" s="320"/>
    </row>
    <row r="120" spans="27:39" ht="14.4">
      <c r="AA120" s="321">
        <v>45014</v>
      </c>
      <c r="AB120" s="308">
        <v>45014</v>
      </c>
      <c r="AC120" s="129" t="s">
        <v>2691</v>
      </c>
      <c r="AD120" s="129" t="s">
        <v>3073</v>
      </c>
      <c r="AE120" s="318" t="s">
        <v>488</v>
      </c>
      <c r="AF120" s="318" t="s">
        <v>490</v>
      </c>
      <c r="AG120" s="847">
        <v>4</v>
      </c>
      <c r="AH120" s="318" t="s">
        <v>488</v>
      </c>
      <c r="AI120" s="318" t="s">
        <v>490</v>
      </c>
      <c r="AJ120" s="847">
        <v>4</v>
      </c>
      <c r="AK120" s="847" t="s">
        <v>2693</v>
      </c>
      <c r="AL120" s="318" t="s">
        <v>2694</v>
      </c>
      <c r="AM120" s="320">
        <v>44989.65121527778</v>
      </c>
    </row>
    <row r="121" spans="27:39" ht="14.4">
      <c r="AA121" s="315">
        <v>45014</v>
      </c>
      <c r="AB121" s="308">
        <v>45014</v>
      </c>
      <c r="AC121" s="322" t="s">
        <v>3067</v>
      </c>
      <c r="AD121" s="129" t="s">
        <v>3074</v>
      </c>
      <c r="AE121" s="317" t="s">
        <v>488</v>
      </c>
      <c r="AF121" s="318"/>
      <c r="AG121" s="847">
        <v>4</v>
      </c>
      <c r="AH121" s="317" t="s">
        <v>488</v>
      </c>
      <c r="AI121" s="318"/>
      <c r="AJ121" s="847">
        <v>4</v>
      </c>
      <c r="AK121" s="847" t="s">
        <v>2693</v>
      </c>
      <c r="AL121" s="318" t="s">
        <v>2834</v>
      </c>
      <c r="AM121" s="320"/>
    </row>
    <row r="122" spans="27:39" ht="14.4">
      <c r="AA122" s="321">
        <v>45013</v>
      </c>
      <c r="AB122" s="308">
        <v>45013</v>
      </c>
      <c r="AC122" s="129" t="s">
        <v>2691</v>
      </c>
      <c r="AD122" s="129" t="s">
        <v>3075</v>
      </c>
      <c r="AE122" s="318" t="s">
        <v>488</v>
      </c>
      <c r="AF122" s="318" t="s">
        <v>490</v>
      </c>
      <c r="AG122" s="847">
        <v>4</v>
      </c>
      <c r="AH122" s="318" t="s">
        <v>488</v>
      </c>
      <c r="AI122" s="318" t="s">
        <v>490</v>
      </c>
      <c r="AJ122" s="847">
        <v>4</v>
      </c>
      <c r="AK122" s="847" t="s">
        <v>2693</v>
      </c>
      <c r="AL122" s="318" t="s">
        <v>2694</v>
      </c>
      <c r="AM122" s="320">
        <v>44989.65116898148</v>
      </c>
    </row>
    <row r="123" spans="27:39" ht="14.4">
      <c r="AA123" s="315">
        <v>45013</v>
      </c>
      <c r="AB123" s="308">
        <v>45013</v>
      </c>
      <c r="AC123" s="322" t="s">
        <v>3067</v>
      </c>
      <c r="AD123" s="129" t="s">
        <v>3076</v>
      </c>
      <c r="AE123" s="317" t="s">
        <v>488</v>
      </c>
      <c r="AF123" s="318"/>
      <c r="AG123" s="847">
        <v>4</v>
      </c>
      <c r="AH123" s="317" t="s">
        <v>488</v>
      </c>
      <c r="AI123" s="318"/>
      <c r="AJ123" s="847">
        <v>4</v>
      </c>
      <c r="AK123" s="847" t="s">
        <v>2693</v>
      </c>
      <c r="AL123" s="318" t="s">
        <v>2834</v>
      </c>
      <c r="AM123" s="320"/>
    </row>
    <row r="124" spans="27:39" ht="14.4">
      <c r="AA124" s="321">
        <v>45012</v>
      </c>
      <c r="AB124" s="308">
        <v>45012</v>
      </c>
      <c r="AC124" s="129" t="s">
        <v>2691</v>
      </c>
      <c r="AD124" s="129" t="s">
        <v>3077</v>
      </c>
      <c r="AE124" s="318" t="s">
        <v>488</v>
      </c>
      <c r="AF124" s="318" t="s">
        <v>490</v>
      </c>
      <c r="AG124" s="847">
        <v>4</v>
      </c>
      <c r="AH124" s="318" t="s">
        <v>488</v>
      </c>
      <c r="AI124" s="318" t="s">
        <v>490</v>
      </c>
      <c r="AJ124" s="847">
        <v>4</v>
      </c>
      <c r="AK124" s="847" t="s">
        <v>2693</v>
      </c>
      <c r="AL124" s="318" t="s">
        <v>2694</v>
      </c>
      <c r="AM124" s="320">
        <v>44989.651134259257</v>
      </c>
    </row>
    <row r="125" spans="27:39" ht="14.4">
      <c r="AA125" s="315">
        <v>45012</v>
      </c>
      <c r="AB125" s="308">
        <v>45012</v>
      </c>
      <c r="AC125" s="322" t="s">
        <v>3067</v>
      </c>
      <c r="AD125" s="129" t="s">
        <v>3078</v>
      </c>
      <c r="AE125" s="317" t="s">
        <v>518</v>
      </c>
      <c r="AF125" s="318"/>
      <c r="AG125" s="847">
        <v>4</v>
      </c>
      <c r="AH125" s="317" t="s">
        <v>518</v>
      </c>
      <c r="AI125" s="318"/>
      <c r="AJ125" s="847">
        <v>4</v>
      </c>
      <c r="AK125" s="847" t="s">
        <v>2693</v>
      </c>
      <c r="AL125" s="318" t="s">
        <v>2834</v>
      </c>
      <c r="AM125" s="320"/>
    </row>
    <row r="126" spans="27:39" ht="14.4">
      <c r="AA126" s="321">
        <v>45010</v>
      </c>
      <c r="AB126" s="308">
        <v>45010</v>
      </c>
      <c r="AC126" s="129" t="s">
        <v>2691</v>
      </c>
      <c r="AD126" s="129" t="s">
        <v>3079</v>
      </c>
      <c r="AE126" s="318" t="s">
        <v>488</v>
      </c>
      <c r="AF126" s="318" t="s">
        <v>490</v>
      </c>
      <c r="AG126" s="847">
        <v>4</v>
      </c>
      <c r="AH126" s="318" t="s">
        <v>488</v>
      </c>
      <c r="AI126" s="318" t="s">
        <v>490</v>
      </c>
      <c r="AJ126" s="847">
        <v>4</v>
      </c>
      <c r="AK126" s="847" t="s">
        <v>2693</v>
      </c>
      <c r="AL126" s="318" t="s">
        <v>2694</v>
      </c>
      <c r="AM126" s="320">
        <v>44989.651099537034</v>
      </c>
    </row>
    <row r="127" spans="27:39" ht="14.4">
      <c r="AA127" s="315">
        <v>45010</v>
      </c>
      <c r="AB127" s="308">
        <v>45010</v>
      </c>
      <c r="AC127" s="322" t="s">
        <v>3067</v>
      </c>
      <c r="AD127" s="129" t="s">
        <v>3080</v>
      </c>
      <c r="AE127" s="317" t="s">
        <v>518</v>
      </c>
      <c r="AF127" s="318"/>
      <c r="AG127" s="847">
        <v>4</v>
      </c>
      <c r="AH127" s="317" t="s">
        <v>518</v>
      </c>
      <c r="AI127" s="318"/>
      <c r="AJ127" s="847">
        <v>4</v>
      </c>
      <c r="AK127" s="847" t="s">
        <v>2693</v>
      </c>
      <c r="AL127" s="318" t="s">
        <v>2834</v>
      </c>
      <c r="AM127" s="320"/>
    </row>
    <row r="128" spans="27:39" ht="14.4">
      <c r="AA128" s="321">
        <v>45009</v>
      </c>
      <c r="AB128" s="308">
        <v>45009</v>
      </c>
      <c r="AC128" s="129" t="s">
        <v>2691</v>
      </c>
      <c r="AD128" s="129" t="s">
        <v>3081</v>
      </c>
      <c r="AE128" s="318" t="s">
        <v>488</v>
      </c>
      <c r="AF128" s="318" t="s">
        <v>490</v>
      </c>
      <c r="AG128" s="847">
        <v>4</v>
      </c>
      <c r="AH128" s="318" t="s">
        <v>488</v>
      </c>
      <c r="AI128" s="318" t="s">
        <v>490</v>
      </c>
      <c r="AJ128" s="847">
        <v>4</v>
      </c>
      <c r="AK128" s="847" t="s">
        <v>2693</v>
      </c>
      <c r="AL128" s="318" t="s">
        <v>2694</v>
      </c>
      <c r="AM128" s="320">
        <v>44989.651087962964</v>
      </c>
    </row>
    <row r="129" spans="27:39" ht="14.4">
      <c r="AA129" s="315">
        <v>45009</v>
      </c>
      <c r="AB129" s="308">
        <v>45009</v>
      </c>
      <c r="AC129" s="322" t="s">
        <v>3067</v>
      </c>
      <c r="AD129" s="129" t="s">
        <v>3082</v>
      </c>
      <c r="AE129" s="317" t="s">
        <v>518</v>
      </c>
      <c r="AF129" s="318"/>
      <c r="AG129" s="847">
        <v>4</v>
      </c>
      <c r="AH129" s="317" t="s">
        <v>518</v>
      </c>
      <c r="AI129" s="318"/>
      <c r="AJ129" s="847">
        <v>4</v>
      </c>
      <c r="AK129" s="847" t="s">
        <v>2693</v>
      </c>
      <c r="AL129" s="318" t="s">
        <v>2834</v>
      </c>
      <c r="AM129" s="320"/>
    </row>
    <row r="130" spans="27:39" ht="14.4">
      <c r="AA130" s="321">
        <v>45008</v>
      </c>
      <c r="AB130" s="308">
        <v>45008</v>
      </c>
      <c r="AC130" s="129" t="s">
        <v>2691</v>
      </c>
      <c r="AD130" s="129" t="s">
        <v>3083</v>
      </c>
      <c r="AE130" s="318" t="s">
        <v>488</v>
      </c>
      <c r="AF130" s="318" t="s">
        <v>490</v>
      </c>
      <c r="AG130" s="847">
        <v>4</v>
      </c>
      <c r="AH130" s="318" t="s">
        <v>488</v>
      </c>
      <c r="AI130" s="318" t="s">
        <v>490</v>
      </c>
      <c r="AJ130" s="847">
        <v>4</v>
      </c>
      <c r="AK130" s="847" t="s">
        <v>2693</v>
      </c>
      <c r="AL130" s="318" t="s">
        <v>2694</v>
      </c>
      <c r="AM130" s="320">
        <v>44989.651064814818</v>
      </c>
    </row>
    <row r="131" spans="27:39" ht="14.4">
      <c r="AA131" s="321">
        <v>45007</v>
      </c>
      <c r="AB131" s="308">
        <v>45007</v>
      </c>
      <c r="AC131" s="129" t="s">
        <v>2691</v>
      </c>
      <c r="AD131" s="129" t="s">
        <v>3084</v>
      </c>
      <c r="AE131" s="318" t="s">
        <v>488</v>
      </c>
      <c r="AF131" s="318" t="s">
        <v>490</v>
      </c>
      <c r="AG131" s="847">
        <v>4</v>
      </c>
      <c r="AH131" s="318" t="s">
        <v>488</v>
      </c>
      <c r="AI131" s="318" t="s">
        <v>490</v>
      </c>
      <c r="AJ131" s="847">
        <v>4</v>
      </c>
      <c r="AK131" s="847" t="s">
        <v>2693</v>
      </c>
      <c r="AL131" s="318" t="s">
        <v>2694</v>
      </c>
      <c r="AM131" s="320">
        <v>44989.651053240741</v>
      </c>
    </row>
    <row r="132" spans="27:39" ht="14.4">
      <c r="AA132" s="315">
        <v>45007</v>
      </c>
      <c r="AB132" s="308">
        <v>45007</v>
      </c>
      <c r="AC132" s="322" t="s">
        <v>3067</v>
      </c>
      <c r="AD132" s="129" t="s">
        <v>3085</v>
      </c>
      <c r="AE132" s="317" t="s">
        <v>488</v>
      </c>
      <c r="AF132" s="318"/>
      <c r="AG132" s="847">
        <v>4</v>
      </c>
      <c r="AH132" s="317" t="s">
        <v>488</v>
      </c>
      <c r="AI132" s="318"/>
      <c r="AJ132" s="847">
        <v>4</v>
      </c>
      <c r="AK132" s="847" t="s">
        <v>2693</v>
      </c>
      <c r="AL132" s="318" t="s">
        <v>2834</v>
      </c>
      <c r="AM132" s="320"/>
    </row>
    <row r="133" spans="27:39" ht="14.4">
      <c r="AA133" s="321">
        <v>45006</v>
      </c>
      <c r="AB133" s="308">
        <v>45006</v>
      </c>
      <c r="AC133" s="129" t="s">
        <v>2691</v>
      </c>
      <c r="AD133" s="129" t="s">
        <v>3086</v>
      </c>
      <c r="AE133" s="318" t="s">
        <v>488</v>
      </c>
      <c r="AF133" s="318" t="s">
        <v>490</v>
      </c>
      <c r="AG133" s="847">
        <v>4</v>
      </c>
      <c r="AH133" s="318" t="s">
        <v>488</v>
      </c>
      <c r="AI133" s="318" t="s">
        <v>490</v>
      </c>
      <c r="AJ133" s="847">
        <v>4</v>
      </c>
      <c r="AK133" s="847" t="s">
        <v>2693</v>
      </c>
      <c r="AL133" s="318" t="s">
        <v>2694</v>
      </c>
      <c r="AM133" s="320">
        <v>44989.651006944441</v>
      </c>
    </row>
    <row r="134" spans="27:39" ht="14.4">
      <c r="AA134" s="315">
        <v>45006</v>
      </c>
      <c r="AB134" s="308">
        <v>45006</v>
      </c>
      <c r="AC134" s="322" t="s">
        <v>3067</v>
      </c>
      <c r="AD134" s="129" t="s">
        <v>3087</v>
      </c>
      <c r="AE134" s="317" t="s">
        <v>488</v>
      </c>
      <c r="AF134" s="318"/>
      <c r="AG134" s="847">
        <v>4</v>
      </c>
      <c r="AH134" s="317" t="s">
        <v>488</v>
      </c>
      <c r="AI134" s="318"/>
      <c r="AJ134" s="847">
        <v>4</v>
      </c>
      <c r="AK134" s="847" t="s">
        <v>2693</v>
      </c>
      <c r="AL134" s="318" t="s">
        <v>2834</v>
      </c>
      <c r="AM134" s="320"/>
    </row>
    <row r="135" spans="27:39" ht="14.4">
      <c r="AA135" s="321">
        <v>45005</v>
      </c>
      <c r="AB135" s="308">
        <v>45005</v>
      </c>
      <c r="AC135" s="129" t="s">
        <v>2691</v>
      </c>
      <c r="AD135" s="129" t="s">
        <v>3088</v>
      </c>
      <c r="AE135" s="318" t="s">
        <v>488</v>
      </c>
      <c r="AF135" s="318" t="s">
        <v>490</v>
      </c>
      <c r="AG135" s="847">
        <v>4</v>
      </c>
      <c r="AH135" s="318" t="s">
        <v>488</v>
      </c>
      <c r="AI135" s="318" t="s">
        <v>490</v>
      </c>
      <c r="AJ135" s="847">
        <v>4</v>
      </c>
      <c r="AK135" s="847" t="s">
        <v>2693</v>
      </c>
      <c r="AL135" s="318" t="s">
        <v>2694</v>
      </c>
      <c r="AM135" s="320">
        <v>44989.650983796295</v>
      </c>
    </row>
    <row r="136" spans="27:39" ht="14.4">
      <c r="AA136" s="321">
        <v>45004</v>
      </c>
      <c r="AB136" s="308">
        <v>45004</v>
      </c>
      <c r="AC136" s="129" t="s">
        <v>2691</v>
      </c>
      <c r="AD136" s="129" t="s">
        <v>3089</v>
      </c>
      <c r="AE136" s="318" t="s">
        <v>488</v>
      </c>
      <c r="AF136" s="318" t="s">
        <v>490</v>
      </c>
      <c r="AG136" s="847">
        <v>4</v>
      </c>
      <c r="AH136" s="318" t="s">
        <v>488</v>
      </c>
      <c r="AI136" s="318" t="s">
        <v>490</v>
      </c>
      <c r="AJ136" s="847">
        <v>4</v>
      </c>
      <c r="AK136" s="847" t="s">
        <v>2693</v>
      </c>
      <c r="AL136" s="318" t="s">
        <v>2694</v>
      </c>
      <c r="AM136" s="320">
        <v>44989.650960648149</v>
      </c>
    </row>
    <row r="137" spans="27:39" ht="14.4">
      <c r="AA137" s="321">
        <v>45003</v>
      </c>
      <c r="AB137" s="308">
        <v>45003</v>
      </c>
      <c r="AC137" s="129" t="s">
        <v>2691</v>
      </c>
      <c r="AD137" s="129" t="s">
        <v>3090</v>
      </c>
      <c r="AE137" s="318" t="s">
        <v>488</v>
      </c>
      <c r="AF137" s="318" t="s">
        <v>490</v>
      </c>
      <c r="AG137" s="847">
        <v>4</v>
      </c>
      <c r="AH137" s="318" t="s">
        <v>488</v>
      </c>
      <c r="AI137" s="318" t="s">
        <v>490</v>
      </c>
      <c r="AJ137" s="847">
        <v>4</v>
      </c>
      <c r="AK137" s="847" t="s">
        <v>2693</v>
      </c>
      <c r="AL137" s="318" t="s">
        <v>2694</v>
      </c>
      <c r="AM137" s="320">
        <v>44989.650949074072</v>
      </c>
    </row>
    <row r="138" spans="27:39" ht="14.4">
      <c r="AA138" s="315">
        <v>45003</v>
      </c>
      <c r="AB138" s="308">
        <v>45003</v>
      </c>
      <c r="AC138" s="322" t="s">
        <v>3067</v>
      </c>
      <c r="AD138" s="129" t="s">
        <v>3091</v>
      </c>
      <c r="AE138" s="317" t="s">
        <v>488</v>
      </c>
      <c r="AF138" s="318"/>
      <c r="AG138" s="847">
        <v>4</v>
      </c>
      <c r="AH138" s="317" t="s">
        <v>488</v>
      </c>
      <c r="AI138" s="318"/>
      <c r="AJ138" s="847">
        <v>4</v>
      </c>
      <c r="AK138" s="847" t="s">
        <v>2693</v>
      </c>
      <c r="AL138" s="318" t="s">
        <v>2834</v>
      </c>
      <c r="AM138" s="320"/>
    </row>
    <row r="139" spans="27:39" ht="14.4">
      <c r="AA139" s="321">
        <v>45002</v>
      </c>
      <c r="AB139" s="308">
        <v>45002</v>
      </c>
      <c r="AC139" s="129" t="s">
        <v>2691</v>
      </c>
      <c r="AD139" s="129" t="s">
        <v>3092</v>
      </c>
      <c r="AE139" s="318" t="s">
        <v>488</v>
      </c>
      <c r="AF139" s="318" t="s">
        <v>490</v>
      </c>
      <c r="AG139" s="847">
        <v>4</v>
      </c>
      <c r="AH139" s="318" t="s">
        <v>488</v>
      </c>
      <c r="AI139" s="318" t="s">
        <v>490</v>
      </c>
      <c r="AJ139" s="847">
        <v>4</v>
      </c>
      <c r="AK139" s="847" t="s">
        <v>2693</v>
      </c>
      <c r="AL139" s="318" t="s">
        <v>2694</v>
      </c>
      <c r="AM139" s="320">
        <v>44989.650925925926</v>
      </c>
    </row>
    <row r="140" spans="27:39" ht="14.4">
      <c r="AA140" s="315">
        <v>45002</v>
      </c>
      <c r="AB140" s="308">
        <v>45002</v>
      </c>
      <c r="AC140" s="322" t="s">
        <v>3067</v>
      </c>
      <c r="AD140" s="129" t="s">
        <v>3093</v>
      </c>
      <c r="AE140" s="317" t="s">
        <v>488</v>
      </c>
      <c r="AF140" s="318"/>
      <c r="AG140" s="847">
        <v>4</v>
      </c>
      <c r="AH140" s="317" t="s">
        <v>488</v>
      </c>
      <c r="AI140" s="318"/>
      <c r="AJ140" s="847">
        <v>4</v>
      </c>
      <c r="AK140" s="847" t="s">
        <v>2693</v>
      </c>
      <c r="AL140" s="318" t="s">
        <v>2834</v>
      </c>
      <c r="AM140" s="320"/>
    </row>
    <row r="141" spans="27:39" ht="14.4">
      <c r="AA141" s="321">
        <v>45001</v>
      </c>
      <c r="AB141" s="308">
        <v>45001</v>
      </c>
      <c r="AC141" s="129" t="s">
        <v>2691</v>
      </c>
      <c r="AD141" s="129" t="s">
        <v>3094</v>
      </c>
      <c r="AE141" s="318" t="s">
        <v>488</v>
      </c>
      <c r="AF141" s="318" t="s">
        <v>490</v>
      </c>
      <c r="AG141" s="847">
        <v>4</v>
      </c>
      <c r="AH141" s="318" t="s">
        <v>488</v>
      </c>
      <c r="AI141" s="318" t="s">
        <v>490</v>
      </c>
      <c r="AJ141" s="847">
        <v>4</v>
      </c>
      <c r="AK141" s="847" t="s">
        <v>2693</v>
      </c>
      <c r="AL141" s="318" t="s">
        <v>2694</v>
      </c>
      <c r="AM141" s="320">
        <v>44989.650902777779</v>
      </c>
    </row>
    <row r="142" spans="27:39" ht="14.4">
      <c r="AA142" s="315">
        <v>45001</v>
      </c>
      <c r="AB142" s="308">
        <v>45001</v>
      </c>
      <c r="AC142" s="322" t="s">
        <v>3067</v>
      </c>
      <c r="AD142" s="129" t="s">
        <v>3095</v>
      </c>
      <c r="AE142" s="317" t="s">
        <v>488</v>
      </c>
      <c r="AF142" s="318"/>
      <c r="AG142" s="847">
        <v>4</v>
      </c>
      <c r="AH142" s="317" t="s">
        <v>488</v>
      </c>
      <c r="AI142" s="318"/>
      <c r="AJ142" s="847">
        <v>4</v>
      </c>
      <c r="AK142" s="847" t="s">
        <v>2693</v>
      </c>
      <c r="AL142" s="318" t="s">
        <v>2834</v>
      </c>
      <c r="AM142" s="320"/>
    </row>
    <row r="143" spans="27:39" ht="14.4">
      <c r="AA143" s="321">
        <v>45000</v>
      </c>
      <c r="AB143" s="308">
        <v>45000</v>
      </c>
      <c r="AC143" s="129" t="s">
        <v>2691</v>
      </c>
      <c r="AD143" s="129" t="s">
        <v>3096</v>
      </c>
      <c r="AE143" s="318" t="s">
        <v>488</v>
      </c>
      <c r="AF143" s="318" t="s">
        <v>490</v>
      </c>
      <c r="AG143" s="847">
        <v>4</v>
      </c>
      <c r="AH143" s="318" t="s">
        <v>488</v>
      </c>
      <c r="AI143" s="318" t="s">
        <v>490</v>
      </c>
      <c r="AJ143" s="847">
        <v>4</v>
      </c>
      <c r="AK143" s="847" t="s">
        <v>2693</v>
      </c>
      <c r="AL143" s="318" t="s">
        <v>2694</v>
      </c>
      <c r="AM143" s="320">
        <v>44989.650891203702</v>
      </c>
    </row>
    <row r="144" spans="27:39" ht="14.4">
      <c r="AA144" s="315">
        <v>45000</v>
      </c>
      <c r="AB144" s="308">
        <v>45000</v>
      </c>
      <c r="AC144" s="322" t="s">
        <v>3067</v>
      </c>
      <c r="AD144" s="129" t="s">
        <v>3097</v>
      </c>
      <c r="AE144" s="317" t="s">
        <v>488</v>
      </c>
      <c r="AF144" s="318"/>
      <c r="AG144" s="847">
        <v>4</v>
      </c>
      <c r="AH144" s="317" t="s">
        <v>488</v>
      </c>
      <c r="AI144" s="318"/>
      <c r="AJ144" s="847">
        <v>4</v>
      </c>
      <c r="AK144" s="847" t="s">
        <v>2693</v>
      </c>
      <c r="AL144" s="318" t="s">
        <v>2834</v>
      </c>
      <c r="AM144" s="320"/>
    </row>
    <row r="145" spans="27:39" ht="14.4">
      <c r="AA145" s="321">
        <v>44999</v>
      </c>
      <c r="AB145" s="308">
        <v>44999</v>
      </c>
      <c r="AC145" s="129" t="s">
        <v>2691</v>
      </c>
      <c r="AD145" s="129" t="s">
        <v>3098</v>
      </c>
      <c r="AE145" s="318" t="s">
        <v>488</v>
      </c>
      <c r="AF145" s="318" t="s">
        <v>490</v>
      </c>
      <c r="AG145" s="847">
        <v>4</v>
      </c>
      <c r="AH145" s="318" t="s">
        <v>488</v>
      </c>
      <c r="AI145" s="318" t="s">
        <v>490</v>
      </c>
      <c r="AJ145" s="847">
        <v>4</v>
      </c>
      <c r="AK145" s="847" t="s">
        <v>2693</v>
      </c>
      <c r="AL145" s="318" t="s">
        <v>2694</v>
      </c>
      <c r="AM145" s="320">
        <v>44989.650868055556</v>
      </c>
    </row>
    <row r="146" spans="27:39" ht="14.4">
      <c r="AA146" s="315">
        <v>44999</v>
      </c>
      <c r="AB146" s="308">
        <v>44999</v>
      </c>
      <c r="AC146" s="322" t="s">
        <v>3067</v>
      </c>
      <c r="AD146" s="129" t="s">
        <v>3099</v>
      </c>
      <c r="AE146" s="317" t="s">
        <v>488</v>
      </c>
      <c r="AF146" s="318"/>
      <c r="AG146" s="847">
        <v>4</v>
      </c>
      <c r="AH146" s="317" t="s">
        <v>488</v>
      </c>
      <c r="AI146" s="318"/>
      <c r="AJ146" s="847">
        <v>4</v>
      </c>
      <c r="AK146" s="847" t="s">
        <v>2693</v>
      </c>
      <c r="AL146" s="318" t="s">
        <v>2834</v>
      </c>
      <c r="AM146" s="320"/>
    </row>
    <row r="147" spans="27:39" ht="14.4">
      <c r="AA147" s="321">
        <v>44998</v>
      </c>
      <c r="AB147" s="308">
        <v>44998</v>
      </c>
      <c r="AC147" s="129" t="s">
        <v>2691</v>
      </c>
      <c r="AD147" s="129" t="s">
        <v>3100</v>
      </c>
      <c r="AE147" s="318" t="s">
        <v>488</v>
      </c>
      <c r="AF147" s="318" t="s">
        <v>490</v>
      </c>
      <c r="AG147" s="847">
        <v>4</v>
      </c>
      <c r="AH147" s="318" t="s">
        <v>488</v>
      </c>
      <c r="AI147" s="318" t="s">
        <v>490</v>
      </c>
      <c r="AJ147" s="847">
        <v>4</v>
      </c>
      <c r="AK147" s="847" t="s">
        <v>2693</v>
      </c>
      <c r="AL147" s="318" t="s">
        <v>2694</v>
      </c>
      <c r="AM147" s="320">
        <v>44989.650856481479</v>
      </c>
    </row>
    <row r="148" spans="27:39" ht="14.4">
      <c r="AA148" s="315">
        <v>44998</v>
      </c>
      <c r="AB148" s="308">
        <v>44998</v>
      </c>
      <c r="AC148" s="322" t="s">
        <v>3067</v>
      </c>
      <c r="AD148" s="129" t="s">
        <v>3101</v>
      </c>
      <c r="AE148" s="317" t="s">
        <v>488</v>
      </c>
      <c r="AF148" s="318"/>
      <c r="AG148" s="847">
        <v>4</v>
      </c>
      <c r="AH148" s="317" t="s">
        <v>488</v>
      </c>
      <c r="AI148" s="318"/>
      <c r="AJ148" s="847">
        <v>4</v>
      </c>
      <c r="AK148" s="847" t="s">
        <v>2693</v>
      </c>
      <c r="AL148" s="318" t="s">
        <v>2834</v>
      </c>
      <c r="AM148" s="320"/>
    </row>
    <row r="149" spans="27:39" ht="14.4">
      <c r="AA149" s="321">
        <v>44997</v>
      </c>
      <c r="AB149" s="308">
        <v>44997</v>
      </c>
      <c r="AC149" s="129" t="s">
        <v>2691</v>
      </c>
      <c r="AD149" s="129" t="s">
        <v>3102</v>
      </c>
      <c r="AE149" s="318" t="s">
        <v>488</v>
      </c>
      <c r="AF149" s="318" t="s">
        <v>490</v>
      </c>
      <c r="AG149" s="847">
        <v>4</v>
      </c>
      <c r="AH149" s="318" t="s">
        <v>488</v>
      </c>
      <c r="AI149" s="318" t="s">
        <v>490</v>
      </c>
      <c r="AJ149" s="847">
        <v>4</v>
      </c>
      <c r="AK149" s="847" t="s">
        <v>2693</v>
      </c>
      <c r="AL149" s="318" t="s">
        <v>2694</v>
      </c>
      <c r="AM149" s="320">
        <v>44989.650833333333</v>
      </c>
    </row>
    <row r="150" spans="27:39" ht="14.4">
      <c r="AA150" s="321">
        <v>44996</v>
      </c>
      <c r="AB150" s="308">
        <v>44996</v>
      </c>
      <c r="AC150" s="129" t="s">
        <v>2691</v>
      </c>
      <c r="AD150" s="129" t="s">
        <v>3103</v>
      </c>
      <c r="AE150" s="318" t="s">
        <v>488</v>
      </c>
      <c r="AF150" s="318" t="s">
        <v>490</v>
      </c>
      <c r="AG150" s="847">
        <v>4</v>
      </c>
      <c r="AH150" s="318" t="s">
        <v>488</v>
      </c>
      <c r="AI150" s="318" t="s">
        <v>490</v>
      </c>
      <c r="AJ150" s="847">
        <v>4</v>
      </c>
      <c r="AK150" s="847" t="s">
        <v>2693</v>
      </c>
      <c r="AL150" s="318" t="s">
        <v>2694</v>
      </c>
      <c r="AM150" s="320">
        <v>44989.650810185187</v>
      </c>
    </row>
    <row r="151" spans="27:39" ht="14.4">
      <c r="AA151" s="315">
        <v>44996</v>
      </c>
      <c r="AB151" s="308">
        <v>44996</v>
      </c>
      <c r="AC151" s="322" t="s">
        <v>3067</v>
      </c>
      <c r="AD151" s="129" t="s">
        <v>3104</v>
      </c>
      <c r="AE151" s="317" t="s">
        <v>488</v>
      </c>
      <c r="AF151" s="318"/>
      <c r="AG151" s="847">
        <v>4</v>
      </c>
      <c r="AH151" s="317" t="s">
        <v>488</v>
      </c>
      <c r="AI151" s="318"/>
      <c r="AJ151" s="847">
        <v>4</v>
      </c>
      <c r="AK151" s="847" t="s">
        <v>2693</v>
      </c>
      <c r="AL151" s="318" t="s">
        <v>2834</v>
      </c>
      <c r="AM151" s="320"/>
    </row>
    <row r="152" spans="27:39" ht="14.4">
      <c r="AA152" s="321">
        <v>44995</v>
      </c>
      <c r="AB152" s="308">
        <v>44995</v>
      </c>
      <c r="AC152" s="129" t="s">
        <v>2691</v>
      </c>
      <c r="AD152" s="129" t="s">
        <v>3105</v>
      </c>
      <c r="AE152" s="318" t="s">
        <v>488</v>
      </c>
      <c r="AF152" s="318" t="s">
        <v>490</v>
      </c>
      <c r="AG152" s="847">
        <v>4</v>
      </c>
      <c r="AH152" s="318" t="s">
        <v>488</v>
      </c>
      <c r="AI152" s="318" t="s">
        <v>490</v>
      </c>
      <c r="AJ152" s="847">
        <v>4</v>
      </c>
      <c r="AK152" s="847" t="s">
        <v>2693</v>
      </c>
      <c r="AL152" s="318" t="s">
        <v>2694</v>
      </c>
      <c r="AM152" s="320">
        <v>44989.650787037041</v>
      </c>
    </row>
    <row r="153" spans="27:39" ht="14.4">
      <c r="AA153" s="315">
        <v>44995</v>
      </c>
      <c r="AB153" s="308">
        <v>44995</v>
      </c>
      <c r="AC153" s="322" t="s">
        <v>3067</v>
      </c>
      <c r="AD153" s="129" t="s">
        <v>3106</v>
      </c>
      <c r="AE153" s="317" t="s">
        <v>488</v>
      </c>
      <c r="AF153" s="318"/>
      <c r="AG153" s="847">
        <v>4</v>
      </c>
      <c r="AH153" s="317" t="s">
        <v>488</v>
      </c>
      <c r="AI153" s="318"/>
      <c r="AJ153" s="847">
        <v>4</v>
      </c>
      <c r="AK153" s="847" t="s">
        <v>2693</v>
      </c>
      <c r="AL153" s="318" t="s">
        <v>2834</v>
      </c>
      <c r="AM153" s="320"/>
    </row>
    <row r="154" spans="27:39" ht="14.4">
      <c r="AA154" s="321">
        <v>44994</v>
      </c>
      <c r="AB154" s="308">
        <v>44994</v>
      </c>
      <c r="AC154" s="129" t="s">
        <v>2691</v>
      </c>
      <c r="AD154" s="129" t="s">
        <v>3107</v>
      </c>
      <c r="AE154" s="318" t="s">
        <v>488</v>
      </c>
      <c r="AF154" s="318" t="s">
        <v>490</v>
      </c>
      <c r="AG154" s="847">
        <v>4</v>
      </c>
      <c r="AH154" s="318" t="s">
        <v>488</v>
      </c>
      <c r="AI154" s="318" t="s">
        <v>490</v>
      </c>
      <c r="AJ154" s="847">
        <v>4</v>
      </c>
      <c r="AK154" s="847" t="s">
        <v>2693</v>
      </c>
      <c r="AL154" s="318" t="s">
        <v>2694</v>
      </c>
      <c r="AM154" s="320">
        <v>44989.650775462964</v>
      </c>
    </row>
    <row r="155" spans="27:39" ht="14.4">
      <c r="AA155" s="315">
        <v>44994</v>
      </c>
      <c r="AB155" s="308">
        <v>44994</v>
      </c>
      <c r="AC155" s="322" t="s">
        <v>3067</v>
      </c>
      <c r="AD155" s="129" t="s">
        <v>3108</v>
      </c>
      <c r="AE155" s="317" t="s">
        <v>488</v>
      </c>
      <c r="AF155" s="318"/>
      <c r="AG155" s="847">
        <v>4</v>
      </c>
      <c r="AH155" s="317" t="s">
        <v>488</v>
      </c>
      <c r="AI155" s="318"/>
      <c r="AJ155" s="847">
        <v>4</v>
      </c>
      <c r="AK155" s="847" t="s">
        <v>2693</v>
      </c>
      <c r="AL155" s="318" t="s">
        <v>2834</v>
      </c>
      <c r="AM155" s="320"/>
    </row>
    <row r="156" spans="27:39" ht="14.4">
      <c r="AA156" s="321">
        <v>44993</v>
      </c>
      <c r="AB156" s="308">
        <v>44993</v>
      </c>
      <c r="AC156" s="129" t="s">
        <v>2691</v>
      </c>
      <c r="AD156" s="129" t="s">
        <v>3109</v>
      </c>
      <c r="AE156" s="318" t="s">
        <v>488</v>
      </c>
      <c r="AF156" s="318" t="s">
        <v>490</v>
      </c>
      <c r="AG156" s="847">
        <v>4</v>
      </c>
      <c r="AH156" s="318" t="s">
        <v>488</v>
      </c>
      <c r="AI156" s="318" t="s">
        <v>490</v>
      </c>
      <c r="AJ156" s="847">
        <v>4</v>
      </c>
      <c r="AK156" s="847" t="s">
        <v>2693</v>
      </c>
      <c r="AL156" s="318" t="s">
        <v>2694</v>
      </c>
      <c r="AM156" s="320">
        <v>44989.650752314818</v>
      </c>
    </row>
    <row r="157" spans="27:39" ht="14.4">
      <c r="AA157" s="315">
        <v>44993</v>
      </c>
      <c r="AB157" s="308">
        <v>44993</v>
      </c>
      <c r="AC157" s="322" t="s">
        <v>3067</v>
      </c>
      <c r="AD157" s="129" t="s">
        <v>3110</v>
      </c>
      <c r="AE157" s="317" t="s">
        <v>488</v>
      </c>
      <c r="AF157" s="318"/>
      <c r="AG157" s="847">
        <v>4</v>
      </c>
      <c r="AH157" s="317" t="s">
        <v>488</v>
      </c>
      <c r="AI157" s="318"/>
      <c r="AJ157" s="847">
        <v>4</v>
      </c>
      <c r="AK157" s="847" t="s">
        <v>2693</v>
      </c>
      <c r="AL157" s="318" t="s">
        <v>2834</v>
      </c>
      <c r="AM157" s="320"/>
    </row>
    <row r="158" spans="27:39" ht="14.4">
      <c r="AA158" s="321">
        <v>44992</v>
      </c>
      <c r="AB158" s="308">
        <v>44992</v>
      </c>
      <c r="AC158" s="129" t="s">
        <v>2691</v>
      </c>
      <c r="AD158" s="129" t="s">
        <v>3111</v>
      </c>
      <c r="AE158" s="318" t="s">
        <v>488</v>
      </c>
      <c r="AF158" s="318" t="s">
        <v>490</v>
      </c>
      <c r="AG158" s="847">
        <v>4</v>
      </c>
      <c r="AH158" s="318" t="s">
        <v>488</v>
      </c>
      <c r="AI158" s="318" t="s">
        <v>490</v>
      </c>
      <c r="AJ158" s="847">
        <v>4</v>
      </c>
      <c r="AK158" s="847" t="s">
        <v>2693</v>
      </c>
      <c r="AL158" s="318" t="s">
        <v>2694</v>
      </c>
      <c r="AM158" s="320">
        <v>44989.650740740741</v>
      </c>
    </row>
    <row r="159" spans="27:39" ht="14.4">
      <c r="AA159" s="315">
        <v>44992</v>
      </c>
      <c r="AB159" s="308">
        <v>44992</v>
      </c>
      <c r="AC159" s="322" t="s">
        <v>3067</v>
      </c>
      <c r="AD159" s="129" t="s">
        <v>3112</v>
      </c>
      <c r="AE159" s="317" t="s">
        <v>488</v>
      </c>
      <c r="AF159" s="318"/>
      <c r="AG159" s="847">
        <v>4</v>
      </c>
      <c r="AH159" s="317" t="s">
        <v>488</v>
      </c>
      <c r="AI159" s="318"/>
      <c r="AJ159" s="847">
        <v>4</v>
      </c>
      <c r="AK159" s="847" t="s">
        <v>2693</v>
      </c>
      <c r="AL159" s="318" t="s">
        <v>2834</v>
      </c>
      <c r="AM159" s="320"/>
    </row>
    <row r="160" spans="27:39" ht="14.4">
      <c r="AA160" s="321">
        <v>44991</v>
      </c>
      <c r="AB160" s="308">
        <v>44991</v>
      </c>
      <c r="AC160" s="129" t="s">
        <v>2691</v>
      </c>
      <c r="AD160" s="129" t="s">
        <v>3113</v>
      </c>
      <c r="AE160" s="318" t="s">
        <v>488</v>
      </c>
      <c r="AF160" s="318" t="s">
        <v>490</v>
      </c>
      <c r="AG160" s="847">
        <v>4</v>
      </c>
      <c r="AH160" s="318" t="s">
        <v>488</v>
      </c>
      <c r="AI160" s="318" t="s">
        <v>490</v>
      </c>
      <c r="AJ160" s="847">
        <v>4</v>
      </c>
      <c r="AK160" s="847" t="s">
        <v>2693</v>
      </c>
      <c r="AL160" s="318" t="s">
        <v>2694</v>
      </c>
      <c r="AM160" s="320">
        <v>44989.650717592594</v>
      </c>
    </row>
    <row r="161" spans="27:39" ht="14.4">
      <c r="AA161" s="315">
        <v>44991</v>
      </c>
      <c r="AB161" s="308">
        <v>44991</v>
      </c>
      <c r="AC161" s="322" t="s">
        <v>3067</v>
      </c>
      <c r="AD161" s="129" t="s">
        <v>3114</v>
      </c>
      <c r="AE161" s="317" t="s">
        <v>488</v>
      </c>
      <c r="AF161" s="318"/>
      <c r="AG161" s="847">
        <v>4</v>
      </c>
      <c r="AH161" s="317" t="s">
        <v>488</v>
      </c>
      <c r="AI161" s="318"/>
      <c r="AJ161" s="847">
        <v>4</v>
      </c>
      <c r="AK161" s="847" t="s">
        <v>2693</v>
      </c>
      <c r="AL161" s="318" t="s">
        <v>2834</v>
      </c>
      <c r="AM161" s="320"/>
    </row>
    <row r="162" spans="27:39" ht="14.4">
      <c r="AA162" s="321">
        <v>44990</v>
      </c>
      <c r="AB162" s="308">
        <v>44990</v>
      </c>
      <c r="AC162" s="129" t="s">
        <v>2691</v>
      </c>
      <c r="AD162" s="129" t="s">
        <v>3115</v>
      </c>
      <c r="AE162" s="318" t="s">
        <v>488</v>
      </c>
      <c r="AF162" s="318" t="s">
        <v>490</v>
      </c>
      <c r="AG162" s="847">
        <v>4</v>
      </c>
      <c r="AH162" s="318" t="s">
        <v>488</v>
      </c>
      <c r="AI162" s="318" t="s">
        <v>490</v>
      </c>
      <c r="AJ162" s="847">
        <v>4</v>
      </c>
      <c r="AK162" s="847" t="s">
        <v>2693</v>
      </c>
      <c r="AL162" s="318" t="s">
        <v>2694</v>
      </c>
      <c r="AM162" s="320">
        <v>44989.650706018518</v>
      </c>
    </row>
    <row r="163" spans="27:39" ht="14.4">
      <c r="AA163" s="321">
        <v>44989</v>
      </c>
      <c r="AB163" s="308">
        <v>44989</v>
      </c>
      <c r="AC163" s="129" t="s">
        <v>2691</v>
      </c>
      <c r="AD163" s="129" t="s">
        <v>3116</v>
      </c>
      <c r="AE163" s="318" t="s">
        <v>488</v>
      </c>
      <c r="AF163" s="318" t="s">
        <v>490</v>
      </c>
      <c r="AG163" s="847">
        <v>4</v>
      </c>
      <c r="AH163" s="318" t="s">
        <v>488</v>
      </c>
      <c r="AI163" s="318" t="s">
        <v>490</v>
      </c>
      <c r="AJ163" s="847">
        <v>4</v>
      </c>
      <c r="AK163" s="847" t="s">
        <v>2693</v>
      </c>
      <c r="AL163" s="318" t="s">
        <v>2694</v>
      </c>
      <c r="AM163" s="320">
        <v>44989.650682870371</v>
      </c>
    </row>
    <row r="164" spans="27:39" ht="14.4">
      <c r="AA164" s="315">
        <v>44989</v>
      </c>
      <c r="AB164" s="308">
        <v>44989</v>
      </c>
      <c r="AC164" s="322" t="s">
        <v>3067</v>
      </c>
      <c r="AD164" s="129" t="s">
        <v>3117</v>
      </c>
      <c r="AE164" s="317" t="s">
        <v>549</v>
      </c>
      <c r="AF164" s="318"/>
      <c r="AG164" s="847">
        <v>4</v>
      </c>
      <c r="AH164" s="317" t="s">
        <v>549</v>
      </c>
      <c r="AI164" s="318"/>
      <c r="AJ164" s="847">
        <v>4</v>
      </c>
      <c r="AK164" s="847" t="s">
        <v>2693</v>
      </c>
      <c r="AL164" s="318" t="s">
        <v>2834</v>
      </c>
      <c r="AM164" s="320"/>
    </row>
    <row r="165" spans="27:39" ht="14.4">
      <c r="AA165" s="321">
        <v>44988</v>
      </c>
      <c r="AB165" s="308">
        <v>44988</v>
      </c>
      <c r="AC165" s="129" t="s">
        <v>2691</v>
      </c>
      <c r="AD165" s="129" t="s">
        <v>3118</v>
      </c>
      <c r="AE165" s="318" t="s">
        <v>488</v>
      </c>
      <c r="AF165" s="318" t="s">
        <v>490</v>
      </c>
      <c r="AG165" s="847">
        <v>4</v>
      </c>
      <c r="AH165" s="318" t="s">
        <v>488</v>
      </c>
      <c r="AI165" s="318" t="s">
        <v>490</v>
      </c>
      <c r="AJ165" s="847">
        <v>4</v>
      </c>
      <c r="AK165" s="847" t="s">
        <v>2693</v>
      </c>
      <c r="AL165" s="318" t="s">
        <v>2694</v>
      </c>
      <c r="AM165" s="320">
        <v>44989.650659722225</v>
      </c>
    </row>
    <row r="166" spans="27:39" ht="14.4">
      <c r="AA166" s="315">
        <v>44988</v>
      </c>
      <c r="AB166" s="308">
        <v>44988</v>
      </c>
      <c r="AC166" s="322" t="s">
        <v>3067</v>
      </c>
      <c r="AD166" s="129" t="s">
        <v>3119</v>
      </c>
      <c r="AE166" s="317" t="s">
        <v>549</v>
      </c>
      <c r="AF166" s="318"/>
      <c r="AG166" s="847">
        <v>4</v>
      </c>
      <c r="AH166" s="317" t="s">
        <v>549</v>
      </c>
      <c r="AI166" s="318"/>
      <c r="AJ166" s="847">
        <v>4</v>
      </c>
      <c r="AK166" s="847" t="s">
        <v>2693</v>
      </c>
      <c r="AL166" s="318" t="s">
        <v>2834</v>
      </c>
      <c r="AM166" s="320"/>
    </row>
    <row r="167" spans="27:39" ht="14.4">
      <c r="AA167" s="321">
        <v>44987</v>
      </c>
      <c r="AB167" s="308">
        <v>44987</v>
      </c>
      <c r="AC167" s="129" t="s">
        <v>2691</v>
      </c>
      <c r="AD167" s="129" t="s">
        <v>3120</v>
      </c>
      <c r="AE167" s="318" t="s">
        <v>488</v>
      </c>
      <c r="AF167" s="318" t="s">
        <v>490</v>
      </c>
      <c r="AG167" s="847">
        <v>4</v>
      </c>
      <c r="AH167" s="318" t="s">
        <v>488</v>
      </c>
      <c r="AI167" s="318" t="s">
        <v>490</v>
      </c>
      <c r="AJ167" s="847">
        <v>4</v>
      </c>
      <c r="AK167" s="847" t="s">
        <v>2693</v>
      </c>
      <c r="AL167" s="318" t="s">
        <v>2694</v>
      </c>
      <c r="AM167" s="320">
        <v>44989.650636574072</v>
      </c>
    </row>
    <row r="168" spans="27:39" ht="14.4">
      <c r="AA168" s="315">
        <v>44987</v>
      </c>
      <c r="AB168" s="308">
        <v>44987</v>
      </c>
      <c r="AC168" s="322" t="s">
        <v>3067</v>
      </c>
      <c r="AD168" s="129" t="s">
        <v>3121</v>
      </c>
      <c r="AE168" s="317" t="s">
        <v>488</v>
      </c>
      <c r="AF168" s="318"/>
      <c r="AG168" s="847">
        <v>4</v>
      </c>
      <c r="AH168" s="317" t="s">
        <v>488</v>
      </c>
      <c r="AI168" s="318"/>
      <c r="AJ168" s="847">
        <v>4</v>
      </c>
      <c r="AK168" s="847" t="s">
        <v>2693</v>
      </c>
      <c r="AL168" s="318" t="s">
        <v>2834</v>
      </c>
      <c r="AM168" s="320"/>
    </row>
    <row r="169" spans="27:39" ht="14.4">
      <c r="AA169" s="321">
        <v>44986</v>
      </c>
      <c r="AB169" s="308">
        <v>44986</v>
      </c>
      <c r="AC169" s="129" t="s">
        <v>2691</v>
      </c>
      <c r="AD169" s="129" t="s">
        <v>3122</v>
      </c>
      <c r="AE169" s="318" t="s">
        <v>488</v>
      </c>
      <c r="AF169" s="318" t="s">
        <v>490</v>
      </c>
      <c r="AG169" s="847">
        <v>4</v>
      </c>
      <c r="AH169" s="318" t="s">
        <v>488</v>
      </c>
      <c r="AI169" s="318" t="s">
        <v>490</v>
      </c>
      <c r="AJ169" s="847">
        <v>4</v>
      </c>
      <c r="AK169" s="847" t="s">
        <v>2693</v>
      </c>
      <c r="AL169" s="318" t="s">
        <v>2694</v>
      </c>
      <c r="AM169" s="320">
        <v>44989.650625000002</v>
      </c>
    </row>
    <row r="170" spans="27:39" ht="14.4">
      <c r="AA170" s="321">
        <v>44985</v>
      </c>
      <c r="AB170" s="308">
        <v>44985</v>
      </c>
      <c r="AC170" s="129" t="s">
        <v>2691</v>
      </c>
      <c r="AD170" s="129" t="s">
        <v>3123</v>
      </c>
      <c r="AE170" s="318" t="s">
        <v>488</v>
      </c>
      <c r="AF170" s="318" t="s">
        <v>490</v>
      </c>
      <c r="AG170" s="847">
        <v>4</v>
      </c>
      <c r="AH170" s="318" t="s">
        <v>488</v>
      </c>
      <c r="AI170" s="318" t="s">
        <v>490</v>
      </c>
      <c r="AJ170" s="847">
        <v>4</v>
      </c>
      <c r="AK170" s="847" t="s">
        <v>2693</v>
      </c>
      <c r="AL170" s="318" t="s">
        <v>2694</v>
      </c>
      <c r="AM170" s="320">
        <v>44989.650601851848</v>
      </c>
    </row>
    <row r="171" spans="27:39" ht="14.4">
      <c r="AA171" s="321">
        <v>44984</v>
      </c>
      <c r="AB171" s="308">
        <v>44984</v>
      </c>
      <c r="AC171" s="129" t="s">
        <v>2691</v>
      </c>
      <c r="AD171" s="129" t="s">
        <v>3124</v>
      </c>
      <c r="AE171" s="318" t="s">
        <v>488</v>
      </c>
      <c r="AF171" s="318" t="s">
        <v>490</v>
      </c>
      <c r="AG171" s="847">
        <v>4</v>
      </c>
      <c r="AH171" s="318" t="s">
        <v>488</v>
      </c>
      <c r="AI171" s="318" t="s">
        <v>490</v>
      </c>
      <c r="AJ171" s="847">
        <v>4</v>
      </c>
      <c r="AK171" s="847" t="s">
        <v>2693</v>
      </c>
      <c r="AL171" s="318" t="s">
        <v>2694</v>
      </c>
      <c r="AM171" s="320">
        <v>44989.650578703702</v>
      </c>
    </row>
    <row r="172" spans="27:39" ht="14.4">
      <c r="AA172" s="321">
        <v>44983</v>
      </c>
      <c r="AB172" s="308">
        <v>44983</v>
      </c>
      <c r="AC172" s="129" t="s">
        <v>2691</v>
      </c>
      <c r="AD172" s="129" t="s">
        <v>3125</v>
      </c>
      <c r="AE172" s="318" t="s">
        <v>488</v>
      </c>
      <c r="AF172" s="318" t="s">
        <v>490</v>
      </c>
      <c r="AG172" s="847">
        <v>4</v>
      </c>
      <c r="AH172" s="318" t="s">
        <v>488</v>
      </c>
      <c r="AI172" s="318" t="s">
        <v>490</v>
      </c>
      <c r="AJ172" s="847">
        <v>4</v>
      </c>
      <c r="AK172" s="847" t="s">
        <v>2693</v>
      </c>
      <c r="AL172" s="318" t="s">
        <v>2694</v>
      </c>
      <c r="AM172" s="320">
        <v>44989.650567129633</v>
      </c>
    </row>
    <row r="173" spans="27:39" ht="14.4">
      <c r="AA173" s="321">
        <v>44982</v>
      </c>
      <c r="AB173" s="308">
        <v>44982</v>
      </c>
      <c r="AC173" s="129" t="s">
        <v>2691</v>
      </c>
      <c r="AD173" s="129" t="s">
        <v>3126</v>
      </c>
      <c r="AE173" s="318" t="s">
        <v>488</v>
      </c>
      <c r="AF173" s="318" t="s">
        <v>490</v>
      </c>
      <c r="AG173" s="847">
        <v>4</v>
      </c>
      <c r="AH173" s="318" t="s">
        <v>488</v>
      </c>
      <c r="AI173" s="318" t="s">
        <v>490</v>
      </c>
      <c r="AJ173" s="847">
        <v>4</v>
      </c>
      <c r="AK173" s="847" t="s">
        <v>2693</v>
      </c>
      <c r="AL173" s="318" t="s">
        <v>2694</v>
      </c>
      <c r="AM173" s="320">
        <v>44989.650543981479</v>
      </c>
    </row>
    <row r="174" spans="27:39" ht="14.4">
      <c r="AA174" s="321">
        <v>44981</v>
      </c>
      <c r="AB174" s="308">
        <v>44981</v>
      </c>
      <c r="AC174" s="129" t="s">
        <v>2691</v>
      </c>
      <c r="AD174" s="129" t="s">
        <v>3127</v>
      </c>
      <c r="AE174" s="318" t="s">
        <v>488</v>
      </c>
      <c r="AF174" s="318" t="s">
        <v>490</v>
      </c>
      <c r="AG174" s="847">
        <v>4</v>
      </c>
      <c r="AH174" s="318" t="s">
        <v>488</v>
      </c>
      <c r="AI174" s="318" t="s">
        <v>490</v>
      </c>
      <c r="AJ174" s="847">
        <v>4</v>
      </c>
      <c r="AK174" s="847" t="s">
        <v>2693</v>
      </c>
      <c r="AL174" s="318" t="s">
        <v>2694</v>
      </c>
      <c r="AM174" s="320">
        <v>44989.65053240741</v>
      </c>
    </row>
    <row r="175" spans="27:39" ht="14.4">
      <c r="AA175" s="321">
        <v>44980</v>
      </c>
      <c r="AB175" s="308">
        <v>44980</v>
      </c>
      <c r="AC175" s="129" t="s">
        <v>2691</v>
      </c>
      <c r="AD175" s="129" t="s">
        <v>3128</v>
      </c>
      <c r="AE175" s="318" t="s">
        <v>488</v>
      </c>
      <c r="AF175" s="318" t="s">
        <v>490</v>
      </c>
      <c r="AG175" s="847">
        <v>4</v>
      </c>
      <c r="AH175" s="318" t="s">
        <v>488</v>
      </c>
      <c r="AI175" s="318" t="s">
        <v>490</v>
      </c>
      <c r="AJ175" s="847">
        <v>4</v>
      </c>
      <c r="AK175" s="847" t="s">
        <v>2693</v>
      </c>
      <c r="AL175" s="318" t="s">
        <v>2694</v>
      </c>
      <c r="AM175" s="320">
        <v>44989.650509259256</v>
      </c>
    </row>
    <row r="176" spans="27:39" ht="14.4">
      <c r="AA176" s="321">
        <v>44979</v>
      </c>
      <c r="AB176" s="308">
        <v>44979</v>
      </c>
      <c r="AC176" s="129" t="s">
        <v>2691</v>
      </c>
      <c r="AD176" s="129" t="s">
        <v>3129</v>
      </c>
      <c r="AE176" s="318" t="s">
        <v>488</v>
      </c>
      <c r="AF176" s="318" t="s">
        <v>490</v>
      </c>
      <c r="AG176" s="847">
        <v>4</v>
      </c>
      <c r="AH176" s="318" t="s">
        <v>488</v>
      </c>
      <c r="AI176" s="318" t="s">
        <v>490</v>
      </c>
      <c r="AJ176" s="847">
        <v>4</v>
      </c>
      <c r="AK176" s="847" t="s">
        <v>2693</v>
      </c>
      <c r="AL176" s="318" t="s">
        <v>2694</v>
      </c>
      <c r="AM176" s="320">
        <v>44989.65048611111</v>
      </c>
    </row>
    <row r="177" spans="27:39" ht="14.4">
      <c r="AA177" s="321">
        <v>44978</v>
      </c>
      <c r="AB177" s="308">
        <v>44978</v>
      </c>
      <c r="AC177" s="129" t="s">
        <v>2691</v>
      </c>
      <c r="AD177" s="129" t="s">
        <v>3130</v>
      </c>
      <c r="AE177" s="318" t="s">
        <v>488</v>
      </c>
      <c r="AF177" s="318" t="s">
        <v>490</v>
      </c>
      <c r="AG177" s="847">
        <v>4</v>
      </c>
      <c r="AH177" s="318" t="s">
        <v>488</v>
      </c>
      <c r="AI177" s="318" t="s">
        <v>490</v>
      </c>
      <c r="AJ177" s="847">
        <v>4</v>
      </c>
      <c r="AK177" s="847" t="s">
        <v>2693</v>
      </c>
      <c r="AL177" s="318" t="s">
        <v>2694</v>
      </c>
      <c r="AM177" s="320">
        <v>44989.65047453704</v>
      </c>
    </row>
    <row r="178" spans="27:39" ht="14.4">
      <c r="AA178" s="321">
        <v>44977</v>
      </c>
      <c r="AB178" s="308">
        <v>44977</v>
      </c>
      <c r="AC178" s="129" t="s">
        <v>2691</v>
      </c>
      <c r="AD178" s="129" t="s">
        <v>3131</v>
      </c>
      <c r="AE178" s="318" t="s">
        <v>488</v>
      </c>
      <c r="AF178" s="318" t="s">
        <v>490</v>
      </c>
      <c r="AG178" s="847">
        <v>4</v>
      </c>
      <c r="AH178" s="318" t="s">
        <v>488</v>
      </c>
      <c r="AI178" s="318" t="s">
        <v>490</v>
      </c>
      <c r="AJ178" s="847">
        <v>4</v>
      </c>
      <c r="AK178" s="847" t="s">
        <v>2693</v>
      </c>
      <c r="AL178" s="318" t="s">
        <v>2694</v>
      </c>
      <c r="AM178" s="320">
        <v>44989.650451388887</v>
      </c>
    </row>
    <row r="179" spans="27:39" ht="14.4">
      <c r="AA179" s="321">
        <v>44976</v>
      </c>
      <c r="AB179" s="308">
        <v>44976</v>
      </c>
      <c r="AC179" s="129" t="s">
        <v>2691</v>
      </c>
      <c r="AD179" s="129" t="s">
        <v>3132</v>
      </c>
      <c r="AE179" s="318" t="s">
        <v>488</v>
      </c>
      <c r="AF179" s="318" t="s">
        <v>490</v>
      </c>
      <c r="AG179" s="847">
        <v>4</v>
      </c>
      <c r="AH179" s="318" t="s">
        <v>488</v>
      </c>
      <c r="AI179" s="318" t="s">
        <v>490</v>
      </c>
      <c r="AJ179" s="847">
        <v>4</v>
      </c>
      <c r="AK179" s="847" t="s">
        <v>2693</v>
      </c>
      <c r="AL179" s="318" t="s">
        <v>2694</v>
      </c>
      <c r="AM179" s="320">
        <v>44989.65042824074</v>
      </c>
    </row>
    <row r="180" spans="27:39" ht="14.4">
      <c r="AA180" s="321">
        <v>44975</v>
      </c>
      <c r="AB180" s="308">
        <v>44975</v>
      </c>
      <c r="AC180" s="129" t="s">
        <v>2691</v>
      </c>
      <c r="AD180" s="129" t="s">
        <v>3133</v>
      </c>
      <c r="AE180" s="318" t="s">
        <v>488</v>
      </c>
      <c r="AF180" s="318" t="s">
        <v>490</v>
      </c>
      <c r="AG180" s="847">
        <v>4</v>
      </c>
      <c r="AH180" s="318" t="s">
        <v>488</v>
      </c>
      <c r="AI180" s="318" t="s">
        <v>490</v>
      </c>
      <c r="AJ180" s="847">
        <v>4</v>
      </c>
      <c r="AK180" s="847" t="s">
        <v>2693</v>
      </c>
      <c r="AL180" s="318" t="s">
        <v>2694</v>
      </c>
      <c r="AM180" s="320">
        <v>44989.650405092594</v>
      </c>
    </row>
    <row r="181" spans="27:39" ht="14.4">
      <c r="AA181" s="321">
        <v>44974</v>
      </c>
      <c r="AB181" s="308">
        <v>44974</v>
      </c>
      <c r="AC181" s="129" t="s">
        <v>2691</v>
      </c>
      <c r="AD181" s="129" t="s">
        <v>3134</v>
      </c>
      <c r="AE181" s="318" t="s">
        <v>488</v>
      </c>
      <c r="AF181" s="318" t="s">
        <v>490</v>
      </c>
      <c r="AG181" s="847">
        <v>4</v>
      </c>
      <c r="AH181" s="318" t="s">
        <v>488</v>
      </c>
      <c r="AI181" s="318" t="s">
        <v>490</v>
      </c>
      <c r="AJ181" s="847">
        <v>4</v>
      </c>
      <c r="AK181" s="847" t="s">
        <v>2693</v>
      </c>
      <c r="AL181" s="318" t="s">
        <v>2694</v>
      </c>
      <c r="AM181" s="320">
        <v>44989.650393518517</v>
      </c>
    </row>
    <row r="182" spans="27:39" ht="14.4">
      <c r="AA182" s="321">
        <v>44973</v>
      </c>
      <c r="AB182" s="308">
        <v>44973</v>
      </c>
      <c r="AC182" s="129" t="s">
        <v>2691</v>
      </c>
      <c r="AD182" s="129" t="s">
        <v>3135</v>
      </c>
      <c r="AE182" s="318" t="s">
        <v>488</v>
      </c>
      <c r="AF182" s="318" t="s">
        <v>490</v>
      </c>
      <c r="AG182" s="847">
        <v>4</v>
      </c>
      <c r="AH182" s="318" t="s">
        <v>488</v>
      </c>
      <c r="AI182" s="318" t="s">
        <v>490</v>
      </c>
      <c r="AJ182" s="847">
        <v>4</v>
      </c>
      <c r="AK182" s="847" t="s">
        <v>2693</v>
      </c>
      <c r="AL182" s="318" t="s">
        <v>2694</v>
      </c>
      <c r="AM182" s="320">
        <v>44989.650370370371</v>
      </c>
    </row>
    <row r="183" spans="27:39" ht="14.4">
      <c r="AA183" s="321">
        <v>44972</v>
      </c>
      <c r="AB183" s="308">
        <v>44972</v>
      </c>
      <c r="AC183" s="129" t="s">
        <v>2691</v>
      </c>
      <c r="AD183" s="129" t="s">
        <v>3136</v>
      </c>
      <c r="AE183" s="318" t="s">
        <v>488</v>
      </c>
      <c r="AF183" s="318" t="s">
        <v>490</v>
      </c>
      <c r="AG183" s="847">
        <v>4</v>
      </c>
      <c r="AH183" s="318" t="s">
        <v>488</v>
      </c>
      <c r="AI183" s="318" t="s">
        <v>490</v>
      </c>
      <c r="AJ183" s="847">
        <v>4</v>
      </c>
      <c r="AK183" s="847" t="s">
        <v>2693</v>
      </c>
      <c r="AL183" s="318" t="s">
        <v>2694</v>
      </c>
      <c r="AM183" s="320">
        <v>44989.650347222225</v>
      </c>
    </row>
    <row r="184" spans="27:39" ht="14.4">
      <c r="AA184" s="321">
        <v>44971</v>
      </c>
      <c r="AB184" s="308">
        <v>44971</v>
      </c>
      <c r="AC184" s="129" t="s">
        <v>2691</v>
      </c>
      <c r="AD184" s="129" t="s">
        <v>3137</v>
      </c>
      <c r="AE184" s="318" t="s">
        <v>488</v>
      </c>
      <c r="AF184" s="318" t="s">
        <v>490</v>
      </c>
      <c r="AG184" s="847">
        <v>4</v>
      </c>
      <c r="AH184" s="318" t="s">
        <v>488</v>
      </c>
      <c r="AI184" s="318" t="s">
        <v>490</v>
      </c>
      <c r="AJ184" s="847">
        <v>4</v>
      </c>
      <c r="AK184" s="847" t="s">
        <v>2693</v>
      </c>
      <c r="AL184" s="318" t="s">
        <v>2694</v>
      </c>
      <c r="AM184" s="320">
        <v>44989.650324074071</v>
      </c>
    </row>
    <row r="185" spans="27:39" ht="14.4">
      <c r="AA185" s="315">
        <v>44971</v>
      </c>
      <c r="AB185" s="308">
        <v>44971</v>
      </c>
      <c r="AC185" s="322" t="s">
        <v>3067</v>
      </c>
      <c r="AD185" s="129" t="s">
        <v>3138</v>
      </c>
      <c r="AE185" s="317" t="s">
        <v>488</v>
      </c>
      <c r="AF185" s="318"/>
      <c r="AG185" s="847">
        <v>4</v>
      </c>
      <c r="AH185" s="317" t="s">
        <v>488</v>
      </c>
      <c r="AI185" s="318"/>
      <c r="AJ185" s="847">
        <v>4</v>
      </c>
      <c r="AK185" s="847" t="s">
        <v>2693</v>
      </c>
      <c r="AL185" s="318" t="s">
        <v>2834</v>
      </c>
      <c r="AM185" s="320"/>
    </row>
    <row r="186" spans="27:39" ht="14.4">
      <c r="AA186" s="321">
        <v>44970</v>
      </c>
      <c r="AB186" s="308">
        <v>44970</v>
      </c>
      <c r="AC186" s="129" t="s">
        <v>2691</v>
      </c>
      <c r="AD186" s="129" t="s">
        <v>3139</v>
      </c>
      <c r="AE186" s="318" t="s">
        <v>488</v>
      </c>
      <c r="AF186" s="318" t="s">
        <v>490</v>
      </c>
      <c r="AG186" s="847">
        <v>4</v>
      </c>
      <c r="AH186" s="318" t="s">
        <v>488</v>
      </c>
      <c r="AI186" s="318" t="s">
        <v>490</v>
      </c>
      <c r="AJ186" s="847">
        <v>4</v>
      </c>
      <c r="AK186" s="847" t="s">
        <v>2693</v>
      </c>
      <c r="AL186" s="318" t="s">
        <v>2694</v>
      </c>
      <c r="AM186" s="320">
        <v>44989.650300925925</v>
      </c>
    </row>
    <row r="187" spans="27:39" ht="14.4">
      <c r="AA187" s="315">
        <v>44970</v>
      </c>
      <c r="AB187" s="308">
        <v>44970</v>
      </c>
      <c r="AC187" s="322" t="s">
        <v>3067</v>
      </c>
      <c r="AD187" s="129" t="s">
        <v>3140</v>
      </c>
      <c r="AE187" s="317" t="s">
        <v>488</v>
      </c>
      <c r="AF187" s="318"/>
      <c r="AG187" s="847">
        <v>4</v>
      </c>
      <c r="AH187" s="317" t="s">
        <v>488</v>
      </c>
      <c r="AI187" s="318"/>
      <c r="AJ187" s="847">
        <v>4</v>
      </c>
      <c r="AK187" s="847" t="s">
        <v>2693</v>
      </c>
      <c r="AL187" s="318" t="s">
        <v>2834</v>
      </c>
      <c r="AM187" s="320"/>
    </row>
    <row r="188" spans="27:39" ht="14.4">
      <c r="AA188" s="321">
        <v>44968</v>
      </c>
      <c r="AB188" s="308">
        <v>44968</v>
      </c>
      <c r="AC188" s="129" t="s">
        <v>2691</v>
      </c>
      <c r="AD188" s="129" t="s">
        <v>3141</v>
      </c>
      <c r="AE188" s="318" t="s">
        <v>488</v>
      </c>
      <c r="AF188" s="318" t="s">
        <v>490</v>
      </c>
      <c r="AG188" s="847">
        <v>4</v>
      </c>
      <c r="AH188" s="318" t="s">
        <v>488</v>
      </c>
      <c r="AI188" s="318" t="s">
        <v>490</v>
      </c>
      <c r="AJ188" s="847">
        <v>4</v>
      </c>
      <c r="AK188" s="847" t="s">
        <v>2693</v>
      </c>
      <c r="AL188" s="318" t="s">
        <v>2694</v>
      </c>
      <c r="AM188" s="320">
        <v>44989.650266203702</v>
      </c>
    </row>
    <row r="189" spans="27:39" ht="14.4">
      <c r="AA189" s="315">
        <v>44968</v>
      </c>
      <c r="AB189" s="308">
        <v>44968</v>
      </c>
      <c r="AC189" s="322" t="s">
        <v>3067</v>
      </c>
      <c r="AD189" s="129" t="s">
        <v>3142</v>
      </c>
      <c r="AE189" s="317" t="s">
        <v>488</v>
      </c>
      <c r="AF189" s="318"/>
      <c r="AG189" s="847">
        <v>4</v>
      </c>
      <c r="AH189" s="317" t="s">
        <v>488</v>
      </c>
      <c r="AI189" s="318"/>
      <c r="AJ189" s="847">
        <v>4</v>
      </c>
      <c r="AK189" s="847" t="s">
        <v>2693</v>
      </c>
      <c r="AL189" s="318" t="s">
        <v>2834</v>
      </c>
      <c r="AM189" s="320"/>
    </row>
    <row r="190" spans="27:39" ht="14.4">
      <c r="AA190" s="321">
        <v>44967</v>
      </c>
      <c r="AB190" s="308">
        <v>44967</v>
      </c>
      <c r="AC190" s="129" t="s">
        <v>2691</v>
      </c>
      <c r="AD190" s="129" t="s">
        <v>3143</v>
      </c>
      <c r="AE190" s="318" t="s">
        <v>488</v>
      </c>
      <c r="AF190" s="318" t="s">
        <v>490</v>
      </c>
      <c r="AG190" s="847">
        <v>4</v>
      </c>
      <c r="AH190" s="318" t="s">
        <v>488</v>
      </c>
      <c r="AI190" s="318" t="s">
        <v>490</v>
      </c>
      <c r="AJ190" s="847">
        <v>4</v>
      </c>
      <c r="AK190" s="847" t="s">
        <v>2693</v>
      </c>
      <c r="AL190" s="318" t="s">
        <v>2694</v>
      </c>
      <c r="AM190" s="320">
        <v>44989.650254629632</v>
      </c>
    </row>
    <row r="191" spans="27:39" ht="14.4">
      <c r="AA191" s="315">
        <v>44967</v>
      </c>
      <c r="AB191" s="308">
        <v>44967</v>
      </c>
      <c r="AC191" s="322" t="s">
        <v>3067</v>
      </c>
      <c r="AD191" s="129" t="s">
        <v>3144</v>
      </c>
      <c r="AE191" s="317" t="s">
        <v>488</v>
      </c>
      <c r="AF191" s="318"/>
      <c r="AG191" s="847">
        <v>4</v>
      </c>
      <c r="AH191" s="317" t="s">
        <v>488</v>
      </c>
      <c r="AI191" s="318"/>
      <c r="AJ191" s="847">
        <v>4</v>
      </c>
      <c r="AK191" s="847" t="s">
        <v>2693</v>
      </c>
      <c r="AL191" s="318" t="s">
        <v>2834</v>
      </c>
      <c r="AM191" s="320"/>
    </row>
    <row r="192" spans="27:39" ht="14.4">
      <c r="AA192" s="321">
        <v>44966</v>
      </c>
      <c r="AB192" s="308">
        <v>44966</v>
      </c>
      <c r="AC192" s="129" t="s">
        <v>2691</v>
      </c>
      <c r="AD192" s="129" t="s">
        <v>3145</v>
      </c>
      <c r="AE192" s="318" t="s">
        <v>488</v>
      </c>
      <c r="AF192" s="318" t="s">
        <v>490</v>
      </c>
      <c r="AG192" s="847">
        <v>4</v>
      </c>
      <c r="AH192" s="318" t="s">
        <v>488</v>
      </c>
      <c r="AI192" s="318" t="s">
        <v>490</v>
      </c>
      <c r="AJ192" s="847">
        <v>4</v>
      </c>
      <c r="AK192" s="847" t="s">
        <v>2693</v>
      </c>
      <c r="AL192" s="318" t="s">
        <v>2694</v>
      </c>
      <c r="AM192" s="320">
        <v>44989.650231481479</v>
      </c>
    </row>
    <row r="193" spans="27:39" ht="14.4">
      <c r="AA193" s="315">
        <v>44966</v>
      </c>
      <c r="AB193" s="308">
        <v>44966</v>
      </c>
      <c r="AC193" s="322" t="s">
        <v>3067</v>
      </c>
      <c r="AD193" s="129" t="s">
        <v>3146</v>
      </c>
      <c r="AE193" s="317" t="s">
        <v>488</v>
      </c>
      <c r="AF193" s="318"/>
      <c r="AG193" s="847">
        <v>4</v>
      </c>
      <c r="AH193" s="317" t="s">
        <v>488</v>
      </c>
      <c r="AI193" s="318"/>
      <c r="AJ193" s="847">
        <v>4</v>
      </c>
      <c r="AK193" s="847" t="s">
        <v>2693</v>
      </c>
      <c r="AL193" s="318" t="s">
        <v>2834</v>
      </c>
      <c r="AM193" s="320"/>
    </row>
    <row r="194" spans="27:39" ht="14.4">
      <c r="AA194" s="321">
        <v>44965</v>
      </c>
      <c r="AB194" s="308">
        <v>44965</v>
      </c>
      <c r="AC194" s="129" t="s">
        <v>2691</v>
      </c>
      <c r="AD194" s="129" t="s">
        <v>3147</v>
      </c>
      <c r="AE194" s="318" t="s">
        <v>488</v>
      </c>
      <c r="AF194" s="318" t="s">
        <v>490</v>
      </c>
      <c r="AG194" s="847">
        <v>4</v>
      </c>
      <c r="AH194" s="318" t="s">
        <v>488</v>
      </c>
      <c r="AI194" s="318" t="s">
        <v>490</v>
      </c>
      <c r="AJ194" s="847">
        <v>4</v>
      </c>
      <c r="AK194" s="847" t="s">
        <v>2693</v>
      </c>
      <c r="AL194" s="318" t="s">
        <v>2694</v>
      </c>
      <c r="AM194" s="320">
        <v>44989.650208333333</v>
      </c>
    </row>
    <row r="195" spans="27:39" ht="14.4">
      <c r="AA195" s="315">
        <v>44965</v>
      </c>
      <c r="AB195" s="308">
        <v>44965</v>
      </c>
      <c r="AC195" s="322" t="s">
        <v>3067</v>
      </c>
      <c r="AD195" s="129" t="s">
        <v>3148</v>
      </c>
      <c r="AE195" s="317" t="s">
        <v>488</v>
      </c>
      <c r="AF195" s="318"/>
      <c r="AG195" s="847">
        <v>4</v>
      </c>
      <c r="AH195" s="317" t="s">
        <v>488</v>
      </c>
      <c r="AI195" s="318"/>
      <c r="AJ195" s="847">
        <v>4</v>
      </c>
      <c r="AK195" s="847" t="s">
        <v>2693</v>
      </c>
      <c r="AL195" s="318" t="s">
        <v>2834</v>
      </c>
      <c r="AM195" s="320"/>
    </row>
    <row r="196" spans="27:39" ht="14.4">
      <c r="AA196" s="321">
        <v>44964</v>
      </c>
      <c r="AB196" s="308">
        <v>44964</v>
      </c>
      <c r="AC196" s="129" t="s">
        <v>2691</v>
      </c>
      <c r="AD196" s="129" t="s">
        <v>3149</v>
      </c>
      <c r="AE196" s="318" t="s">
        <v>488</v>
      </c>
      <c r="AF196" s="318" t="s">
        <v>490</v>
      </c>
      <c r="AG196" s="847">
        <v>4</v>
      </c>
      <c r="AH196" s="318" t="s">
        <v>488</v>
      </c>
      <c r="AI196" s="318" t="s">
        <v>490</v>
      </c>
      <c r="AJ196" s="847">
        <v>4</v>
      </c>
      <c r="AK196" s="847" t="s">
        <v>2693</v>
      </c>
      <c r="AL196" s="318" t="s">
        <v>2694</v>
      </c>
      <c r="AM196" s="320">
        <v>44989.650196759256</v>
      </c>
    </row>
    <row r="197" spans="27:39" ht="14.4">
      <c r="AA197" s="315">
        <v>44964</v>
      </c>
      <c r="AB197" s="308">
        <v>44964</v>
      </c>
      <c r="AC197" s="322" t="s">
        <v>3067</v>
      </c>
      <c r="AD197" s="129" t="s">
        <v>3150</v>
      </c>
      <c r="AE197" s="317" t="s">
        <v>488</v>
      </c>
      <c r="AF197" s="318"/>
      <c r="AG197" s="847">
        <v>4</v>
      </c>
      <c r="AH197" s="317" t="s">
        <v>488</v>
      </c>
      <c r="AI197" s="318"/>
      <c r="AJ197" s="847">
        <v>4</v>
      </c>
      <c r="AK197" s="847" t="s">
        <v>2693</v>
      </c>
      <c r="AL197" s="318" t="s">
        <v>2834</v>
      </c>
      <c r="AM197" s="320"/>
    </row>
    <row r="198" spans="27:39" ht="14.4">
      <c r="AA198" s="321">
        <v>44963</v>
      </c>
      <c r="AB198" s="308">
        <v>44963</v>
      </c>
      <c r="AC198" s="129" t="s">
        <v>2691</v>
      </c>
      <c r="AD198" s="129" t="s">
        <v>3151</v>
      </c>
      <c r="AE198" s="318" t="s">
        <v>488</v>
      </c>
      <c r="AF198" s="318" t="s">
        <v>490</v>
      </c>
      <c r="AG198" s="847">
        <v>4</v>
      </c>
      <c r="AH198" s="318" t="s">
        <v>488</v>
      </c>
      <c r="AI198" s="318" t="s">
        <v>490</v>
      </c>
      <c r="AJ198" s="847">
        <v>4</v>
      </c>
      <c r="AK198" s="847" t="s">
        <v>2693</v>
      </c>
      <c r="AL198" s="318" t="s">
        <v>2694</v>
      </c>
      <c r="AM198" s="320">
        <v>44989.650173611109</v>
      </c>
    </row>
    <row r="199" spans="27:39" ht="14.4">
      <c r="AA199" s="315">
        <v>44963</v>
      </c>
      <c r="AB199" s="308">
        <v>44963</v>
      </c>
      <c r="AC199" s="322" t="s">
        <v>3067</v>
      </c>
      <c r="AD199" s="129" t="s">
        <v>3152</v>
      </c>
      <c r="AE199" s="317" t="s">
        <v>549</v>
      </c>
      <c r="AF199" s="318"/>
      <c r="AG199" s="847">
        <v>4</v>
      </c>
      <c r="AH199" s="317" t="s">
        <v>549</v>
      </c>
      <c r="AI199" s="318"/>
      <c r="AJ199" s="847">
        <v>4</v>
      </c>
      <c r="AK199" s="847" t="s">
        <v>2693</v>
      </c>
      <c r="AL199" s="318" t="s">
        <v>2834</v>
      </c>
      <c r="AM199" s="320"/>
    </row>
  </sheetData>
  <mergeCells count="4">
    <mergeCell ref="A1:B1"/>
    <mergeCell ref="AE2:AG2"/>
    <mergeCell ref="AH2:AJ2"/>
    <mergeCell ref="BD2:BF2"/>
  </mergeCells>
  <conditionalFormatting sqref="AE4:AE8 AE10:AE34">
    <cfRule type="cellIs" dxfId="4" priority="5" operator="equal">
      <formula>"Rainny"</formula>
    </cfRule>
    <cfRule type="cellIs" dxfId="3" priority="6" operator="equal">
      <formula>Rainny</formula>
    </cfRule>
  </conditionalFormatting>
  <conditionalFormatting sqref="AK1:AK1048576">
    <cfRule type="cellIs" dxfId="2" priority="3" operator="equal">
      <formula>"Deleted"</formula>
    </cfRule>
  </conditionalFormatting>
  <conditionalFormatting sqref="AK4:AK199">
    <cfRule type="cellIs" dxfId="1" priority="4" operator="equal">
      <formula>"""Deleted"""</formula>
    </cfRule>
  </conditionalFormatting>
  <conditionalFormatting sqref="CD4:CD58">
    <cfRule type="duplicateValues" dxfId="0" priority="1"/>
  </conditionalFormatting>
  <hyperlinks>
    <hyperlink ref="BF1" location="Table_SiteStaff!A1" display="Back" xr:uid="{44136081-2C7B-4D9F-8365-EB2B7ADA91D1}"/>
  </hyperlinks>
  <pageMargins left="0.7" right="0.7" top="0.75" bottom="0.75" header="0.3" footer="0.3"/>
  <tableParts count="3">
    <tablePart r:id="rId1"/>
    <tablePart r:id="rId2"/>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4B661-ACAA-4BCC-8FC2-81167EF86321}">
  <sheetPr codeName="Sheet17"/>
  <dimension ref="B1:L30"/>
  <sheetViews>
    <sheetView workbookViewId="0">
      <selection activeCell="B1" sqref="B1"/>
    </sheetView>
  </sheetViews>
  <sheetFormatPr defaultRowHeight="14.4"/>
  <sheetData>
    <row r="1" spans="2:12" ht="17.399999999999999">
      <c r="B1" s="53" t="s">
        <v>3153</v>
      </c>
    </row>
    <row r="2" spans="2:12" ht="15.6">
      <c r="B2" s="171"/>
    </row>
    <row r="3" spans="2:12">
      <c r="B3" s="1618" t="s">
        <v>3154</v>
      </c>
      <c r="C3" s="1618"/>
      <c r="D3" s="1618"/>
      <c r="E3" s="1618"/>
      <c r="F3" s="1618"/>
      <c r="G3" s="1618"/>
      <c r="H3" s="1618"/>
      <c r="I3" s="1618"/>
      <c r="J3" s="1618"/>
      <c r="K3" s="1618"/>
      <c r="L3" s="1618"/>
    </row>
    <row r="4" spans="2:12">
      <c r="B4" s="1618" t="s">
        <v>3155</v>
      </c>
      <c r="C4" s="1618"/>
      <c r="D4" s="1618"/>
      <c r="E4" s="1618"/>
      <c r="F4" s="1618"/>
      <c r="G4" s="1618"/>
      <c r="H4" s="1618"/>
      <c r="I4" s="1618"/>
      <c r="J4" s="1618"/>
      <c r="K4" s="1618"/>
      <c r="L4" s="1618"/>
    </row>
    <row r="5" spans="2:12">
      <c r="B5" s="908" t="s">
        <v>3156</v>
      </c>
      <c r="C5" s="908"/>
      <c r="D5" s="908"/>
      <c r="E5" s="908"/>
      <c r="F5" s="908"/>
      <c r="G5" s="908"/>
      <c r="H5" s="908"/>
      <c r="I5" s="908"/>
      <c r="J5" s="908"/>
      <c r="K5" s="908"/>
      <c r="L5" s="908"/>
    </row>
    <row r="6" spans="2:12">
      <c r="B6" s="908" t="s">
        <v>3157</v>
      </c>
      <c r="C6" s="908"/>
      <c r="D6" s="908"/>
      <c r="E6" s="908"/>
      <c r="F6" s="908"/>
      <c r="G6" s="908"/>
      <c r="H6" s="908"/>
      <c r="I6" s="908"/>
      <c r="J6" s="908"/>
      <c r="K6" s="908"/>
      <c r="L6" s="908"/>
    </row>
    <row r="7" spans="2:12">
      <c r="B7" s="908" t="s">
        <v>3158</v>
      </c>
      <c r="C7" s="908"/>
      <c r="D7" s="908"/>
      <c r="E7" s="908"/>
      <c r="F7" s="908"/>
      <c r="G7" s="908"/>
      <c r="H7" s="908"/>
      <c r="I7" s="908"/>
      <c r="J7" s="908"/>
      <c r="K7" s="908"/>
      <c r="L7" s="908"/>
    </row>
    <row r="8" spans="2:12">
      <c r="B8" s="908" t="s">
        <v>3159</v>
      </c>
      <c r="C8" s="908"/>
      <c r="D8" s="908"/>
      <c r="E8" s="908"/>
      <c r="F8" s="908"/>
      <c r="G8" s="908"/>
      <c r="H8" s="908"/>
      <c r="I8" s="908"/>
      <c r="J8" s="908"/>
      <c r="K8" s="908"/>
      <c r="L8" s="908"/>
    </row>
    <row r="9" spans="2:12">
      <c r="B9" s="908" t="s">
        <v>3160</v>
      </c>
      <c r="C9" s="908"/>
      <c r="D9" s="908"/>
      <c r="E9" s="908"/>
      <c r="F9" s="908"/>
      <c r="G9" s="908"/>
      <c r="H9" s="908"/>
      <c r="I9" s="908"/>
      <c r="J9" s="908"/>
      <c r="K9" s="908"/>
      <c r="L9" s="908"/>
    </row>
    <row r="11" spans="2:12">
      <c r="B11" s="1618" t="s">
        <v>3161</v>
      </c>
      <c r="C11" s="1618"/>
      <c r="D11" s="1618"/>
      <c r="E11" s="1618"/>
      <c r="F11" s="1618"/>
      <c r="G11" s="1618"/>
      <c r="H11" s="1618"/>
      <c r="I11" s="1618"/>
      <c r="J11" s="1618"/>
      <c r="K11" s="1618"/>
      <c r="L11" s="1618"/>
    </row>
    <row r="12" spans="2:12">
      <c r="B12" s="1618" t="s">
        <v>3162</v>
      </c>
      <c r="C12" s="1618"/>
      <c r="D12" s="1618"/>
      <c r="E12" s="1618"/>
      <c r="F12" s="1618"/>
      <c r="G12" s="1618"/>
      <c r="H12" s="1618"/>
      <c r="I12" s="1618"/>
      <c r="J12" s="1618"/>
      <c r="K12" s="1618"/>
      <c r="L12" s="1618"/>
    </row>
    <row r="14" spans="2:12">
      <c r="B14" s="1738" t="s">
        <v>3163</v>
      </c>
      <c r="C14" s="1738"/>
      <c r="D14" s="1738"/>
      <c r="E14" s="1738"/>
      <c r="F14" s="1738"/>
      <c r="G14" s="1738"/>
      <c r="H14" s="1738"/>
      <c r="I14" s="1738"/>
      <c r="J14" s="1738"/>
      <c r="K14" s="1738"/>
      <c r="L14" s="1738"/>
    </row>
    <row r="15" spans="2:12">
      <c r="B15" s="1502" t="s">
        <v>3164</v>
      </c>
      <c r="C15" s="1502"/>
      <c r="D15" s="1502"/>
      <c r="E15" s="1502"/>
      <c r="F15" s="1502"/>
      <c r="G15" s="1502"/>
      <c r="H15" s="1502"/>
      <c r="I15" s="1502"/>
      <c r="J15" s="1502"/>
      <c r="K15" s="1502"/>
      <c r="L15" s="1502"/>
    </row>
    <row r="16" spans="2:12">
      <c r="B16" s="1502" t="s">
        <v>3165</v>
      </c>
      <c r="C16" s="1502"/>
      <c r="D16" s="1502"/>
      <c r="E16" s="1502"/>
      <c r="F16" s="1502"/>
      <c r="G16" s="1502"/>
      <c r="H16" s="1502"/>
      <c r="I16" s="1502"/>
      <c r="J16" s="1502"/>
      <c r="K16" s="1502"/>
      <c r="L16" s="1502"/>
    </row>
    <row r="18" spans="2:12">
      <c r="B18" s="1738" t="s">
        <v>3166</v>
      </c>
      <c r="C18" s="1738"/>
      <c r="D18" s="1738"/>
      <c r="E18" s="1738"/>
      <c r="F18" s="1738"/>
      <c r="G18" s="1738"/>
      <c r="H18" s="1738"/>
      <c r="I18" s="1738"/>
      <c r="J18" s="1738"/>
      <c r="K18" s="1738"/>
      <c r="L18" s="1738"/>
    </row>
    <row r="19" spans="2:12">
      <c r="B19" s="1502" t="s">
        <v>3167</v>
      </c>
      <c r="C19" s="1502"/>
      <c r="D19" s="1502"/>
      <c r="E19" s="1502"/>
      <c r="F19" s="1502"/>
      <c r="G19" s="1502"/>
      <c r="H19" s="1502"/>
      <c r="I19" s="1502"/>
      <c r="J19" s="1502"/>
      <c r="K19" s="1502"/>
      <c r="L19" s="1502"/>
    </row>
    <row r="20" spans="2:12">
      <c r="B20" s="1502" t="s">
        <v>3168</v>
      </c>
      <c r="C20" s="1502"/>
      <c r="D20" s="1502"/>
      <c r="E20" s="1502"/>
      <c r="F20" s="1502"/>
      <c r="G20" s="1502"/>
      <c r="H20" s="1502"/>
      <c r="I20" s="1502"/>
      <c r="J20" s="1502"/>
      <c r="K20" s="1502"/>
      <c r="L20" s="1502"/>
    </row>
    <row r="22" spans="2:12">
      <c r="B22" s="448" t="s">
        <v>3169</v>
      </c>
    </row>
    <row r="23" spans="2:12">
      <c r="B23" t="s">
        <v>3170</v>
      </c>
    </row>
    <row r="24" spans="2:12">
      <c r="B24" t="s">
        <v>3171</v>
      </c>
    </row>
    <row r="25" spans="2:12">
      <c r="B25" t="s">
        <v>3172</v>
      </c>
    </row>
    <row r="26" spans="2:12">
      <c r="B26" t="s">
        <v>3173</v>
      </c>
      <c r="C26" t="s">
        <v>3174</v>
      </c>
      <c r="D26" t="s">
        <v>3175</v>
      </c>
    </row>
    <row r="27" spans="2:12">
      <c r="C27" t="s">
        <v>3176</v>
      </c>
      <c r="D27" t="s">
        <v>3177</v>
      </c>
      <c r="E27" t="s">
        <v>3178</v>
      </c>
    </row>
    <row r="28" spans="2:12">
      <c r="C28" t="s">
        <v>3179</v>
      </c>
    </row>
    <row r="29" spans="2:12">
      <c r="C29" t="s">
        <v>3176</v>
      </c>
      <c r="D29" t="s">
        <v>3180</v>
      </c>
      <c r="E29" t="s">
        <v>3181</v>
      </c>
    </row>
    <row r="30" spans="2:12">
      <c r="B30" t="s">
        <v>3182</v>
      </c>
    </row>
  </sheetData>
  <mergeCells count="10">
    <mergeCell ref="B3:L3"/>
    <mergeCell ref="B4:L4"/>
    <mergeCell ref="B11:L11"/>
    <mergeCell ref="B12:L12"/>
    <mergeCell ref="B14:L14"/>
    <mergeCell ref="B15:L15"/>
    <mergeCell ref="B16:L16"/>
    <mergeCell ref="B18:L18"/>
    <mergeCell ref="B19:L19"/>
    <mergeCell ref="B20:L20"/>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5A28C-422A-4859-9207-F973F264B6C9}">
  <sheetPr codeName="Sheet6"/>
  <dimension ref="A1"/>
  <sheetViews>
    <sheetView workbookViewId="0">
      <selection activeCell="H8" sqref="H8"/>
    </sheetView>
  </sheetViews>
  <sheetFormatPr defaultRowHeight="14.4"/>
  <cols>
    <col min="2" max="2" width="10" customWidth="1"/>
    <col min="6" max="6" width="23.44140625" customWidth="1"/>
    <col min="8" max="8" width="23.44140625" customWidth="1"/>
    <col min="10" max="10" width="26.5546875" customWidth="1"/>
  </cols>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DED3B-63C2-469B-A327-EB6D014A6A6F}">
  <sheetPr codeName="Sheet8"/>
  <dimension ref="B1:H12"/>
  <sheetViews>
    <sheetView workbookViewId="0"/>
  </sheetViews>
  <sheetFormatPr defaultRowHeight="14.4"/>
  <cols>
    <col min="2" max="2" width="26.109375" customWidth="1"/>
    <col min="3" max="3" width="8.44140625" customWidth="1"/>
  </cols>
  <sheetData>
    <row r="1" spans="2:8" ht="18">
      <c r="B1" s="4" t="s">
        <v>3183</v>
      </c>
    </row>
    <row r="3" spans="2:8">
      <c r="B3" t="s">
        <v>3184</v>
      </c>
      <c r="D3" t="s">
        <v>3185</v>
      </c>
      <c r="G3" t="s">
        <v>3186</v>
      </c>
    </row>
    <row r="4" spans="2:8">
      <c r="B4" t="s">
        <v>3187</v>
      </c>
      <c r="D4" t="s">
        <v>3188</v>
      </c>
    </row>
    <row r="5" spans="2:8">
      <c r="B5" t="s">
        <v>3189</v>
      </c>
      <c r="D5" t="s">
        <v>3190</v>
      </c>
    </row>
    <row r="6" spans="2:8">
      <c r="B6" t="s">
        <v>3191</v>
      </c>
      <c r="D6" t="s">
        <v>3192</v>
      </c>
    </row>
    <row r="7" spans="2:8">
      <c r="B7" t="s">
        <v>3193</v>
      </c>
      <c r="D7" t="s">
        <v>3194</v>
      </c>
      <c r="H7" t="s">
        <v>3195</v>
      </c>
    </row>
    <row r="8" spans="2:8">
      <c r="B8" t="s">
        <v>3196</v>
      </c>
      <c r="D8" t="s">
        <v>3197</v>
      </c>
      <c r="H8" t="s">
        <v>3198</v>
      </c>
    </row>
    <row r="9" spans="2:8">
      <c r="B9" t="s">
        <v>3199</v>
      </c>
      <c r="D9" t="s">
        <v>3200</v>
      </c>
      <c r="H9" t="s">
        <v>3198</v>
      </c>
    </row>
    <row r="10" spans="2:8">
      <c r="B10" t="s">
        <v>3201</v>
      </c>
    </row>
    <row r="11" spans="2:8">
      <c r="B11" t="s">
        <v>3202</v>
      </c>
    </row>
    <row r="12" spans="2:8">
      <c r="B12" t="s">
        <v>3203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1EC5C-8D86-4857-9100-EA801D5FB411}">
  <sheetPr codeName="Sheet24"/>
  <dimension ref="A1:BK26"/>
  <sheetViews>
    <sheetView workbookViewId="0">
      <selection activeCell="D2" sqref="D2:E2"/>
    </sheetView>
  </sheetViews>
  <sheetFormatPr defaultRowHeight="25.8"/>
  <cols>
    <col min="1" max="1" width="28.44140625" style="3" bestFit="1" customWidth="1"/>
    <col min="2" max="2" width="60.44140625" style="3" bestFit="1" customWidth="1"/>
    <col min="3" max="3" width="10.5546875" customWidth="1"/>
    <col min="4" max="4" width="18.109375" bestFit="1" customWidth="1"/>
    <col min="5" max="5" width="60.5546875" bestFit="1" customWidth="1"/>
    <col min="6" max="6" width="10.5546875" customWidth="1"/>
    <col min="7" max="7" width="30.5546875" customWidth="1"/>
    <col min="8" max="8" width="60.5546875" bestFit="1" customWidth="1"/>
    <col min="9" max="9" width="13.88671875" customWidth="1"/>
    <col min="10" max="10" width="18" bestFit="1" customWidth="1"/>
    <col min="11" max="11" width="56.5546875" bestFit="1" customWidth="1"/>
    <col min="13" max="13" width="30.5546875" customWidth="1"/>
    <col min="14" max="14" width="60.5546875" customWidth="1"/>
    <col min="16" max="16" width="30.5546875" customWidth="1"/>
    <col min="17" max="17" width="60.5546875" customWidth="1"/>
    <col min="19" max="19" width="30.5546875" customWidth="1"/>
    <col min="20" max="20" width="60.88671875" customWidth="1"/>
    <col min="22" max="22" width="24" bestFit="1" customWidth="1"/>
    <col min="23" max="23" width="59.5546875" bestFit="1" customWidth="1"/>
    <col min="25" max="25" width="30.5546875" customWidth="1"/>
    <col min="26" max="26" width="60.5546875" customWidth="1"/>
    <col min="27" max="27" width="10.5546875" customWidth="1"/>
    <col min="28" max="28" width="30.5546875" customWidth="1"/>
    <col min="29" max="29" width="60.5546875" customWidth="1"/>
    <col min="31" max="31" width="23.5546875" bestFit="1" customWidth="1"/>
    <col min="32" max="32" width="60.5546875" bestFit="1" customWidth="1"/>
    <col min="34" max="34" width="30.5546875" customWidth="1"/>
    <col min="35" max="35" width="60.5546875" bestFit="1" customWidth="1"/>
    <col min="37" max="37" width="24.5546875" bestFit="1" customWidth="1"/>
    <col min="38" max="38" width="60.44140625" bestFit="1" customWidth="1"/>
    <col min="40" max="40" width="30.5546875" customWidth="1"/>
    <col min="41" max="41" width="60.5546875" customWidth="1"/>
    <col min="43" max="43" width="30.5546875" customWidth="1"/>
    <col min="44" max="44" width="60.5546875" customWidth="1"/>
    <col min="46" max="46" width="30.5546875" customWidth="1"/>
    <col min="47" max="47" width="60.5546875" customWidth="1"/>
    <col min="49" max="49" width="24.5546875" bestFit="1" customWidth="1"/>
    <col min="50" max="50" width="60.44140625" bestFit="1" customWidth="1"/>
  </cols>
  <sheetData>
    <row r="1" spans="1:63">
      <c r="A1" s="925" t="s">
        <v>3607</v>
      </c>
      <c r="B1" s="3" t="s">
        <v>3608</v>
      </c>
      <c r="D1" s="198" t="s">
        <v>336</v>
      </c>
    </row>
    <row r="2" spans="1:63" ht="21">
      <c r="A2" s="2477" t="s">
        <v>1223</v>
      </c>
      <c r="B2" s="2477"/>
      <c r="C2" s="7"/>
      <c r="D2" s="2477" t="s">
        <v>136</v>
      </c>
      <c r="E2" s="2477"/>
      <c r="F2" s="909"/>
      <c r="G2" s="2478" t="s">
        <v>197</v>
      </c>
      <c r="H2" s="2478"/>
      <c r="I2" s="7"/>
      <c r="J2" s="2478" t="s">
        <v>193</v>
      </c>
      <c r="K2" s="2478"/>
      <c r="L2" s="7"/>
      <c r="M2" s="2478" t="s">
        <v>3204</v>
      </c>
      <c r="N2" s="2478"/>
      <c r="O2" s="7"/>
      <c r="P2" s="2478" t="s">
        <v>3205</v>
      </c>
      <c r="Q2" s="2478"/>
      <c r="R2" s="7"/>
      <c r="S2" s="2478" t="s">
        <v>3206</v>
      </c>
      <c r="T2" s="2478"/>
      <c r="U2" s="7"/>
      <c r="V2" s="2290" t="s">
        <v>3207</v>
      </c>
      <c r="W2" s="2290"/>
      <c r="X2" s="7"/>
      <c r="Y2" s="2290" t="s">
        <v>3208</v>
      </c>
      <c r="Z2" s="2290"/>
      <c r="AA2" s="880"/>
      <c r="AB2" s="2290" t="s">
        <v>3209</v>
      </c>
      <c r="AC2" s="2290"/>
      <c r="AD2" s="7"/>
      <c r="AE2" s="2290" t="s">
        <v>3210</v>
      </c>
      <c r="AF2" s="2290"/>
      <c r="AG2" s="7"/>
      <c r="AH2" s="2290" t="s">
        <v>79</v>
      </c>
      <c r="AI2" s="2290"/>
      <c r="AJ2" s="7"/>
      <c r="AK2" s="2478" t="s">
        <v>3211</v>
      </c>
      <c r="AL2" s="2478"/>
      <c r="AM2" s="7"/>
      <c r="AN2" s="2478" t="s">
        <v>248</v>
      </c>
      <c r="AO2" s="2478"/>
      <c r="AP2" s="909"/>
      <c r="AQ2" s="2478" t="s">
        <v>3212</v>
      </c>
      <c r="AR2" s="2478"/>
      <c r="AS2" s="7"/>
      <c r="AT2" s="2478" t="s">
        <v>3213</v>
      </c>
      <c r="AU2" s="2478"/>
      <c r="AV2" s="7"/>
      <c r="AW2" s="2478" t="s">
        <v>3214</v>
      </c>
      <c r="AX2" s="2478"/>
      <c r="AY2" s="7"/>
      <c r="AZ2" s="7"/>
      <c r="BA2" s="7"/>
      <c r="BB2" s="7"/>
      <c r="BC2" s="7"/>
      <c r="BD2" s="7"/>
      <c r="BE2" s="7"/>
      <c r="BF2" s="7"/>
      <c r="BG2" s="7"/>
      <c r="BH2" s="7"/>
      <c r="BI2" s="7"/>
      <c r="BJ2" s="7"/>
      <c r="BK2" s="7"/>
    </row>
    <row r="3" spans="1:63" ht="54">
      <c r="A3" s="92" t="s">
        <v>3215</v>
      </c>
      <c r="B3" s="93" t="s">
        <v>3216</v>
      </c>
      <c r="C3" s="91"/>
      <c r="D3" s="99" t="s">
        <v>3215</v>
      </c>
      <c r="E3" s="100" t="s">
        <v>3217</v>
      </c>
      <c r="F3" s="880"/>
      <c r="G3" s="92" t="s">
        <v>3215</v>
      </c>
      <c r="H3" s="93" t="s">
        <v>3218</v>
      </c>
      <c r="I3" s="91"/>
      <c r="J3" s="880"/>
      <c r="K3" s="880"/>
      <c r="L3" s="91"/>
      <c r="M3" s="92" t="s">
        <v>3215</v>
      </c>
      <c r="N3" s="93" t="s">
        <v>3219</v>
      </c>
      <c r="O3" s="91"/>
      <c r="P3" s="92" t="s">
        <v>3215</v>
      </c>
      <c r="Q3" s="94" t="s">
        <v>3220</v>
      </c>
      <c r="R3" s="91"/>
      <c r="S3" s="95"/>
      <c r="T3" s="95"/>
      <c r="U3" s="91"/>
      <c r="V3" s="880"/>
      <c r="W3" s="880"/>
      <c r="X3" s="91"/>
      <c r="Y3" s="880"/>
      <c r="Z3" s="880"/>
      <c r="AA3" s="880"/>
      <c r="AB3" s="880"/>
      <c r="AC3" s="880"/>
      <c r="AD3" s="91"/>
      <c r="AE3" s="880"/>
      <c r="AF3" s="880"/>
      <c r="AG3" s="91"/>
      <c r="AH3" s="880"/>
      <c r="AI3" s="880"/>
      <c r="AJ3" s="91"/>
      <c r="AK3" s="880"/>
      <c r="AL3" s="880"/>
      <c r="AM3" s="91"/>
      <c r="AN3" s="96" t="s">
        <v>3221</v>
      </c>
      <c r="AO3" s="880"/>
      <c r="AP3" s="880"/>
      <c r="AQ3" s="96" t="s">
        <v>3221</v>
      </c>
      <c r="AR3" s="880"/>
      <c r="AS3" s="91"/>
      <c r="AT3" s="96"/>
      <c r="AU3" s="880"/>
      <c r="AV3" s="91"/>
      <c r="AW3" s="880"/>
      <c r="AX3" s="880"/>
      <c r="AY3" s="91"/>
      <c r="AZ3" s="91"/>
      <c r="BA3" s="91"/>
      <c r="BB3" s="91"/>
      <c r="BC3" s="91"/>
      <c r="BD3" s="91"/>
      <c r="BE3" s="91"/>
      <c r="BF3" s="91"/>
      <c r="BG3" s="91"/>
      <c r="BH3" s="91"/>
      <c r="BI3" s="91"/>
      <c r="BJ3" s="91"/>
      <c r="BK3" s="91"/>
    </row>
    <row r="4" spans="1:63">
      <c r="J4" s="7"/>
      <c r="M4" s="1" t="s">
        <v>3222</v>
      </c>
      <c r="P4" s="1" t="s">
        <v>3222</v>
      </c>
      <c r="S4" s="1" t="s">
        <v>3222</v>
      </c>
      <c r="V4" s="7"/>
      <c r="Y4" s="7"/>
      <c r="AE4" s="7"/>
      <c r="AH4" s="7"/>
      <c r="AK4" s="50" t="s">
        <v>3223</v>
      </c>
      <c r="AN4" s="7"/>
      <c r="AQ4" s="7"/>
      <c r="AT4" s="7"/>
      <c r="AW4" s="909"/>
      <c r="AX4" s="909"/>
    </row>
    <row r="5" spans="1:63" ht="78">
      <c r="A5" s="37" t="s">
        <v>3224</v>
      </c>
      <c r="B5" s="74" t="s">
        <v>3225</v>
      </c>
      <c r="D5" s="78" t="s">
        <v>3226</v>
      </c>
      <c r="E5" s="27" t="s">
        <v>3227</v>
      </c>
      <c r="F5" s="15"/>
      <c r="G5" s="13" t="s">
        <v>196</v>
      </c>
      <c r="H5" s="15" t="s">
        <v>3228</v>
      </c>
      <c r="J5" s="25" t="s">
        <v>3229</v>
      </c>
      <c r="K5" s="15" t="s">
        <v>3230</v>
      </c>
      <c r="M5" s="83" t="s">
        <v>22</v>
      </c>
      <c r="N5" s="62" t="s">
        <v>3231</v>
      </c>
      <c r="P5" s="83" t="s">
        <v>22</v>
      </c>
      <c r="Q5" s="90" t="s">
        <v>3231</v>
      </c>
      <c r="S5" s="83" t="s">
        <v>22</v>
      </c>
      <c r="T5" s="62" t="s">
        <v>3231</v>
      </c>
      <c r="V5" s="25" t="s">
        <v>3232</v>
      </c>
      <c r="W5" s="15" t="s">
        <v>3233</v>
      </c>
      <c r="Y5" s="18" t="s">
        <v>3234</v>
      </c>
      <c r="Z5" s="15" t="s">
        <v>3235</v>
      </c>
      <c r="AA5" s="15"/>
      <c r="AB5" s="25" t="s">
        <v>3236</v>
      </c>
      <c r="AC5" s="15" t="s">
        <v>3237</v>
      </c>
      <c r="AE5" s="18" t="s">
        <v>3238</v>
      </c>
      <c r="AF5" s="15" t="s">
        <v>3239</v>
      </c>
      <c r="AH5" s="39" t="s">
        <v>3240</v>
      </c>
      <c r="AI5" s="27" t="s">
        <v>3241</v>
      </c>
      <c r="AK5" s="32" t="s">
        <v>3242</v>
      </c>
      <c r="AL5" s="27" t="s">
        <v>3243</v>
      </c>
      <c r="AN5" s="32" t="s">
        <v>3244</v>
      </c>
      <c r="AO5" s="27" t="s">
        <v>3245</v>
      </c>
      <c r="AP5" s="15"/>
      <c r="AQ5" s="32" t="s">
        <v>3246</v>
      </c>
      <c r="AR5" s="27" t="s">
        <v>3247</v>
      </c>
      <c r="AT5" s="60" t="s">
        <v>3248</v>
      </c>
      <c r="AU5" s="27" t="s">
        <v>3249</v>
      </c>
      <c r="AW5" s="32" t="s">
        <v>41</v>
      </c>
      <c r="AX5" s="27" t="s">
        <v>3250</v>
      </c>
    </row>
    <row r="6" spans="1:63" ht="86.4">
      <c r="A6" s="38" t="s">
        <v>3251</v>
      </c>
      <c r="B6" s="74" t="s">
        <v>3252</v>
      </c>
      <c r="D6" s="79" t="s">
        <v>3253</v>
      </c>
      <c r="E6" s="27" t="s">
        <v>3254</v>
      </c>
      <c r="F6" s="15"/>
      <c r="G6" s="14" t="s">
        <v>199</v>
      </c>
      <c r="H6" s="15" t="s">
        <v>3255</v>
      </c>
      <c r="J6" s="26" t="s">
        <v>3256</v>
      </c>
      <c r="K6" s="15" t="s">
        <v>3257</v>
      </c>
      <c r="M6" s="84" t="s">
        <v>35</v>
      </c>
      <c r="N6" s="62" t="s">
        <v>3231</v>
      </c>
      <c r="P6" s="84" t="s">
        <v>35</v>
      </c>
      <c r="Q6" s="90" t="s">
        <v>3231</v>
      </c>
      <c r="S6" s="84" t="s">
        <v>35</v>
      </c>
      <c r="T6" s="62" t="s">
        <v>3231</v>
      </c>
      <c r="V6" s="26" t="s">
        <v>3258</v>
      </c>
      <c r="W6" s="15" t="s">
        <v>3259</v>
      </c>
      <c r="Y6" s="45" t="s">
        <v>3260</v>
      </c>
      <c r="Z6" s="9" t="s">
        <v>3261</v>
      </c>
      <c r="AA6" s="9"/>
      <c r="AB6" s="47" t="s">
        <v>3262</v>
      </c>
      <c r="AC6" s="15" t="s">
        <v>3263</v>
      </c>
      <c r="AE6" s="22" t="s">
        <v>3264</v>
      </c>
      <c r="AF6" s="9" t="s">
        <v>3261</v>
      </c>
      <c r="AH6" s="40" t="s">
        <v>211</v>
      </c>
      <c r="AI6" s="27" t="s">
        <v>3265</v>
      </c>
      <c r="AK6" s="33"/>
      <c r="AL6" s="27"/>
      <c r="AN6" s="32" t="s">
        <v>3266</v>
      </c>
      <c r="AO6" s="27" t="s">
        <v>3245</v>
      </c>
      <c r="AP6" s="15"/>
      <c r="AQ6" s="33" t="s">
        <v>3267</v>
      </c>
      <c r="AR6" s="27" t="s">
        <v>3268</v>
      </c>
      <c r="AT6" s="61" t="s">
        <v>3269</v>
      </c>
      <c r="AU6" s="27" t="s">
        <v>3270</v>
      </c>
      <c r="AW6" s="70" t="s">
        <v>1147</v>
      </c>
      <c r="AX6" s="27" t="s">
        <v>3271</v>
      </c>
    </row>
    <row r="7" spans="1:63" ht="140.4">
      <c r="A7" s="37" t="s">
        <v>3272</v>
      </c>
      <c r="B7" s="74" t="s">
        <v>3273</v>
      </c>
      <c r="D7" s="97" t="s">
        <v>3274</v>
      </c>
      <c r="E7" s="72" t="s">
        <v>3275</v>
      </c>
      <c r="F7" s="15"/>
      <c r="G7" s="16" t="s">
        <v>197</v>
      </c>
      <c r="H7" s="15" t="s">
        <v>3276</v>
      </c>
      <c r="J7" s="20"/>
      <c r="K7" s="80" t="s">
        <v>3277</v>
      </c>
      <c r="M7" s="83" t="s">
        <v>3278</v>
      </c>
      <c r="N7" s="62" t="s">
        <v>3231</v>
      </c>
      <c r="P7" s="83" t="s">
        <v>3278</v>
      </c>
      <c r="Q7" s="90" t="s">
        <v>3231</v>
      </c>
      <c r="S7" s="85" t="s">
        <v>3278</v>
      </c>
      <c r="T7" s="62" t="s">
        <v>3231</v>
      </c>
      <c r="V7" s="25" t="s">
        <v>3279</v>
      </c>
      <c r="W7" s="43" t="s">
        <v>3280</v>
      </c>
      <c r="Y7" s="18" t="s">
        <v>3281</v>
      </c>
      <c r="Z7" s="9" t="s">
        <v>3282</v>
      </c>
      <c r="AA7" s="9"/>
      <c r="AB7" s="106" t="s">
        <v>3283</v>
      </c>
      <c r="AC7" s="15" t="s">
        <v>3284</v>
      </c>
      <c r="AE7" s="19" t="s">
        <v>3281</v>
      </c>
      <c r="AF7" s="15" t="s">
        <v>3285</v>
      </c>
      <c r="AH7" s="41" t="s">
        <v>3286</v>
      </c>
      <c r="AI7" s="27" t="s">
        <v>3287</v>
      </c>
      <c r="AK7" s="34"/>
      <c r="AL7" s="27"/>
      <c r="AN7" s="34" t="s">
        <v>3288</v>
      </c>
      <c r="AO7" s="27" t="s">
        <v>3289</v>
      </c>
      <c r="AP7" s="15"/>
      <c r="AQ7" s="34" t="s">
        <v>3290</v>
      </c>
      <c r="AR7" s="27" t="s">
        <v>3291</v>
      </c>
      <c r="AT7" s="58" t="s">
        <v>3292</v>
      </c>
      <c r="AU7" s="27" t="s">
        <v>3293</v>
      </c>
      <c r="AW7" s="32" t="s">
        <v>370</v>
      </c>
      <c r="AX7" s="27" t="s">
        <v>39</v>
      </c>
    </row>
    <row r="8" spans="1:63" ht="86.4">
      <c r="A8" s="98" t="s">
        <v>3294</v>
      </c>
      <c r="B8" s="74" t="s">
        <v>3295</v>
      </c>
      <c r="D8" s="102" t="s">
        <v>3296</v>
      </c>
      <c r="E8" s="27" t="s">
        <v>3297</v>
      </c>
      <c r="F8" s="15"/>
      <c r="G8" s="17" t="s">
        <v>198</v>
      </c>
      <c r="H8" s="15" t="s">
        <v>3298</v>
      </c>
      <c r="J8" s="21"/>
      <c r="K8" s="81" t="s">
        <v>3299</v>
      </c>
      <c r="M8" s="86" t="s">
        <v>3300</v>
      </c>
      <c r="N8" s="62" t="s">
        <v>3301</v>
      </c>
      <c r="P8" s="83" t="s">
        <v>3302</v>
      </c>
      <c r="Q8" s="27" t="s">
        <v>3303</v>
      </c>
      <c r="S8" s="54" t="s">
        <v>3304</v>
      </c>
      <c r="T8" s="27" t="s">
        <v>3305</v>
      </c>
      <c r="V8" s="26" t="s">
        <v>3306</v>
      </c>
      <c r="W8" s="15" t="s">
        <v>3307</v>
      </c>
      <c r="Y8" s="45" t="s">
        <v>1900</v>
      </c>
      <c r="Z8" s="9" t="s">
        <v>3261</v>
      </c>
      <c r="AA8" s="9"/>
      <c r="AB8" s="48"/>
      <c r="AE8" s="24" t="s">
        <v>1900</v>
      </c>
      <c r="AF8" s="9" t="s">
        <v>3308</v>
      </c>
      <c r="AH8" s="28" t="s">
        <v>3309</v>
      </c>
      <c r="AI8" s="27" t="s">
        <v>3310</v>
      </c>
      <c r="AK8" s="35"/>
      <c r="AL8" s="27"/>
      <c r="AN8" s="57" t="s">
        <v>3311</v>
      </c>
      <c r="AO8" s="27" t="s">
        <v>3312</v>
      </c>
      <c r="AP8" s="15"/>
      <c r="AQ8" s="35"/>
      <c r="AR8" s="27"/>
      <c r="AT8" s="59" t="s">
        <v>3313</v>
      </c>
      <c r="AU8" s="27" t="s">
        <v>3314</v>
      </c>
      <c r="AW8" s="70" t="s">
        <v>3315</v>
      </c>
      <c r="AX8" s="27" t="s">
        <v>3316</v>
      </c>
    </row>
    <row r="9" spans="1:63" ht="93.6">
      <c r="A9" s="37" t="s">
        <v>3317</v>
      </c>
      <c r="B9" s="74" t="s">
        <v>3318</v>
      </c>
      <c r="D9" s="101" t="s">
        <v>3319</v>
      </c>
      <c r="E9" s="27" t="s">
        <v>3320</v>
      </c>
      <c r="K9" s="82" t="s">
        <v>3321</v>
      </c>
      <c r="M9" s="87" t="s">
        <v>3322</v>
      </c>
      <c r="N9" s="27" t="s">
        <v>3323</v>
      </c>
      <c r="P9" s="84" t="s">
        <v>3324</v>
      </c>
      <c r="Q9" s="27" t="s">
        <v>3325</v>
      </c>
      <c r="S9" s="55" t="s">
        <v>3324</v>
      </c>
      <c r="T9" s="27" t="s">
        <v>3325</v>
      </c>
      <c r="V9" s="46" t="s">
        <v>3326</v>
      </c>
      <c r="W9" s="15" t="s">
        <v>3327</v>
      </c>
      <c r="Y9" s="25" t="s">
        <v>3328</v>
      </c>
      <c r="Z9" s="15" t="s">
        <v>3329</v>
      </c>
      <c r="AA9" s="15"/>
      <c r="AB9" s="44"/>
      <c r="AE9" s="22" t="s">
        <v>3328</v>
      </c>
      <c r="AF9" s="15" t="s">
        <v>3329</v>
      </c>
      <c r="AH9" s="29" t="s">
        <v>3330</v>
      </c>
      <c r="AI9" s="27" t="s">
        <v>3331</v>
      </c>
      <c r="AK9" s="32"/>
      <c r="AL9" s="27"/>
      <c r="AN9" s="32" t="s">
        <v>3332</v>
      </c>
      <c r="AO9" s="27" t="s">
        <v>3333</v>
      </c>
      <c r="AP9" s="15"/>
      <c r="AT9" s="58" t="s">
        <v>783</v>
      </c>
      <c r="AU9" s="27" t="s">
        <v>3334</v>
      </c>
      <c r="AW9" s="68" t="s">
        <v>12</v>
      </c>
      <c r="AX9" s="27" t="s">
        <v>3335</v>
      </c>
    </row>
    <row r="10" spans="1:63" ht="72">
      <c r="A10" s="37" t="s">
        <v>112</v>
      </c>
      <c r="B10" s="74" t="s">
        <v>3336</v>
      </c>
      <c r="D10" s="104" t="s">
        <v>3337</v>
      </c>
      <c r="E10" s="27" t="s">
        <v>3338</v>
      </c>
      <c r="M10" s="86" t="s">
        <v>3339</v>
      </c>
      <c r="N10" s="27" t="s">
        <v>3340</v>
      </c>
      <c r="P10" s="84"/>
      <c r="Q10" s="27"/>
      <c r="S10" s="56" t="s">
        <v>3341</v>
      </c>
      <c r="T10" s="27" t="s">
        <v>3342</v>
      </c>
      <c r="V10" s="49"/>
      <c r="Y10" s="45" t="s">
        <v>3343</v>
      </c>
      <c r="Z10" s="9" t="s">
        <v>3344</v>
      </c>
      <c r="AA10" s="9"/>
      <c r="AB10" s="44"/>
      <c r="AE10" s="22" t="s">
        <v>3343</v>
      </c>
      <c r="AF10" s="9" t="s">
        <v>3344</v>
      </c>
      <c r="AH10" s="28" t="s">
        <v>3345</v>
      </c>
      <c r="AI10" s="27" t="s">
        <v>3346</v>
      </c>
      <c r="AK10" s="33"/>
      <c r="AL10" s="27"/>
      <c r="AN10" s="33"/>
      <c r="AO10" s="27"/>
      <c r="AP10" s="15"/>
      <c r="AT10" s="59" t="s">
        <v>3347</v>
      </c>
      <c r="AU10" s="27" t="s">
        <v>3348</v>
      </c>
      <c r="AW10" s="70" t="s">
        <v>34</v>
      </c>
      <c r="AX10" s="27"/>
    </row>
    <row r="11" spans="1:63" ht="72">
      <c r="A11" s="38" t="s">
        <v>3349</v>
      </c>
      <c r="B11" s="74" t="s">
        <v>3350</v>
      </c>
      <c r="D11" s="101" t="s">
        <v>3351</v>
      </c>
      <c r="E11" s="27" t="s">
        <v>3352</v>
      </c>
      <c r="M11" s="83"/>
      <c r="N11" s="27" t="s">
        <v>3353</v>
      </c>
      <c r="P11" s="83"/>
      <c r="Q11" s="27"/>
      <c r="S11" s="56"/>
      <c r="T11" s="27" t="s">
        <v>3354</v>
      </c>
      <c r="Y11" s="46" t="s">
        <v>3355</v>
      </c>
      <c r="Z11" s="15" t="s">
        <v>3356</v>
      </c>
      <c r="AA11" s="15"/>
      <c r="AB11" s="44"/>
      <c r="AE11" s="23" t="s">
        <v>3357</v>
      </c>
      <c r="AF11" s="15" t="s">
        <v>3356</v>
      </c>
      <c r="AH11" s="29" t="s">
        <v>3358</v>
      </c>
      <c r="AI11" s="27" t="s">
        <v>3359</v>
      </c>
      <c r="AK11" s="32"/>
      <c r="AL11" s="27"/>
      <c r="AP11" s="15"/>
      <c r="AT11" s="58" t="s">
        <v>3360</v>
      </c>
      <c r="AU11" s="27" t="s">
        <v>3361</v>
      </c>
      <c r="AW11" s="32" t="s">
        <v>3362</v>
      </c>
      <c r="AX11" s="27"/>
    </row>
    <row r="12" spans="1:63" ht="78">
      <c r="A12" s="37" t="s">
        <v>3363</v>
      </c>
      <c r="B12" s="74" t="s">
        <v>3364</v>
      </c>
      <c r="D12" s="103" t="s">
        <v>3365</v>
      </c>
      <c r="E12" s="27" t="s">
        <v>3366</v>
      </c>
      <c r="M12" s="84"/>
      <c r="N12" s="27"/>
      <c r="P12" s="84"/>
      <c r="Q12" s="27"/>
      <c r="Y12" s="19" t="s">
        <v>3367</v>
      </c>
      <c r="Z12" s="15" t="s">
        <v>3368</v>
      </c>
      <c r="AA12" s="15"/>
      <c r="AB12" s="44"/>
      <c r="AE12" s="22" t="s">
        <v>3369</v>
      </c>
      <c r="AF12" s="15" t="s">
        <v>3370</v>
      </c>
      <c r="AH12" s="28" t="s">
        <v>3371</v>
      </c>
      <c r="AI12" s="27" t="s">
        <v>3372</v>
      </c>
      <c r="AK12" s="33"/>
      <c r="AL12" s="27"/>
      <c r="AP12" s="15"/>
      <c r="AT12" s="59" t="s">
        <v>3373</v>
      </c>
      <c r="AU12" s="62" t="s">
        <v>3373</v>
      </c>
      <c r="AW12" s="70" t="s">
        <v>3374</v>
      </c>
      <c r="AX12" s="27"/>
    </row>
    <row r="13" spans="1:63" ht="46.8">
      <c r="A13" s="98" t="s">
        <v>3375</v>
      </c>
      <c r="B13" s="74" t="s">
        <v>3376</v>
      </c>
      <c r="D13" s="101" t="s">
        <v>3278</v>
      </c>
      <c r="E13" s="27" t="s">
        <v>3377</v>
      </c>
      <c r="M13" s="44"/>
      <c r="P13" s="44"/>
      <c r="AE13" s="24" t="s">
        <v>3378</v>
      </c>
      <c r="AF13" s="15" t="s">
        <v>3379</v>
      </c>
      <c r="AH13" s="41" t="s">
        <v>3380</v>
      </c>
      <c r="AI13" s="27" t="s">
        <v>3381</v>
      </c>
      <c r="AK13" s="32"/>
      <c r="AL13" s="27"/>
      <c r="AP13" s="15"/>
      <c r="AT13" s="58" t="s">
        <v>3382</v>
      </c>
      <c r="AU13" s="62" t="s">
        <v>3383</v>
      </c>
      <c r="AW13" s="32" t="s">
        <v>3384</v>
      </c>
      <c r="AX13" s="27"/>
    </row>
    <row r="14" spans="1:63" ht="62.4">
      <c r="A14" s="37" t="s">
        <v>3385</v>
      </c>
      <c r="B14" s="74" t="s">
        <v>3386</v>
      </c>
      <c r="D14" s="102"/>
      <c r="E14" s="27"/>
      <c r="M14" s="44"/>
      <c r="P14" s="44"/>
      <c r="AE14" s="22" t="s">
        <v>3387</v>
      </c>
      <c r="AF14" s="15" t="s">
        <v>3388</v>
      </c>
      <c r="AH14" s="28" t="s">
        <v>3389</v>
      </c>
      <c r="AI14" s="27" t="s">
        <v>3381</v>
      </c>
      <c r="AK14" s="36"/>
      <c r="AL14" s="27"/>
      <c r="AP14" s="15"/>
      <c r="AT14" s="59" t="s">
        <v>3390</v>
      </c>
      <c r="AU14" s="62" t="s">
        <v>3391</v>
      </c>
      <c r="AW14" s="70" t="s">
        <v>3392</v>
      </c>
      <c r="AX14" s="27" t="s">
        <v>3393</v>
      </c>
    </row>
    <row r="15" spans="1:63" ht="78">
      <c r="A15" s="107" t="s">
        <v>3394</v>
      </c>
      <c r="B15" s="74" t="s">
        <v>3395</v>
      </c>
      <c r="D15" s="102"/>
      <c r="E15" s="27"/>
      <c r="AH15" s="29" t="s">
        <v>3396</v>
      </c>
      <c r="AI15" s="27" t="s">
        <v>3397</v>
      </c>
      <c r="AK15" s="32"/>
      <c r="AL15" s="27"/>
      <c r="AP15" s="15"/>
      <c r="AW15" s="69" t="s">
        <v>3398</v>
      </c>
      <c r="AX15" s="27" t="s">
        <v>3399</v>
      </c>
    </row>
    <row r="16" spans="1:63" ht="63">
      <c r="A16" s="108" t="s">
        <v>3400</v>
      </c>
      <c r="B16" s="74" t="s">
        <v>3401</v>
      </c>
      <c r="AH16" s="30" t="s">
        <v>3402</v>
      </c>
      <c r="AI16" s="27" t="s">
        <v>3403</v>
      </c>
      <c r="AK16" s="36"/>
      <c r="AL16" s="27"/>
      <c r="AP16" s="15"/>
      <c r="AW16" s="70" t="s">
        <v>3404</v>
      </c>
      <c r="AX16" s="27" t="s">
        <v>3405</v>
      </c>
    </row>
    <row r="17" spans="1:50" ht="36">
      <c r="A17" s="38"/>
      <c r="B17" s="75"/>
      <c r="D17" s="105"/>
      <c r="AH17" s="29" t="s">
        <v>3406</v>
      </c>
      <c r="AI17" s="27" t="s">
        <v>3407</v>
      </c>
      <c r="AK17" s="32"/>
      <c r="AL17" s="27"/>
      <c r="AP17" s="15"/>
      <c r="AW17" s="69" t="s">
        <v>3408</v>
      </c>
      <c r="AX17" s="27" t="s">
        <v>3409</v>
      </c>
    </row>
    <row r="18" spans="1:50">
      <c r="AH18" s="30" t="s">
        <v>3410</v>
      </c>
      <c r="AI18" s="27" t="s">
        <v>3411</v>
      </c>
      <c r="AW18" s="70" t="s">
        <v>3404</v>
      </c>
      <c r="AX18" s="27" t="s">
        <v>3412</v>
      </c>
    </row>
    <row r="19" spans="1:50" ht="28.8">
      <c r="AH19" s="39" t="s">
        <v>3413</v>
      </c>
      <c r="AI19" s="27" t="s">
        <v>3414</v>
      </c>
      <c r="AW19" s="69" t="s">
        <v>3415</v>
      </c>
      <c r="AX19" s="72" t="s">
        <v>3416</v>
      </c>
    </row>
    <row r="20" spans="1:50" ht="36">
      <c r="AH20" s="28" t="s">
        <v>3417</v>
      </c>
      <c r="AI20" s="27" t="s">
        <v>3418</v>
      </c>
      <c r="AW20" s="70" t="s">
        <v>3419</v>
      </c>
      <c r="AX20" s="72" t="s">
        <v>3420</v>
      </c>
    </row>
    <row r="21" spans="1:50" ht="36">
      <c r="AH21" s="29" t="s">
        <v>3421</v>
      </c>
      <c r="AI21" s="27" t="s">
        <v>3422</v>
      </c>
      <c r="AW21" s="89" t="s">
        <v>3423</v>
      </c>
      <c r="AX21" s="88" t="s">
        <v>3424</v>
      </c>
    </row>
    <row r="22" spans="1:50">
      <c r="AH22" s="40" t="s">
        <v>3425</v>
      </c>
      <c r="AI22" s="27" t="s">
        <v>3426</v>
      </c>
    </row>
    <row r="23" spans="1:50" ht="37.799999999999997">
      <c r="AH23" s="42" t="s">
        <v>3427</v>
      </c>
      <c r="AI23" s="27" t="s">
        <v>3428</v>
      </c>
    </row>
    <row r="24" spans="1:50" ht="37.799999999999997">
      <c r="AH24" s="31" t="s">
        <v>3429</v>
      </c>
      <c r="AI24" s="27" t="s">
        <v>3430</v>
      </c>
    </row>
    <row r="25" spans="1:50" ht="37.799999999999997">
      <c r="AH25" s="42" t="s">
        <v>3429</v>
      </c>
      <c r="AI25" s="27" t="s">
        <v>3431</v>
      </c>
    </row>
    <row r="26" spans="1:50">
      <c r="AH26" s="40" t="s">
        <v>3432</v>
      </c>
      <c r="AI26" s="27" t="s">
        <v>3433</v>
      </c>
    </row>
  </sheetData>
  <mergeCells count="17">
    <mergeCell ref="AK2:AL2"/>
    <mergeCell ref="AN2:AO2"/>
    <mergeCell ref="AQ2:AR2"/>
    <mergeCell ref="AT2:AU2"/>
    <mergeCell ref="AW2:AX2"/>
    <mergeCell ref="AH2:AI2"/>
    <mergeCell ref="A2:B2"/>
    <mergeCell ref="D2:E2"/>
    <mergeCell ref="G2:H2"/>
    <mergeCell ref="J2:K2"/>
    <mergeCell ref="M2:N2"/>
    <mergeCell ref="P2:Q2"/>
    <mergeCell ref="S2:T2"/>
    <mergeCell ref="V2:W2"/>
    <mergeCell ref="Y2:Z2"/>
    <mergeCell ref="AB2:AC2"/>
    <mergeCell ref="AE2:AF2"/>
  </mergeCells>
  <hyperlinks>
    <hyperlink ref="D1" location="Contents!A2" display="Contents" xr:uid="{DF772F78-BF94-4CB1-B951-95079B872D6C}"/>
  </hyperlink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2BEFA-2B95-4458-AF0B-A80F43F46E6F}">
  <sheetPr codeName="Sheet23"/>
  <dimension ref="A1:BD40"/>
  <sheetViews>
    <sheetView workbookViewId="0">
      <selection sqref="A1:B1"/>
    </sheetView>
  </sheetViews>
  <sheetFormatPr defaultRowHeight="14.4"/>
  <cols>
    <col min="2" max="2" width="24.88671875" customWidth="1"/>
    <col min="3" max="3" width="13.33203125" customWidth="1"/>
    <col min="4" max="4" width="85" customWidth="1"/>
    <col min="6" max="6" width="18.88671875" customWidth="1"/>
    <col min="53" max="53" width="18.109375" customWidth="1"/>
    <col min="54" max="54" width="42.88671875" customWidth="1"/>
    <col min="55" max="55" width="14.5546875" customWidth="1"/>
    <col min="56" max="56" width="44.44140625" customWidth="1"/>
  </cols>
  <sheetData>
    <row r="1" spans="1:56" ht="21">
      <c r="A1" s="2290" t="s">
        <v>3538</v>
      </c>
      <c r="B1" s="2290"/>
      <c r="C1" s="198" t="s">
        <v>336</v>
      </c>
      <c r="D1" s="351"/>
      <c r="E1" s="351"/>
      <c r="F1" s="351"/>
      <c r="BA1" s="393" t="s">
        <v>3582</v>
      </c>
    </row>
    <row r="2" spans="1:56" ht="21">
      <c r="D2" s="51"/>
      <c r="E2" s="51"/>
      <c r="F2" s="51"/>
    </row>
    <row r="3" spans="1:56" ht="18">
      <c r="A3" s="629" t="s">
        <v>345</v>
      </c>
      <c r="B3" s="601" t="s">
        <v>968</v>
      </c>
      <c r="C3" s="601" t="s">
        <v>346</v>
      </c>
      <c r="D3" s="601" t="s">
        <v>430</v>
      </c>
      <c r="E3" s="601" t="s">
        <v>231</v>
      </c>
      <c r="F3" s="602"/>
      <c r="BA3" t="s">
        <v>941</v>
      </c>
      <c r="BB3" t="s">
        <v>3573</v>
      </c>
      <c r="BC3" s="920" t="s">
        <v>2369</v>
      </c>
      <c r="BD3" t="s">
        <v>3570</v>
      </c>
    </row>
    <row r="4" spans="1:56" ht="18">
      <c r="A4">
        <v>1</v>
      </c>
      <c r="B4" s="631" t="s">
        <v>3535</v>
      </c>
      <c r="C4" s="112" t="s">
        <v>3539</v>
      </c>
      <c r="D4" s="15" t="s">
        <v>3540</v>
      </c>
      <c r="E4" s="112">
        <v>1</v>
      </c>
      <c r="F4" s="414"/>
      <c r="BA4" t="s">
        <v>6</v>
      </c>
      <c r="BB4" t="s">
        <v>950</v>
      </c>
      <c r="BC4" s="921" t="s">
        <v>3577</v>
      </c>
      <c r="BD4" t="s">
        <v>3571</v>
      </c>
    </row>
    <row r="5" spans="1:56">
      <c r="A5">
        <v>2</v>
      </c>
      <c r="B5" s="631" t="s">
        <v>3541</v>
      </c>
      <c r="C5" s="112" t="s">
        <v>3539</v>
      </c>
      <c r="D5" s="15" t="s">
        <v>3542</v>
      </c>
      <c r="E5" s="112">
        <v>1</v>
      </c>
      <c r="F5" s="414"/>
    </row>
    <row r="6" spans="1:56">
      <c r="A6">
        <v>3</v>
      </c>
      <c r="B6" s="631" t="s">
        <v>3541</v>
      </c>
      <c r="C6" s="112" t="s">
        <v>3539</v>
      </c>
      <c r="D6" s="15" t="s">
        <v>3543</v>
      </c>
      <c r="E6" s="112">
        <v>1</v>
      </c>
      <c r="F6" s="414"/>
    </row>
    <row r="7" spans="1:56">
      <c r="A7">
        <v>4</v>
      </c>
      <c r="B7" s="631" t="s">
        <v>3541</v>
      </c>
      <c r="C7" s="112" t="s">
        <v>3539</v>
      </c>
      <c r="D7" s="15" t="s">
        <v>3544</v>
      </c>
      <c r="E7" s="112">
        <v>1</v>
      </c>
      <c r="F7" s="414"/>
    </row>
    <row r="8" spans="1:56">
      <c r="A8">
        <v>5</v>
      </c>
      <c r="B8" s="631" t="s">
        <v>3541</v>
      </c>
      <c r="C8" s="112" t="s">
        <v>3539</v>
      </c>
      <c r="D8" s="15" t="s">
        <v>3545</v>
      </c>
      <c r="E8" s="112">
        <v>1</v>
      </c>
      <c r="F8" s="414"/>
      <c r="BA8" s="10" t="s">
        <v>1126</v>
      </c>
      <c r="BB8" s="10" t="s">
        <v>3576</v>
      </c>
      <c r="BC8" t="s">
        <v>3578</v>
      </c>
    </row>
    <row r="9" spans="1:56">
      <c r="A9">
        <v>6</v>
      </c>
      <c r="B9" s="631" t="s">
        <v>3541</v>
      </c>
      <c r="C9" s="112" t="s">
        <v>3539</v>
      </c>
      <c r="D9" s="15" t="s">
        <v>3553</v>
      </c>
      <c r="E9" s="112">
        <v>1</v>
      </c>
      <c r="F9" s="632"/>
      <c r="BA9" s="10" t="s">
        <v>3572</v>
      </c>
      <c r="BB9" s="10" t="s">
        <v>3569</v>
      </c>
      <c r="BC9" t="s">
        <v>3579</v>
      </c>
    </row>
    <row r="10" spans="1:56">
      <c r="A10">
        <v>7</v>
      </c>
      <c r="B10" s="631" t="s">
        <v>3541</v>
      </c>
      <c r="C10" s="112" t="s">
        <v>3539</v>
      </c>
      <c r="D10" s="15" t="s">
        <v>3562</v>
      </c>
      <c r="E10" s="112">
        <v>1</v>
      </c>
      <c r="F10" s="632"/>
      <c r="BA10" s="10"/>
      <c r="BB10" s="10"/>
      <c r="BC10" t="s">
        <v>3574</v>
      </c>
    </row>
    <row r="11" spans="1:56">
      <c r="A11">
        <v>8</v>
      </c>
      <c r="B11" s="631" t="s">
        <v>3541</v>
      </c>
      <c r="C11" s="112" t="s">
        <v>3539</v>
      </c>
      <c r="D11" s="81" t="s">
        <v>3584</v>
      </c>
      <c r="E11" s="112">
        <v>1</v>
      </c>
      <c r="F11" s="632"/>
      <c r="BA11" s="10"/>
      <c r="BB11" s="10"/>
      <c r="BC11" t="s">
        <v>3575</v>
      </c>
    </row>
    <row r="12" spans="1:56">
      <c r="A12">
        <v>9</v>
      </c>
      <c r="B12" s="631" t="s">
        <v>3541</v>
      </c>
      <c r="C12" s="112" t="s">
        <v>3539</v>
      </c>
      <c r="D12" s="919" t="s">
        <v>3563</v>
      </c>
      <c r="E12" s="112"/>
      <c r="F12" s="632"/>
      <c r="BA12" s="10"/>
      <c r="BB12" s="10"/>
      <c r="BC12" t="s">
        <v>3580</v>
      </c>
    </row>
    <row r="13" spans="1:56">
      <c r="A13">
        <v>10</v>
      </c>
      <c r="B13" s="631" t="s">
        <v>3541</v>
      </c>
      <c r="C13" s="112" t="s">
        <v>3539</v>
      </c>
      <c r="D13" s="15" t="s">
        <v>3549</v>
      </c>
      <c r="E13" s="112">
        <v>1</v>
      </c>
      <c r="F13" s="632"/>
      <c r="BA13" s="10"/>
      <c r="BB13" s="10"/>
      <c r="BC13" t="s">
        <v>3581</v>
      </c>
    </row>
    <row r="14" spans="1:56">
      <c r="A14">
        <v>11</v>
      </c>
      <c r="B14" s="631" t="s">
        <v>3541</v>
      </c>
      <c r="C14" s="112" t="s">
        <v>3539</v>
      </c>
      <c r="D14" s="15" t="s">
        <v>3550</v>
      </c>
      <c r="E14" s="112">
        <v>1</v>
      </c>
      <c r="BA14" s="10"/>
      <c r="BB14" s="10"/>
    </row>
    <row r="15" spans="1:56">
      <c r="A15">
        <v>12</v>
      </c>
      <c r="B15" s="631" t="s">
        <v>3541</v>
      </c>
      <c r="C15" s="112" t="s">
        <v>3539</v>
      </c>
      <c r="D15" t="s">
        <v>3546</v>
      </c>
      <c r="E15" s="112">
        <v>1</v>
      </c>
    </row>
    <row r="16" spans="1:56">
      <c r="A16">
        <v>13</v>
      </c>
      <c r="B16" s="631" t="s">
        <v>3541</v>
      </c>
      <c r="C16" s="112" t="s">
        <v>3539</v>
      </c>
      <c r="D16" t="s">
        <v>3547</v>
      </c>
      <c r="E16" s="112"/>
    </row>
    <row r="17" spans="1:6">
      <c r="A17">
        <v>14</v>
      </c>
      <c r="B17" s="631" t="s">
        <v>3541</v>
      </c>
      <c r="C17" s="112" t="s">
        <v>3539</v>
      </c>
      <c r="D17" t="s">
        <v>3552</v>
      </c>
      <c r="E17" s="112">
        <v>1</v>
      </c>
    </row>
    <row r="18" spans="1:6">
      <c r="A18">
        <v>15</v>
      </c>
      <c r="B18" s="631" t="s">
        <v>3541</v>
      </c>
      <c r="C18" s="112" t="s">
        <v>3539</v>
      </c>
      <c r="D18" t="s">
        <v>3548</v>
      </c>
      <c r="E18" s="112">
        <v>1</v>
      </c>
    </row>
    <row r="19" spans="1:6">
      <c r="A19">
        <v>16</v>
      </c>
      <c r="B19" s="631" t="s">
        <v>3541</v>
      </c>
      <c r="C19" s="112" t="s">
        <v>3539</v>
      </c>
      <c r="D19" t="s">
        <v>3551</v>
      </c>
      <c r="E19" s="112">
        <v>1</v>
      </c>
    </row>
    <row r="20" spans="1:6" ht="28.8">
      <c r="A20" s="112">
        <v>17</v>
      </c>
      <c r="B20" s="631" t="s">
        <v>3541</v>
      </c>
      <c r="C20" s="112" t="s">
        <v>3539</v>
      </c>
      <c r="D20" s="43" t="s">
        <v>3585</v>
      </c>
      <c r="E20" s="112"/>
    </row>
    <row r="21" spans="1:6">
      <c r="A21">
        <v>18</v>
      </c>
      <c r="B21" s="631" t="s">
        <v>3541</v>
      </c>
      <c r="C21" s="112" t="s">
        <v>3539</v>
      </c>
      <c r="D21" t="s">
        <v>3555</v>
      </c>
      <c r="E21" s="112">
        <v>1</v>
      </c>
    </row>
    <row r="22" spans="1:6">
      <c r="A22">
        <v>19</v>
      </c>
      <c r="B22" s="631" t="s">
        <v>3541</v>
      </c>
      <c r="C22" s="112" t="s">
        <v>3539</v>
      </c>
      <c r="D22" t="s">
        <v>3556</v>
      </c>
      <c r="E22" s="112">
        <v>1</v>
      </c>
    </row>
    <row r="23" spans="1:6">
      <c r="A23">
        <v>20</v>
      </c>
      <c r="B23" s="631" t="s">
        <v>3541</v>
      </c>
      <c r="C23" s="112" t="s">
        <v>3539</v>
      </c>
      <c r="D23" t="s">
        <v>3557</v>
      </c>
      <c r="E23" s="112">
        <v>1</v>
      </c>
    </row>
    <row r="24" spans="1:6">
      <c r="A24">
        <v>21</v>
      </c>
      <c r="B24" s="631" t="s">
        <v>3541</v>
      </c>
      <c r="C24" s="112" t="s">
        <v>3539</v>
      </c>
      <c r="D24" t="s">
        <v>3558</v>
      </c>
      <c r="E24" s="112"/>
    </row>
    <row r="25" spans="1:6">
      <c r="A25">
        <v>22</v>
      </c>
      <c r="B25" s="631" t="s">
        <v>3541</v>
      </c>
      <c r="C25" s="112" t="s">
        <v>3539</v>
      </c>
      <c r="D25" t="s">
        <v>3559</v>
      </c>
      <c r="E25" s="112">
        <v>1</v>
      </c>
    </row>
    <row r="26" spans="1:6">
      <c r="A26">
        <v>23</v>
      </c>
      <c r="B26" s="631" t="s">
        <v>3541</v>
      </c>
      <c r="C26" s="112" t="s">
        <v>3539</v>
      </c>
      <c r="D26" t="s">
        <v>3560</v>
      </c>
      <c r="E26" s="112">
        <v>1</v>
      </c>
    </row>
    <row r="27" spans="1:6" ht="27.6" customHeight="1">
      <c r="A27" s="112">
        <v>24</v>
      </c>
      <c r="B27" s="631" t="s">
        <v>3541</v>
      </c>
      <c r="C27" s="112" t="s">
        <v>3539</v>
      </c>
      <c r="D27" s="922" t="s">
        <v>3583</v>
      </c>
      <c r="E27" s="112">
        <v>1</v>
      </c>
    </row>
    <row r="28" spans="1:6">
      <c r="A28">
        <v>25</v>
      </c>
      <c r="B28" s="631" t="s">
        <v>3541</v>
      </c>
      <c r="C28" s="112" t="s">
        <v>3539</v>
      </c>
      <c r="D28" t="s">
        <v>3564</v>
      </c>
      <c r="E28" s="112">
        <v>1</v>
      </c>
      <c r="F28" t="s">
        <v>3561</v>
      </c>
    </row>
    <row r="29" spans="1:6">
      <c r="A29">
        <v>26</v>
      </c>
      <c r="B29" s="631" t="s">
        <v>3554</v>
      </c>
      <c r="C29" s="112" t="s">
        <v>3586</v>
      </c>
      <c r="D29" t="s">
        <v>3565</v>
      </c>
      <c r="E29" s="112">
        <v>1</v>
      </c>
    </row>
    <row r="30" spans="1:6">
      <c r="A30">
        <v>27</v>
      </c>
      <c r="B30" s="631" t="s">
        <v>3554</v>
      </c>
      <c r="C30" s="112" t="s">
        <v>3586</v>
      </c>
      <c r="D30" t="s">
        <v>3566</v>
      </c>
      <c r="E30" s="112">
        <v>1</v>
      </c>
      <c r="F30" s="198" t="s">
        <v>3568</v>
      </c>
    </row>
    <row r="31" spans="1:6">
      <c r="A31">
        <v>28</v>
      </c>
      <c r="B31" s="631" t="s">
        <v>3554</v>
      </c>
      <c r="C31" s="112" t="s">
        <v>3586</v>
      </c>
      <c r="D31" t="s">
        <v>3567</v>
      </c>
      <c r="E31" s="112">
        <v>1</v>
      </c>
    </row>
    <row r="32" spans="1:6">
      <c r="A32">
        <v>29</v>
      </c>
      <c r="B32" s="631"/>
    </row>
    <row r="33" spans="1:1">
      <c r="A33">
        <v>30</v>
      </c>
    </row>
    <row r="34" spans="1:1">
      <c r="A34">
        <v>31</v>
      </c>
    </row>
    <row r="35" spans="1:1">
      <c r="A35">
        <v>32</v>
      </c>
    </row>
    <row r="36" spans="1:1">
      <c r="A36">
        <v>33</v>
      </c>
    </row>
    <row r="37" spans="1:1">
      <c r="A37">
        <v>34</v>
      </c>
    </row>
    <row r="38" spans="1:1">
      <c r="A38">
        <v>35</v>
      </c>
    </row>
    <row r="39" spans="1:1">
      <c r="A39">
        <v>36</v>
      </c>
    </row>
    <row r="40" spans="1:1">
      <c r="A40">
        <v>37</v>
      </c>
    </row>
  </sheetData>
  <mergeCells count="1">
    <mergeCell ref="A1:B1"/>
  </mergeCells>
  <hyperlinks>
    <hyperlink ref="F30" location="Task!BE1" display="Sample - To Do List" xr:uid="{95297E69-1F04-4099-A847-F4DE72B5FDEF}"/>
    <hyperlink ref="C1" location="Contents!B2" tooltip="Will Display Content Sheet" display="Contents" xr:uid="{EAD06025-81D2-4A60-AE88-CFFD84F047C7}"/>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282F-5437-4C6B-B630-4811B5A34F0D}">
  <sheetPr codeName="Sheet20"/>
  <dimension ref="A1:F13"/>
  <sheetViews>
    <sheetView workbookViewId="0">
      <selection activeCell="C20" sqref="C20"/>
    </sheetView>
  </sheetViews>
  <sheetFormatPr defaultRowHeight="14.4"/>
  <cols>
    <col min="1" max="1" width="17.33203125" style="914" customWidth="1"/>
    <col min="2" max="2" width="28.21875" customWidth="1"/>
    <col min="3" max="3" width="34.6640625" customWidth="1"/>
    <col min="4" max="4" width="73" style="9" customWidth="1"/>
    <col min="5" max="5" width="11.5546875" bestFit="1" customWidth="1"/>
    <col min="6" max="6" width="17.21875" style="914" bestFit="1" customWidth="1"/>
  </cols>
  <sheetData>
    <row r="1" spans="1:6" ht="18">
      <c r="A1" s="393" t="s">
        <v>3517</v>
      </c>
      <c r="C1" s="198" t="s">
        <v>336</v>
      </c>
    </row>
    <row r="2" spans="1:6">
      <c r="E2" s="2066" t="s">
        <v>3519</v>
      </c>
      <c r="F2" s="2066"/>
    </row>
    <row r="3" spans="1:6" ht="18">
      <c r="A3" s="915" t="s">
        <v>1126</v>
      </c>
      <c r="B3" s="913" t="s">
        <v>941</v>
      </c>
      <c r="C3" s="913" t="s">
        <v>3521</v>
      </c>
      <c r="D3" s="918" t="s">
        <v>3518</v>
      </c>
      <c r="E3" s="10" t="s">
        <v>234</v>
      </c>
      <c r="F3" s="916" t="s">
        <v>1126</v>
      </c>
    </row>
    <row r="4" spans="1:6" ht="28.8">
      <c r="A4" s="917">
        <v>46135</v>
      </c>
      <c r="B4" t="s">
        <v>3520</v>
      </c>
      <c r="C4" t="s">
        <v>77</v>
      </c>
      <c r="D4" s="9" t="s">
        <v>3534</v>
      </c>
    </row>
    <row r="5" spans="1:6">
      <c r="A5" s="917">
        <v>46135</v>
      </c>
      <c r="B5" t="s">
        <v>3520</v>
      </c>
      <c r="C5" t="s">
        <v>3522</v>
      </c>
      <c r="D5" s="9" t="s">
        <v>3531</v>
      </c>
    </row>
    <row r="6" spans="1:6">
      <c r="A6" s="917">
        <v>46135</v>
      </c>
      <c r="B6" t="s">
        <v>3520</v>
      </c>
      <c r="C6" t="s">
        <v>3523</v>
      </c>
      <c r="D6" s="9" t="s">
        <v>493</v>
      </c>
    </row>
    <row r="7" spans="1:6">
      <c r="A7" s="917">
        <v>46135</v>
      </c>
      <c r="B7" t="s">
        <v>3520</v>
      </c>
      <c r="C7" t="s">
        <v>3524</v>
      </c>
      <c r="D7" s="9" t="s">
        <v>3530</v>
      </c>
    </row>
    <row r="8" spans="1:6">
      <c r="A8" s="917">
        <v>46135</v>
      </c>
      <c r="B8" t="s">
        <v>3520</v>
      </c>
      <c r="C8" t="s">
        <v>3525</v>
      </c>
      <c r="D8" s="9" t="s">
        <v>3530</v>
      </c>
    </row>
    <row r="9" spans="1:6">
      <c r="A9" s="917">
        <v>46135</v>
      </c>
      <c r="B9" t="s">
        <v>3520</v>
      </c>
      <c r="C9" t="s">
        <v>3526</v>
      </c>
      <c r="D9" s="9" t="s">
        <v>3532</v>
      </c>
    </row>
    <row r="10" spans="1:6">
      <c r="A10" s="917">
        <v>46135</v>
      </c>
      <c r="B10" t="s">
        <v>3520</v>
      </c>
      <c r="C10" t="s">
        <v>3527</v>
      </c>
      <c r="D10" s="9" t="s">
        <v>3530</v>
      </c>
    </row>
    <row r="11" spans="1:6" ht="28.8">
      <c r="A11" s="917">
        <v>46135</v>
      </c>
      <c r="B11" t="s">
        <v>3520</v>
      </c>
      <c r="C11" t="s">
        <v>3528</v>
      </c>
      <c r="D11" s="9" t="s">
        <v>3533</v>
      </c>
    </row>
    <row r="12" spans="1:6">
      <c r="A12" s="917">
        <v>46135</v>
      </c>
      <c r="B12" t="s">
        <v>3520</v>
      </c>
      <c r="C12" t="s">
        <v>3529</v>
      </c>
      <c r="D12" s="9" t="s">
        <v>493</v>
      </c>
    </row>
    <row r="13" spans="1:6">
      <c r="A13" s="917">
        <v>46136</v>
      </c>
      <c r="B13" s="198" t="s">
        <v>3535</v>
      </c>
      <c r="C13" t="s">
        <v>3536</v>
      </c>
      <c r="D13" s="9" t="s">
        <v>3587</v>
      </c>
    </row>
  </sheetData>
  <mergeCells count="1">
    <mergeCell ref="E2:F2"/>
  </mergeCells>
  <hyperlinks>
    <hyperlink ref="C1" location="Contents!B2" tooltip="Will Display Content Sheet" display="Contents" xr:uid="{7BA4B0ED-DAA3-4445-9C6F-663A40BDCB01}"/>
    <hyperlink ref="B13" location="Task!A1" display="Task " xr:uid="{2090B780-1D36-441C-93AA-69815D375495}"/>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E388F-8D69-4876-8021-9B725C727A45}">
  <sheetPr codeName="Sheet25"/>
  <dimension ref="A1:D5"/>
  <sheetViews>
    <sheetView workbookViewId="0">
      <selection activeCell="J17" sqref="J17"/>
    </sheetView>
  </sheetViews>
  <sheetFormatPr defaultRowHeight="14.4"/>
  <cols>
    <col min="4" max="4" width="14.88671875" customWidth="1"/>
  </cols>
  <sheetData>
    <row r="1" spans="1:4" ht="18">
      <c r="A1" s="393" t="s">
        <v>3605</v>
      </c>
    </row>
    <row r="2" spans="1:4">
      <c r="D2" t="s">
        <v>3601</v>
      </c>
    </row>
    <row r="3" spans="1:4">
      <c r="D3" t="s">
        <v>1124</v>
      </c>
    </row>
    <row r="4" spans="1:4">
      <c r="D4" t="s">
        <v>3602</v>
      </c>
    </row>
    <row r="5" spans="1:4">
      <c r="D5" t="s">
        <v>3603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98D65-00F0-4BCF-925C-6E2C4657B633}">
  <sheetPr codeName="Sheet26"/>
  <dimension ref="A1:K184"/>
  <sheetViews>
    <sheetView topLeftCell="C1" workbookViewId="0">
      <selection activeCell="L28" sqref="L28"/>
    </sheetView>
  </sheetViews>
  <sheetFormatPr defaultRowHeight="14.4"/>
  <cols>
    <col min="2" max="2" width="9.77734375" bestFit="1" customWidth="1"/>
    <col min="3" max="3" width="28.109375" bestFit="1" customWidth="1"/>
    <col min="4" max="4" width="7.5546875" customWidth="1"/>
    <col min="5" max="5" width="12.33203125" style="9" bestFit="1" customWidth="1"/>
    <col min="6" max="7" width="12.33203125" style="9" customWidth="1"/>
    <col min="8" max="8" width="17.33203125" bestFit="1" customWidth="1"/>
    <col min="9" max="9" width="6.77734375" bestFit="1" customWidth="1"/>
    <col min="10" max="10" width="42.109375" bestFit="1" customWidth="1"/>
    <col min="11" max="11" width="67.5546875" hidden="1" customWidth="1"/>
  </cols>
  <sheetData>
    <row r="1" spans="1:11" ht="18">
      <c r="B1" s="966" t="s">
        <v>4476</v>
      </c>
      <c r="H1" s="966" t="s">
        <v>4477</v>
      </c>
    </row>
    <row r="2" spans="1:11" ht="17.399999999999999">
      <c r="A2" s="53"/>
    </row>
    <row r="3" spans="1:11" ht="15.6">
      <c r="B3" s="979" t="s">
        <v>4479</v>
      </c>
      <c r="C3" s="979" t="s">
        <v>4453</v>
      </c>
      <c r="D3" s="980" t="s">
        <v>4455</v>
      </c>
      <c r="E3" s="979" t="s">
        <v>4456</v>
      </c>
      <c r="F3" s="448"/>
      <c r="G3" s="448"/>
      <c r="H3" s="977" t="s">
        <v>4478</v>
      </c>
      <c r="I3" s="977" t="s">
        <v>3747</v>
      </c>
      <c r="J3" s="977" t="s">
        <v>4482</v>
      </c>
      <c r="K3" s="977" t="s">
        <v>3749</v>
      </c>
    </row>
    <row r="4" spans="1:11">
      <c r="A4" s="7"/>
      <c r="B4" s="210">
        <v>1</v>
      </c>
      <c r="C4" t="s">
        <v>4454</v>
      </c>
      <c r="D4">
        <v>10</v>
      </c>
      <c r="E4" s="445">
        <f>100000*(D4/100)</f>
        <v>10000</v>
      </c>
      <c r="F4" s="445"/>
      <c r="G4" s="445"/>
      <c r="H4" t="s">
        <v>1261</v>
      </c>
      <c r="I4" t="s">
        <v>3766</v>
      </c>
      <c r="J4" t="s">
        <v>4001</v>
      </c>
      <c r="K4" t="s">
        <v>3684</v>
      </c>
    </row>
    <row r="5" spans="1:11">
      <c r="B5" s="210">
        <v>2</v>
      </c>
      <c r="C5" t="s">
        <v>4459</v>
      </c>
      <c r="D5">
        <v>7</v>
      </c>
      <c r="E5" s="445">
        <f t="shared" ref="E5:E22" si="0">100000*(D5/100)</f>
        <v>7000.0000000000009</v>
      </c>
      <c r="F5" s="445"/>
      <c r="G5" s="445"/>
      <c r="H5" t="s">
        <v>1261</v>
      </c>
      <c r="I5" t="s">
        <v>3788</v>
      </c>
      <c r="J5" t="s">
        <v>4002</v>
      </c>
      <c r="K5" t="s">
        <v>3685</v>
      </c>
    </row>
    <row r="6" spans="1:11">
      <c r="B6" s="210">
        <v>3</v>
      </c>
      <c r="C6" t="s">
        <v>4460</v>
      </c>
      <c r="D6">
        <v>3</v>
      </c>
      <c r="E6" s="445">
        <f t="shared" si="0"/>
        <v>3000</v>
      </c>
      <c r="F6" s="445"/>
      <c r="G6" s="445"/>
      <c r="H6" t="s">
        <v>1261</v>
      </c>
      <c r="I6" t="s">
        <v>3789</v>
      </c>
      <c r="J6" t="s">
        <v>338</v>
      </c>
      <c r="K6" t="s">
        <v>3760</v>
      </c>
    </row>
    <row r="7" spans="1:11">
      <c r="B7" s="210">
        <v>4</v>
      </c>
      <c r="C7" t="s">
        <v>4461</v>
      </c>
      <c r="D7">
        <v>7</v>
      </c>
      <c r="E7" s="445">
        <f t="shared" si="0"/>
        <v>7000.0000000000009</v>
      </c>
      <c r="F7" s="445"/>
      <c r="G7" s="445"/>
      <c r="H7" t="s">
        <v>1261</v>
      </c>
      <c r="I7" t="s">
        <v>3790</v>
      </c>
      <c r="J7" t="s">
        <v>162</v>
      </c>
      <c r="K7" t="s">
        <v>4017</v>
      </c>
    </row>
    <row r="8" spans="1:11">
      <c r="B8" s="210">
        <v>5</v>
      </c>
      <c r="C8" t="s">
        <v>4462</v>
      </c>
      <c r="D8">
        <v>3</v>
      </c>
      <c r="E8" s="445">
        <f t="shared" si="0"/>
        <v>3000</v>
      </c>
      <c r="F8" s="445"/>
      <c r="G8" s="445"/>
      <c r="H8" t="s">
        <v>1261</v>
      </c>
      <c r="I8" t="s">
        <v>3791</v>
      </c>
      <c r="J8" t="s">
        <v>3721</v>
      </c>
      <c r="K8" t="s">
        <v>4101</v>
      </c>
    </row>
    <row r="9" spans="1:11">
      <c r="B9" s="210">
        <v>6</v>
      </c>
      <c r="C9" t="s">
        <v>4464</v>
      </c>
      <c r="D9">
        <v>7</v>
      </c>
      <c r="E9" s="445">
        <f t="shared" si="0"/>
        <v>7000.0000000000009</v>
      </c>
      <c r="F9" s="445"/>
      <c r="G9" s="445"/>
      <c r="H9" t="s">
        <v>1261</v>
      </c>
      <c r="I9" t="s">
        <v>3792</v>
      </c>
      <c r="J9" t="s">
        <v>343</v>
      </c>
      <c r="K9" t="s">
        <v>4102</v>
      </c>
    </row>
    <row r="10" spans="1:11">
      <c r="B10" s="210">
        <v>7</v>
      </c>
      <c r="C10" t="s">
        <v>4465</v>
      </c>
      <c r="D10">
        <v>3</v>
      </c>
      <c r="E10" s="445">
        <f t="shared" si="0"/>
        <v>3000</v>
      </c>
      <c r="F10" s="445"/>
      <c r="G10" s="445"/>
      <c r="H10" t="s">
        <v>1261</v>
      </c>
      <c r="I10" t="s">
        <v>3793</v>
      </c>
      <c r="J10" t="s">
        <v>3680</v>
      </c>
      <c r="K10" t="s">
        <v>3679</v>
      </c>
    </row>
    <row r="11" spans="1:11">
      <c r="B11" s="210">
        <v>8</v>
      </c>
      <c r="C11" t="s">
        <v>4466</v>
      </c>
      <c r="D11">
        <v>7</v>
      </c>
      <c r="E11" s="445">
        <f t="shared" si="0"/>
        <v>7000.0000000000009</v>
      </c>
      <c r="F11" s="445"/>
      <c r="G11" s="445"/>
      <c r="H11" t="s">
        <v>1261</v>
      </c>
      <c r="I11" t="s">
        <v>3794</v>
      </c>
      <c r="J11" t="s">
        <v>3672</v>
      </c>
      <c r="K11" t="s">
        <v>3681</v>
      </c>
    </row>
    <row r="12" spans="1:11">
      <c r="B12" s="210">
        <v>9</v>
      </c>
      <c r="C12" t="s">
        <v>4467</v>
      </c>
      <c r="D12">
        <v>3</v>
      </c>
      <c r="E12" s="445">
        <f t="shared" si="0"/>
        <v>3000</v>
      </c>
      <c r="F12" s="445"/>
      <c r="G12" s="445"/>
      <c r="H12" t="s">
        <v>1261</v>
      </c>
      <c r="I12" t="s">
        <v>3795</v>
      </c>
      <c r="J12" t="s">
        <v>3772</v>
      </c>
      <c r="K12" t="s">
        <v>3830</v>
      </c>
    </row>
    <row r="13" spans="1:11">
      <c r="B13" s="210">
        <v>10</v>
      </c>
      <c r="C13" t="s">
        <v>4468</v>
      </c>
      <c r="D13">
        <v>7</v>
      </c>
      <c r="E13" s="445">
        <f t="shared" si="0"/>
        <v>7000.0000000000009</v>
      </c>
      <c r="F13" s="445"/>
      <c r="G13" s="445"/>
      <c r="H13" t="s">
        <v>1261</v>
      </c>
      <c r="I13" t="s">
        <v>3796</v>
      </c>
      <c r="J13" t="s">
        <v>3996</v>
      </c>
      <c r="K13" t="s">
        <v>3711</v>
      </c>
    </row>
    <row r="14" spans="1:11">
      <c r="B14" s="210">
        <v>11</v>
      </c>
      <c r="C14" t="s">
        <v>4469</v>
      </c>
      <c r="D14">
        <v>3</v>
      </c>
      <c r="E14" s="445">
        <f t="shared" si="0"/>
        <v>3000</v>
      </c>
      <c r="F14" s="445"/>
      <c r="G14" s="445"/>
      <c r="H14" t="s">
        <v>1261</v>
      </c>
      <c r="I14" t="s">
        <v>3797</v>
      </c>
      <c r="J14" t="s">
        <v>7</v>
      </c>
      <c r="K14" t="s">
        <v>3717</v>
      </c>
    </row>
    <row r="15" spans="1:11">
      <c r="B15" s="210">
        <v>12</v>
      </c>
      <c r="C15" t="s">
        <v>4470</v>
      </c>
      <c r="D15">
        <v>7</v>
      </c>
      <c r="E15" s="445">
        <f t="shared" si="0"/>
        <v>7000.0000000000009</v>
      </c>
      <c r="F15" s="445"/>
      <c r="G15" s="445"/>
      <c r="H15" t="s">
        <v>1261</v>
      </c>
      <c r="I15" t="s">
        <v>3798</v>
      </c>
      <c r="J15" t="s">
        <v>2510</v>
      </c>
      <c r="K15" t="s">
        <v>3742</v>
      </c>
    </row>
    <row r="16" spans="1:11">
      <c r="B16" s="210">
        <v>13</v>
      </c>
      <c r="C16" t="s">
        <v>4471</v>
      </c>
      <c r="D16">
        <v>3</v>
      </c>
      <c r="E16" s="445">
        <f t="shared" si="0"/>
        <v>3000</v>
      </c>
      <c r="F16" s="445"/>
      <c r="G16" s="445"/>
      <c r="H16" t="s">
        <v>1261</v>
      </c>
      <c r="I16" t="s">
        <v>3799</v>
      </c>
      <c r="J16" t="s">
        <v>9</v>
      </c>
      <c r="K16" t="s">
        <v>4103</v>
      </c>
    </row>
    <row r="17" spans="2:11">
      <c r="B17" s="210">
        <v>14</v>
      </c>
      <c r="C17" t="s">
        <v>4472</v>
      </c>
      <c r="D17">
        <v>7</v>
      </c>
      <c r="E17" s="445">
        <f t="shared" si="0"/>
        <v>7000.0000000000009</v>
      </c>
      <c r="F17" s="445"/>
      <c r="G17" s="445"/>
      <c r="H17" t="s">
        <v>1261</v>
      </c>
      <c r="I17" t="s">
        <v>3800</v>
      </c>
      <c r="J17" t="s">
        <v>4005</v>
      </c>
      <c r="K17" t="s">
        <v>3673</v>
      </c>
    </row>
    <row r="18" spans="2:11">
      <c r="B18" s="210">
        <v>15</v>
      </c>
      <c r="C18" t="s">
        <v>4473</v>
      </c>
      <c r="D18">
        <v>3</v>
      </c>
      <c r="E18" s="445">
        <f t="shared" si="0"/>
        <v>3000</v>
      </c>
      <c r="F18" s="445"/>
      <c r="G18" s="445"/>
      <c r="H18" t="s">
        <v>1261</v>
      </c>
      <c r="I18" t="s">
        <v>3801</v>
      </c>
      <c r="J18" t="s">
        <v>4003</v>
      </c>
      <c r="K18" t="s">
        <v>4024</v>
      </c>
    </row>
    <row r="19" spans="2:11">
      <c r="B19" s="210">
        <v>16</v>
      </c>
      <c r="C19" t="s">
        <v>4474</v>
      </c>
      <c r="D19">
        <v>7</v>
      </c>
      <c r="E19" s="445">
        <f t="shared" si="0"/>
        <v>7000.0000000000009</v>
      </c>
      <c r="F19" s="445"/>
      <c r="G19" s="445"/>
      <c r="H19" t="s">
        <v>1261</v>
      </c>
      <c r="I19" t="s">
        <v>3802</v>
      </c>
      <c r="J19" t="s">
        <v>11</v>
      </c>
      <c r="K19" t="s">
        <v>4104</v>
      </c>
    </row>
    <row r="20" spans="2:11">
      <c r="B20" s="210">
        <v>17</v>
      </c>
      <c r="C20" t="s">
        <v>4475</v>
      </c>
      <c r="D20">
        <v>3</v>
      </c>
      <c r="E20" s="445">
        <f t="shared" si="0"/>
        <v>3000</v>
      </c>
      <c r="F20" s="445"/>
      <c r="G20" s="445"/>
      <c r="H20" t="s">
        <v>1261</v>
      </c>
      <c r="I20" t="s">
        <v>3803</v>
      </c>
      <c r="J20" t="s">
        <v>3719</v>
      </c>
      <c r="K20" t="s">
        <v>3720</v>
      </c>
    </row>
    <row r="21" spans="2:11">
      <c r="B21" s="210">
        <v>18</v>
      </c>
      <c r="C21" t="s">
        <v>4458</v>
      </c>
      <c r="D21">
        <v>5</v>
      </c>
      <c r="E21" s="445">
        <f t="shared" si="0"/>
        <v>5000</v>
      </c>
      <c r="F21" s="445"/>
      <c r="G21" s="445"/>
      <c r="H21" t="s">
        <v>1261</v>
      </c>
      <c r="I21" t="s">
        <v>3804</v>
      </c>
      <c r="J21" s="822" t="s">
        <v>3758</v>
      </c>
      <c r="K21" t="s">
        <v>3759</v>
      </c>
    </row>
    <row r="22" spans="2:11">
      <c r="B22" s="210">
        <v>19</v>
      </c>
      <c r="C22" t="s">
        <v>4480</v>
      </c>
      <c r="D22">
        <v>5</v>
      </c>
      <c r="E22" s="445">
        <f t="shared" si="0"/>
        <v>5000</v>
      </c>
      <c r="F22" s="445"/>
      <c r="G22" s="445"/>
      <c r="H22" t="s">
        <v>1261</v>
      </c>
      <c r="I22" t="s">
        <v>3805</v>
      </c>
      <c r="J22" t="s">
        <v>15</v>
      </c>
      <c r="K22" t="s">
        <v>4092</v>
      </c>
    </row>
    <row r="23" spans="2:11">
      <c r="E23"/>
      <c r="F23"/>
      <c r="G23"/>
      <c r="H23" t="s">
        <v>1261</v>
      </c>
      <c r="I23" t="s">
        <v>3806</v>
      </c>
      <c r="J23" t="s">
        <v>4006</v>
      </c>
      <c r="K23" t="s">
        <v>3678</v>
      </c>
    </row>
    <row r="24" spans="2:11" ht="15.6">
      <c r="C24" s="977" t="s">
        <v>87</v>
      </c>
      <c r="D24" s="977">
        <f>SUM(D4:D22)</f>
        <v>100</v>
      </c>
      <c r="E24" s="978">
        <f>SUM(E4:E22)</f>
        <v>100000</v>
      </c>
      <c r="F24" s="981"/>
      <c r="G24" s="981"/>
      <c r="H24" t="s">
        <v>1261</v>
      </c>
      <c r="I24" t="s">
        <v>3807</v>
      </c>
      <c r="J24" t="s">
        <v>4004</v>
      </c>
      <c r="K24" t="s">
        <v>3677</v>
      </c>
    </row>
    <row r="25" spans="2:11">
      <c r="H25" t="s">
        <v>1261</v>
      </c>
      <c r="I25" t="s">
        <v>3808</v>
      </c>
      <c r="J25" t="s">
        <v>3770</v>
      </c>
      <c r="K25" t="s">
        <v>3998</v>
      </c>
    </row>
    <row r="26" spans="2:11">
      <c r="H26" t="s">
        <v>1261</v>
      </c>
      <c r="I26" t="s">
        <v>3809</v>
      </c>
      <c r="J26" t="s">
        <v>17</v>
      </c>
      <c r="K26" t="s">
        <v>4093</v>
      </c>
    </row>
    <row r="27" spans="2:11">
      <c r="B27" t="s">
        <v>1261</v>
      </c>
      <c r="C27" t="s">
        <v>4483</v>
      </c>
      <c r="H27" t="s">
        <v>1261</v>
      </c>
      <c r="I27" t="s">
        <v>3810</v>
      </c>
      <c r="J27" t="s">
        <v>18</v>
      </c>
      <c r="K27" t="s">
        <v>4094</v>
      </c>
    </row>
    <row r="28" spans="2:11">
      <c r="B28" t="s">
        <v>3768</v>
      </c>
      <c r="C28" t="s">
        <v>4484</v>
      </c>
      <c r="H28" t="s">
        <v>1261</v>
      </c>
      <c r="I28" t="s">
        <v>3811</v>
      </c>
      <c r="J28" t="s">
        <v>4010</v>
      </c>
      <c r="K28" t="s">
        <v>4008</v>
      </c>
    </row>
    <row r="29" spans="2:11">
      <c r="B29" t="s">
        <v>1269</v>
      </c>
      <c r="C29" t="s">
        <v>4485</v>
      </c>
      <c r="H29" t="s">
        <v>1261</v>
      </c>
      <c r="I29" t="s">
        <v>3812</v>
      </c>
      <c r="J29" t="s">
        <v>3999</v>
      </c>
      <c r="K29" t="s">
        <v>4009</v>
      </c>
    </row>
    <row r="30" spans="2:11">
      <c r="B30" t="s">
        <v>1278</v>
      </c>
      <c r="C30" t="s">
        <v>4486</v>
      </c>
      <c r="H30" t="s">
        <v>1261</v>
      </c>
      <c r="I30" t="s">
        <v>3813</v>
      </c>
      <c r="J30" t="s">
        <v>3997</v>
      </c>
      <c r="K30" t="s">
        <v>4007</v>
      </c>
    </row>
    <row r="31" spans="2:11">
      <c r="B31" t="s">
        <v>3769</v>
      </c>
      <c r="C31" t="s">
        <v>1719</v>
      </c>
      <c r="H31" t="s">
        <v>1261</v>
      </c>
      <c r="I31" t="s">
        <v>3814</v>
      </c>
      <c r="J31" t="s">
        <v>205</v>
      </c>
      <c r="K31" t="s">
        <v>3718</v>
      </c>
    </row>
    <row r="32" spans="2:11">
      <c r="B32" t="s">
        <v>1291</v>
      </c>
      <c r="C32" t="s">
        <v>4487</v>
      </c>
      <c r="H32" t="s">
        <v>1261</v>
      </c>
      <c r="I32" t="s">
        <v>3815</v>
      </c>
      <c r="J32" t="s">
        <v>3730</v>
      </c>
      <c r="K32" t="s">
        <v>3731</v>
      </c>
    </row>
    <row r="33" spans="2:11">
      <c r="B33" t="s">
        <v>723</v>
      </c>
      <c r="C33" t="s">
        <v>4488</v>
      </c>
      <c r="H33" t="s">
        <v>1261</v>
      </c>
      <c r="I33" t="s">
        <v>3816</v>
      </c>
      <c r="J33" t="s">
        <v>361</v>
      </c>
      <c r="K33" t="s">
        <v>3676</v>
      </c>
    </row>
    <row r="34" spans="2:11">
      <c r="H34" t="s">
        <v>1261</v>
      </c>
      <c r="I34" t="s">
        <v>3817</v>
      </c>
      <c r="J34" t="s">
        <v>4000</v>
      </c>
      <c r="K34" t="s">
        <v>3702</v>
      </c>
    </row>
    <row r="35" spans="2:11">
      <c r="H35" t="s">
        <v>1261</v>
      </c>
      <c r="I35" t="s">
        <v>3818</v>
      </c>
      <c r="J35" t="s">
        <v>3712</v>
      </c>
      <c r="K35" t="s">
        <v>3713</v>
      </c>
    </row>
    <row r="36" spans="2:11">
      <c r="H36" t="s">
        <v>1261</v>
      </c>
      <c r="I36" t="s">
        <v>3819</v>
      </c>
      <c r="J36" t="s">
        <v>25</v>
      </c>
      <c r="K36" t="s">
        <v>4105</v>
      </c>
    </row>
    <row r="37" spans="2:11">
      <c r="H37" t="s">
        <v>1261</v>
      </c>
      <c r="I37" t="s">
        <v>3820</v>
      </c>
      <c r="J37" t="s">
        <v>3671</v>
      </c>
      <c r="K37" t="s">
        <v>3682</v>
      </c>
    </row>
    <row r="38" spans="2:11">
      <c r="H38" t="s">
        <v>1261</v>
      </c>
      <c r="I38" t="s">
        <v>3821</v>
      </c>
      <c r="J38" t="s">
        <v>4020</v>
      </c>
      <c r="K38" t="s">
        <v>4023</v>
      </c>
    </row>
    <row r="39" spans="2:11">
      <c r="H39" t="s">
        <v>1261</v>
      </c>
      <c r="I39" t="s">
        <v>3822</v>
      </c>
      <c r="J39" t="s">
        <v>27</v>
      </c>
      <c r="K39" s="9" t="s">
        <v>4096</v>
      </c>
    </row>
    <row r="40" spans="2:11">
      <c r="H40" t="s">
        <v>1261</v>
      </c>
      <c r="I40" t="s">
        <v>3823</v>
      </c>
      <c r="J40" t="s">
        <v>28</v>
      </c>
      <c r="K40" t="s">
        <v>4095</v>
      </c>
    </row>
    <row r="41" spans="2:11">
      <c r="H41" t="s">
        <v>1261</v>
      </c>
      <c r="I41" t="s">
        <v>3824</v>
      </c>
      <c r="J41" t="s">
        <v>3722</v>
      </c>
      <c r="K41" t="s">
        <v>3723</v>
      </c>
    </row>
    <row r="42" spans="2:11">
      <c r="H42" t="s">
        <v>1261</v>
      </c>
      <c r="I42" t="s">
        <v>3825</v>
      </c>
      <c r="J42" t="s">
        <v>4037</v>
      </c>
      <c r="K42" t="s">
        <v>4106</v>
      </c>
    </row>
    <row r="43" spans="2:11">
      <c r="H43" t="s">
        <v>1261</v>
      </c>
      <c r="I43" t="s">
        <v>3826</v>
      </c>
      <c r="J43" t="s">
        <v>4021</v>
      </c>
      <c r="K43" t="s">
        <v>4022</v>
      </c>
    </row>
    <row r="44" spans="2:11">
      <c r="H44" t="s">
        <v>1261</v>
      </c>
      <c r="I44" t="s">
        <v>3827</v>
      </c>
      <c r="J44" t="s">
        <v>30</v>
      </c>
      <c r="K44" t="s">
        <v>4107</v>
      </c>
    </row>
    <row r="45" spans="2:11">
      <c r="H45" t="s">
        <v>1261</v>
      </c>
      <c r="I45" t="s">
        <v>3828</v>
      </c>
      <c r="J45" t="s">
        <v>3727</v>
      </c>
      <c r="K45" t="s">
        <v>3964</v>
      </c>
    </row>
    <row r="46" spans="2:11">
      <c r="H46" t="s">
        <v>1261</v>
      </c>
      <c r="I46" t="s">
        <v>3829</v>
      </c>
      <c r="J46" t="s">
        <v>3725</v>
      </c>
      <c r="K46" t="s">
        <v>3729</v>
      </c>
    </row>
    <row r="47" spans="2:11">
      <c r="H47" t="s">
        <v>1261</v>
      </c>
      <c r="I47" t="s">
        <v>4038</v>
      </c>
      <c r="J47" t="s">
        <v>3675</v>
      </c>
      <c r="K47" t="s">
        <v>3683</v>
      </c>
    </row>
    <row r="48" spans="2:11">
      <c r="H48" t="s">
        <v>1261</v>
      </c>
      <c r="I48" t="s">
        <v>4078</v>
      </c>
      <c r="J48" t="s">
        <v>705</v>
      </c>
      <c r="K48" t="s">
        <v>4097</v>
      </c>
    </row>
    <row r="49" spans="8:11">
      <c r="H49" t="s">
        <v>1261</v>
      </c>
      <c r="I49" t="s">
        <v>4079</v>
      </c>
      <c r="J49" t="s">
        <v>34</v>
      </c>
      <c r="K49" t="s">
        <v>3965</v>
      </c>
    </row>
    <row r="50" spans="8:11">
      <c r="H50" t="s">
        <v>1261</v>
      </c>
      <c r="I50" t="s">
        <v>4080</v>
      </c>
      <c r="J50" t="s">
        <v>370</v>
      </c>
      <c r="K50" t="s">
        <v>3674</v>
      </c>
    </row>
    <row r="51" spans="8:11">
      <c r="H51" t="s">
        <v>1261</v>
      </c>
      <c r="I51" t="s">
        <v>4081</v>
      </c>
      <c r="J51" t="s">
        <v>341</v>
      </c>
      <c r="K51" t="s">
        <v>4098</v>
      </c>
    </row>
    <row r="52" spans="8:11">
      <c r="H52" t="s">
        <v>1261</v>
      </c>
      <c r="I52" t="s">
        <v>4082</v>
      </c>
      <c r="J52" t="s">
        <v>3724</v>
      </c>
      <c r="K52" t="s">
        <v>3728</v>
      </c>
    </row>
    <row r="53" spans="8:11">
      <c r="H53" t="s">
        <v>1261</v>
      </c>
      <c r="I53" t="s">
        <v>4083</v>
      </c>
      <c r="J53" t="s">
        <v>4011</v>
      </c>
      <c r="K53" t="s">
        <v>4018</v>
      </c>
    </row>
    <row r="54" spans="8:11">
      <c r="H54" t="s">
        <v>1261</v>
      </c>
      <c r="I54" t="s">
        <v>4084</v>
      </c>
      <c r="J54" t="s">
        <v>4012</v>
      </c>
      <c r="K54" t="s">
        <v>4019</v>
      </c>
    </row>
    <row r="55" spans="8:11">
      <c r="H55" t="s">
        <v>1261</v>
      </c>
      <c r="I55" t="s">
        <v>4085</v>
      </c>
      <c r="J55" t="s">
        <v>202</v>
      </c>
      <c r="K55" t="s">
        <v>4099</v>
      </c>
    </row>
    <row r="56" spans="8:11">
      <c r="H56" t="s">
        <v>1261</v>
      </c>
      <c r="I56" t="s">
        <v>4086</v>
      </c>
      <c r="J56" t="s">
        <v>42</v>
      </c>
      <c r="K56" t="s">
        <v>4100</v>
      </c>
    </row>
    <row r="57" spans="8:11">
      <c r="H57" t="s">
        <v>1261</v>
      </c>
      <c r="I57" t="s">
        <v>4087</v>
      </c>
      <c r="J57" t="s">
        <v>3744</v>
      </c>
      <c r="K57" t="s">
        <v>3966</v>
      </c>
    </row>
    <row r="58" spans="8:11">
      <c r="H58" t="s">
        <v>1261</v>
      </c>
      <c r="I58" t="s">
        <v>4088</v>
      </c>
      <c r="J58" t="s">
        <v>4013</v>
      </c>
      <c r="K58" t="s">
        <v>3967</v>
      </c>
    </row>
    <row r="59" spans="8:11">
      <c r="H59" t="s">
        <v>1261</v>
      </c>
      <c r="I59" t="s">
        <v>4089</v>
      </c>
      <c r="J59" t="s">
        <v>129</v>
      </c>
      <c r="K59" t="s">
        <v>4016</v>
      </c>
    </row>
    <row r="60" spans="8:11">
      <c r="H60" t="s">
        <v>1261</v>
      </c>
      <c r="I60" t="s">
        <v>4090</v>
      </c>
      <c r="J60" t="s">
        <v>4014</v>
      </c>
      <c r="K60" t="s">
        <v>4015</v>
      </c>
    </row>
    <row r="61" spans="8:11">
      <c r="H61" t="s">
        <v>1261</v>
      </c>
      <c r="I61" t="s">
        <v>4091</v>
      </c>
      <c r="J61" t="s">
        <v>3714</v>
      </c>
      <c r="K61" t="s">
        <v>3715</v>
      </c>
    </row>
    <row r="62" spans="8:11">
      <c r="H62" t="s">
        <v>3768</v>
      </c>
      <c r="I62" t="s">
        <v>3832</v>
      </c>
      <c r="J62" t="s">
        <v>3781</v>
      </c>
      <c r="K62" s="9" t="s">
        <v>4025</v>
      </c>
    </row>
    <row r="63" spans="8:11">
      <c r="H63" t="s">
        <v>3768</v>
      </c>
      <c r="I63" t="s">
        <v>3833</v>
      </c>
      <c r="J63" t="s">
        <v>3782</v>
      </c>
      <c r="K63" s="9" t="s">
        <v>4026</v>
      </c>
    </row>
    <row r="64" spans="8:11">
      <c r="H64" t="s">
        <v>3768</v>
      </c>
      <c r="I64" t="s">
        <v>3834</v>
      </c>
      <c r="J64" t="s">
        <v>3783</v>
      </c>
      <c r="K64" s="9" t="s">
        <v>4027</v>
      </c>
    </row>
    <row r="65" spans="8:11">
      <c r="H65" t="s">
        <v>3768</v>
      </c>
      <c r="I65" t="s">
        <v>3835</v>
      </c>
      <c r="J65" t="s">
        <v>3784</v>
      </c>
      <c r="K65" s="9" t="s">
        <v>4028</v>
      </c>
    </row>
    <row r="66" spans="8:11">
      <c r="H66" t="s">
        <v>3768</v>
      </c>
      <c r="I66" t="s">
        <v>3836</v>
      </c>
      <c r="J66" t="s">
        <v>3785</v>
      </c>
      <c r="K66" s="9" t="s">
        <v>4029</v>
      </c>
    </row>
    <row r="67" spans="8:11">
      <c r="H67" t="s">
        <v>3768</v>
      </c>
      <c r="I67" t="s">
        <v>3837</v>
      </c>
      <c r="J67" t="s">
        <v>3786</v>
      </c>
      <c r="K67" s="9" t="s">
        <v>4030</v>
      </c>
    </row>
    <row r="68" spans="8:11">
      <c r="H68" t="s">
        <v>3768</v>
      </c>
      <c r="I68" t="s">
        <v>3862</v>
      </c>
      <c r="J68" t="s">
        <v>3948</v>
      </c>
      <c r="K68" s="9" t="s">
        <v>3949</v>
      </c>
    </row>
    <row r="69" spans="8:11">
      <c r="H69" t="s">
        <v>3768</v>
      </c>
      <c r="I69" t="s">
        <v>3863</v>
      </c>
      <c r="J69" t="s">
        <v>3968</v>
      </c>
      <c r="K69" s="9" t="s">
        <v>3969</v>
      </c>
    </row>
    <row r="70" spans="8:11">
      <c r="H70" t="s">
        <v>3768</v>
      </c>
      <c r="I70" t="s">
        <v>3864</v>
      </c>
      <c r="J70" t="s">
        <v>3970</v>
      </c>
      <c r="K70" s="9" t="s">
        <v>3950</v>
      </c>
    </row>
    <row r="71" spans="8:11">
      <c r="H71" t="s">
        <v>3768</v>
      </c>
      <c r="I71" t="s">
        <v>3865</v>
      </c>
      <c r="J71" t="s">
        <v>3971</v>
      </c>
      <c r="K71" s="9" t="s">
        <v>3972</v>
      </c>
    </row>
    <row r="72" spans="8:11">
      <c r="H72" t="s">
        <v>3768</v>
      </c>
      <c r="I72" t="s">
        <v>3866</v>
      </c>
      <c r="J72" t="s">
        <v>3973</v>
      </c>
      <c r="K72" s="9" t="s">
        <v>3951</v>
      </c>
    </row>
    <row r="73" spans="8:11">
      <c r="H73" t="s">
        <v>3768</v>
      </c>
      <c r="I73" t="s">
        <v>3867</v>
      </c>
      <c r="J73" t="s">
        <v>3771</v>
      </c>
      <c r="K73" s="9"/>
    </row>
    <row r="74" spans="8:11">
      <c r="H74" t="s">
        <v>3768</v>
      </c>
      <c r="I74" t="s">
        <v>3868</v>
      </c>
      <c r="J74" t="s">
        <v>3686</v>
      </c>
      <c r="K74" s="9"/>
    </row>
    <row r="75" spans="8:11">
      <c r="H75" t="s">
        <v>3768</v>
      </c>
      <c r="I75" t="s">
        <v>3869</v>
      </c>
      <c r="J75" t="s">
        <v>3841</v>
      </c>
      <c r="K75" s="9"/>
    </row>
    <row r="76" spans="8:11" ht="13.2" customHeight="1">
      <c r="H76" t="s">
        <v>3768</v>
      </c>
      <c r="I76" t="s">
        <v>3870</v>
      </c>
      <c r="J76" t="s">
        <v>3839</v>
      </c>
      <c r="K76" s="9" t="s">
        <v>4031</v>
      </c>
    </row>
    <row r="77" spans="8:11" ht="13.2" customHeight="1">
      <c r="H77" t="s">
        <v>3768</v>
      </c>
      <c r="I77" t="s">
        <v>3871</v>
      </c>
      <c r="J77" t="s">
        <v>3840</v>
      </c>
      <c r="K77" s="9" t="s">
        <v>4032</v>
      </c>
    </row>
    <row r="78" spans="8:11" ht="13.2" customHeight="1">
      <c r="H78" t="s">
        <v>3768</v>
      </c>
      <c r="I78" t="s">
        <v>3872</v>
      </c>
      <c r="J78" t="s">
        <v>3974</v>
      </c>
      <c r="K78" s="9" t="s">
        <v>4033</v>
      </c>
    </row>
    <row r="79" spans="8:11">
      <c r="H79" t="s">
        <v>3768</v>
      </c>
      <c r="I79" t="s">
        <v>3873</v>
      </c>
      <c r="J79" t="s">
        <v>3975</v>
      </c>
      <c r="K79" s="9" t="s">
        <v>4034</v>
      </c>
    </row>
    <row r="80" spans="8:11" ht="18" customHeight="1">
      <c r="H80" t="s">
        <v>3768</v>
      </c>
      <c r="I80" t="s">
        <v>3874</v>
      </c>
      <c r="J80" t="s">
        <v>3773</v>
      </c>
      <c r="K80" s="9"/>
    </row>
    <row r="81" spans="8:11">
      <c r="H81" t="s">
        <v>3768</v>
      </c>
      <c r="I81" t="s">
        <v>3875</v>
      </c>
      <c r="J81" t="s">
        <v>3774</v>
      </c>
      <c r="K81" s="9"/>
    </row>
    <row r="82" spans="8:11">
      <c r="H82" t="s">
        <v>3768</v>
      </c>
      <c r="I82" t="s">
        <v>3876</v>
      </c>
      <c r="J82" t="s">
        <v>3775</v>
      </c>
      <c r="K82" s="9"/>
    </row>
    <row r="83" spans="8:11">
      <c r="H83" t="s">
        <v>3768</v>
      </c>
      <c r="I83" t="s">
        <v>3877</v>
      </c>
      <c r="J83" t="s">
        <v>3776</v>
      </c>
      <c r="K83" s="9"/>
    </row>
    <row r="84" spans="8:11">
      <c r="H84" t="s">
        <v>3768</v>
      </c>
      <c r="I84" t="s">
        <v>3944</v>
      </c>
      <c r="J84" t="s">
        <v>3777</v>
      </c>
      <c r="K84" s="9"/>
    </row>
    <row r="85" spans="8:11">
      <c r="H85" t="s">
        <v>3768</v>
      </c>
      <c r="I85" t="s">
        <v>3945</v>
      </c>
      <c r="J85" t="s">
        <v>3778</v>
      </c>
      <c r="K85" s="9"/>
    </row>
    <row r="86" spans="8:11">
      <c r="H86" t="s">
        <v>3768</v>
      </c>
      <c r="I86" t="s">
        <v>3946</v>
      </c>
      <c r="J86" t="s">
        <v>3779</v>
      </c>
      <c r="K86" s="9"/>
    </row>
    <row r="87" spans="8:11">
      <c r="H87" t="s">
        <v>3768</v>
      </c>
      <c r="I87" t="s">
        <v>3947</v>
      </c>
      <c r="J87" t="s">
        <v>3780</v>
      </c>
      <c r="K87" s="9"/>
    </row>
    <row r="88" spans="8:11">
      <c r="H88" t="s">
        <v>1269</v>
      </c>
      <c r="I88" t="s">
        <v>3878</v>
      </c>
      <c r="J88" t="s">
        <v>61</v>
      </c>
      <c r="K88" s="9" t="s">
        <v>4035</v>
      </c>
    </row>
    <row r="89" spans="8:11">
      <c r="H89" t="s">
        <v>1269</v>
      </c>
      <c r="I89" t="s">
        <v>3879</v>
      </c>
      <c r="J89" t="s">
        <v>3687</v>
      </c>
      <c r="K89" s="9" t="s">
        <v>4036</v>
      </c>
    </row>
    <row r="90" spans="8:11">
      <c r="H90" t="s">
        <v>1269</v>
      </c>
      <c r="I90" t="s">
        <v>3880</v>
      </c>
      <c r="J90" t="s">
        <v>64</v>
      </c>
      <c r="K90" s="9" t="s">
        <v>4039</v>
      </c>
    </row>
    <row r="91" spans="8:11">
      <c r="H91" t="s">
        <v>1269</v>
      </c>
      <c r="I91" t="s">
        <v>3881</v>
      </c>
      <c r="J91" t="s">
        <v>4042</v>
      </c>
      <c r="K91" s="9" t="s">
        <v>4041</v>
      </c>
    </row>
    <row r="92" spans="8:11">
      <c r="H92" t="s">
        <v>1269</v>
      </c>
      <c r="I92" t="s">
        <v>3882</v>
      </c>
      <c r="J92" t="s">
        <v>4040</v>
      </c>
      <c r="K92" s="9" t="s">
        <v>4043</v>
      </c>
    </row>
    <row r="93" spans="8:11" ht="18" customHeight="1">
      <c r="H93" t="s">
        <v>1269</v>
      </c>
      <c r="I93" t="s">
        <v>3883</v>
      </c>
      <c r="J93" t="s">
        <v>4046</v>
      </c>
      <c r="K93" s="9" t="s">
        <v>4047</v>
      </c>
    </row>
    <row r="94" spans="8:11">
      <c r="H94" t="s">
        <v>1269</v>
      </c>
      <c r="I94" t="s">
        <v>3884</v>
      </c>
      <c r="J94" t="s">
        <v>4050</v>
      </c>
      <c r="K94" s="9" t="s">
        <v>4044</v>
      </c>
    </row>
    <row r="95" spans="8:11">
      <c r="H95" t="s">
        <v>1269</v>
      </c>
      <c r="I95" t="s">
        <v>3885</v>
      </c>
      <c r="J95" t="s">
        <v>4049</v>
      </c>
      <c r="K95" s="9" t="s">
        <v>4048</v>
      </c>
    </row>
    <row r="96" spans="8:11" ht="18" customHeight="1">
      <c r="H96" t="s">
        <v>1269</v>
      </c>
      <c r="I96" t="s">
        <v>3886</v>
      </c>
      <c r="J96" t="s">
        <v>4457</v>
      </c>
      <c r="K96" s="9" t="s">
        <v>4051</v>
      </c>
    </row>
    <row r="97" spans="8:11">
      <c r="H97" t="s">
        <v>1269</v>
      </c>
      <c r="I97" t="s">
        <v>3887</v>
      </c>
      <c r="J97" t="s">
        <v>4052</v>
      </c>
      <c r="K97" s="9" t="s">
        <v>4045</v>
      </c>
    </row>
    <row r="98" spans="8:11">
      <c r="H98" t="s">
        <v>1269</v>
      </c>
      <c r="I98" t="s">
        <v>3888</v>
      </c>
      <c r="J98" t="s">
        <v>2642</v>
      </c>
      <c r="K98" s="9" t="s">
        <v>4054</v>
      </c>
    </row>
    <row r="99" spans="8:11">
      <c r="H99" t="s">
        <v>1269</v>
      </c>
      <c r="I99" t="s">
        <v>3889</v>
      </c>
      <c r="J99" t="s">
        <v>4053</v>
      </c>
      <c r="K99" s="9"/>
    </row>
    <row r="100" spans="8:11">
      <c r="H100" t="s">
        <v>1269</v>
      </c>
      <c r="I100" t="s">
        <v>3890</v>
      </c>
      <c r="J100" t="s">
        <v>4042</v>
      </c>
      <c r="K100" s="9" t="s">
        <v>4041</v>
      </c>
    </row>
    <row r="101" spans="8:11">
      <c r="H101" t="s">
        <v>1269</v>
      </c>
      <c r="I101" t="s">
        <v>3891</v>
      </c>
      <c r="J101" t="s">
        <v>4040</v>
      </c>
      <c r="K101" s="9" t="s">
        <v>4043</v>
      </c>
    </row>
    <row r="102" spans="8:11">
      <c r="H102" t="s">
        <v>1269</v>
      </c>
      <c r="I102" t="s">
        <v>3892</v>
      </c>
      <c r="J102" t="s">
        <v>4058</v>
      </c>
      <c r="K102" s="9" t="s">
        <v>4055</v>
      </c>
    </row>
    <row r="103" spans="8:11">
      <c r="H103" t="s">
        <v>1269</v>
      </c>
      <c r="I103" t="s">
        <v>3893</v>
      </c>
      <c r="J103" t="s">
        <v>4057</v>
      </c>
      <c r="K103" s="9" t="s">
        <v>4056</v>
      </c>
    </row>
    <row r="104" spans="8:11">
      <c r="H104" t="s">
        <v>1269</v>
      </c>
      <c r="I104" t="s">
        <v>3894</v>
      </c>
      <c r="J104" t="s">
        <v>4059</v>
      </c>
      <c r="K104" s="9"/>
    </row>
    <row r="105" spans="8:11">
      <c r="H105" t="s">
        <v>1269</v>
      </c>
      <c r="I105" t="s">
        <v>3895</v>
      </c>
      <c r="J105" t="s">
        <v>3670</v>
      </c>
      <c r="K105" s="9" t="s">
        <v>4067</v>
      </c>
    </row>
    <row r="106" spans="8:11">
      <c r="H106" t="s">
        <v>1269</v>
      </c>
      <c r="I106" t="s">
        <v>3896</v>
      </c>
      <c r="J106" s="822" t="s">
        <v>3976</v>
      </c>
      <c r="K106" s="9" t="s">
        <v>4068</v>
      </c>
    </row>
    <row r="107" spans="8:11">
      <c r="H107" t="s">
        <v>1269</v>
      </c>
      <c r="I107" t="s">
        <v>3897</v>
      </c>
      <c r="J107" s="822" t="s">
        <v>4069</v>
      </c>
      <c r="K107" s="9" t="s">
        <v>4071</v>
      </c>
    </row>
    <row r="108" spans="8:11">
      <c r="H108" t="s">
        <v>1269</v>
      </c>
      <c r="I108" t="s">
        <v>3993</v>
      </c>
      <c r="J108" t="s">
        <v>3743</v>
      </c>
      <c r="K108" s="9" t="s">
        <v>3986</v>
      </c>
    </row>
    <row r="109" spans="8:11">
      <c r="H109" t="s">
        <v>1269</v>
      </c>
      <c r="I109" t="s">
        <v>4060</v>
      </c>
      <c r="J109" t="s">
        <v>3977</v>
      </c>
      <c r="K109" s="9" t="s">
        <v>3987</v>
      </c>
    </row>
    <row r="110" spans="8:11">
      <c r="H110" t="s">
        <v>1269</v>
      </c>
      <c r="I110" t="s">
        <v>4061</v>
      </c>
      <c r="J110" t="s">
        <v>3988</v>
      </c>
      <c r="K110" s="9" t="s">
        <v>3990</v>
      </c>
    </row>
    <row r="111" spans="8:11">
      <c r="H111" t="s">
        <v>1269</v>
      </c>
      <c r="I111" t="s">
        <v>4062</v>
      </c>
      <c r="J111" t="s">
        <v>3688</v>
      </c>
      <c r="K111" s="9" t="s">
        <v>3989</v>
      </c>
    </row>
    <row r="112" spans="8:11">
      <c r="H112" t="s">
        <v>1269</v>
      </c>
      <c r="I112" t="s">
        <v>4063</v>
      </c>
      <c r="J112" t="s">
        <v>3689</v>
      </c>
      <c r="K112" s="9" t="s">
        <v>3991</v>
      </c>
    </row>
    <row r="113" spans="8:11">
      <c r="H113" t="s">
        <v>1269</v>
      </c>
      <c r="I113" t="s">
        <v>4064</v>
      </c>
      <c r="J113" t="s">
        <v>80</v>
      </c>
      <c r="K113" s="9"/>
    </row>
    <row r="114" spans="8:11" ht="14.4" customHeight="1">
      <c r="H114" t="s">
        <v>1269</v>
      </c>
      <c r="I114" t="s">
        <v>4065</v>
      </c>
      <c r="J114" t="s">
        <v>3994</v>
      </c>
      <c r="K114" s="9" t="s">
        <v>3995</v>
      </c>
    </row>
    <row r="115" spans="8:11">
      <c r="H115" t="s">
        <v>1269</v>
      </c>
      <c r="I115" t="s">
        <v>4066</v>
      </c>
      <c r="J115" s="822" t="s">
        <v>3710</v>
      </c>
      <c r="K115" s="9"/>
    </row>
    <row r="116" spans="8:11">
      <c r="H116" t="s">
        <v>1269</v>
      </c>
      <c r="I116" t="s">
        <v>4070</v>
      </c>
      <c r="J116" s="822" t="s">
        <v>3978</v>
      </c>
      <c r="K116" s="9"/>
    </row>
    <row r="117" spans="8:11">
      <c r="H117" t="s">
        <v>1278</v>
      </c>
      <c r="I117" t="s">
        <v>3898</v>
      </c>
      <c r="J117" s="822" t="s">
        <v>3762</v>
      </c>
      <c r="K117" s="9"/>
    </row>
    <row r="118" spans="8:11">
      <c r="H118" t="s">
        <v>1278</v>
      </c>
      <c r="I118" t="s">
        <v>3899</v>
      </c>
      <c r="J118" s="822" t="s">
        <v>3763</v>
      </c>
      <c r="K118" s="9"/>
    </row>
    <row r="119" spans="8:11">
      <c r="H119" t="s">
        <v>1278</v>
      </c>
      <c r="I119" t="s">
        <v>3900</v>
      </c>
      <c r="J119" s="822" t="s">
        <v>3764</v>
      </c>
      <c r="K119" s="9"/>
    </row>
    <row r="120" spans="8:11">
      <c r="H120" t="s">
        <v>3769</v>
      </c>
      <c r="I120" t="s">
        <v>3765</v>
      </c>
      <c r="J120" t="s">
        <v>3853</v>
      </c>
      <c r="K120" s="9" t="s">
        <v>3854</v>
      </c>
    </row>
    <row r="121" spans="8:11">
      <c r="H121" t="s">
        <v>3769</v>
      </c>
      <c r="I121" t="s">
        <v>3901</v>
      </c>
      <c r="J121" t="s">
        <v>3849</v>
      </c>
      <c r="K121" s="9" t="s">
        <v>3857</v>
      </c>
    </row>
    <row r="122" spans="8:11">
      <c r="H122" t="s">
        <v>3769</v>
      </c>
      <c r="I122" t="s">
        <v>3902</v>
      </c>
      <c r="J122" s="822" t="s">
        <v>3706</v>
      </c>
      <c r="K122" s="9" t="s">
        <v>3855</v>
      </c>
    </row>
    <row r="123" spans="8:11">
      <c r="H123" t="s">
        <v>3769</v>
      </c>
      <c r="I123" t="s">
        <v>3903</v>
      </c>
      <c r="J123" s="822" t="s">
        <v>3707</v>
      </c>
      <c r="K123" s="9" t="s">
        <v>3856</v>
      </c>
    </row>
    <row r="124" spans="8:11">
      <c r="H124" t="s">
        <v>3769</v>
      </c>
      <c r="I124" t="s">
        <v>3904</v>
      </c>
      <c r="J124" s="822" t="s">
        <v>3708</v>
      </c>
      <c r="K124" s="9" t="s">
        <v>3858</v>
      </c>
    </row>
    <row r="125" spans="8:11">
      <c r="H125" t="s">
        <v>3769</v>
      </c>
      <c r="I125" t="s">
        <v>3905</v>
      </c>
      <c r="J125" t="s">
        <v>46</v>
      </c>
      <c r="K125" s="9" t="s">
        <v>3848</v>
      </c>
    </row>
    <row r="126" spans="8:11">
      <c r="H126" t="s">
        <v>3769</v>
      </c>
      <c r="I126" t="s">
        <v>3906</v>
      </c>
      <c r="J126" t="s">
        <v>3690</v>
      </c>
      <c r="K126" s="9" t="s">
        <v>3848</v>
      </c>
    </row>
    <row r="127" spans="8:11">
      <c r="H127" t="s">
        <v>3769</v>
      </c>
      <c r="I127" t="s">
        <v>3907</v>
      </c>
      <c r="J127" t="s">
        <v>3691</v>
      </c>
      <c r="K127" s="9" t="s">
        <v>4075</v>
      </c>
    </row>
    <row r="128" spans="8:11" ht="14.4" customHeight="1">
      <c r="H128" t="s">
        <v>3769</v>
      </c>
      <c r="I128" t="s">
        <v>3908</v>
      </c>
      <c r="J128" t="s">
        <v>165</v>
      </c>
      <c r="K128" s="9" t="s">
        <v>4072</v>
      </c>
    </row>
    <row r="129" spans="8:11">
      <c r="H129" t="s">
        <v>3769</v>
      </c>
      <c r="I129" t="s">
        <v>3909</v>
      </c>
      <c r="J129" t="s">
        <v>3753</v>
      </c>
      <c r="K129" s="9" t="s">
        <v>3754</v>
      </c>
    </row>
    <row r="130" spans="8:11">
      <c r="H130" t="s">
        <v>3769</v>
      </c>
      <c r="I130" t="s">
        <v>3910</v>
      </c>
      <c r="J130" t="s">
        <v>3703</v>
      </c>
      <c r="K130" s="9" t="s">
        <v>4073</v>
      </c>
    </row>
    <row r="131" spans="8:11">
      <c r="H131" t="s">
        <v>3769</v>
      </c>
      <c r="I131" t="s">
        <v>3911</v>
      </c>
      <c r="J131" t="s">
        <v>3859</v>
      </c>
      <c r="K131" s="9" t="s">
        <v>3860</v>
      </c>
    </row>
    <row r="132" spans="8:11" ht="14.4" customHeight="1">
      <c r="H132" t="s">
        <v>3769</v>
      </c>
      <c r="I132" t="s">
        <v>3912</v>
      </c>
      <c r="J132" t="s">
        <v>3861</v>
      </c>
      <c r="K132" s="9" t="s">
        <v>4074</v>
      </c>
    </row>
    <row r="133" spans="8:11" ht="14.4" customHeight="1">
      <c r="H133" t="s">
        <v>3769</v>
      </c>
      <c r="I133" t="s">
        <v>3913</v>
      </c>
      <c r="J133" t="s">
        <v>3726</v>
      </c>
      <c r="K133" s="9" t="s">
        <v>3979</v>
      </c>
    </row>
    <row r="134" spans="8:11">
      <c r="H134" t="s">
        <v>3769</v>
      </c>
      <c r="I134" t="s">
        <v>3914</v>
      </c>
      <c r="J134" t="s">
        <v>3750</v>
      </c>
      <c r="K134" s="9" t="s">
        <v>3751</v>
      </c>
    </row>
    <row r="135" spans="8:11">
      <c r="H135" t="s">
        <v>3769</v>
      </c>
      <c r="I135" t="s">
        <v>3915</v>
      </c>
      <c r="J135" t="s">
        <v>3262</v>
      </c>
      <c r="K135" s="9" t="s">
        <v>3752</v>
      </c>
    </row>
    <row r="136" spans="8:11">
      <c r="H136" t="s">
        <v>3769</v>
      </c>
      <c r="I136" t="s">
        <v>3916</v>
      </c>
      <c r="J136" t="s">
        <v>3756</v>
      </c>
      <c r="K136" s="9" t="s">
        <v>3755</v>
      </c>
    </row>
    <row r="137" spans="8:11">
      <c r="H137" t="s">
        <v>3769</v>
      </c>
      <c r="I137" t="s">
        <v>3917</v>
      </c>
      <c r="J137" t="s">
        <v>3943</v>
      </c>
      <c r="K137" s="9" t="s">
        <v>3980</v>
      </c>
    </row>
    <row r="138" spans="8:11" ht="14.4" customHeight="1">
      <c r="H138" t="s">
        <v>3769</v>
      </c>
      <c r="I138" t="s">
        <v>3918</v>
      </c>
      <c r="J138" t="s">
        <v>3981</v>
      </c>
      <c r="K138" s="9" t="s">
        <v>4076</v>
      </c>
    </row>
    <row r="139" spans="8:11">
      <c r="H139" t="s">
        <v>3769</v>
      </c>
      <c r="I139" t="s">
        <v>3919</v>
      </c>
      <c r="J139" s="822" t="s">
        <v>3761</v>
      </c>
      <c r="K139" s="9"/>
    </row>
    <row r="140" spans="8:11">
      <c r="H140" t="s">
        <v>3769</v>
      </c>
      <c r="I140" t="s">
        <v>3920</v>
      </c>
      <c r="J140" s="822" t="s">
        <v>3982</v>
      </c>
      <c r="K140" s="9"/>
    </row>
    <row r="141" spans="8:11">
      <c r="H141" t="s">
        <v>3769</v>
      </c>
      <c r="I141" t="s">
        <v>3921</v>
      </c>
      <c r="J141" s="822" t="s">
        <v>3704</v>
      </c>
      <c r="K141" s="9"/>
    </row>
    <row r="142" spans="8:11">
      <c r="H142" t="s">
        <v>3769</v>
      </c>
      <c r="I142" t="s">
        <v>3922</v>
      </c>
      <c r="J142" s="822" t="s">
        <v>3705</v>
      </c>
      <c r="K142" s="9"/>
    </row>
    <row r="143" spans="8:11">
      <c r="H143" t="s">
        <v>3769</v>
      </c>
      <c r="I143" t="s">
        <v>3923</v>
      </c>
      <c r="J143" s="822" t="s">
        <v>3845</v>
      </c>
      <c r="K143" s="9"/>
    </row>
    <row r="144" spans="8:11">
      <c r="H144" t="s">
        <v>1291</v>
      </c>
      <c r="I144" t="s">
        <v>3924</v>
      </c>
      <c r="J144" t="s">
        <v>3699</v>
      </c>
      <c r="K144" s="9"/>
    </row>
    <row r="145" spans="8:11">
      <c r="H145" t="s">
        <v>1291</v>
      </c>
      <c r="I145" t="s">
        <v>3925</v>
      </c>
      <c r="J145" t="s">
        <v>3693</v>
      </c>
      <c r="K145" s="9"/>
    </row>
    <row r="146" spans="8:11">
      <c r="H146" t="s">
        <v>1291</v>
      </c>
      <c r="I146" t="s">
        <v>3926</v>
      </c>
      <c r="J146" t="s">
        <v>3694</v>
      </c>
      <c r="K146" s="9"/>
    </row>
    <row r="147" spans="8:11">
      <c r="H147" t="s">
        <v>1291</v>
      </c>
      <c r="I147" t="s">
        <v>3927</v>
      </c>
      <c r="J147" t="s">
        <v>154</v>
      </c>
      <c r="K147" s="9" t="s">
        <v>3733</v>
      </c>
    </row>
    <row r="148" spans="8:11">
      <c r="H148" t="s">
        <v>1291</v>
      </c>
      <c r="I148" t="s">
        <v>3928</v>
      </c>
      <c r="J148" t="s">
        <v>3695</v>
      </c>
      <c r="K148" s="9"/>
    </row>
    <row r="149" spans="8:11">
      <c r="H149" t="s">
        <v>1291</v>
      </c>
      <c r="I149" t="s">
        <v>3929</v>
      </c>
      <c r="J149" t="s">
        <v>3846</v>
      </c>
      <c r="K149" s="9" t="s">
        <v>3732</v>
      </c>
    </row>
    <row r="150" spans="8:11">
      <c r="H150" t="s">
        <v>1291</v>
      </c>
      <c r="I150" t="s">
        <v>3930</v>
      </c>
      <c r="J150" t="s">
        <v>3847</v>
      </c>
      <c r="K150" s="9"/>
    </row>
    <row r="151" spans="8:11">
      <c r="H151" t="s">
        <v>1291</v>
      </c>
      <c r="I151" t="s">
        <v>3931</v>
      </c>
      <c r="J151" t="s">
        <v>3698</v>
      </c>
      <c r="K151" s="9"/>
    </row>
    <row r="152" spans="8:11">
      <c r="H152" t="s">
        <v>1291</v>
      </c>
      <c r="I152" t="s">
        <v>3932</v>
      </c>
      <c r="J152" t="s">
        <v>3696</v>
      </c>
      <c r="K152" s="9"/>
    </row>
    <row r="153" spans="8:11">
      <c r="H153" t="s">
        <v>1291</v>
      </c>
      <c r="I153" t="s">
        <v>3933</v>
      </c>
      <c r="J153" t="s">
        <v>3697</v>
      </c>
      <c r="K153" s="9"/>
    </row>
    <row r="154" spans="8:11">
      <c r="H154" t="s">
        <v>1291</v>
      </c>
      <c r="I154" t="s">
        <v>3934</v>
      </c>
      <c r="J154" t="s">
        <v>3757</v>
      </c>
      <c r="K154" s="9"/>
    </row>
    <row r="155" spans="8:11">
      <c r="H155" t="s">
        <v>1291</v>
      </c>
      <c r="I155" t="s">
        <v>3935</v>
      </c>
      <c r="J155" t="s">
        <v>160</v>
      </c>
      <c r="K155" s="9" t="s">
        <v>3938</v>
      </c>
    </row>
    <row r="156" spans="8:11">
      <c r="H156" t="s">
        <v>1291</v>
      </c>
      <c r="I156" t="s">
        <v>3936</v>
      </c>
      <c r="J156" t="s">
        <v>271</v>
      </c>
      <c r="K156" s="9"/>
    </row>
    <row r="157" spans="8:11">
      <c r="H157" t="s">
        <v>1291</v>
      </c>
      <c r="I157" t="s">
        <v>3937</v>
      </c>
      <c r="J157" t="s">
        <v>3701</v>
      </c>
      <c r="K157" s="9" t="s">
        <v>822</v>
      </c>
    </row>
    <row r="158" spans="8:11">
      <c r="H158" t="s">
        <v>1291</v>
      </c>
      <c r="I158" t="s">
        <v>3939</v>
      </c>
      <c r="J158" s="822" t="s">
        <v>3735</v>
      </c>
      <c r="K158" s="9"/>
    </row>
    <row r="159" spans="8:11">
      <c r="H159" t="s">
        <v>1291</v>
      </c>
      <c r="I159" t="s">
        <v>3940</v>
      </c>
      <c r="J159" s="822" t="s">
        <v>3736</v>
      </c>
      <c r="K159" s="9"/>
    </row>
    <row r="160" spans="8:11">
      <c r="H160" t="s">
        <v>1291</v>
      </c>
      <c r="I160" t="s">
        <v>3941</v>
      </c>
      <c r="J160" s="822" t="s">
        <v>3738</v>
      </c>
      <c r="K160" s="9" t="s">
        <v>3739</v>
      </c>
    </row>
    <row r="161" spans="8:11" ht="14.4" customHeight="1">
      <c r="H161" t="s">
        <v>1291</v>
      </c>
      <c r="I161" t="s">
        <v>3942</v>
      </c>
      <c r="J161" s="822" t="s">
        <v>3983</v>
      </c>
      <c r="K161" s="9" t="s">
        <v>3984</v>
      </c>
    </row>
    <row r="162" spans="8:11">
      <c r="H162" t="s">
        <v>723</v>
      </c>
      <c r="I162" s="9" t="s">
        <v>3952</v>
      </c>
      <c r="J162" t="s">
        <v>3959</v>
      </c>
      <c r="K162" s="9"/>
    </row>
    <row r="163" spans="8:11">
      <c r="H163" t="s">
        <v>723</v>
      </c>
      <c r="I163" s="9" t="s">
        <v>3953</v>
      </c>
      <c r="J163" t="s">
        <v>3960</v>
      </c>
      <c r="K163" s="9" t="s">
        <v>3957</v>
      </c>
    </row>
    <row r="164" spans="8:11">
      <c r="H164" t="s">
        <v>723</v>
      </c>
      <c r="I164" s="9" t="s">
        <v>3954</v>
      </c>
      <c r="J164" t="s">
        <v>3961</v>
      </c>
      <c r="K164" s="9" t="s">
        <v>3958</v>
      </c>
    </row>
    <row r="165" spans="8:11">
      <c r="H165" t="s">
        <v>723</v>
      </c>
      <c r="I165" s="9" t="s">
        <v>3955</v>
      </c>
      <c r="J165" t="s">
        <v>3962</v>
      </c>
      <c r="K165" s="9" t="s">
        <v>3741</v>
      </c>
    </row>
    <row r="166" spans="8:11">
      <c r="H166" t="s">
        <v>723</v>
      </c>
      <c r="I166" s="9" t="s">
        <v>3956</v>
      </c>
      <c r="J166" t="s">
        <v>3963</v>
      </c>
      <c r="K166" s="9" t="s">
        <v>3985</v>
      </c>
    </row>
    <row r="167" spans="8:11">
      <c r="K167" s="9"/>
    </row>
    <row r="168" spans="8:11">
      <c r="H168" t="s">
        <v>4481</v>
      </c>
      <c r="J168" s="822"/>
      <c r="K168" t="s">
        <v>3767</v>
      </c>
    </row>
    <row r="169" spans="8:11">
      <c r="K169" s="9"/>
    </row>
    <row r="170" spans="8:11">
      <c r="K170" s="9"/>
    </row>
    <row r="171" spans="8:11">
      <c r="K171" s="9"/>
    </row>
    <row r="172" spans="8:11">
      <c r="K172" s="9"/>
    </row>
    <row r="173" spans="8:11">
      <c r="K173" s="9"/>
    </row>
    <row r="174" spans="8:11">
      <c r="K174" s="9"/>
    </row>
    <row r="175" spans="8:11">
      <c r="I175" s="9"/>
      <c r="K175" s="9"/>
    </row>
    <row r="176" spans="8:11">
      <c r="K176" s="9"/>
    </row>
    <row r="179" spans="5:7">
      <c r="E179"/>
      <c r="F179"/>
      <c r="G179"/>
    </row>
    <row r="180" spans="5:7">
      <c r="E180"/>
      <c r="F180"/>
      <c r="G180"/>
    </row>
    <row r="181" spans="5:7">
      <c r="E181"/>
      <c r="F181"/>
      <c r="G181"/>
    </row>
    <row r="182" spans="5:7">
      <c r="E182" t="s">
        <v>4463</v>
      </c>
      <c r="F182"/>
      <c r="G182"/>
    </row>
    <row r="183" spans="5:7">
      <c r="E183"/>
      <c r="F183"/>
      <c r="G183"/>
    </row>
    <row r="184" spans="5:7">
      <c r="E184"/>
      <c r="F184"/>
      <c r="G184"/>
    </row>
  </sheetData>
  <sortState xmlns:xlrd2="http://schemas.microsoft.com/office/spreadsheetml/2017/richdata2" ref="H4:K174">
    <sortCondition ref="H4:H174"/>
  </sortState>
  <phoneticPr fontId="8" type="noConversion"/>
  <pageMargins left="0.70866141732283472" right="0.70866141732283472" top="0.74803149606299213" bottom="0.74803149606299213" header="0.31496062992125984" footer="0.31496062992125984"/>
  <pageSetup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FF88C-E20D-4C2F-9176-1301460185B1}">
  <sheetPr codeName="Sheet31"/>
  <dimension ref="A2:H1373"/>
  <sheetViews>
    <sheetView zoomScale="115" zoomScaleNormal="115" workbookViewId="0">
      <selection activeCell="F117" sqref="F117"/>
    </sheetView>
  </sheetViews>
  <sheetFormatPr defaultColWidth="9.109375" defaultRowHeight="14.4"/>
  <cols>
    <col min="1" max="1" width="37.77734375" style="170" bestFit="1" customWidth="1"/>
    <col min="2" max="2" width="35.5546875" customWidth="1"/>
    <col min="6" max="6" width="42.33203125" bestFit="1" customWidth="1"/>
  </cols>
  <sheetData>
    <row r="2" spans="1:8">
      <c r="A2" s="2554" t="s">
        <v>935</v>
      </c>
      <c r="B2" s="2554" t="s">
        <v>7795</v>
      </c>
      <c r="F2" t="s">
        <v>7351</v>
      </c>
    </row>
    <row r="3" spans="1:8">
      <c r="A3" s="2555" t="s">
        <v>7796</v>
      </c>
      <c r="B3" s="2556" t="s">
        <v>7797</v>
      </c>
      <c r="D3">
        <f t="shared" ref="D3:D66" si="0">MATCH(A3,$F$3:$F$49,0)</f>
        <v>1</v>
      </c>
      <c r="F3" s="2555" t="s">
        <v>7796</v>
      </c>
      <c r="H3" s="2557" t="s">
        <v>7796</v>
      </c>
    </row>
    <row r="4" spans="1:8">
      <c r="A4" s="2555" t="s">
        <v>7796</v>
      </c>
      <c r="B4" s="2556" t="s">
        <v>7798</v>
      </c>
      <c r="D4">
        <f t="shared" si="0"/>
        <v>1</v>
      </c>
      <c r="F4" s="2555" t="s">
        <v>2090</v>
      </c>
      <c r="H4" s="2557" t="s">
        <v>6295</v>
      </c>
    </row>
    <row r="5" spans="1:8">
      <c r="A5" s="2555" t="s">
        <v>7796</v>
      </c>
      <c r="B5" s="2556" t="s">
        <v>7799</v>
      </c>
      <c r="D5">
        <f t="shared" si="0"/>
        <v>1</v>
      </c>
      <c r="F5" s="2555" t="s">
        <v>4796</v>
      </c>
      <c r="H5" s="2557" t="s">
        <v>4796</v>
      </c>
    </row>
    <row r="6" spans="1:8">
      <c r="A6" s="2555" t="s">
        <v>7796</v>
      </c>
      <c r="B6" s="2556" t="s">
        <v>7800</v>
      </c>
      <c r="D6">
        <f t="shared" si="0"/>
        <v>1</v>
      </c>
      <c r="F6" s="2555" t="s">
        <v>7801</v>
      </c>
      <c r="H6" s="2557" t="s">
        <v>7801</v>
      </c>
    </row>
    <row r="7" spans="1:8">
      <c r="A7" s="2555" t="s">
        <v>7796</v>
      </c>
      <c r="B7" s="2556" t="s">
        <v>7802</v>
      </c>
      <c r="D7">
        <f t="shared" si="0"/>
        <v>1</v>
      </c>
      <c r="F7" s="2555" t="s">
        <v>7803</v>
      </c>
      <c r="H7" s="2557" t="s">
        <v>7803</v>
      </c>
    </row>
    <row r="8" spans="1:8">
      <c r="A8" s="2555" t="s">
        <v>7796</v>
      </c>
      <c r="B8" s="2556" t="s">
        <v>7804</v>
      </c>
      <c r="D8">
        <f t="shared" si="0"/>
        <v>1</v>
      </c>
      <c r="F8" s="2555" t="s">
        <v>7805</v>
      </c>
      <c r="H8" s="2557" t="s">
        <v>7805</v>
      </c>
    </row>
    <row r="9" spans="1:8">
      <c r="A9" s="2555" t="s">
        <v>7796</v>
      </c>
      <c r="B9" s="2556" t="s">
        <v>7806</v>
      </c>
      <c r="D9">
        <f t="shared" si="0"/>
        <v>1</v>
      </c>
      <c r="F9" s="2555" t="s">
        <v>7807</v>
      </c>
      <c r="H9" s="2557" t="s">
        <v>7807</v>
      </c>
    </row>
    <row r="10" spans="1:8">
      <c r="A10" s="2555" t="s">
        <v>7796</v>
      </c>
      <c r="B10" s="2556" t="s">
        <v>7808</v>
      </c>
      <c r="D10">
        <f t="shared" si="0"/>
        <v>1</v>
      </c>
      <c r="F10" s="2555" t="s">
        <v>7809</v>
      </c>
      <c r="H10" s="2557" t="s">
        <v>7809</v>
      </c>
    </row>
    <row r="11" spans="1:8">
      <c r="A11" s="2555" t="s">
        <v>2090</v>
      </c>
      <c r="B11" s="2556" t="s">
        <v>7810</v>
      </c>
      <c r="D11">
        <f t="shared" si="0"/>
        <v>2</v>
      </c>
      <c r="F11" s="2555" t="s">
        <v>6293</v>
      </c>
      <c r="H11" s="2557" t="s">
        <v>6293</v>
      </c>
    </row>
    <row r="12" spans="1:8">
      <c r="A12" s="2555" t="s">
        <v>2090</v>
      </c>
      <c r="B12" s="2556" t="s">
        <v>7811</v>
      </c>
      <c r="D12">
        <f t="shared" si="0"/>
        <v>2</v>
      </c>
      <c r="F12" s="2555" t="s">
        <v>7812</v>
      </c>
      <c r="H12" s="2557" t="s">
        <v>6294</v>
      </c>
    </row>
    <row r="13" spans="1:8">
      <c r="A13" s="2555" t="s">
        <v>2090</v>
      </c>
      <c r="B13" s="2556" t="s">
        <v>7813</v>
      </c>
      <c r="D13">
        <f t="shared" si="0"/>
        <v>2</v>
      </c>
      <c r="F13" s="2555" t="s">
        <v>7814</v>
      </c>
      <c r="H13" s="2557" t="s">
        <v>1173</v>
      </c>
    </row>
    <row r="14" spans="1:8">
      <c r="A14" s="2555" t="s">
        <v>2090</v>
      </c>
      <c r="B14" s="2556" t="s">
        <v>7815</v>
      </c>
      <c r="D14">
        <f t="shared" si="0"/>
        <v>2</v>
      </c>
      <c r="F14" s="2555" t="s">
        <v>7816</v>
      </c>
      <c r="H14" s="2557" t="s">
        <v>7817</v>
      </c>
    </row>
    <row r="15" spans="1:8">
      <c r="A15" s="2555" t="s">
        <v>2090</v>
      </c>
      <c r="B15" s="2556" t="s">
        <v>7818</v>
      </c>
      <c r="D15">
        <f t="shared" si="0"/>
        <v>2</v>
      </c>
      <c r="F15" s="2555" t="s">
        <v>7819</v>
      </c>
      <c r="H15" s="2557" t="s">
        <v>7820</v>
      </c>
    </row>
    <row r="16" spans="1:8">
      <c r="A16" s="2555" t="s">
        <v>2090</v>
      </c>
      <c r="B16" s="2556" t="s">
        <v>7821</v>
      </c>
      <c r="D16">
        <f t="shared" si="0"/>
        <v>2</v>
      </c>
      <c r="F16" s="2555" t="s">
        <v>7822</v>
      </c>
      <c r="H16" s="2557" t="s">
        <v>7819</v>
      </c>
    </row>
    <row r="17" spans="1:8">
      <c r="A17" s="2555" t="s">
        <v>2090</v>
      </c>
      <c r="B17" s="2556" t="s">
        <v>7823</v>
      </c>
      <c r="D17">
        <f t="shared" si="0"/>
        <v>2</v>
      </c>
      <c r="F17" s="2555" t="s">
        <v>7824</v>
      </c>
      <c r="H17" s="2557" t="s">
        <v>7825</v>
      </c>
    </row>
    <row r="18" spans="1:8">
      <c r="A18" s="2555" t="s">
        <v>2090</v>
      </c>
      <c r="B18" s="2556" t="s">
        <v>7826</v>
      </c>
      <c r="D18">
        <f t="shared" si="0"/>
        <v>2</v>
      </c>
      <c r="F18" s="2555" t="s">
        <v>7827</v>
      </c>
      <c r="H18" s="2557" t="s">
        <v>7828</v>
      </c>
    </row>
    <row r="19" spans="1:8">
      <c r="A19" s="2555" t="s">
        <v>2090</v>
      </c>
      <c r="B19" s="2556" t="s">
        <v>7829</v>
      </c>
      <c r="D19">
        <f t="shared" si="0"/>
        <v>2</v>
      </c>
      <c r="F19" s="2555" t="s">
        <v>7830</v>
      </c>
      <c r="H19" s="2557" t="s">
        <v>7831</v>
      </c>
    </row>
    <row r="20" spans="1:8">
      <c r="A20" s="2555" t="s">
        <v>4796</v>
      </c>
      <c r="B20" s="2556" t="s">
        <v>4796</v>
      </c>
      <c r="D20">
        <f t="shared" si="0"/>
        <v>3</v>
      </c>
      <c r="F20" s="2555" t="s">
        <v>7832</v>
      </c>
      <c r="H20" s="2557" t="s">
        <v>7832</v>
      </c>
    </row>
    <row r="21" spans="1:8">
      <c r="A21" s="2555" t="s">
        <v>4796</v>
      </c>
      <c r="B21" s="2556" t="s">
        <v>7833</v>
      </c>
      <c r="D21">
        <f t="shared" si="0"/>
        <v>3</v>
      </c>
      <c r="F21" s="2555" t="s">
        <v>7834</v>
      </c>
      <c r="H21" s="2557" t="s">
        <v>7834</v>
      </c>
    </row>
    <row r="22" spans="1:8">
      <c r="A22" s="2555" t="s">
        <v>4796</v>
      </c>
      <c r="B22" s="2556" t="s">
        <v>7835</v>
      </c>
      <c r="D22">
        <f t="shared" si="0"/>
        <v>3</v>
      </c>
      <c r="F22" s="2555" t="s">
        <v>7836</v>
      </c>
      <c r="H22" s="2557" t="s">
        <v>7837</v>
      </c>
    </row>
    <row r="23" spans="1:8">
      <c r="A23" s="2555" t="s">
        <v>4796</v>
      </c>
      <c r="B23" s="2556" t="s">
        <v>7838</v>
      </c>
      <c r="D23">
        <f t="shared" si="0"/>
        <v>3</v>
      </c>
      <c r="F23" s="2555" t="s">
        <v>7839</v>
      </c>
      <c r="H23" s="2557" t="s">
        <v>7839</v>
      </c>
    </row>
    <row r="24" spans="1:8">
      <c r="A24" s="2555" t="s">
        <v>4796</v>
      </c>
      <c r="B24" s="2556" t="s">
        <v>7840</v>
      </c>
      <c r="D24">
        <f t="shared" si="0"/>
        <v>3</v>
      </c>
      <c r="F24" s="2555" t="s">
        <v>7841</v>
      </c>
      <c r="H24" s="2557" t="s">
        <v>7841</v>
      </c>
    </row>
    <row r="25" spans="1:8">
      <c r="A25" s="2555" t="s">
        <v>4796</v>
      </c>
      <c r="B25" s="2556" t="s">
        <v>7842</v>
      </c>
      <c r="D25">
        <f t="shared" si="0"/>
        <v>3</v>
      </c>
      <c r="F25" s="2555" t="s">
        <v>7843</v>
      </c>
      <c r="H25" s="2557" t="s">
        <v>7843</v>
      </c>
    </row>
    <row r="26" spans="1:8">
      <c r="A26" s="2555" t="s">
        <v>4796</v>
      </c>
      <c r="B26" s="2556" t="s">
        <v>7844</v>
      </c>
      <c r="D26">
        <f t="shared" si="0"/>
        <v>3</v>
      </c>
      <c r="F26" s="2555" t="s">
        <v>7845</v>
      </c>
      <c r="H26" s="2557" t="s">
        <v>7846</v>
      </c>
    </row>
    <row r="27" spans="1:8">
      <c r="A27" s="2555" t="s">
        <v>4796</v>
      </c>
      <c r="B27" s="2556" t="s">
        <v>7847</v>
      </c>
      <c r="D27">
        <f t="shared" si="0"/>
        <v>3</v>
      </c>
      <c r="F27" s="2555" t="s">
        <v>7848</v>
      </c>
      <c r="H27" s="2557" t="s">
        <v>7848</v>
      </c>
    </row>
    <row r="28" spans="1:8">
      <c r="A28" s="2555" t="s">
        <v>4796</v>
      </c>
      <c r="B28" s="2556" t="s">
        <v>7849</v>
      </c>
      <c r="D28">
        <f t="shared" si="0"/>
        <v>3</v>
      </c>
      <c r="F28" s="2555" t="s">
        <v>7850</v>
      </c>
      <c r="H28" s="2557" t="s">
        <v>7851</v>
      </c>
    </row>
    <row r="29" spans="1:8">
      <c r="A29" s="2555" t="s">
        <v>4796</v>
      </c>
      <c r="B29" s="2556" t="s">
        <v>7852</v>
      </c>
      <c r="D29">
        <f t="shared" si="0"/>
        <v>3</v>
      </c>
      <c r="F29" s="2555" t="s">
        <v>7853</v>
      </c>
      <c r="H29" s="2557" t="s">
        <v>7854</v>
      </c>
    </row>
    <row r="30" spans="1:8">
      <c r="A30" s="2555" t="s">
        <v>4796</v>
      </c>
      <c r="B30" s="2556" t="s">
        <v>7855</v>
      </c>
      <c r="D30">
        <f t="shared" si="0"/>
        <v>3</v>
      </c>
      <c r="F30" s="2555" t="s">
        <v>7856</v>
      </c>
      <c r="H30" s="2557" t="s">
        <v>7856</v>
      </c>
    </row>
    <row r="31" spans="1:8">
      <c r="A31" s="2555" t="s">
        <v>4796</v>
      </c>
      <c r="B31" s="2556" t="s">
        <v>7857</v>
      </c>
      <c r="D31">
        <f t="shared" si="0"/>
        <v>3</v>
      </c>
      <c r="F31" s="2555" t="s">
        <v>7858</v>
      </c>
      <c r="H31" s="2557" t="s">
        <v>7858</v>
      </c>
    </row>
    <row r="32" spans="1:8">
      <c r="A32" s="2555" t="s">
        <v>7801</v>
      </c>
      <c r="B32" s="2556" t="s">
        <v>7859</v>
      </c>
      <c r="D32">
        <f t="shared" si="0"/>
        <v>4</v>
      </c>
      <c r="F32" s="2555" t="s">
        <v>7860</v>
      </c>
      <c r="H32" s="2557" t="s">
        <v>7860</v>
      </c>
    </row>
    <row r="33" spans="1:8">
      <c r="A33" s="2555" t="s">
        <v>7801</v>
      </c>
      <c r="B33" s="2556" t="s">
        <v>7861</v>
      </c>
      <c r="D33">
        <f t="shared" si="0"/>
        <v>4</v>
      </c>
      <c r="F33" s="2555" t="s">
        <v>7862</v>
      </c>
      <c r="H33" s="2557" t="s">
        <v>7862</v>
      </c>
    </row>
    <row r="34" spans="1:8">
      <c r="A34" s="2555" t="s">
        <v>7801</v>
      </c>
      <c r="B34" s="2556" t="s">
        <v>7863</v>
      </c>
      <c r="D34">
        <f t="shared" si="0"/>
        <v>4</v>
      </c>
      <c r="F34" s="2555" t="s">
        <v>7864</v>
      </c>
      <c r="H34" s="2557" t="s">
        <v>7864</v>
      </c>
    </row>
    <row r="35" spans="1:8">
      <c r="A35" t="s">
        <v>7803</v>
      </c>
      <c r="B35" s="2556" t="s">
        <v>7865</v>
      </c>
      <c r="D35">
        <f t="shared" si="0"/>
        <v>5</v>
      </c>
      <c r="F35" s="2555" t="s">
        <v>5814</v>
      </c>
      <c r="H35" s="2557" t="s">
        <v>5814</v>
      </c>
    </row>
    <row r="36" spans="1:8">
      <c r="A36" t="s">
        <v>7803</v>
      </c>
      <c r="B36" s="2556" t="s">
        <v>7866</v>
      </c>
      <c r="D36">
        <f t="shared" si="0"/>
        <v>5</v>
      </c>
      <c r="F36" s="2555" t="s">
        <v>7867</v>
      </c>
      <c r="H36" s="2557" t="s">
        <v>7867</v>
      </c>
    </row>
    <row r="37" spans="1:8">
      <c r="A37" t="s">
        <v>7803</v>
      </c>
      <c r="B37" s="2556" t="s">
        <v>7868</v>
      </c>
      <c r="D37">
        <f t="shared" si="0"/>
        <v>5</v>
      </c>
      <c r="F37" s="2555" t="s">
        <v>7869</v>
      </c>
      <c r="H37" s="2557" t="s">
        <v>7869</v>
      </c>
    </row>
    <row r="38" spans="1:8">
      <c r="A38" t="s">
        <v>7803</v>
      </c>
      <c r="B38" s="2556" t="s">
        <v>7870</v>
      </c>
      <c r="D38">
        <f t="shared" si="0"/>
        <v>5</v>
      </c>
      <c r="F38" s="2555" t="s">
        <v>7871</v>
      </c>
      <c r="H38" s="2557" t="s">
        <v>7871</v>
      </c>
    </row>
    <row r="39" spans="1:8">
      <c r="A39" t="s">
        <v>7803</v>
      </c>
      <c r="B39" s="2556" t="s">
        <v>7872</v>
      </c>
      <c r="D39">
        <f t="shared" si="0"/>
        <v>5</v>
      </c>
      <c r="F39" s="2555" t="s">
        <v>7873</v>
      </c>
      <c r="H39" s="2557" t="s">
        <v>7873</v>
      </c>
    </row>
    <row r="40" spans="1:8">
      <c r="A40" t="s">
        <v>7803</v>
      </c>
      <c r="B40" s="2556" t="s">
        <v>7874</v>
      </c>
      <c r="D40">
        <f t="shared" si="0"/>
        <v>5</v>
      </c>
      <c r="F40" s="2555" t="s">
        <v>7875</v>
      </c>
      <c r="H40" s="2557" t="s">
        <v>7875</v>
      </c>
    </row>
    <row r="41" spans="1:8">
      <c r="A41" t="s">
        <v>7803</v>
      </c>
      <c r="B41" s="2556" t="s">
        <v>7876</v>
      </c>
      <c r="D41">
        <f t="shared" si="0"/>
        <v>5</v>
      </c>
      <c r="F41" s="2555" t="s">
        <v>7877</v>
      </c>
      <c r="H41" s="2557" t="s">
        <v>7877</v>
      </c>
    </row>
    <row r="42" spans="1:8">
      <c r="A42" t="s">
        <v>7803</v>
      </c>
      <c r="B42" s="2556" t="s">
        <v>7878</v>
      </c>
      <c r="D42">
        <f t="shared" si="0"/>
        <v>5</v>
      </c>
      <c r="F42" s="2555" t="s">
        <v>7879</v>
      </c>
      <c r="H42" s="2557" t="s">
        <v>5834</v>
      </c>
    </row>
    <row r="43" spans="1:8">
      <c r="A43" s="2555" t="s">
        <v>7803</v>
      </c>
      <c r="B43" s="2556" t="s">
        <v>7880</v>
      </c>
      <c r="D43">
        <f t="shared" si="0"/>
        <v>5</v>
      </c>
      <c r="F43" s="2558" t="s">
        <v>7881</v>
      </c>
      <c r="H43" s="2557" t="s">
        <v>4528</v>
      </c>
    </row>
    <row r="44" spans="1:8">
      <c r="A44" s="2555" t="s">
        <v>7803</v>
      </c>
      <c r="B44" s="2556" t="s">
        <v>7882</v>
      </c>
      <c r="D44">
        <f t="shared" si="0"/>
        <v>5</v>
      </c>
      <c r="F44" s="2555" t="s">
        <v>7883</v>
      </c>
      <c r="H44" s="2557" t="s">
        <v>7881</v>
      </c>
    </row>
    <row r="45" spans="1:8">
      <c r="A45" s="2555" t="s">
        <v>7803</v>
      </c>
      <c r="B45" s="2556" t="s">
        <v>7884</v>
      </c>
      <c r="D45">
        <f t="shared" si="0"/>
        <v>5</v>
      </c>
      <c r="F45" s="2555" t="s">
        <v>7885</v>
      </c>
      <c r="H45" s="2557" t="s">
        <v>7886</v>
      </c>
    </row>
    <row r="46" spans="1:8">
      <c r="A46" s="2555" t="s">
        <v>7803</v>
      </c>
      <c r="B46" s="2556" t="s">
        <v>7887</v>
      </c>
      <c r="D46">
        <f t="shared" si="0"/>
        <v>5</v>
      </c>
      <c r="F46" s="2555" t="s">
        <v>7888</v>
      </c>
      <c r="H46" s="2557" t="s">
        <v>5817</v>
      </c>
    </row>
    <row r="47" spans="1:8">
      <c r="A47" t="s">
        <v>7803</v>
      </c>
      <c r="B47" s="2556" t="s">
        <v>7889</v>
      </c>
      <c r="D47">
        <f t="shared" si="0"/>
        <v>5</v>
      </c>
      <c r="F47" s="2555" t="s">
        <v>794</v>
      </c>
      <c r="H47" s="2557" t="s">
        <v>7883</v>
      </c>
    </row>
    <row r="48" spans="1:8">
      <c r="A48" t="s">
        <v>7803</v>
      </c>
      <c r="B48" s="2556" t="s">
        <v>7890</v>
      </c>
      <c r="D48">
        <f t="shared" si="0"/>
        <v>5</v>
      </c>
      <c r="F48" s="2555"/>
      <c r="H48" s="2557" t="s">
        <v>7891</v>
      </c>
    </row>
    <row r="49" spans="1:8">
      <c r="A49" t="s">
        <v>7803</v>
      </c>
      <c r="B49" s="2556" t="s">
        <v>7892</v>
      </c>
      <c r="D49">
        <f t="shared" si="0"/>
        <v>5</v>
      </c>
      <c r="F49" s="2555"/>
      <c r="H49" s="2557" t="s">
        <v>6304</v>
      </c>
    </row>
    <row r="50" spans="1:8">
      <c r="A50" t="s">
        <v>7803</v>
      </c>
      <c r="B50" s="2556" t="s">
        <v>7893</v>
      </c>
      <c r="D50">
        <f t="shared" si="0"/>
        <v>5</v>
      </c>
      <c r="H50" s="2557" t="s">
        <v>794</v>
      </c>
    </row>
    <row r="51" spans="1:8">
      <c r="A51" t="s">
        <v>7803</v>
      </c>
      <c r="B51" s="2556" t="s">
        <v>7894</v>
      </c>
      <c r="D51">
        <f t="shared" si="0"/>
        <v>5</v>
      </c>
    </row>
    <row r="52" spans="1:8">
      <c r="A52" t="s">
        <v>7803</v>
      </c>
      <c r="B52" s="2556" t="s">
        <v>7895</v>
      </c>
      <c r="D52">
        <f t="shared" si="0"/>
        <v>5</v>
      </c>
    </row>
    <row r="53" spans="1:8">
      <c r="A53" t="s">
        <v>7803</v>
      </c>
      <c r="B53" s="2556" t="s">
        <v>7896</v>
      </c>
      <c r="D53">
        <f t="shared" si="0"/>
        <v>5</v>
      </c>
    </row>
    <row r="54" spans="1:8">
      <c r="A54" t="s">
        <v>7803</v>
      </c>
      <c r="B54" s="2556" t="s">
        <v>7897</v>
      </c>
      <c r="D54">
        <f t="shared" si="0"/>
        <v>5</v>
      </c>
    </row>
    <row r="55" spans="1:8">
      <c r="A55" t="s">
        <v>7803</v>
      </c>
      <c r="B55" s="2556" t="s">
        <v>7898</v>
      </c>
      <c r="D55">
        <f t="shared" si="0"/>
        <v>5</v>
      </c>
    </row>
    <row r="56" spans="1:8">
      <c r="A56" t="s">
        <v>7803</v>
      </c>
      <c r="B56" s="2556" t="s">
        <v>7899</v>
      </c>
      <c r="D56">
        <f t="shared" si="0"/>
        <v>5</v>
      </c>
    </row>
    <row r="57" spans="1:8">
      <c r="A57" t="s">
        <v>7803</v>
      </c>
      <c r="B57" s="2556" t="s">
        <v>7900</v>
      </c>
      <c r="D57">
        <f t="shared" si="0"/>
        <v>5</v>
      </c>
    </row>
    <row r="58" spans="1:8">
      <c r="A58" t="s">
        <v>7803</v>
      </c>
      <c r="B58" s="2556" t="s">
        <v>7901</v>
      </c>
      <c r="D58">
        <f t="shared" si="0"/>
        <v>5</v>
      </c>
    </row>
    <row r="59" spans="1:8">
      <c r="A59" t="s">
        <v>7803</v>
      </c>
      <c r="B59" s="2556" t="s">
        <v>7902</v>
      </c>
      <c r="D59">
        <f t="shared" si="0"/>
        <v>5</v>
      </c>
    </row>
    <row r="60" spans="1:8">
      <c r="A60" t="s">
        <v>7803</v>
      </c>
      <c r="B60" s="2556" t="s">
        <v>7903</v>
      </c>
      <c r="D60">
        <f t="shared" si="0"/>
        <v>5</v>
      </c>
    </row>
    <row r="61" spans="1:8">
      <c r="A61" t="s">
        <v>7803</v>
      </c>
      <c r="B61" s="2556" t="s">
        <v>7904</v>
      </c>
      <c r="D61">
        <f t="shared" si="0"/>
        <v>5</v>
      </c>
    </row>
    <row r="62" spans="1:8">
      <c r="A62" t="s">
        <v>7803</v>
      </c>
      <c r="B62" s="2556" t="s">
        <v>7905</v>
      </c>
      <c r="D62">
        <f t="shared" si="0"/>
        <v>5</v>
      </c>
    </row>
    <row r="63" spans="1:8">
      <c r="A63" t="s">
        <v>7803</v>
      </c>
      <c r="B63" s="2556" t="s">
        <v>7906</v>
      </c>
      <c r="D63">
        <f t="shared" si="0"/>
        <v>5</v>
      </c>
    </row>
    <row r="64" spans="1:8">
      <c r="A64" t="s">
        <v>7803</v>
      </c>
      <c r="B64" s="2556" t="s">
        <v>7907</v>
      </c>
      <c r="D64">
        <f t="shared" si="0"/>
        <v>5</v>
      </c>
    </row>
    <row r="65" spans="1:4">
      <c r="A65" t="s">
        <v>7803</v>
      </c>
      <c r="B65" s="2556" t="s">
        <v>7908</v>
      </c>
      <c r="D65">
        <f t="shared" si="0"/>
        <v>5</v>
      </c>
    </row>
    <row r="66" spans="1:4">
      <c r="A66" t="s">
        <v>7803</v>
      </c>
      <c r="B66" s="2556" t="s">
        <v>7909</v>
      </c>
      <c r="D66">
        <f t="shared" si="0"/>
        <v>5</v>
      </c>
    </row>
    <row r="67" spans="1:4">
      <c r="A67" t="s">
        <v>7803</v>
      </c>
      <c r="B67" s="2556" t="s">
        <v>7910</v>
      </c>
      <c r="D67">
        <f t="shared" ref="D67:D130" si="1">MATCH(A67,$F$3:$F$49,0)</f>
        <v>5</v>
      </c>
    </row>
    <row r="68" spans="1:4">
      <c r="A68" t="s">
        <v>7803</v>
      </c>
      <c r="B68" s="2556" t="s">
        <v>7911</v>
      </c>
      <c r="D68">
        <f t="shared" si="1"/>
        <v>5</v>
      </c>
    </row>
    <row r="69" spans="1:4">
      <c r="A69" t="s">
        <v>7803</v>
      </c>
      <c r="B69" s="2556" t="s">
        <v>7912</v>
      </c>
      <c r="D69">
        <f t="shared" si="1"/>
        <v>5</v>
      </c>
    </row>
    <row r="70" spans="1:4">
      <c r="A70" t="s">
        <v>7803</v>
      </c>
      <c r="B70" s="2556" t="s">
        <v>7913</v>
      </c>
      <c r="D70">
        <f t="shared" si="1"/>
        <v>5</v>
      </c>
    </row>
    <row r="71" spans="1:4">
      <c r="A71" t="s">
        <v>7803</v>
      </c>
      <c r="B71" s="2556" t="s">
        <v>7914</v>
      </c>
      <c r="D71">
        <f t="shared" si="1"/>
        <v>5</v>
      </c>
    </row>
    <row r="72" spans="1:4">
      <c r="A72" s="2555" t="s">
        <v>7803</v>
      </c>
      <c r="B72" s="2556" t="s">
        <v>7915</v>
      </c>
      <c r="D72">
        <f t="shared" si="1"/>
        <v>5</v>
      </c>
    </row>
    <row r="73" spans="1:4">
      <c r="A73" t="s">
        <v>7803</v>
      </c>
      <c r="B73" s="2556" t="s">
        <v>7916</v>
      </c>
      <c r="D73">
        <f t="shared" si="1"/>
        <v>5</v>
      </c>
    </row>
    <row r="74" spans="1:4">
      <c r="A74" t="s">
        <v>7803</v>
      </c>
      <c r="B74" s="2556" t="s">
        <v>7917</v>
      </c>
      <c r="D74">
        <f t="shared" si="1"/>
        <v>5</v>
      </c>
    </row>
    <row r="75" spans="1:4">
      <c r="A75" t="s">
        <v>7803</v>
      </c>
      <c r="B75" s="2556" t="s">
        <v>7918</v>
      </c>
      <c r="D75">
        <f t="shared" si="1"/>
        <v>5</v>
      </c>
    </row>
    <row r="76" spans="1:4">
      <c r="A76" t="s">
        <v>7803</v>
      </c>
      <c r="B76" s="2556" t="s">
        <v>7919</v>
      </c>
      <c r="D76">
        <f t="shared" si="1"/>
        <v>5</v>
      </c>
    </row>
    <row r="77" spans="1:4">
      <c r="A77" t="s">
        <v>7803</v>
      </c>
      <c r="B77" s="2556" t="s">
        <v>7920</v>
      </c>
      <c r="D77">
        <f t="shared" si="1"/>
        <v>5</v>
      </c>
    </row>
    <row r="78" spans="1:4">
      <c r="A78" t="s">
        <v>7803</v>
      </c>
      <c r="B78" s="2556" t="s">
        <v>7921</v>
      </c>
      <c r="D78">
        <f t="shared" si="1"/>
        <v>5</v>
      </c>
    </row>
    <row r="79" spans="1:4">
      <c r="A79" t="s">
        <v>7803</v>
      </c>
      <c r="B79" s="2556" t="s">
        <v>7922</v>
      </c>
      <c r="D79">
        <f t="shared" si="1"/>
        <v>5</v>
      </c>
    </row>
    <row r="80" spans="1:4">
      <c r="A80" t="s">
        <v>7803</v>
      </c>
      <c r="B80" s="2556" t="s">
        <v>7923</v>
      </c>
      <c r="D80">
        <f t="shared" si="1"/>
        <v>5</v>
      </c>
    </row>
    <row r="81" spans="1:4">
      <c r="A81" s="2555" t="s">
        <v>7803</v>
      </c>
      <c r="B81" s="2556" t="s">
        <v>7924</v>
      </c>
      <c r="D81">
        <f t="shared" si="1"/>
        <v>5</v>
      </c>
    </row>
    <row r="82" spans="1:4">
      <c r="A82" s="2555" t="s">
        <v>7803</v>
      </c>
      <c r="B82" s="2556" t="s">
        <v>7925</v>
      </c>
      <c r="D82">
        <f t="shared" si="1"/>
        <v>5</v>
      </c>
    </row>
    <row r="83" spans="1:4">
      <c r="A83" t="s">
        <v>7803</v>
      </c>
      <c r="B83" s="2559" t="s">
        <v>7926</v>
      </c>
      <c r="D83">
        <f t="shared" si="1"/>
        <v>5</v>
      </c>
    </row>
    <row r="84" spans="1:4">
      <c r="A84" s="2555" t="s">
        <v>7805</v>
      </c>
      <c r="B84" s="2556" t="s">
        <v>7927</v>
      </c>
      <c r="D84">
        <f t="shared" si="1"/>
        <v>6</v>
      </c>
    </row>
    <row r="85" spans="1:4">
      <c r="A85" s="2555" t="s">
        <v>7805</v>
      </c>
      <c r="B85" s="2556" t="s">
        <v>7928</v>
      </c>
      <c r="D85">
        <f t="shared" si="1"/>
        <v>6</v>
      </c>
    </row>
    <row r="86" spans="1:4">
      <c r="A86" s="2555" t="s">
        <v>7805</v>
      </c>
      <c r="B86" s="2556" t="s">
        <v>7929</v>
      </c>
      <c r="D86">
        <f t="shared" si="1"/>
        <v>6</v>
      </c>
    </row>
    <row r="87" spans="1:4">
      <c r="A87" s="2555" t="s">
        <v>7805</v>
      </c>
      <c r="B87" s="2556" t="s">
        <v>7930</v>
      </c>
      <c r="D87">
        <f t="shared" si="1"/>
        <v>6</v>
      </c>
    </row>
    <row r="88" spans="1:4">
      <c r="A88" s="2555" t="s">
        <v>7805</v>
      </c>
      <c r="B88" s="2556" t="s">
        <v>7931</v>
      </c>
      <c r="D88">
        <f t="shared" si="1"/>
        <v>6</v>
      </c>
    </row>
    <row r="89" spans="1:4">
      <c r="A89" s="2555" t="s">
        <v>7805</v>
      </c>
      <c r="B89" s="2556" t="s">
        <v>7932</v>
      </c>
      <c r="D89">
        <f t="shared" si="1"/>
        <v>6</v>
      </c>
    </row>
    <row r="90" spans="1:4">
      <c r="A90" s="2555" t="s">
        <v>7805</v>
      </c>
      <c r="B90" s="2556" t="s">
        <v>7933</v>
      </c>
      <c r="D90">
        <f t="shared" si="1"/>
        <v>6</v>
      </c>
    </row>
    <row r="91" spans="1:4">
      <c r="A91" s="2555" t="s">
        <v>7805</v>
      </c>
      <c r="B91" s="2556" t="s">
        <v>7934</v>
      </c>
      <c r="D91">
        <f t="shared" si="1"/>
        <v>6</v>
      </c>
    </row>
    <row r="92" spans="1:4">
      <c r="A92" s="2555" t="s">
        <v>7805</v>
      </c>
      <c r="B92" s="2556" t="s">
        <v>7935</v>
      </c>
      <c r="D92">
        <f t="shared" si="1"/>
        <v>6</v>
      </c>
    </row>
    <row r="93" spans="1:4">
      <c r="A93" s="2555" t="s">
        <v>7805</v>
      </c>
      <c r="B93" s="2559" t="s">
        <v>7936</v>
      </c>
      <c r="D93">
        <f t="shared" si="1"/>
        <v>6</v>
      </c>
    </row>
    <row r="94" spans="1:4">
      <c r="A94" s="2555" t="s">
        <v>7805</v>
      </c>
      <c r="B94" s="2556" t="s">
        <v>7937</v>
      </c>
      <c r="D94">
        <f t="shared" si="1"/>
        <v>6</v>
      </c>
    </row>
    <row r="95" spans="1:4">
      <c r="A95" s="2555" t="s">
        <v>7805</v>
      </c>
      <c r="B95" s="2556" t="s">
        <v>7938</v>
      </c>
      <c r="D95">
        <f t="shared" si="1"/>
        <v>6</v>
      </c>
    </row>
    <row r="96" spans="1:4">
      <c r="A96" s="2555" t="s">
        <v>7805</v>
      </c>
      <c r="B96" s="2556" t="s">
        <v>7939</v>
      </c>
      <c r="D96">
        <f t="shared" si="1"/>
        <v>6</v>
      </c>
    </row>
    <row r="97" spans="1:4">
      <c r="A97" s="2555" t="s">
        <v>7805</v>
      </c>
      <c r="B97" s="2556" t="s">
        <v>7940</v>
      </c>
      <c r="D97">
        <f t="shared" si="1"/>
        <v>6</v>
      </c>
    </row>
    <row r="98" spans="1:4">
      <c r="A98" s="2555" t="s">
        <v>7805</v>
      </c>
      <c r="B98" s="2556" t="s">
        <v>7941</v>
      </c>
      <c r="D98">
        <f t="shared" si="1"/>
        <v>6</v>
      </c>
    </row>
    <row r="99" spans="1:4">
      <c r="A99" s="2555" t="s">
        <v>7805</v>
      </c>
      <c r="B99" s="2556" t="s">
        <v>7942</v>
      </c>
      <c r="D99">
        <f t="shared" si="1"/>
        <v>6</v>
      </c>
    </row>
    <row r="100" spans="1:4">
      <c r="A100" s="2555" t="s">
        <v>7805</v>
      </c>
      <c r="B100" s="2556" t="s">
        <v>7943</v>
      </c>
      <c r="D100">
        <f t="shared" si="1"/>
        <v>6</v>
      </c>
    </row>
    <row r="101" spans="1:4">
      <c r="A101" s="2555" t="s">
        <v>7805</v>
      </c>
      <c r="B101" s="2556" t="s">
        <v>7944</v>
      </c>
      <c r="D101">
        <f t="shared" si="1"/>
        <v>6</v>
      </c>
    </row>
    <row r="102" spans="1:4">
      <c r="A102" s="2555" t="s">
        <v>7805</v>
      </c>
      <c r="B102" s="2556" t="s">
        <v>7945</v>
      </c>
      <c r="D102">
        <f t="shared" si="1"/>
        <v>6</v>
      </c>
    </row>
    <row r="103" spans="1:4">
      <c r="A103" s="2555" t="s">
        <v>7805</v>
      </c>
      <c r="B103" s="2556" t="s">
        <v>7946</v>
      </c>
      <c r="D103">
        <f t="shared" si="1"/>
        <v>6</v>
      </c>
    </row>
    <row r="104" spans="1:4">
      <c r="A104" s="2555" t="s">
        <v>7805</v>
      </c>
      <c r="B104" s="2556" t="s">
        <v>7947</v>
      </c>
      <c r="D104">
        <f t="shared" si="1"/>
        <v>6</v>
      </c>
    </row>
    <row r="105" spans="1:4">
      <c r="A105" s="2555" t="s">
        <v>7805</v>
      </c>
      <c r="B105" s="2556" t="s">
        <v>7948</v>
      </c>
      <c r="D105">
        <f t="shared" si="1"/>
        <v>6</v>
      </c>
    </row>
    <row r="106" spans="1:4">
      <c r="A106" s="2555" t="s">
        <v>7805</v>
      </c>
      <c r="B106" s="2556" t="s">
        <v>7949</v>
      </c>
      <c r="D106">
        <f t="shared" si="1"/>
        <v>6</v>
      </c>
    </row>
    <row r="107" spans="1:4">
      <c r="A107" s="2555" t="s">
        <v>7805</v>
      </c>
      <c r="B107" s="2556" t="s">
        <v>7950</v>
      </c>
      <c r="D107">
        <f t="shared" si="1"/>
        <v>6</v>
      </c>
    </row>
    <row r="108" spans="1:4">
      <c r="A108" s="2555" t="s">
        <v>7805</v>
      </c>
      <c r="B108" s="2556" t="s">
        <v>7951</v>
      </c>
      <c r="D108">
        <f t="shared" si="1"/>
        <v>6</v>
      </c>
    </row>
    <row r="109" spans="1:4">
      <c r="A109" s="2555" t="s">
        <v>7805</v>
      </c>
      <c r="B109" s="2556" t="s">
        <v>7952</v>
      </c>
      <c r="D109">
        <f t="shared" si="1"/>
        <v>6</v>
      </c>
    </row>
    <row r="110" spans="1:4">
      <c r="A110" s="2555" t="s">
        <v>7805</v>
      </c>
      <c r="B110" s="2556" t="s">
        <v>7953</v>
      </c>
      <c r="D110">
        <f t="shared" si="1"/>
        <v>6</v>
      </c>
    </row>
    <row r="111" spans="1:4">
      <c r="A111" s="2555" t="s">
        <v>7805</v>
      </c>
      <c r="B111" s="2556" t="s">
        <v>7954</v>
      </c>
      <c r="D111">
        <f t="shared" si="1"/>
        <v>6</v>
      </c>
    </row>
    <row r="112" spans="1:4">
      <c r="A112" s="2555" t="s">
        <v>7805</v>
      </c>
      <c r="B112" s="2556" t="s">
        <v>7955</v>
      </c>
      <c r="D112">
        <f t="shared" si="1"/>
        <v>6</v>
      </c>
    </row>
    <row r="113" spans="1:4">
      <c r="A113" s="2555" t="s">
        <v>7805</v>
      </c>
      <c r="B113" s="2556" t="s">
        <v>7956</v>
      </c>
      <c r="D113">
        <f t="shared" si="1"/>
        <v>6</v>
      </c>
    </row>
    <row r="114" spans="1:4">
      <c r="A114" s="2555" t="s">
        <v>7805</v>
      </c>
      <c r="B114" s="2556" t="s">
        <v>7957</v>
      </c>
      <c r="D114">
        <f t="shared" si="1"/>
        <v>6</v>
      </c>
    </row>
    <row r="115" spans="1:4">
      <c r="A115" s="2555" t="s">
        <v>7805</v>
      </c>
      <c r="B115" s="2556" t="s">
        <v>7958</v>
      </c>
      <c r="D115">
        <f t="shared" si="1"/>
        <v>6</v>
      </c>
    </row>
    <row r="116" spans="1:4">
      <c r="A116" s="2555" t="s">
        <v>7805</v>
      </c>
      <c r="B116" s="2556" t="s">
        <v>7959</v>
      </c>
      <c r="D116">
        <f t="shared" si="1"/>
        <v>6</v>
      </c>
    </row>
    <row r="117" spans="1:4">
      <c r="A117" s="2555" t="s">
        <v>7805</v>
      </c>
      <c r="B117" s="2556" t="s">
        <v>7960</v>
      </c>
      <c r="D117">
        <f t="shared" si="1"/>
        <v>6</v>
      </c>
    </row>
    <row r="118" spans="1:4">
      <c r="A118" s="2555" t="s">
        <v>7805</v>
      </c>
      <c r="B118" s="2556" t="s">
        <v>7961</v>
      </c>
      <c r="D118">
        <f t="shared" si="1"/>
        <v>6</v>
      </c>
    </row>
    <row r="119" spans="1:4">
      <c r="A119" s="2555" t="s">
        <v>7805</v>
      </c>
      <c r="B119" s="2556" t="s">
        <v>7962</v>
      </c>
      <c r="D119">
        <f t="shared" si="1"/>
        <v>6</v>
      </c>
    </row>
    <row r="120" spans="1:4">
      <c r="A120" s="2555" t="s">
        <v>7805</v>
      </c>
      <c r="B120" s="2556" t="s">
        <v>7963</v>
      </c>
      <c r="D120">
        <f t="shared" si="1"/>
        <v>6</v>
      </c>
    </row>
    <row r="121" spans="1:4">
      <c r="A121" s="2555" t="s">
        <v>7805</v>
      </c>
      <c r="B121" s="2556" t="s">
        <v>7964</v>
      </c>
      <c r="D121">
        <f t="shared" si="1"/>
        <v>6</v>
      </c>
    </row>
    <row r="122" spans="1:4">
      <c r="A122" s="2555" t="s">
        <v>7805</v>
      </c>
      <c r="B122" s="2556" t="s">
        <v>7965</v>
      </c>
      <c r="D122">
        <f t="shared" si="1"/>
        <v>6</v>
      </c>
    </row>
    <row r="123" spans="1:4">
      <c r="A123" s="2555" t="s">
        <v>7805</v>
      </c>
      <c r="B123" s="2556" t="s">
        <v>7966</v>
      </c>
      <c r="D123">
        <f t="shared" si="1"/>
        <v>6</v>
      </c>
    </row>
    <row r="124" spans="1:4">
      <c r="A124" s="2555" t="s">
        <v>7805</v>
      </c>
      <c r="B124" s="2556" t="s">
        <v>7967</v>
      </c>
      <c r="D124">
        <f t="shared" si="1"/>
        <v>6</v>
      </c>
    </row>
    <row r="125" spans="1:4">
      <c r="A125" s="2555" t="s">
        <v>7805</v>
      </c>
      <c r="B125" s="2556" t="s">
        <v>7968</v>
      </c>
      <c r="D125">
        <f t="shared" si="1"/>
        <v>6</v>
      </c>
    </row>
    <row r="126" spans="1:4">
      <c r="A126" s="2555" t="s">
        <v>7805</v>
      </c>
      <c r="B126" s="2556" t="s">
        <v>7969</v>
      </c>
      <c r="D126">
        <f t="shared" si="1"/>
        <v>6</v>
      </c>
    </row>
    <row r="127" spans="1:4">
      <c r="A127" s="2555" t="s">
        <v>7805</v>
      </c>
      <c r="B127" s="2556" t="s">
        <v>7970</v>
      </c>
      <c r="D127">
        <f t="shared" si="1"/>
        <v>6</v>
      </c>
    </row>
    <row r="128" spans="1:4">
      <c r="A128" s="2555" t="s">
        <v>7805</v>
      </c>
      <c r="B128" s="2556" t="s">
        <v>7971</v>
      </c>
      <c r="D128">
        <f t="shared" si="1"/>
        <v>6</v>
      </c>
    </row>
    <row r="129" spans="1:4">
      <c r="A129" s="2555" t="s">
        <v>7805</v>
      </c>
      <c r="B129" s="2556" t="s">
        <v>7972</v>
      </c>
      <c r="D129">
        <f t="shared" si="1"/>
        <v>6</v>
      </c>
    </row>
    <row r="130" spans="1:4">
      <c r="A130" s="2555" t="s">
        <v>7805</v>
      </c>
      <c r="B130" s="2556" t="s">
        <v>7973</v>
      </c>
      <c r="D130">
        <f t="shared" si="1"/>
        <v>6</v>
      </c>
    </row>
    <row r="131" spans="1:4">
      <c r="A131" s="2555" t="s">
        <v>7805</v>
      </c>
      <c r="B131" s="2556" t="s">
        <v>7974</v>
      </c>
      <c r="D131">
        <f t="shared" ref="D131:D194" si="2">MATCH(A131,$F$3:$F$49,0)</f>
        <v>6</v>
      </c>
    </row>
    <row r="132" spans="1:4">
      <c r="A132" s="2555" t="s">
        <v>7805</v>
      </c>
      <c r="B132" s="2556" t="s">
        <v>7975</v>
      </c>
      <c r="D132">
        <f t="shared" si="2"/>
        <v>6</v>
      </c>
    </row>
    <row r="133" spans="1:4">
      <c r="A133" s="2555" t="s">
        <v>7805</v>
      </c>
      <c r="B133" s="2556" t="s">
        <v>7976</v>
      </c>
      <c r="D133">
        <f t="shared" si="2"/>
        <v>6</v>
      </c>
    </row>
    <row r="134" spans="1:4">
      <c r="A134" s="2555" t="s">
        <v>7805</v>
      </c>
      <c r="B134" s="2556" t="s">
        <v>7977</v>
      </c>
      <c r="D134">
        <f t="shared" si="2"/>
        <v>6</v>
      </c>
    </row>
    <row r="135" spans="1:4">
      <c r="A135" s="2555" t="s">
        <v>7805</v>
      </c>
      <c r="B135" s="2556" t="s">
        <v>7978</v>
      </c>
      <c r="D135">
        <f t="shared" si="2"/>
        <v>6</v>
      </c>
    </row>
    <row r="136" spans="1:4">
      <c r="A136" s="2555" t="s">
        <v>7805</v>
      </c>
      <c r="B136" s="2556" t="s">
        <v>7979</v>
      </c>
      <c r="D136">
        <f t="shared" si="2"/>
        <v>6</v>
      </c>
    </row>
    <row r="137" spans="1:4">
      <c r="A137" s="2555" t="s">
        <v>7805</v>
      </c>
      <c r="B137" s="2556" t="s">
        <v>7980</v>
      </c>
      <c r="D137">
        <f t="shared" si="2"/>
        <v>6</v>
      </c>
    </row>
    <row r="138" spans="1:4">
      <c r="A138" s="2555" t="s">
        <v>7805</v>
      </c>
      <c r="B138" s="2556" t="s">
        <v>7981</v>
      </c>
      <c r="D138">
        <f t="shared" si="2"/>
        <v>6</v>
      </c>
    </row>
    <row r="139" spans="1:4">
      <c r="A139" s="2555" t="s">
        <v>7805</v>
      </c>
      <c r="B139" s="2556" t="s">
        <v>7982</v>
      </c>
      <c r="D139">
        <f t="shared" si="2"/>
        <v>6</v>
      </c>
    </row>
    <row r="140" spans="1:4">
      <c r="A140" s="2555" t="s">
        <v>7805</v>
      </c>
      <c r="B140" s="2556" t="s">
        <v>7983</v>
      </c>
      <c r="D140">
        <f t="shared" si="2"/>
        <v>6</v>
      </c>
    </row>
    <row r="141" spans="1:4">
      <c r="A141" s="2555" t="s">
        <v>7805</v>
      </c>
      <c r="B141" s="2556" t="s">
        <v>7984</v>
      </c>
      <c r="D141">
        <f t="shared" si="2"/>
        <v>6</v>
      </c>
    </row>
    <row r="142" spans="1:4">
      <c r="A142" s="2555" t="s">
        <v>7805</v>
      </c>
      <c r="B142" s="2556" t="s">
        <v>7985</v>
      </c>
      <c r="D142">
        <f t="shared" si="2"/>
        <v>6</v>
      </c>
    </row>
    <row r="143" spans="1:4">
      <c r="A143" s="2555" t="s">
        <v>7805</v>
      </c>
      <c r="B143" s="2556" t="s">
        <v>7986</v>
      </c>
      <c r="D143">
        <f t="shared" si="2"/>
        <v>6</v>
      </c>
    </row>
    <row r="144" spans="1:4">
      <c r="A144" s="2555" t="s">
        <v>7805</v>
      </c>
      <c r="B144" s="2556" t="s">
        <v>7987</v>
      </c>
      <c r="D144">
        <f t="shared" si="2"/>
        <v>6</v>
      </c>
    </row>
    <row r="145" spans="1:4">
      <c r="A145" s="2555" t="s">
        <v>7805</v>
      </c>
      <c r="B145" s="2556" t="s">
        <v>7988</v>
      </c>
      <c r="D145">
        <f t="shared" si="2"/>
        <v>6</v>
      </c>
    </row>
    <row r="146" spans="1:4">
      <c r="A146" s="2555" t="s">
        <v>7805</v>
      </c>
      <c r="B146" s="2556" t="s">
        <v>7989</v>
      </c>
      <c r="D146">
        <f t="shared" si="2"/>
        <v>6</v>
      </c>
    </row>
    <row r="147" spans="1:4">
      <c r="A147" s="2555" t="s">
        <v>7805</v>
      </c>
      <c r="B147" s="2556" t="s">
        <v>7990</v>
      </c>
      <c r="D147">
        <f t="shared" si="2"/>
        <v>6</v>
      </c>
    </row>
    <row r="148" spans="1:4">
      <c r="A148" s="2555" t="s">
        <v>7805</v>
      </c>
      <c r="B148" s="2556" t="s">
        <v>7991</v>
      </c>
      <c r="D148">
        <f t="shared" si="2"/>
        <v>6</v>
      </c>
    </row>
    <row r="149" spans="1:4">
      <c r="A149" s="2555" t="s">
        <v>7805</v>
      </c>
      <c r="B149" s="2556" t="s">
        <v>7992</v>
      </c>
      <c r="D149">
        <f t="shared" si="2"/>
        <v>6</v>
      </c>
    </row>
    <row r="150" spans="1:4">
      <c r="A150" s="2555" t="s">
        <v>7805</v>
      </c>
      <c r="B150" s="2556" t="s">
        <v>7993</v>
      </c>
      <c r="D150">
        <f t="shared" si="2"/>
        <v>6</v>
      </c>
    </row>
    <row r="151" spans="1:4">
      <c r="A151" s="2555" t="s">
        <v>7805</v>
      </c>
      <c r="B151" s="2556" t="s">
        <v>7994</v>
      </c>
      <c r="D151">
        <f t="shared" si="2"/>
        <v>6</v>
      </c>
    </row>
    <row r="152" spans="1:4">
      <c r="A152" s="2555" t="s">
        <v>7805</v>
      </c>
      <c r="B152" s="2556" t="s">
        <v>7995</v>
      </c>
      <c r="D152">
        <f t="shared" si="2"/>
        <v>6</v>
      </c>
    </row>
    <row r="153" spans="1:4">
      <c r="A153" s="2555" t="s">
        <v>7805</v>
      </c>
      <c r="B153" s="2556" t="s">
        <v>7996</v>
      </c>
      <c r="D153">
        <f t="shared" si="2"/>
        <v>6</v>
      </c>
    </row>
    <row r="154" spans="1:4">
      <c r="A154" s="2555" t="s">
        <v>7805</v>
      </c>
      <c r="B154" s="2556" t="s">
        <v>7997</v>
      </c>
      <c r="D154">
        <f t="shared" si="2"/>
        <v>6</v>
      </c>
    </row>
    <row r="155" spans="1:4">
      <c r="A155" s="2555" t="s">
        <v>7805</v>
      </c>
      <c r="B155" s="2556" t="s">
        <v>7998</v>
      </c>
      <c r="D155">
        <f t="shared" si="2"/>
        <v>6</v>
      </c>
    </row>
    <row r="156" spans="1:4">
      <c r="A156" s="2555" t="s">
        <v>7805</v>
      </c>
      <c r="B156" s="2556" t="s">
        <v>7999</v>
      </c>
      <c r="D156">
        <f t="shared" si="2"/>
        <v>6</v>
      </c>
    </row>
    <row r="157" spans="1:4">
      <c r="A157" s="2555" t="s">
        <v>7805</v>
      </c>
      <c r="B157" s="2556" t="s">
        <v>8000</v>
      </c>
      <c r="D157">
        <f t="shared" si="2"/>
        <v>6</v>
      </c>
    </row>
    <row r="158" spans="1:4">
      <c r="A158" s="2555" t="s">
        <v>7805</v>
      </c>
      <c r="B158" s="2556" t="s">
        <v>8001</v>
      </c>
      <c r="D158">
        <f t="shared" si="2"/>
        <v>6</v>
      </c>
    </row>
    <row r="159" spans="1:4">
      <c r="A159" s="2555" t="s">
        <v>7805</v>
      </c>
      <c r="B159" s="2556" t="s">
        <v>8002</v>
      </c>
      <c r="D159">
        <f t="shared" si="2"/>
        <v>6</v>
      </c>
    </row>
    <row r="160" spans="1:4">
      <c r="A160" s="2555" t="s">
        <v>7805</v>
      </c>
      <c r="B160" s="2556" t="s">
        <v>8003</v>
      </c>
      <c r="D160">
        <f t="shared" si="2"/>
        <v>6</v>
      </c>
    </row>
    <row r="161" spans="1:4">
      <c r="A161" s="2555" t="s">
        <v>7805</v>
      </c>
      <c r="B161" s="2556" t="s">
        <v>8004</v>
      </c>
      <c r="D161">
        <f t="shared" si="2"/>
        <v>6</v>
      </c>
    </row>
    <row r="162" spans="1:4">
      <c r="A162" s="2555" t="s">
        <v>7805</v>
      </c>
      <c r="B162" s="2556" t="s">
        <v>8005</v>
      </c>
      <c r="D162">
        <f t="shared" si="2"/>
        <v>6</v>
      </c>
    </row>
    <row r="163" spans="1:4">
      <c r="A163" s="2555" t="s">
        <v>7805</v>
      </c>
      <c r="B163" s="2556" t="s">
        <v>8006</v>
      </c>
      <c r="D163">
        <f t="shared" si="2"/>
        <v>6</v>
      </c>
    </row>
    <row r="164" spans="1:4">
      <c r="A164" s="2555" t="s">
        <v>7805</v>
      </c>
      <c r="B164" s="2556" t="s">
        <v>8007</v>
      </c>
      <c r="D164">
        <f t="shared" si="2"/>
        <v>6</v>
      </c>
    </row>
    <row r="165" spans="1:4">
      <c r="A165" s="2555" t="s">
        <v>7805</v>
      </c>
      <c r="B165" s="2556" t="s">
        <v>8008</v>
      </c>
      <c r="D165">
        <f t="shared" si="2"/>
        <v>6</v>
      </c>
    </row>
    <row r="166" spans="1:4">
      <c r="A166" s="2555" t="s">
        <v>7805</v>
      </c>
      <c r="B166" s="2556" t="s">
        <v>8009</v>
      </c>
      <c r="D166">
        <f t="shared" si="2"/>
        <v>6</v>
      </c>
    </row>
    <row r="167" spans="1:4">
      <c r="A167" s="2555" t="s">
        <v>7805</v>
      </c>
      <c r="B167" s="2556" t="s">
        <v>8010</v>
      </c>
      <c r="D167">
        <f t="shared" si="2"/>
        <v>6</v>
      </c>
    </row>
    <row r="168" spans="1:4">
      <c r="A168" s="2555" t="s">
        <v>7805</v>
      </c>
      <c r="B168" s="2556" t="s">
        <v>8011</v>
      </c>
      <c r="D168">
        <f t="shared" si="2"/>
        <v>6</v>
      </c>
    </row>
    <row r="169" spans="1:4">
      <c r="A169" s="2555" t="s">
        <v>7805</v>
      </c>
      <c r="B169" s="2556" t="s">
        <v>8012</v>
      </c>
      <c r="D169">
        <f t="shared" si="2"/>
        <v>6</v>
      </c>
    </row>
    <row r="170" spans="1:4">
      <c r="A170" s="2555" t="s">
        <v>7805</v>
      </c>
      <c r="B170" s="2556" t="s">
        <v>8013</v>
      </c>
      <c r="D170">
        <f t="shared" si="2"/>
        <v>6</v>
      </c>
    </row>
    <row r="171" spans="1:4">
      <c r="A171" s="2555" t="s">
        <v>7805</v>
      </c>
      <c r="B171" s="2556" t="s">
        <v>8014</v>
      </c>
      <c r="D171">
        <f t="shared" si="2"/>
        <v>6</v>
      </c>
    </row>
    <row r="172" spans="1:4">
      <c r="A172" s="2555" t="s">
        <v>7805</v>
      </c>
      <c r="B172" s="2556" t="s">
        <v>8015</v>
      </c>
      <c r="D172">
        <f t="shared" si="2"/>
        <v>6</v>
      </c>
    </row>
    <row r="173" spans="1:4">
      <c r="A173" s="2555" t="s">
        <v>7805</v>
      </c>
      <c r="B173" s="2556" t="s">
        <v>8016</v>
      </c>
      <c r="D173">
        <f t="shared" si="2"/>
        <v>6</v>
      </c>
    </row>
    <row r="174" spans="1:4">
      <c r="A174" s="2555" t="s">
        <v>7805</v>
      </c>
      <c r="B174" s="2556" t="s">
        <v>8017</v>
      </c>
      <c r="D174">
        <f t="shared" si="2"/>
        <v>6</v>
      </c>
    </row>
    <row r="175" spans="1:4">
      <c r="A175" s="2555" t="s">
        <v>7805</v>
      </c>
      <c r="B175" s="2556" t="s">
        <v>8018</v>
      </c>
      <c r="D175">
        <f t="shared" si="2"/>
        <v>6</v>
      </c>
    </row>
    <row r="176" spans="1:4">
      <c r="A176" s="2555" t="s">
        <v>7805</v>
      </c>
      <c r="B176" s="2556" t="s">
        <v>8019</v>
      </c>
      <c r="D176">
        <f t="shared" si="2"/>
        <v>6</v>
      </c>
    </row>
    <row r="177" spans="1:4">
      <c r="A177" s="2555" t="s">
        <v>7805</v>
      </c>
      <c r="B177" s="2556" t="s">
        <v>8020</v>
      </c>
      <c r="D177">
        <f t="shared" si="2"/>
        <v>6</v>
      </c>
    </row>
    <row r="178" spans="1:4">
      <c r="A178" s="2555" t="s">
        <v>7805</v>
      </c>
      <c r="B178" s="2556" t="s">
        <v>8021</v>
      </c>
      <c r="D178">
        <f t="shared" si="2"/>
        <v>6</v>
      </c>
    </row>
    <row r="179" spans="1:4">
      <c r="A179" s="2555" t="s">
        <v>7805</v>
      </c>
      <c r="B179" s="2556" t="s">
        <v>8022</v>
      </c>
      <c r="D179">
        <f t="shared" si="2"/>
        <v>6</v>
      </c>
    </row>
    <row r="180" spans="1:4">
      <c r="A180" s="2555" t="s">
        <v>7805</v>
      </c>
      <c r="B180" s="2556" t="s">
        <v>8023</v>
      </c>
      <c r="D180">
        <f t="shared" si="2"/>
        <v>6</v>
      </c>
    </row>
    <row r="181" spans="1:4">
      <c r="A181" s="2555" t="s">
        <v>7805</v>
      </c>
      <c r="B181" s="2556" t="s">
        <v>8024</v>
      </c>
      <c r="D181">
        <f t="shared" si="2"/>
        <v>6</v>
      </c>
    </row>
    <row r="182" spans="1:4">
      <c r="A182" s="2555" t="s">
        <v>7805</v>
      </c>
      <c r="B182" s="2556" t="s">
        <v>8025</v>
      </c>
      <c r="D182">
        <f t="shared" si="2"/>
        <v>6</v>
      </c>
    </row>
    <row r="183" spans="1:4">
      <c r="A183" s="2555" t="s">
        <v>7805</v>
      </c>
      <c r="B183" s="2556" t="s">
        <v>8026</v>
      </c>
      <c r="D183">
        <f t="shared" si="2"/>
        <v>6</v>
      </c>
    </row>
    <row r="184" spans="1:4">
      <c r="A184" s="2555" t="s">
        <v>7805</v>
      </c>
      <c r="B184" s="2556" t="s">
        <v>8027</v>
      </c>
      <c r="D184">
        <f t="shared" si="2"/>
        <v>6</v>
      </c>
    </row>
    <row r="185" spans="1:4">
      <c r="A185" s="2555" t="s">
        <v>7805</v>
      </c>
      <c r="B185" s="2556" t="s">
        <v>8028</v>
      </c>
      <c r="D185">
        <f t="shared" si="2"/>
        <v>6</v>
      </c>
    </row>
    <row r="186" spans="1:4">
      <c r="A186" s="2555" t="s">
        <v>7805</v>
      </c>
      <c r="B186" s="2556" t="s">
        <v>8029</v>
      </c>
      <c r="D186">
        <f t="shared" si="2"/>
        <v>6</v>
      </c>
    </row>
    <row r="187" spans="1:4">
      <c r="A187" s="2555" t="s">
        <v>7805</v>
      </c>
      <c r="B187" s="2556" t="s">
        <v>8030</v>
      </c>
      <c r="D187">
        <f t="shared" si="2"/>
        <v>6</v>
      </c>
    </row>
    <row r="188" spans="1:4">
      <c r="A188" s="2555" t="s">
        <v>7805</v>
      </c>
      <c r="B188" s="2556" t="s">
        <v>8031</v>
      </c>
      <c r="D188">
        <f t="shared" si="2"/>
        <v>6</v>
      </c>
    </row>
    <row r="189" spans="1:4">
      <c r="A189" s="2555" t="s">
        <v>7805</v>
      </c>
      <c r="B189" s="2556" t="s">
        <v>8032</v>
      </c>
      <c r="D189">
        <f t="shared" si="2"/>
        <v>6</v>
      </c>
    </row>
    <row r="190" spans="1:4">
      <c r="A190" s="2555" t="s">
        <v>7805</v>
      </c>
      <c r="B190" s="2556" t="s">
        <v>8033</v>
      </c>
      <c r="D190">
        <f t="shared" si="2"/>
        <v>6</v>
      </c>
    </row>
    <row r="191" spans="1:4">
      <c r="A191" s="2555" t="s">
        <v>7805</v>
      </c>
      <c r="B191" s="2556" t="s">
        <v>8034</v>
      </c>
      <c r="D191">
        <f t="shared" si="2"/>
        <v>6</v>
      </c>
    </row>
    <row r="192" spans="1:4">
      <c r="A192" s="2555" t="s">
        <v>7805</v>
      </c>
      <c r="B192" s="2556" t="s">
        <v>8035</v>
      </c>
      <c r="D192">
        <f t="shared" si="2"/>
        <v>6</v>
      </c>
    </row>
    <row r="193" spans="1:4">
      <c r="A193" s="2555" t="s">
        <v>7805</v>
      </c>
      <c r="B193" s="2556" t="s">
        <v>8036</v>
      </c>
      <c r="D193">
        <f t="shared" si="2"/>
        <v>6</v>
      </c>
    </row>
    <row r="194" spans="1:4">
      <c r="A194" s="2555" t="s">
        <v>7805</v>
      </c>
      <c r="B194" s="2556" t="s">
        <v>8037</v>
      </c>
      <c r="D194">
        <f t="shared" si="2"/>
        <v>6</v>
      </c>
    </row>
    <row r="195" spans="1:4">
      <c r="A195" s="2555" t="s">
        <v>7805</v>
      </c>
      <c r="B195" s="2556" t="s">
        <v>8038</v>
      </c>
      <c r="D195">
        <f t="shared" ref="D195:D258" si="3">MATCH(A195,$F$3:$F$49,0)</f>
        <v>6</v>
      </c>
    </row>
    <row r="196" spans="1:4">
      <c r="A196" s="2555" t="s">
        <v>7805</v>
      </c>
      <c r="B196" s="2556" t="s">
        <v>8039</v>
      </c>
      <c r="D196">
        <f t="shared" si="3"/>
        <v>6</v>
      </c>
    </row>
    <row r="197" spans="1:4">
      <c r="A197" s="2555" t="s">
        <v>7805</v>
      </c>
      <c r="B197" s="2556" t="s">
        <v>8040</v>
      </c>
      <c r="D197">
        <f t="shared" si="3"/>
        <v>6</v>
      </c>
    </row>
    <row r="198" spans="1:4">
      <c r="A198" s="2555" t="s">
        <v>7805</v>
      </c>
      <c r="B198" s="2556" t="s">
        <v>8041</v>
      </c>
      <c r="D198">
        <f t="shared" si="3"/>
        <v>6</v>
      </c>
    </row>
    <row r="199" spans="1:4">
      <c r="A199" s="2555" t="s">
        <v>7805</v>
      </c>
      <c r="B199" s="2556" t="s">
        <v>8042</v>
      </c>
      <c r="D199">
        <f t="shared" si="3"/>
        <v>6</v>
      </c>
    </row>
    <row r="200" spans="1:4">
      <c r="A200" s="2555" t="s">
        <v>7805</v>
      </c>
      <c r="B200" s="2556" t="s">
        <v>8043</v>
      </c>
      <c r="D200">
        <f t="shared" si="3"/>
        <v>6</v>
      </c>
    </row>
    <row r="201" spans="1:4">
      <c r="A201" s="2555" t="s">
        <v>7805</v>
      </c>
      <c r="B201" s="2556" t="s">
        <v>8044</v>
      </c>
      <c r="D201">
        <f t="shared" si="3"/>
        <v>6</v>
      </c>
    </row>
    <row r="202" spans="1:4">
      <c r="A202" s="2555" t="s">
        <v>7805</v>
      </c>
      <c r="B202" s="2556" t="s">
        <v>8045</v>
      </c>
      <c r="D202">
        <f t="shared" si="3"/>
        <v>6</v>
      </c>
    </row>
    <row r="203" spans="1:4">
      <c r="A203" s="2555" t="s">
        <v>7805</v>
      </c>
      <c r="B203" s="2556" t="s">
        <v>8046</v>
      </c>
      <c r="D203">
        <f t="shared" si="3"/>
        <v>6</v>
      </c>
    </row>
    <row r="204" spans="1:4">
      <c r="A204" s="2555" t="s">
        <v>7805</v>
      </c>
      <c r="B204" s="2556" t="s">
        <v>8047</v>
      </c>
      <c r="D204">
        <f t="shared" si="3"/>
        <v>6</v>
      </c>
    </row>
    <row r="205" spans="1:4">
      <c r="A205" s="2555" t="s">
        <v>7805</v>
      </c>
      <c r="B205" s="2556" t="s">
        <v>8048</v>
      </c>
      <c r="D205">
        <f t="shared" si="3"/>
        <v>6</v>
      </c>
    </row>
    <row r="206" spans="1:4">
      <c r="A206" s="2555" t="s">
        <v>7805</v>
      </c>
      <c r="B206" s="2556" t="s">
        <v>8049</v>
      </c>
      <c r="D206">
        <f t="shared" si="3"/>
        <v>6</v>
      </c>
    </row>
    <row r="207" spans="1:4">
      <c r="A207" s="2555" t="s">
        <v>7805</v>
      </c>
      <c r="B207" s="2556" t="s">
        <v>8050</v>
      </c>
      <c r="D207">
        <f t="shared" si="3"/>
        <v>6</v>
      </c>
    </row>
    <row r="208" spans="1:4">
      <c r="A208" s="2555" t="s">
        <v>7805</v>
      </c>
      <c r="B208" s="2556" t="s">
        <v>8051</v>
      </c>
      <c r="D208">
        <f t="shared" si="3"/>
        <v>6</v>
      </c>
    </row>
    <row r="209" spans="1:4">
      <c r="A209" s="2555" t="s">
        <v>7805</v>
      </c>
      <c r="B209" s="2556" t="s">
        <v>8052</v>
      </c>
      <c r="D209">
        <f t="shared" si="3"/>
        <v>6</v>
      </c>
    </row>
    <row r="210" spans="1:4">
      <c r="A210" s="2555" t="s">
        <v>7805</v>
      </c>
      <c r="B210" s="2556" t="s">
        <v>8053</v>
      </c>
      <c r="D210">
        <f t="shared" si="3"/>
        <v>6</v>
      </c>
    </row>
    <row r="211" spans="1:4">
      <c r="A211" s="2555" t="s">
        <v>7805</v>
      </c>
      <c r="B211" s="2556" t="s">
        <v>8054</v>
      </c>
      <c r="D211">
        <f t="shared" si="3"/>
        <v>6</v>
      </c>
    </row>
    <row r="212" spans="1:4">
      <c r="A212" s="2555" t="s">
        <v>7805</v>
      </c>
      <c r="B212" s="2556" t="s">
        <v>8055</v>
      </c>
      <c r="D212">
        <f t="shared" si="3"/>
        <v>6</v>
      </c>
    </row>
    <row r="213" spans="1:4">
      <c r="A213" s="2555" t="s">
        <v>7805</v>
      </c>
      <c r="B213" s="2556" t="s">
        <v>8056</v>
      </c>
      <c r="D213">
        <f t="shared" si="3"/>
        <v>6</v>
      </c>
    </row>
    <row r="214" spans="1:4">
      <c r="A214" s="2555" t="s">
        <v>7805</v>
      </c>
      <c r="B214" s="2556" t="s">
        <v>8057</v>
      </c>
      <c r="D214">
        <f t="shared" si="3"/>
        <v>6</v>
      </c>
    </row>
    <row r="215" spans="1:4">
      <c r="A215" s="2555" t="s">
        <v>7805</v>
      </c>
      <c r="B215" s="2556" t="s">
        <v>8058</v>
      </c>
      <c r="D215">
        <f t="shared" si="3"/>
        <v>6</v>
      </c>
    </row>
    <row r="216" spans="1:4">
      <c r="A216" s="2555" t="s">
        <v>7805</v>
      </c>
      <c r="B216" s="2556" t="s">
        <v>8059</v>
      </c>
      <c r="D216">
        <f t="shared" si="3"/>
        <v>6</v>
      </c>
    </row>
    <row r="217" spans="1:4">
      <c r="A217" s="2555" t="s">
        <v>7805</v>
      </c>
      <c r="B217" s="2556" t="s">
        <v>8060</v>
      </c>
      <c r="D217">
        <f t="shared" si="3"/>
        <v>6</v>
      </c>
    </row>
    <row r="218" spans="1:4">
      <c r="A218" s="2555" t="s">
        <v>7805</v>
      </c>
      <c r="B218" s="2556" t="s">
        <v>8061</v>
      </c>
      <c r="D218">
        <f t="shared" si="3"/>
        <v>6</v>
      </c>
    </row>
    <row r="219" spans="1:4">
      <c r="A219" s="2555" t="s">
        <v>7805</v>
      </c>
      <c r="B219" s="2556" t="s">
        <v>8062</v>
      </c>
      <c r="D219">
        <f t="shared" si="3"/>
        <v>6</v>
      </c>
    </row>
    <row r="220" spans="1:4">
      <c r="A220" s="2555" t="s">
        <v>7805</v>
      </c>
      <c r="B220" s="2556" t="s">
        <v>8063</v>
      </c>
      <c r="D220">
        <f t="shared" si="3"/>
        <v>6</v>
      </c>
    </row>
    <row r="221" spans="1:4">
      <c r="A221" s="2555" t="s">
        <v>7805</v>
      </c>
      <c r="B221" s="2556" t="s">
        <v>8064</v>
      </c>
      <c r="D221">
        <f t="shared" si="3"/>
        <v>6</v>
      </c>
    </row>
    <row r="222" spans="1:4">
      <c r="A222" s="2555" t="s">
        <v>7805</v>
      </c>
      <c r="B222" s="2556" t="s">
        <v>8065</v>
      </c>
      <c r="D222">
        <f t="shared" si="3"/>
        <v>6</v>
      </c>
    </row>
    <row r="223" spans="1:4">
      <c r="A223" s="2555" t="s">
        <v>7805</v>
      </c>
      <c r="B223" s="2556" t="s">
        <v>8066</v>
      </c>
      <c r="D223">
        <f t="shared" si="3"/>
        <v>6</v>
      </c>
    </row>
    <row r="224" spans="1:4">
      <c r="A224" s="2555" t="s">
        <v>7805</v>
      </c>
      <c r="B224" s="2556" t="s">
        <v>8067</v>
      </c>
      <c r="D224">
        <f t="shared" si="3"/>
        <v>6</v>
      </c>
    </row>
    <row r="225" spans="1:4">
      <c r="A225" s="2555" t="s">
        <v>7805</v>
      </c>
      <c r="B225" s="2556" t="s">
        <v>8068</v>
      </c>
      <c r="D225">
        <f t="shared" si="3"/>
        <v>6</v>
      </c>
    </row>
    <row r="226" spans="1:4">
      <c r="A226" s="2555" t="s">
        <v>7805</v>
      </c>
      <c r="B226" s="2556" t="s">
        <v>8069</v>
      </c>
      <c r="D226">
        <f t="shared" si="3"/>
        <v>6</v>
      </c>
    </row>
    <row r="227" spans="1:4">
      <c r="A227" s="2555" t="s">
        <v>7805</v>
      </c>
      <c r="B227" s="2556" t="s">
        <v>8070</v>
      </c>
      <c r="D227">
        <f t="shared" si="3"/>
        <v>6</v>
      </c>
    </row>
    <row r="228" spans="1:4">
      <c r="A228" s="2555" t="s">
        <v>7805</v>
      </c>
      <c r="B228" s="2556" t="s">
        <v>8071</v>
      </c>
      <c r="D228">
        <f t="shared" si="3"/>
        <v>6</v>
      </c>
    </row>
    <row r="229" spans="1:4">
      <c r="A229" s="2555" t="s">
        <v>7805</v>
      </c>
      <c r="B229" s="2556" t="s">
        <v>8072</v>
      </c>
      <c r="D229">
        <f t="shared" si="3"/>
        <v>6</v>
      </c>
    </row>
    <row r="230" spans="1:4">
      <c r="A230" s="2555" t="s">
        <v>7805</v>
      </c>
      <c r="B230" s="2556" t="s">
        <v>8073</v>
      </c>
      <c r="D230">
        <f t="shared" si="3"/>
        <v>6</v>
      </c>
    </row>
    <row r="231" spans="1:4">
      <c r="A231" s="2555" t="s">
        <v>7805</v>
      </c>
      <c r="B231" s="2556" t="s">
        <v>8074</v>
      </c>
      <c r="D231">
        <f t="shared" si="3"/>
        <v>6</v>
      </c>
    </row>
    <row r="232" spans="1:4">
      <c r="A232" s="2555" t="s">
        <v>7805</v>
      </c>
      <c r="B232" s="2556" t="s">
        <v>8075</v>
      </c>
      <c r="D232">
        <f t="shared" si="3"/>
        <v>6</v>
      </c>
    </row>
    <row r="233" spans="1:4">
      <c r="A233" s="2555" t="s">
        <v>7805</v>
      </c>
      <c r="B233" s="2556" t="s">
        <v>8076</v>
      </c>
      <c r="D233">
        <f t="shared" si="3"/>
        <v>6</v>
      </c>
    </row>
    <row r="234" spans="1:4">
      <c r="A234" s="2555" t="s">
        <v>7805</v>
      </c>
      <c r="B234" s="2556" t="s">
        <v>8077</v>
      </c>
      <c r="D234">
        <f t="shared" si="3"/>
        <v>6</v>
      </c>
    </row>
    <row r="235" spans="1:4">
      <c r="A235" s="2555" t="s">
        <v>7805</v>
      </c>
      <c r="B235" s="2556" t="s">
        <v>8078</v>
      </c>
      <c r="D235">
        <f t="shared" si="3"/>
        <v>6</v>
      </c>
    </row>
    <row r="236" spans="1:4">
      <c r="A236" s="2555" t="s">
        <v>7805</v>
      </c>
      <c r="B236" s="2556" t="s">
        <v>8079</v>
      </c>
      <c r="D236">
        <f t="shared" si="3"/>
        <v>6</v>
      </c>
    </row>
    <row r="237" spans="1:4">
      <c r="A237" s="2555" t="s">
        <v>7805</v>
      </c>
      <c r="B237" s="2556" t="s">
        <v>8080</v>
      </c>
      <c r="D237">
        <f t="shared" si="3"/>
        <v>6</v>
      </c>
    </row>
    <row r="238" spans="1:4">
      <c r="A238" s="2555" t="s">
        <v>7805</v>
      </c>
      <c r="B238" s="2556" t="s">
        <v>8081</v>
      </c>
      <c r="D238">
        <f t="shared" si="3"/>
        <v>6</v>
      </c>
    </row>
    <row r="239" spans="1:4">
      <c r="A239" s="2555" t="s">
        <v>7805</v>
      </c>
      <c r="B239" s="2556" t="s">
        <v>8082</v>
      </c>
      <c r="D239">
        <f t="shared" si="3"/>
        <v>6</v>
      </c>
    </row>
    <row r="240" spans="1:4">
      <c r="A240" s="2555" t="s">
        <v>7805</v>
      </c>
      <c r="B240" s="2556" t="s">
        <v>8083</v>
      </c>
      <c r="D240">
        <f t="shared" si="3"/>
        <v>6</v>
      </c>
    </row>
    <row r="241" spans="1:4">
      <c r="A241" s="2555" t="s">
        <v>7805</v>
      </c>
      <c r="B241" s="2556" t="s">
        <v>8084</v>
      </c>
      <c r="D241">
        <f t="shared" si="3"/>
        <v>6</v>
      </c>
    </row>
    <row r="242" spans="1:4">
      <c r="A242" s="2555" t="s">
        <v>7805</v>
      </c>
      <c r="B242" s="2556" t="s">
        <v>8085</v>
      </c>
      <c r="D242">
        <f t="shared" si="3"/>
        <v>6</v>
      </c>
    </row>
    <row r="243" spans="1:4">
      <c r="A243" s="2555" t="s">
        <v>7805</v>
      </c>
      <c r="B243" s="2556" t="s">
        <v>8086</v>
      </c>
      <c r="D243">
        <f t="shared" si="3"/>
        <v>6</v>
      </c>
    </row>
    <row r="244" spans="1:4">
      <c r="A244" s="2555" t="s">
        <v>7805</v>
      </c>
      <c r="B244" s="2556" t="s">
        <v>8087</v>
      </c>
      <c r="D244">
        <f t="shared" si="3"/>
        <v>6</v>
      </c>
    </row>
    <row r="245" spans="1:4">
      <c r="A245" s="2555" t="s">
        <v>7805</v>
      </c>
      <c r="B245" s="2556" t="s">
        <v>8088</v>
      </c>
      <c r="D245">
        <f t="shared" si="3"/>
        <v>6</v>
      </c>
    </row>
    <row r="246" spans="1:4">
      <c r="A246" s="2555" t="s">
        <v>7805</v>
      </c>
      <c r="B246" s="2556" t="s">
        <v>8089</v>
      </c>
      <c r="D246">
        <f t="shared" si="3"/>
        <v>6</v>
      </c>
    </row>
    <row r="247" spans="1:4">
      <c r="A247" s="2555" t="s">
        <v>7805</v>
      </c>
      <c r="B247" s="2556" t="s">
        <v>8090</v>
      </c>
      <c r="D247">
        <f t="shared" si="3"/>
        <v>6</v>
      </c>
    </row>
    <row r="248" spans="1:4">
      <c r="A248" s="2555" t="s">
        <v>7805</v>
      </c>
      <c r="B248" s="2556" t="s">
        <v>8091</v>
      </c>
      <c r="D248">
        <f t="shared" si="3"/>
        <v>6</v>
      </c>
    </row>
    <row r="249" spans="1:4">
      <c r="A249" s="2555" t="s">
        <v>7805</v>
      </c>
      <c r="B249" s="2556" t="s">
        <v>8092</v>
      </c>
      <c r="D249">
        <f t="shared" si="3"/>
        <v>6</v>
      </c>
    </row>
    <row r="250" spans="1:4">
      <c r="A250" s="2555" t="s">
        <v>7805</v>
      </c>
      <c r="B250" s="2556" t="s">
        <v>8093</v>
      </c>
      <c r="D250">
        <f t="shared" si="3"/>
        <v>6</v>
      </c>
    </row>
    <row r="251" spans="1:4">
      <c r="A251" s="2555" t="s">
        <v>7805</v>
      </c>
      <c r="B251" s="2556" t="s">
        <v>8094</v>
      </c>
      <c r="D251">
        <f t="shared" si="3"/>
        <v>6</v>
      </c>
    </row>
    <row r="252" spans="1:4">
      <c r="A252" s="2555" t="s">
        <v>7805</v>
      </c>
      <c r="B252" s="2556" t="s">
        <v>8095</v>
      </c>
      <c r="D252">
        <f t="shared" si="3"/>
        <v>6</v>
      </c>
    </row>
    <row r="253" spans="1:4">
      <c r="A253" s="2555" t="s">
        <v>7805</v>
      </c>
      <c r="B253" s="2556" t="s">
        <v>8096</v>
      </c>
      <c r="D253">
        <f t="shared" si="3"/>
        <v>6</v>
      </c>
    </row>
    <row r="254" spans="1:4">
      <c r="A254" s="2555" t="s">
        <v>7805</v>
      </c>
      <c r="B254" s="2556" t="s">
        <v>8097</v>
      </c>
      <c r="D254">
        <f t="shared" si="3"/>
        <v>6</v>
      </c>
    </row>
    <row r="255" spans="1:4">
      <c r="A255" s="2555" t="s">
        <v>7805</v>
      </c>
      <c r="B255" s="2556" t="s">
        <v>8098</v>
      </c>
      <c r="D255">
        <f t="shared" si="3"/>
        <v>6</v>
      </c>
    </row>
    <row r="256" spans="1:4">
      <c r="A256" s="2555" t="s">
        <v>7805</v>
      </c>
      <c r="B256" s="2556" t="s">
        <v>8099</v>
      </c>
      <c r="D256">
        <f t="shared" si="3"/>
        <v>6</v>
      </c>
    </row>
    <row r="257" spans="1:4">
      <c r="A257" s="2555" t="s">
        <v>7805</v>
      </c>
      <c r="B257" s="2556" t="s">
        <v>8100</v>
      </c>
      <c r="D257">
        <f t="shared" si="3"/>
        <v>6</v>
      </c>
    </row>
    <row r="258" spans="1:4">
      <c r="A258" s="2555" t="s">
        <v>7805</v>
      </c>
      <c r="B258" s="2556" t="s">
        <v>8101</v>
      </c>
      <c r="D258">
        <f t="shared" si="3"/>
        <v>6</v>
      </c>
    </row>
    <row r="259" spans="1:4">
      <c r="A259" s="2555" t="s">
        <v>7805</v>
      </c>
      <c r="B259" s="2556" t="s">
        <v>8102</v>
      </c>
      <c r="D259">
        <f t="shared" ref="D259:D322" si="4">MATCH(A259,$F$3:$F$49,0)</f>
        <v>6</v>
      </c>
    </row>
    <row r="260" spans="1:4">
      <c r="A260" s="2555" t="s">
        <v>7805</v>
      </c>
      <c r="B260" s="2556" t="s">
        <v>8103</v>
      </c>
      <c r="D260">
        <f t="shared" si="4"/>
        <v>6</v>
      </c>
    </row>
    <row r="261" spans="1:4">
      <c r="A261" s="2555" t="s">
        <v>7805</v>
      </c>
      <c r="B261" s="2556" t="s">
        <v>8104</v>
      </c>
      <c r="D261">
        <f t="shared" si="4"/>
        <v>6</v>
      </c>
    </row>
    <row r="262" spans="1:4">
      <c r="A262" s="2555" t="s">
        <v>7805</v>
      </c>
      <c r="B262" s="2556" t="s">
        <v>8105</v>
      </c>
      <c r="D262">
        <f t="shared" si="4"/>
        <v>6</v>
      </c>
    </row>
    <row r="263" spans="1:4">
      <c r="A263" s="2555" t="s">
        <v>7805</v>
      </c>
      <c r="B263" s="2556" t="s">
        <v>8106</v>
      </c>
      <c r="D263">
        <f t="shared" si="4"/>
        <v>6</v>
      </c>
    </row>
    <row r="264" spans="1:4">
      <c r="A264" s="2555" t="s">
        <v>7805</v>
      </c>
      <c r="B264" s="2556" t="s">
        <v>8107</v>
      </c>
      <c r="D264">
        <f t="shared" si="4"/>
        <v>6</v>
      </c>
    </row>
    <row r="265" spans="1:4">
      <c r="A265" s="2555" t="s">
        <v>7805</v>
      </c>
      <c r="B265" s="2556" t="s">
        <v>8108</v>
      </c>
      <c r="D265">
        <f t="shared" si="4"/>
        <v>6</v>
      </c>
    </row>
    <row r="266" spans="1:4">
      <c r="A266" s="2555" t="s">
        <v>7805</v>
      </c>
      <c r="B266" s="2556" t="s">
        <v>8109</v>
      </c>
      <c r="D266">
        <f t="shared" si="4"/>
        <v>6</v>
      </c>
    </row>
    <row r="267" spans="1:4">
      <c r="A267" s="2555" t="s">
        <v>7805</v>
      </c>
      <c r="B267" s="2556" t="s">
        <v>8110</v>
      </c>
      <c r="D267">
        <f t="shared" si="4"/>
        <v>6</v>
      </c>
    </row>
    <row r="268" spans="1:4">
      <c r="A268" s="2555" t="s">
        <v>7805</v>
      </c>
      <c r="B268" s="2556" t="s">
        <v>8111</v>
      </c>
      <c r="D268">
        <f t="shared" si="4"/>
        <v>6</v>
      </c>
    </row>
    <row r="269" spans="1:4">
      <c r="A269" s="2555" t="s">
        <v>7805</v>
      </c>
      <c r="B269" s="2556" t="s">
        <v>8112</v>
      </c>
      <c r="D269">
        <f t="shared" si="4"/>
        <v>6</v>
      </c>
    </row>
    <row r="270" spans="1:4">
      <c r="A270" s="2555" t="s">
        <v>7805</v>
      </c>
      <c r="B270" s="2556" t="s">
        <v>8113</v>
      </c>
      <c r="D270">
        <f t="shared" si="4"/>
        <v>6</v>
      </c>
    </row>
    <row r="271" spans="1:4">
      <c r="A271" s="2555" t="s">
        <v>7805</v>
      </c>
      <c r="B271" s="2556" t="s">
        <v>8114</v>
      </c>
      <c r="D271">
        <f t="shared" si="4"/>
        <v>6</v>
      </c>
    </row>
    <row r="272" spans="1:4">
      <c r="A272" s="2555" t="s">
        <v>7805</v>
      </c>
      <c r="B272" s="2556" t="s">
        <v>8115</v>
      </c>
      <c r="D272">
        <f t="shared" si="4"/>
        <v>6</v>
      </c>
    </row>
    <row r="273" spans="1:4">
      <c r="A273" s="2555" t="s">
        <v>7805</v>
      </c>
      <c r="B273" s="2556" t="s">
        <v>8116</v>
      </c>
      <c r="D273">
        <f t="shared" si="4"/>
        <v>6</v>
      </c>
    </row>
    <row r="274" spans="1:4">
      <c r="A274" s="2555" t="s">
        <v>7805</v>
      </c>
      <c r="B274" s="2556" t="s">
        <v>8117</v>
      </c>
      <c r="D274">
        <f t="shared" si="4"/>
        <v>6</v>
      </c>
    </row>
    <row r="275" spans="1:4">
      <c r="A275" s="2555" t="s">
        <v>7805</v>
      </c>
      <c r="B275" s="2556" t="s">
        <v>8118</v>
      </c>
      <c r="D275">
        <f t="shared" si="4"/>
        <v>6</v>
      </c>
    </row>
    <row r="276" spans="1:4">
      <c r="A276" s="2555" t="s">
        <v>7805</v>
      </c>
      <c r="B276" s="2556" t="s">
        <v>8119</v>
      </c>
      <c r="D276">
        <f t="shared" si="4"/>
        <v>6</v>
      </c>
    </row>
    <row r="277" spans="1:4">
      <c r="A277" s="2555" t="s">
        <v>7805</v>
      </c>
      <c r="B277" s="2556" t="s">
        <v>8120</v>
      </c>
      <c r="D277">
        <f t="shared" si="4"/>
        <v>6</v>
      </c>
    </row>
    <row r="278" spans="1:4">
      <c r="A278" s="2555" t="s">
        <v>7805</v>
      </c>
      <c r="B278" s="2556" t="s">
        <v>8121</v>
      </c>
      <c r="D278">
        <f t="shared" si="4"/>
        <v>6</v>
      </c>
    </row>
    <row r="279" spans="1:4">
      <c r="A279" s="2555" t="s">
        <v>7805</v>
      </c>
      <c r="B279" s="2556" t="s">
        <v>8122</v>
      </c>
      <c r="D279">
        <f t="shared" si="4"/>
        <v>6</v>
      </c>
    </row>
    <row r="280" spans="1:4">
      <c r="A280" s="2555" t="s">
        <v>7805</v>
      </c>
      <c r="B280" s="2556" t="s">
        <v>8123</v>
      </c>
      <c r="D280">
        <f t="shared" si="4"/>
        <v>6</v>
      </c>
    </row>
    <row r="281" spans="1:4">
      <c r="A281" s="2555" t="s">
        <v>7805</v>
      </c>
      <c r="B281" s="2556" t="s">
        <v>8124</v>
      </c>
      <c r="D281">
        <f t="shared" si="4"/>
        <v>6</v>
      </c>
    </row>
    <row r="282" spans="1:4">
      <c r="A282" s="2555" t="s">
        <v>7805</v>
      </c>
      <c r="B282" s="2556" t="s">
        <v>8125</v>
      </c>
      <c r="D282">
        <f t="shared" si="4"/>
        <v>6</v>
      </c>
    </row>
    <row r="283" spans="1:4">
      <c r="A283" s="2555" t="s">
        <v>7805</v>
      </c>
      <c r="B283" s="2556" t="s">
        <v>8126</v>
      </c>
      <c r="D283">
        <f t="shared" si="4"/>
        <v>6</v>
      </c>
    </row>
    <row r="284" spans="1:4">
      <c r="A284" s="2555" t="s">
        <v>7805</v>
      </c>
      <c r="B284" s="2556" t="s">
        <v>8127</v>
      </c>
      <c r="D284">
        <f t="shared" si="4"/>
        <v>6</v>
      </c>
    </row>
    <row r="285" spans="1:4">
      <c r="A285" s="2555" t="s">
        <v>7805</v>
      </c>
      <c r="B285" s="2556" t="s">
        <v>8128</v>
      </c>
      <c r="D285">
        <f t="shared" si="4"/>
        <v>6</v>
      </c>
    </row>
    <row r="286" spans="1:4">
      <c r="A286" s="2555" t="s">
        <v>7805</v>
      </c>
      <c r="B286" s="2556" t="s">
        <v>8129</v>
      </c>
      <c r="D286">
        <f t="shared" si="4"/>
        <v>6</v>
      </c>
    </row>
    <row r="287" spans="1:4">
      <c r="A287" s="2555" t="s">
        <v>7805</v>
      </c>
      <c r="B287" s="2556" t="s">
        <v>8130</v>
      </c>
      <c r="D287">
        <f t="shared" si="4"/>
        <v>6</v>
      </c>
    </row>
    <row r="288" spans="1:4">
      <c r="A288" s="2555" t="s">
        <v>7805</v>
      </c>
      <c r="B288" s="2556" t="s">
        <v>8131</v>
      </c>
      <c r="D288">
        <f t="shared" si="4"/>
        <v>6</v>
      </c>
    </row>
    <row r="289" spans="1:4">
      <c r="A289" s="2555" t="s">
        <v>7805</v>
      </c>
      <c r="B289" s="2556" t="s">
        <v>8132</v>
      </c>
      <c r="D289">
        <f t="shared" si="4"/>
        <v>6</v>
      </c>
    </row>
    <row r="290" spans="1:4">
      <c r="A290" s="2555" t="s">
        <v>7805</v>
      </c>
      <c r="B290" s="2556" t="s">
        <v>8133</v>
      </c>
      <c r="D290">
        <f t="shared" si="4"/>
        <v>6</v>
      </c>
    </row>
    <row r="291" spans="1:4">
      <c r="A291" s="2555" t="s">
        <v>7805</v>
      </c>
      <c r="B291" s="2556" t="s">
        <v>8134</v>
      </c>
      <c r="D291">
        <f t="shared" si="4"/>
        <v>6</v>
      </c>
    </row>
    <row r="292" spans="1:4">
      <c r="A292" s="2555" t="s">
        <v>7805</v>
      </c>
      <c r="B292" s="2556" t="s">
        <v>8135</v>
      </c>
      <c r="D292">
        <f t="shared" si="4"/>
        <v>6</v>
      </c>
    </row>
    <row r="293" spans="1:4">
      <c r="A293" s="2555" t="s">
        <v>7805</v>
      </c>
      <c r="B293" s="2556" t="s">
        <v>8136</v>
      </c>
      <c r="D293">
        <f t="shared" si="4"/>
        <v>6</v>
      </c>
    </row>
    <row r="294" spans="1:4">
      <c r="A294" s="2555" t="s">
        <v>7805</v>
      </c>
      <c r="B294" s="2556" t="s">
        <v>8137</v>
      </c>
      <c r="D294">
        <f t="shared" si="4"/>
        <v>6</v>
      </c>
    </row>
    <row r="295" spans="1:4">
      <c r="A295" s="2555" t="s">
        <v>7805</v>
      </c>
      <c r="B295" s="2556" t="s">
        <v>8138</v>
      </c>
      <c r="D295">
        <f t="shared" si="4"/>
        <v>6</v>
      </c>
    </row>
    <row r="296" spans="1:4">
      <c r="A296" s="2555" t="s">
        <v>7805</v>
      </c>
      <c r="B296" s="2556" t="s">
        <v>8139</v>
      </c>
      <c r="D296">
        <f t="shared" si="4"/>
        <v>6</v>
      </c>
    </row>
    <row r="297" spans="1:4">
      <c r="A297" s="2555" t="s">
        <v>7805</v>
      </c>
      <c r="B297" s="2556" t="s">
        <v>8140</v>
      </c>
      <c r="D297">
        <f t="shared" si="4"/>
        <v>6</v>
      </c>
    </row>
    <row r="298" spans="1:4">
      <c r="A298" s="2555" t="s">
        <v>7805</v>
      </c>
      <c r="B298" s="2556" t="s">
        <v>8141</v>
      </c>
      <c r="D298">
        <f t="shared" si="4"/>
        <v>6</v>
      </c>
    </row>
    <row r="299" spans="1:4">
      <c r="A299" s="2555" t="s">
        <v>7805</v>
      </c>
      <c r="B299" s="2556" t="s">
        <v>8142</v>
      </c>
      <c r="D299">
        <f t="shared" si="4"/>
        <v>6</v>
      </c>
    </row>
    <row r="300" spans="1:4">
      <c r="A300" s="2555" t="s">
        <v>7805</v>
      </c>
      <c r="B300" s="2556" t="s">
        <v>8143</v>
      </c>
      <c r="D300">
        <f t="shared" si="4"/>
        <v>6</v>
      </c>
    </row>
    <row r="301" spans="1:4">
      <c r="A301" s="2555" t="s">
        <v>7805</v>
      </c>
      <c r="B301" s="2556" t="s">
        <v>8144</v>
      </c>
      <c r="D301">
        <f t="shared" si="4"/>
        <v>6</v>
      </c>
    </row>
    <row r="302" spans="1:4">
      <c r="A302" s="2555" t="s">
        <v>7805</v>
      </c>
      <c r="B302" s="2556" t="s">
        <v>8145</v>
      </c>
      <c r="D302">
        <f t="shared" si="4"/>
        <v>6</v>
      </c>
    </row>
    <row r="303" spans="1:4">
      <c r="A303" s="2555" t="s">
        <v>7805</v>
      </c>
      <c r="B303" s="2556" t="s">
        <v>8146</v>
      </c>
      <c r="D303">
        <f t="shared" si="4"/>
        <v>6</v>
      </c>
    </row>
    <row r="304" spans="1:4">
      <c r="A304" s="2555" t="s">
        <v>7805</v>
      </c>
      <c r="B304" s="2556" t="s">
        <v>8147</v>
      </c>
      <c r="D304">
        <f t="shared" si="4"/>
        <v>6</v>
      </c>
    </row>
    <row r="305" spans="1:4">
      <c r="A305" s="2555" t="s">
        <v>7805</v>
      </c>
      <c r="B305" s="2556" t="s">
        <v>8148</v>
      </c>
      <c r="D305">
        <f t="shared" si="4"/>
        <v>6</v>
      </c>
    </row>
    <row r="306" spans="1:4">
      <c r="A306" s="2555" t="s">
        <v>7805</v>
      </c>
      <c r="B306" s="2556" t="s">
        <v>8149</v>
      </c>
      <c r="D306">
        <f t="shared" si="4"/>
        <v>6</v>
      </c>
    </row>
    <row r="307" spans="1:4">
      <c r="A307" s="2555" t="s">
        <v>7805</v>
      </c>
      <c r="B307" s="2556" t="s">
        <v>8150</v>
      </c>
      <c r="D307">
        <f t="shared" si="4"/>
        <v>6</v>
      </c>
    </row>
    <row r="308" spans="1:4">
      <c r="A308" s="2555" t="s">
        <v>7805</v>
      </c>
      <c r="B308" s="2556" t="s">
        <v>8151</v>
      </c>
      <c r="D308">
        <f t="shared" si="4"/>
        <v>6</v>
      </c>
    </row>
    <row r="309" spans="1:4">
      <c r="A309" s="2555" t="s">
        <v>7805</v>
      </c>
      <c r="B309" s="2556" t="s">
        <v>8152</v>
      </c>
      <c r="D309">
        <f t="shared" si="4"/>
        <v>6</v>
      </c>
    </row>
    <row r="310" spans="1:4">
      <c r="A310" s="2555" t="s">
        <v>7805</v>
      </c>
      <c r="B310" s="2556" t="s">
        <v>8153</v>
      </c>
      <c r="D310">
        <f t="shared" si="4"/>
        <v>6</v>
      </c>
    </row>
    <row r="311" spans="1:4">
      <c r="A311" s="2555" t="s">
        <v>7805</v>
      </c>
      <c r="B311" s="2556" t="s">
        <v>8154</v>
      </c>
      <c r="D311">
        <f t="shared" si="4"/>
        <v>6</v>
      </c>
    </row>
    <row r="312" spans="1:4">
      <c r="A312" s="2555" t="s">
        <v>7805</v>
      </c>
      <c r="B312" s="2556" t="s">
        <v>8155</v>
      </c>
      <c r="D312">
        <f t="shared" si="4"/>
        <v>6</v>
      </c>
    </row>
    <row r="313" spans="1:4">
      <c r="A313" s="2555" t="s">
        <v>7805</v>
      </c>
      <c r="B313" s="2556" t="s">
        <v>8156</v>
      </c>
      <c r="D313">
        <f t="shared" si="4"/>
        <v>6</v>
      </c>
    </row>
    <row r="314" spans="1:4">
      <c r="A314" s="2555" t="s">
        <v>7805</v>
      </c>
      <c r="B314" s="2556" t="s">
        <v>8157</v>
      </c>
      <c r="D314">
        <f t="shared" si="4"/>
        <v>6</v>
      </c>
    </row>
    <row r="315" spans="1:4">
      <c r="A315" s="2555" t="s">
        <v>7805</v>
      </c>
      <c r="B315" s="2556" t="s">
        <v>8158</v>
      </c>
      <c r="D315">
        <f t="shared" si="4"/>
        <v>6</v>
      </c>
    </row>
    <row r="316" spans="1:4">
      <c r="A316" s="2555" t="s">
        <v>7805</v>
      </c>
      <c r="B316" s="2556" t="s">
        <v>8159</v>
      </c>
      <c r="D316">
        <f t="shared" si="4"/>
        <v>6</v>
      </c>
    </row>
    <row r="317" spans="1:4">
      <c r="A317" s="2555" t="s">
        <v>7805</v>
      </c>
      <c r="B317" s="2556" t="s">
        <v>8160</v>
      </c>
      <c r="D317">
        <f t="shared" si="4"/>
        <v>6</v>
      </c>
    </row>
    <row r="318" spans="1:4">
      <c r="A318" s="2555" t="s">
        <v>7805</v>
      </c>
      <c r="B318" s="2556" t="s">
        <v>8161</v>
      </c>
      <c r="D318">
        <f t="shared" si="4"/>
        <v>6</v>
      </c>
    </row>
    <row r="319" spans="1:4">
      <c r="A319" s="2555" t="s">
        <v>7805</v>
      </c>
      <c r="B319" s="2556" t="s">
        <v>8162</v>
      </c>
      <c r="D319">
        <f t="shared" si="4"/>
        <v>6</v>
      </c>
    </row>
    <row r="320" spans="1:4">
      <c r="A320" s="2555" t="s">
        <v>7805</v>
      </c>
      <c r="B320" s="2556" t="s">
        <v>8163</v>
      </c>
      <c r="D320">
        <f t="shared" si="4"/>
        <v>6</v>
      </c>
    </row>
    <row r="321" spans="1:4">
      <c r="A321" s="2555" t="s">
        <v>7805</v>
      </c>
      <c r="B321" s="2556" t="s">
        <v>8164</v>
      </c>
      <c r="D321">
        <f t="shared" si="4"/>
        <v>6</v>
      </c>
    </row>
    <row r="322" spans="1:4">
      <c r="A322" s="2555" t="s">
        <v>7805</v>
      </c>
      <c r="B322" s="2556" t="s">
        <v>8165</v>
      </c>
      <c r="D322">
        <f t="shared" si="4"/>
        <v>6</v>
      </c>
    </row>
    <row r="323" spans="1:4">
      <c r="A323" s="2555" t="s">
        <v>7805</v>
      </c>
      <c r="B323" s="2556" t="s">
        <v>8166</v>
      </c>
      <c r="D323">
        <f t="shared" ref="D323:D386" si="5">MATCH(A323,$F$3:$F$49,0)</f>
        <v>6</v>
      </c>
    </row>
    <row r="324" spans="1:4">
      <c r="A324" s="2555" t="s">
        <v>7805</v>
      </c>
      <c r="B324" s="2556" t="s">
        <v>8167</v>
      </c>
      <c r="D324">
        <f t="shared" si="5"/>
        <v>6</v>
      </c>
    </row>
    <row r="325" spans="1:4">
      <c r="A325" s="2555" t="s">
        <v>7805</v>
      </c>
      <c r="B325" s="2556" t="s">
        <v>8168</v>
      </c>
      <c r="D325">
        <f t="shared" si="5"/>
        <v>6</v>
      </c>
    </row>
    <row r="326" spans="1:4">
      <c r="A326" s="2555" t="s">
        <v>7805</v>
      </c>
      <c r="B326" s="2556" t="s">
        <v>8169</v>
      </c>
      <c r="D326">
        <f t="shared" si="5"/>
        <v>6</v>
      </c>
    </row>
    <row r="327" spans="1:4">
      <c r="A327" s="2555" t="s">
        <v>7805</v>
      </c>
      <c r="B327" s="2556" t="s">
        <v>8170</v>
      </c>
      <c r="D327">
        <f t="shared" si="5"/>
        <v>6</v>
      </c>
    </row>
    <row r="328" spans="1:4">
      <c r="A328" s="2555" t="s">
        <v>7805</v>
      </c>
      <c r="B328" s="2556" t="s">
        <v>8171</v>
      </c>
      <c r="D328">
        <f t="shared" si="5"/>
        <v>6</v>
      </c>
    </row>
    <row r="329" spans="1:4">
      <c r="A329" s="2555" t="s">
        <v>7805</v>
      </c>
      <c r="B329" s="2556" t="s">
        <v>8172</v>
      </c>
      <c r="D329">
        <f t="shared" si="5"/>
        <v>6</v>
      </c>
    </row>
    <row r="330" spans="1:4">
      <c r="A330" s="2555" t="s">
        <v>7805</v>
      </c>
      <c r="B330" s="2556" t="s">
        <v>8173</v>
      </c>
      <c r="D330">
        <f t="shared" si="5"/>
        <v>6</v>
      </c>
    </row>
    <row r="331" spans="1:4">
      <c r="A331" s="2555" t="s">
        <v>7805</v>
      </c>
      <c r="B331" s="2556" t="s">
        <v>8174</v>
      </c>
      <c r="D331">
        <f t="shared" si="5"/>
        <v>6</v>
      </c>
    </row>
    <row r="332" spans="1:4">
      <c r="A332" s="2555" t="s">
        <v>7805</v>
      </c>
      <c r="B332" s="2556" t="s">
        <v>8175</v>
      </c>
      <c r="D332">
        <f t="shared" si="5"/>
        <v>6</v>
      </c>
    </row>
    <row r="333" spans="1:4">
      <c r="A333" s="2555" t="s">
        <v>7805</v>
      </c>
      <c r="B333" s="2556" t="s">
        <v>8176</v>
      </c>
      <c r="D333">
        <f t="shared" si="5"/>
        <v>6</v>
      </c>
    </row>
    <row r="334" spans="1:4">
      <c r="A334" s="2555" t="s">
        <v>7805</v>
      </c>
      <c r="B334" s="2556" t="s">
        <v>8177</v>
      </c>
      <c r="D334">
        <f t="shared" si="5"/>
        <v>6</v>
      </c>
    </row>
    <row r="335" spans="1:4">
      <c r="A335" s="2555" t="s">
        <v>7805</v>
      </c>
      <c r="B335" s="2556" t="s">
        <v>8178</v>
      </c>
      <c r="D335">
        <f t="shared" si="5"/>
        <v>6</v>
      </c>
    </row>
    <row r="336" spans="1:4">
      <c r="A336" s="2555" t="s">
        <v>7805</v>
      </c>
      <c r="B336" s="2556" t="s">
        <v>8179</v>
      </c>
      <c r="D336">
        <f t="shared" si="5"/>
        <v>6</v>
      </c>
    </row>
    <row r="337" spans="1:4">
      <c r="A337" s="2555" t="s">
        <v>7805</v>
      </c>
      <c r="B337" s="2556" t="s">
        <v>8180</v>
      </c>
      <c r="D337">
        <f t="shared" si="5"/>
        <v>6</v>
      </c>
    </row>
    <row r="338" spans="1:4">
      <c r="A338" s="2555" t="s">
        <v>7805</v>
      </c>
      <c r="B338" s="2556" t="s">
        <v>8181</v>
      </c>
      <c r="D338">
        <f t="shared" si="5"/>
        <v>6</v>
      </c>
    </row>
    <row r="339" spans="1:4">
      <c r="A339" s="2555" t="s">
        <v>7805</v>
      </c>
      <c r="B339" s="2556" t="s">
        <v>8182</v>
      </c>
      <c r="D339">
        <f t="shared" si="5"/>
        <v>6</v>
      </c>
    </row>
    <row r="340" spans="1:4">
      <c r="A340" s="2555" t="s">
        <v>7805</v>
      </c>
      <c r="B340" s="2556" t="s">
        <v>8183</v>
      </c>
      <c r="D340">
        <f t="shared" si="5"/>
        <v>6</v>
      </c>
    </row>
    <row r="341" spans="1:4">
      <c r="A341" s="2555" t="s">
        <v>7805</v>
      </c>
      <c r="B341" s="2556" t="s">
        <v>8184</v>
      </c>
      <c r="D341">
        <f t="shared" si="5"/>
        <v>6</v>
      </c>
    </row>
    <row r="342" spans="1:4">
      <c r="A342" s="2555" t="s">
        <v>7805</v>
      </c>
      <c r="B342" s="2556" t="s">
        <v>8185</v>
      </c>
      <c r="D342">
        <f t="shared" si="5"/>
        <v>6</v>
      </c>
    </row>
    <row r="343" spans="1:4">
      <c r="A343" s="2555" t="s">
        <v>7805</v>
      </c>
      <c r="B343" s="2556" t="s">
        <v>8186</v>
      </c>
      <c r="D343">
        <f t="shared" si="5"/>
        <v>6</v>
      </c>
    </row>
    <row r="344" spans="1:4">
      <c r="A344" s="2555" t="s">
        <v>7805</v>
      </c>
      <c r="B344" s="2556" t="s">
        <v>8187</v>
      </c>
      <c r="D344">
        <f t="shared" si="5"/>
        <v>6</v>
      </c>
    </row>
    <row r="345" spans="1:4">
      <c r="A345" s="2555" t="s">
        <v>7805</v>
      </c>
      <c r="B345" s="2556" t="s">
        <v>8188</v>
      </c>
      <c r="D345">
        <f t="shared" si="5"/>
        <v>6</v>
      </c>
    </row>
    <row r="346" spans="1:4">
      <c r="A346" s="2555" t="s">
        <v>7805</v>
      </c>
      <c r="B346" s="2556" t="s">
        <v>8189</v>
      </c>
      <c r="D346">
        <f t="shared" si="5"/>
        <v>6</v>
      </c>
    </row>
    <row r="347" spans="1:4">
      <c r="A347" s="2555" t="s">
        <v>7805</v>
      </c>
      <c r="B347" s="2556" t="s">
        <v>8190</v>
      </c>
      <c r="D347">
        <f t="shared" si="5"/>
        <v>6</v>
      </c>
    </row>
    <row r="348" spans="1:4">
      <c r="A348" s="2555" t="s">
        <v>7805</v>
      </c>
      <c r="B348" s="2556" t="s">
        <v>8191</v>
      </c>
      <c r="D348">
        <f t="shared" si="5"/>
        <v>6</v>
      </c>
    </row>
    <row r="349" spans="1:4">
      <c r="A349" s="2555" t="s">
        <v>7805</v>
      </c>
      <c r="B349" s="2556" t="s">
        <v>8192</v>
      </c>
      <c r="D349">
        <f t="shared" si="5"/>
        <v>6</v>
      </c>
    </row>
    <row r="350" spans="1:4">
      <c r="A350" s="2555" t="s">
        <v>7805</v>
      </c>
      <c r="B350" s="2556" t="s">
        <v>8193</v>
      </c>
      <c r="D350">
        <f t="shared" si="5"/>
        <v>6</v>
      </c>
    </row>
    <row r="351" spans="1:4">
      <c r="A351" s="2555" t="s">
        <v>7805</v>
      </c>
      <c r="B351" s="2556" t="s">
        <v>8194</v>
      </c>
      <c r="D351">
        <f t="shared" si="5"/>
        <v>6</v>
      </c>
    </row>
    <row r="352" spans="1:4">
      <c r="A352" s="2555" t="s">
        <v>7805</v>
      </c>
      <c r="B352" s="2556" t="s">
        <v>8195</v>
      </c>
      <c r="D352">
        <f t="shared" si="5"/>
        <v>6</v>
      </c>
    </row>
    <row r="353" spans="1:4">
      <c r="A353" s="2555" t="s">
        <v>7805</v>
      </c>
      <c r="B353" s="2556" t="s">
        <v>8196</v>
      </c>
      <c r="D353">
        <f t="shared" si="5"/>
        <v>6</v>
      </c>
    </row>
    <row r="354" spans="1:4">
      <c r="A354" s="2555" t="s">
        <v>7805</v>
      </c>
      <c r="B354" s="2556" t="s">
        <v>8197</v>
      </c>
      <c r="D354">
        <f t="shared" si="5"/>
        <v>6</v>
      </c>
    </row>
    <row r="355" spans="1:4">
      <c r="A355" s="2555" t="s">
        <v>7805</v>
      </c>
      <c r="B355" s="2556" t="s">
        <v>8198</v>
      </c>
      <c r="D355">
        <f t="shared" si="5"/>
        <v>6</v>
      </c>
    </row>
    <row r="356" spans="1:4">
      <c r="A356" s="2555" t="s">
        <v>7805</v>
      </c>
      <c r="B356" s="2556" t="s">
        <v>8199</v>
      </c>
      <c r="D356">
        <f t="shared" si="5"/>
        <v>6</v>
      </c>
    </row>
    <row r="357" spans="1:4">
      <c r="A357" s="2555" t="s">
        <v>7805</v>
      </c>
      <c r="B357" s="2556" t="s">
        <v>8200</v>
      </c>
      <c r="D357">
        <f t="shared" si="5"/>
        <v>6</v>
      </c>
    </row>
    <row r="358" spans="1:4">
      <c r="A358" s="2555" t="s">
        <v>7805</v>
      </c>
      <c r="B358" s="2556" t="s">
        <v>8201</v>
      </c>
      <c r="D358">
        <f t="shared" si="5"/>
        <v>6</v>
      </c>
    </row>
    <row r="359" spans="1:4">
      <c r="A359" s="2555" t="s">
        <v>7805</v>
      </c>
      <c r="B359" s="2556" t="s">
        <v>8202</v>
      </c>
      <c r="D359">
        <f t="shared" si="5"/>
        <v>6</v>
      </c>
    </row>
    <row r="360" spans="1:4">
      <c r="A360" s="2555" t="s">
        <v>7805</v>
      </c>
      <c r="B360" s="2556" t="s">
        <v>8203</v>
      </c>
      <c r="D360">
        <f t="shared" si="5"/>
        <v>6</v>
      </c>
    </row>
    <row r="361" spans="1:4">
      <c r="A361" s="2555" t="s">
        <v>7805</v>
      </c>
      <c r="B361" s="2556" t="s">
        <v>8204</v>
      </c>
      <c r="D361">
        <f t="shared" si="5"/>
        <v>6</v>
      </c>
    </row>
    <row r="362" spans="1:4">
      <c r="A362" s="2555" t="s">
        <v>7805</v>
      </c>
      <c r="B362" s="2556" t="s">
        <v>8205</v>
      </c>
      <c r="D362">
        <f t="shared" si="5"/>
        <v>6</v>
      </c>
    </row>
    <row r="363" spans="1:4">
      <c r="A363" s="2555" t="s">
        <v>7805</v>
      </c>
      <c r="B363" s="2556" t="s">
        <v>8206</v>
      </c>
      <c r="D363">
        <f t="shared" si="5"/>
        <v>6</v>
      </c>
    </row>
    <row r="364" spans="1:4">
      <c r="A364" s="2555" t="s">
        <v>7805</v>
      </c>
      <c r="B364" s="2556" t="s">
        <v>1323</v>
      </c>
      <c r="D364">
        <f t="shared" si="5"/>
        <v>6</v>
      </c>
    </row>
    <row r="365" spans="1:4">
      <c r="A365" s="2555" t="s">
        <v>7805</v>
      </c>
      <c r="B365" s="2556" t="s">
        <v>8207</v>
      </c>
      <c r="D365">
        <f t="shared" si="5"/>
        <v>6</v>
      </c>
    </row>
    <row r="366" spans="1:4">
      <c r="A366" s="2555" t="s">
        <v>7805</v>
      </c>
      <c r="B366" s="2556" t="s">
        <v>8208</v>
      </c>
      <c r="D366">
        <f t="shared" si="5"/>
        <v>6</v>
      </c>
    </row>
    <row r="367" spans="1:4">
      <c r="A367" s="2555" t="s">
        <v>7805</v>
      </c>
      <c r="B367" s="2556" t="s">
        <v>8209</v>
      </c>
      <c r="D367">
        <f t="shared" si="5"/>
        <v>6</v>
      </c>
    </row>
    <row r="368" spans="1:4">
      <c r="A368" s="2555" t="s">
        <v>7805</v>
      </c>
      <c r="B368" s="2556" t="s">
        <v>8210</v>
      </c>
      <c r="D368">
        <f t="shared" si="5"/>
        <v>6</v>
      </c>
    </row>
    <row r="369" spans="1:4">
      <c r="A369" s="2555" t="s">
        <v>7805</v>
      </c>
      <c r="B369" s="2556" t="s">
        <v>8211</v>
      </c>
      <c r="D369">
        <f t="shared" si="5"/>
        <v>6</v>
      </c>
    </row>
    <row r="370" spans="1:4">
      <c r="A370" s="2555" t="s">
        <v>7805</v>
      </c>
      <c r="B370" s="2556" t="s">
        <v>8212</v>
      </c>
      <c r="D370">
        <f t="shared" si="5"/>
        <v>6</v>
      </c>
    </row>
    <row r="371" spans="1:4">
      <c r="A371" s="2555" t="s">
        <v>7805</v>
      </c>
      <c r="B371" s="2556" t="s">
        <v>8213</v>
      </c>
      <c r="D371">
        <f t="shared" si="5"/>
        <v>6</v>
      </c>
    </row>
    <row r="372" spans="1:4">
      <c r="A372" s="2555" t="s">
        <v>7805</v>
      </c>
      <c r="B372" s="2556" t="s">
        <v>8214</v>
      </c>
      <c r="D372">
        <f t="shared" si="5"/>
        <v>6</v>
      </c>
    </row>
    <row r="373" spans="1:4">
      <c r="A373" s="2555" t="s">
        <v>7805</v>
      </c>
      <c r="B373" s="2556" t="s">
        <v>8215</v>
      </c>
      <c r="D373">
        <f t="shared" si="5"/>
        <v>6</v>
      </c>
    </row>
    <row r="374" spans="1:4">
      <c r="A374" s="2555" t="s">
        <v>7805</v>
      </c>
      <c r="B374" s="2556" t="s">
        <v>8216</v>
      </c>
      <c r="D374">
        <f t="shared" si="5"/>
        <v>6</v>
      </c>
    </row>
    <row r="375" spans="1:4">
      <c r="A375" s="2555" t="s">
        <v>7805</v>
      </c>
      <c r="B375" s="2556" t="s">
        <v>8217</v>
      </c>
      <c r="D375">
        <f t="shared" si="5"/>
        <v>6</v>
      </c>
    </row>
    <row r="376" spans="1:4">
      <c r="A376" s="2555" t="s">
        <v>7805</v>
      </c>
      <c r="B376" s="2556" t="s">
        <v>8218</v>
      </c>
      <c r="D376">
        <f t="shared" si="5"/>
        <v>6</v>
      </c>
    </row>
    <row r="377" spans="1:4">
      <c r="A377" s="2555" t="s">
        <v>7805</v>
      </c>
      <c r="B377" s="2556" t="s">
        <v>8219</v>
      </c>
      <c r="D377">
        <f t="shared" si="5"/>
        <v>6</v>
      </c>
    </row>
    <row r="378" spans="1:4">
      <c r="A378" s="2555" t="s">
        <v>7805</v>
      </c>
      <c r="B378" s="2556" t="s">
        <v>8220</v>
      </c>
      <c r="D378">
        <f t="shared" si="5"/>
        <v>6</v>
      </c>
    </row>
    <row r="379" spans="1:4">
      <c r="A379" s="2555" t="s">
        <v>7805</v>
      </c>
      <c r="B379" s="2556" t="s">
        <v>8221</v>
      </c>
      <c r="D379">
        <f t="shared" si="5"/>
        <v>6</v>
      </c>
    </row>
    <row r="380" spans="1:4">
      <c r="A380" s="2555" t="s">
        <v>7805</v>
      </c>
      <c r="B380" s="2556" t="s">
        <v>8222</v>
      </c>
      <c r="D380">
        <f t="shared" si="5"/>
        <v>6</v>
      </c>
    </row>
    <row r="381" spans="1:4">
      <c r="A381" s="2555" t="s">
        <v>7805</v>
      </c>
      <c r="B381" s="2556" t="s">
        <v>8223</v>
      </c>
      <c r="D381">
        <f t="shared" si="5"/>
        <v>6</v>
      </c>
    </row>
    <row r="382" spans="1:4">
      <c r="A382" s="2555" t="s">
        <v>7805</v>
      </c>
      <c r="B382" s="2556" t="s">
        <v>8224</v>
      </c>
      <c r="D382">
        <f t="shared" si="5"/>
        <v>6</v>
      </c>
    </row>
    <row r="383" spans="1:4">
      <c r="A383" s="2555" t="s">
        <v>7805</v>
      </c>
      <c r="B383" s="2556" t="s">
        <v>8225</v>
      </c>
      <c r="D383">
        <f t="shared" si="5"/>
        <v>6</v>
      </c>
    </row>
    <row r="384" spans="1:4">
      <c r="A384" s="2555" t="s">
        <v>7805</v>
      </c>
      <c r="B384" s="2556" t="s">
        <v>8226</v>
      </c>
      <c r="D384">
        <f t="shared" si="5"/>
        <v>6</v>
      </c>
    </row>
    <row r="385" spans="1:4">
      <c r="A385" s="2555" t="s">
        <v>7805</v>
      </c>
      <c r="B385" s="2556" t="s">
        <v>8227</v>
      </c>
      <c r="D385">
        <f t="shared" si="5"/>
        <v>6</v>
      </c>
    </row>
    <row r="386" spans="1:4">
      <c r="A386" s="2555" t="s">
        <v>7805</v>
      </c>
      <c r="B386" s="2556" t="s">
        <v>8228</v>
      </c>
      <c r="D386">
        <f t="shared" si="5"/>
        <v>6</v>
      </c>
    </row>
    <row r="387" spans="1:4">
      <c r="A387" s="2555" t="s">
        <v>7805</v>
      </c>
      <c r="B387" s="2556" t="s">
        <v>8229</v>
      </c>
      <c r="D387">
        <f t="shared" ref="D387:D450" si="6">MATCH(A387,$F$3:$F$49,0)</f>
        <v>6</v>
      </c>
    </row>
    <row r="388" spans="1:4">
      <c r="A388" s="2555" t="s">
        <v>7805</v>
      </c>
      <c r="B388" s="2556" t="s">
        <v>8230</v>
      </c>
      <c r="D388">
        <f t="shared" si="6"/>
        <v>6</v>
      </c>
    </row>
    <row r="389" spans="1:4">
      <c r="A389" s="2555" t="s">
        <v>7805</v>
      </c>
      <c r="B389" s="2556" t="s">
        <v>8231</v>
      </c>
      <c r="D389">
        <f t="shared" si="6"/>
        <v>6</v>
      </c>
    </row>
    <row r="390" spans="1:4">
      <c r="A390" s="2555" t="s">
        <v>7805</v>
      </c>
      <c r="B390" s="2556" t="s">
        <v>8232</v>
      </c>
      <c r="D390">
        <f t="shared" si="6"/>
        <v>6</v>
      </c>
    </row>
    <row r="391" spans="1:4">
      <c r="A391" s="2555" t="s">
        <v>7805</v>
      </c>
      <c r="B391" s="2556" t="s">
        <v>8233</v>
      </c>
      <c r="D391">
        <f t="shared" si="6"/>
        <v>6</v>
      </c>
    </row>
    <row r="392" spans="1:4">
      <c r="A392" s="2555" t="s">
        <v>7805</v>
      </c>
      <c r="B392" s="2556" t="s">
        <v>8234</v>
      </c>
      <c r="D392">
        <f t="shared" si="6"/>
        <v>6</v>
      </c>
    </row>
    <row r="393" spans="1:4">
      <c r="A393" s="2555" t="s">
        <v>7805</v>
      </c>
      <c r="B393" s="2556" t="s">
        <v>8235</v>
      </c>
      <c r="D393">
        <f t="shared" si="6"/>
        <v>6</v>
      </c>
    </row>
    <row r="394" spans="1:4">
      <c r="A394" s="2555" t="s">
        <v>7805</v>
      </c>
      <c r="B394" s="2556" t="s">
        <v>8236</v>
      </c>
      <c r="D394">
        <f t="shared" si="6"/>
        <v>6</v>
      </c>
    </row>
    <row r="395" spans="1:4">
      <c r="A395" s="2555" t="s">
        <v>7805</v>
      </c>
      <c r="B395" s="2556" t="s">
        <v>8237</v>
      </c>
      <c r="D395">
        <f t="shared" si="6"/>
        <v>6</v>
      </c>
    </row>
    <row r="396" spans="1:4">
      <c r="A396" s="2555" t="s">
        <v>7805</v>
      </c>
      <c r="B396" s="2556" t="s">
        <v>8238</v>
      </c>
      <c r="D396">
        <f t="shared" si="6"/>
        <v>6</v>
      </c>
    </row>
    <row r="397" spans="1:4">
      <c r="A397" s="2555" t="s">
        <v>7805</v>
      </c>
      <c r="B397" s="2556" t="s">
        <v>8239</v>
      </c>
      <c r="D397">
        <f t="shared" si="6"/>
        <v>6</v>
      </c>
    </row>
    <row r="398" spans="1:4">
      <c r="A398" s="2555" t="s">
        <v>7805</v>
      </c>
      <c r="B398" s="2556" t="s">
        <v>8240</v>
      </c>
      <c r="D398">
        <f t="shared" si="6"/>
        <v>6</v>
      </c>
    </row>
    <row r="399" spans="1:4">
      <c r="A399" s="2555" t="s">
        <v>7805</v>
      </c>
      <c r="B399" s="2556" t="s">
        <v>8241</v>
      </c>
      <c r="D399">
        <f t="shared" si="6"/>
        <v>6</v>
      </c>
    </row>
    <row r="400" spans="1:4">
      <c r="A400" s="2555" t="s">
        <v>7805</v>
      </c>
      <c r="B400" s="2556" t="s">
        <v>8242</v>
      </c>
      <c r="D400">
        <f t="shared" si="6"/>
        <v>6</v>
      </c>
    </row>
    <row r="401" spans="1:4">
      <c r="A401" s="2555" t="s">
        <v>7805</v>
      </c>
      <c r="B401" s="2556" t="s">
        <v>8243</v>
      </c>
      <c r="D401">
        <f t="shared" si="6"/>
        <v>6</v>
      </c>
    </row>
    <row r="402" spans="1:4">
      <c r="A402" s="2555" t="s">
        <v>7805</v>
      </c>
      <c r="B402" s="2556" t="s">
        <v>8244</v>
      </c>
      <c r="D402">
        <f t="shared" si="6"/>
        <v>6</v>
      </c>
    </row>
    <row r="403" spans="1:4">
      <c r="A403" s="2555" t="s">
        <v>7805</v>
      </c>
      <c r="B403" s="2556" t="s">
        <v>8245</v>
      </c>
      <c r="D403">
        <f t="shared" si="6"/>
        <v>6</v>
      </c>
    </row>
    <row r="404" spans="1:4">
      <c r="A404" s="2555" t="s">
        <v>7805</v>
      </c>
      <c r="B404" s="2556" t="s">
        <v>8246</v>
      </c>
      <c r="D404">
        <f t="shared" si="6"/>
        <v>6</v>
      </c>
    </row>
    <row r="405" spans="1:4">
      <c r="A405" s="2555" t="s">
        <v>7805</v>
      </c>
      <c r="B405" s="2556" t="s">
        <v>8247</v>
      </c>
      <c r="D405">
        <f t="shared" si="6"/>
        <v>6</v>
      </c>
    </row>
    <row r="406" spans="1:4">
      <c r="A406" s="2555" t="s">
        <v>7805</v>
      </c>
      <c r="B406" s="2556" t="s">
        <v>8248</v>
      </c>
      <c r="D406">
        <f t="shared" si="6"/>
        <v>6</v>
      </c>
    </row>
    <row r="407" spans="1:4">
      <c r="A407" s="2555" t="s">
        <v>7805</v>
      </c>
      <c r="B407" s="2556" t="s">
        <v>8249</v>
      </c>
      <c r="D407">
        <f t="shared" si="6"/>
        <v>6</v>
      </c>
    </row>
    <row r="408" spans="1:4">
      <c r="A408" s="2555" t="s">
        <v>7805</v>
      </c>
      <c r="B408" s="2556" t="s">
        <v>8250</v>
      </c>
      <c r="D408">
        <f t="shared" si="6"/>
        <v>6</v>
      </c>
    </row>
    <row r="409" spans="1:4">
      <c r="A409" s="2555" t="s">
        <v>7805</v>
      </c>
      <c r="B409" s="2556" t="s">
        <v>8251</v>
      </c>
      <c r="D409">
        <f t="shared" si="6"/>
        <v>6</v>
      </c>
    </row>
    <row r="410" spans="1:4">
      <c r="A410" s="2555" t="s">
        <v>7805</v>
      </c>
      <c r="B410" s="2556" t="s">
        <v>8252</v>
      </c>
      <c r="D410">
        <f t="shared" si="6"/>
        <v>6</v>
      </c>
    </row>
    <row r="411" spans="1:4">
      <c r="A411" s="2555" t="s">
        <v>7805</v>
      </c>
      <c r="B411" s="2556" t="s">
        <v>8253</v>
      </c>
      <c r="D411">
        <f t="shared" si="6"/>
        <v>6</v>
      </c>
    </row>
    <row r="412" spans="1:4">
      <c r="A412" s="2555" t="s">
        <v>7805</v>
      </c>
      <c r="B412" s="2556" t="s">
        <v>8254</v>
      </c>
      <c r="D412">
        <f t="shared" si="6"/>
        <v>6</v>
      </c>
    </row>
    <row r="413" spans="1:4">
      <c r="A413" s="2555" t="s">
        <v>7805</v>
      </c>
      <c r="B413" s="2556" t="s">
        <v>8255</v>
      </c>
      <c r="D413">
        <f t="shared" si="6"/>
        <v>6</v>
      </c>
    </row>
    <row r="414" spans="1:4">
      <c r="A414" s="2555" t="s">
        <v>7805</v>
      </c>
      <c r="B414" s="2556" t="s">
        <v>8256</v>
      </c>
      <c r="D414">
        <f t="shared" si="6"/>
        <v>6</v>
      </c>
    </row>
    <row r="415" spans="1:4">
      <c r="A415" s="2555" t="s">
        <v>7805</v>
      </c>
      <c r="B415" s="2556" t="s">
        <v>8257</v>
      </c>
      <c r="D415">
        <f t="shared" si="6"/>
        <v>6</v>
      </c>
    </row>
    <row r="416" spans="1:4">
      <c r="A416" s="2555" t="s">
        <v>7805</v>
      </c>
      <c r="B416" s="2556" t="s">
        <v>8258</v>
      </c>
      <c r="D416">
        <f t="shared" si="6"/>
        <v>6</v>
      </c>
    </row>
    <row r="417" spans="1:4">
      <c r="A417" s="2555" t="s">
        <v>7805</v>
      </c>
      <c r="B417" s="2556" t="s">
        <v>8259</v>
      </c>
      <c r="D417">
        <f t="shared" si="6"/>
        <v>6</v>
      </c>
    </row>
    <row r="418" spans="1:4">
      <c r="A418" s="2555" t="s">
        <v>7805</v>
      </c>
      <c r="B418" s="2556" t="s">
        <v>8260</v>
      </c>
      <c r="D418">
        <f t="shared" si="6"/>
        <v>6</v>
      </c>
    </row>
    <row r="419" spans="1:4">
      <c r="A419" s="2555" t="s">
        <v>7805</v>
      </c>
      <c r="B419" s="2556" t="s">
        <v>8261</v>
      </c>
      <c r="D419">
        <f t="shared" si="6"/>
        <v>6</v>
      </c>
    </row>
    <row r="420" spans="1:4">
      <c r="A420" s="2555" t="s">
        <v>7805</v>
      </c>
      <c r="B420" s="2556" t="s">
        <v>8262</v>
      </c>
      <c r="D420">
        <f t="shared" si="6"/>
        <v>6</v>
      </c>
    </row>
    <row r="421" spans="1:4">
      <c r="A421" s="2555" t="s">
        <v>7805</v>
      </c>
      <c r="B421" s="2556" t="s">
        <v>8263</v>
      </c>
      <c r="D421">
        <f t="shared" si="6"/>
        <v>6</v>
      </c>
    </row>
    <row r="422" spans="1:4">
      <c r="A422" s="2555" t="s">
        <v>7805</v>
      </c>
      <c r="B422" s="2556" t="s">
        <v>8264</v>
      </c>
      <c r="D422">
        <f t="shared" si="6"/>
        <v>6</v>
      </c>
    </row>
    <row r="423" spans="1:4">
      <c r="A423" s="2555" t="s">
        <v>7805</v>
      </c>
      <c r="B423" s="2556" t="s">
        <v>8265</v>
      </c>
      <c r="D423">
        <f t="shared" si="6"/>
        <v>6</v>
      </c>
    </row>
    <row r="424" spans="1:4">
      <c r="A424" s="2555" t="s">
        <v>7805</v>
      </c>
      <c r="B424" s="2556" t="s">
        <v>8266</v>
      </c>
      <c r="D424">
        <f t="shared" si="6"/>
        <v>6</v>
      </c>
    </row>
    <row r="425" spans="1:4">
      <c r="A425" s="2555" t="s">
        <v>7805</v>
      </c>
      <c r="B425" s="2556" t="s">
        <v>8267</v>
      </c>
      <c r="D425">
        <f t="shared" si="6"/>
        <v>6</v>
      </c>
    </row>
    <row r="426" spans="1:4">
      <c r="A426" s="2555" t="s">
        <v>7805</v>
      </c>
      <c r="B426" s="2556" t="s">
        <v>8268</v>
      </c>
      <c r="D426">
        <f t="shared" si="6"/>
        <v>6</v>
      </c>
    </row>
    <row r="427" spans="1:4">
      <c r="A427" s="2555" t="s">
        <v>7805</v>
      </c>
      <c r="B427" s="2556" t="s">
        <v>8269</v>
      </c>
      <c r="D427">
        <f t="shared" si="6"/>
        <v>6</v>
      </c>
    </row>
    <row r="428" spans="1:4">
      <c r="A428" s="2555" t="s">
        <v>7805</v>
      </c>
      <c r="B428" s="2556" t="s">
        <v>8270</v>
      </c>
      <c r="D428">
        <f t="shared" si="6"/>
        <v>6</v>
      </c>
    </row>
    <row r="429" spans="1:4">
      <c r="A429" s="2555" t="s">
        <v>7805</v>
      </c>
      <c r="B429" s="2556" t="s">
        <v>8271</v>
      </c>
      <c r="D429">
        <f t="shared" si="6"/>
        <v>6</v>
      </c>
    </row>
    <row r="430" spans="1:4">
      <c r="A430" s="2555" t="s">
        <v>7805</v>
      </c>
      <c r="B430" s="2556" t="s">
        <v>8272</v>
      </c>
      <c r="D430">
        <f t="shared" si="6"/>
        <v>6</v>
      </c>
    </row>
    <row r="431" spans="1:4">
      <c r="A431" s="2555" t="s">
        <v>7805</v>
      </c>
      <c r="B431" s="2556" t="s">
        <v>8273</v>
      </c>
      <c r="D431">
        <f t="shared" si="6"/>
        <v>6</v>
      </c>
    </row>
    <row r="432" spans="1:4">
      <c r="A432" s="2555" t="s">
        <v>7805</v>
      </c>
      <c r="B432" s="2556" t="s">
        <v>8274</v>
      </c>
      <c r="D432">
        <f t="shared" si="6"/>
        <v>6</v>
      </c>
    </row>
    <row r="433" spans="1:4">
      <c r="A433" s="2555" t="s">
        <v>7805</v>
      </c>
      <c r="B433" s="2556" t="s">
        <v>8275</v>
      </c>
      <c r="D433">
        <f t="shared" si="6"/>
        <v>6</v>
      </c>
    </row>
    <row r="434" spans="1:4">
      <c r="A434" s="2555" t="s">
        <v>7805</v>
      </c>
      <c r="B434" s="2556" t="s">
        <v>8276</v>
      </c>
      <c r="D434">
        <f t="shared" si="6"/>
        <v>6</v>
      </c>
    </row>
    <row r="435" spans="1:4">
      <c r="A435" s="2555" t="s">
        <v>7805</v>
      </c>
      <c r="B435" s="2556" t="s">
        <v>8277</v>
      </c>
      <c r="D435">
        <f t="shared" si="6"/>
        <v>6</v>
      </c>
    </row>
    <row r="436" spans="1:4">
      <c r="A436" s="2555" t="s">
        <v>7805</v>
      </c>
      <c r="B436" s="2556" t="s">
        <v>8278</v>
      </c>
      <c r="D436">
        <f t="shared" si="6"/>
        <v>6</v>
      </c>
    </row>
    <row r="437" spans="1:4">
      <c r="A437" s="2555" t="s">
        <v>7805</v>
      </c>
      <c r="B437" s="2556" t="s">
        <v>8279</v>
      </c>
      <c r="D437">
        <f t="shared" si="6"/>
        <v>6</v>
      </c>
    </row>
    <row r="438" spans="1:4">
      <c r="A438" s="2555" t="s">
        <v>7805</v>
      </c>
      <c r="B438" s="2556" t="s">
        <v>8280</v>
      </c>
      <c r="D438">
        <f t="shared" si="6"/>
        <v>6</v>
      </c>
    </row>
    <row r="439" spans="1:4">
      <c r="A439" s="2555" t="s">
        <v>7805</v>
      </c>
      <c r="B439" s="2556" t="s">
        <v>8281</v>
      </c>
      <c r="D439">
        <f t="shared" si="6"/>
        <v>6</v>
      </c>
    </row>
    <row r="440" spans="1:4">
      <c r="A440" s="2555" t="s">
        <v>7805</v>
      </c>
      <c r="B440" s="2556" t="s">
        <v>8282</v>
      </c>
      <c r="D440">
        <f t="shared" si="6"/>
        <v>6</v>
      </c>
    </row>
    <row r="441" spans="1:4">
      <c r="A441" s="2555" t="s">
        <v>7805</v>
      </c>
      <c r="B441" s="2556" t="s">
        <v>8283</v>
      </c>
      <c r="D441">
        <f t="shared" si="6"/>
        <v>6</v>
      </c>
    </row>
    <row r="442" spans="1:4">
      <c r="A442" s="2555" t="s">
        <v>7805</v>
      </c>
      <c r="B442" s="2556" t="s">
        <v>8284</v>
      </c>
      <c r="D442">
        <f t="shared" si="6"/>
        <v>6</v>
      </c>
    </row>
    <row r="443" spans="1:4">
      <c r="A443" s="2555" t="s">
        <v>7805</v>
      </c>
      <c r="B443" s="2556" t="s">
        <v>8285</v>
      </c>
      <c r="D443">
        <f t="shared" si="6"/>
        <v>6</v>
      </c>
    </row>
    <row r="444" spans="1:4">
      <c r="A444" s="2555" t="s">
        <v>7805</v>
      </c>
      <c r="B444" s="2556" t="s">
        <v>8286</v>
      </c>
      <c r="D444">
        <f t="shared" si="6"/>
        <v>6</v>
      </c>
    </row>
    <row r="445" spans="1:4">
      <c r="A445" s="2555" t="s">
        <v>7805</v>
      </c>
      <c r="B445" s="2556" t="s">
        <v>8287</v>
      </c>
      <c r="D445">
        <f t="shared" si="6"/>
        <v>6</v>
      </c>
    </row>
    <row r="446" spans="1:4">
      <c r="A446" s="2555" t="s">
        <v>7805</v>
      </c>
      <c r="B446" s="2556" t="s">
        <v>8288</v>
      </c>
      <c r="D446">
        <f t="shared" si="6"/>
        <v>6</v>
      </c>
    </row>
    <row r="447" spans="1:4">
      <c r="A447" s="2555" t="s">
        <v>7805</v>
      </c>
      <c r="B447" s="2556" t="s">
        <v>8289</v>
      </c>
      <c r="D447">
        <f t="shared" si="6"/>
        <v>6</v>
      </c>
    </row>
    <row r="448" spans="1:4">
      <c r="A448" s="2555" t="s">
        <v>7805</v>
      </c>
      <c r="B448" s="2556" t="s">
        <v>8290</v>
      </c>
      <c r="D448">
        <f t="shared" si="6"/>
        <v>6</v>
      </c>
    </row>
    <row r="449" spans="1:4">
      <c r="A449" s="2555" t="s">
        <v>7805</v>
      </c>
      <c r="B449" s="2556" t="s">
        <v>8291</v>
      </c>
      <c r="D449">
        <f t="shared" si="6"/>
        <v>6</v>
      </c>
    </row>
    <row r="450" spans="1:4">
      <c r="A450" s="2555" t="s">
        <v>7805</v>
      </c>
      <c r="B450" s="2556" t="s">
        <v>8292</v>
      </c>
      <c r="D450">
        <f t="shared" si="6"/>
        <v>6</v>
      </c>
    </row>
    <row r="451" spans="1:4">
      <c r="A451" s="2555" t="s">
        <v>7805</v>
      </c>
      <c r="B451" s="2556" t="s">
        <v>8293</v>
      </c>
      <c r="D451">
        <f t="shared" ref="D451:D514" si="7">MATCH(A451,$F$3:$F$49,0)</f>
        <v>6</v>
      </c>
    </row>
    <row r="452" spans="1:4">
      <c r="A452" s="2555" t="s">
        <v>7805</v>
      </c>
      <c r="B452" s="2556" t="s">
        <v>8294</v>
      </c>
      <c r="D452">
        <f t="shared" si="7"/>
        <v>6</v>
      </c>
    </row>
    <row r="453" spans="1:4">
      <c r="A453" s="2555" t="s">
        <v>7805</v>
      </c>
      <c r="B453" s="2556" t="s">
        <v>8295</v>
      </c>
      <c r="D453">
        <f t="shared" si="7"/>
        <v>6</v>
      </c>
    </row>
    <row r="454" spans="1:4">
      <c r="A454" s="2555" t="s">
        <v>7805</v>
      </c>
      <c r="B454" s="2556" t="s">
        <v>8296</v>
      </c>
      <c r="D454">
        <f t="shared" si="7"/>
        <v>6</v>
      </c>
    </row>
    <row r="455" spans="1:4">
      <c r="A455" s="2555" t="s">
        <v>7805</v>
      </c>
      <c r="B455" s="2556" t="s">
        <v>8297</v>
      </c>
      <c r="D455">
        <f t="shared" si="7"/>
        <v>6</v>
      </c>
    </row>
    <row r="456" spans="1:4">
      <c r="A456" s="2555" t="s">
        <v>7805</v>
      </c>
      <c r="B456" s="2556" t="s">
        <v>8298</v>
      </c>
      <c r="D456">
        <f t="shared" si="7"/>
        <v>6</v>
      </c>
    </row>
    <row r="457" spans="1:4">
      <c r="A457" s="2555" t="s">
        <v>7805</v>
      </c>
      <c r="B457" s="2556" t="s">
        <v>8299</v>
      </c>
      <c r="D457">
        <f t="shared" si="7"/>
        <v>6</v>
      </c>
    </row>
    <row r="458" spans="1:4">
      <c r="A458" s="2555" t="s">
        <v>7805</v>
      </c>
      <c r="B458" s="2556" t="s">
        <v>8300</v>
      </c>
      <c r="D458">
        <f t="shared" si="7"/>
        <v>6</v>
      </c>
    </row>
    <row r="459" spans="1:4">
      <c r="A459" s="2555" t="s">
        <v>7805</v>
      </c>
      <c r="B459" s="2556" t="s">
        <v>8301</v>
      </c>
      <c r="D459">
        <f t="shared" si="7"/>
        <v>6</v>
      </c>
    </row>
    <row r="460" spans="1:4">
      <c r="A460" s="2555" t="s">
        <v>7805</v>
      </c>
      <c r="B460" s="2556" t="s">
        <v>8302</v>
      </c>
      <c r="D460">
        <f t="shared" si="7"/>
        <v>6</v>
      </c>
    </row>
    <row r="461" spans="1:4">
      <c r="A461" s="2555" t="s">
        <v>7805</v>
      </c>
      <c r="B461" s="2556" t="s">
        <v>8303</v>
      </c>
      <c r="D461">
        <f t="shared" si="7"/>
        <v>6</v>
      </c>
    </row>
    <row r="462" spans="1:4">
      <c r="A462" s="2555" t="s">
        <v>7805</v>
      </c>
      <c r="B462" s="2556" t="s">
        <v>8304</v>
      </c>
      <c r="D462">
        <f t="shared" si="7"/>
        <v>6</v>
      </c>
    </row>
    <row r="463" spans="1:4">
      <c r="A463" s="2555" t="s">
        <v>7805</v>
      </c>
      <c r="B463" s="2556" t="s">
        <v>8305</v>
      </c>
      <c r="D463">
        <f t="shared" si="7"/>
        <v>6</v>
      </c>
    </row>
    <row r="464" spans="1:4">
      <c r="A464" s="2555" t="s">
        <v>7805</v>
      </c>
      <c r="B464" s="2556" t="s">
        <v>8306</v>
      </c>
      <c r="D464">
        <f t="shared" si="7"/>
        <v>6</v>
      </c>
    </row>
    <row r="465" spans="1:4">
      <c r="A465" s="2555" t="s">
        <v>7805</v>
      </c>
      <c r="B465" s="2556" t="s">
        <v>8307</v>
      </c>
      <c r="D465">
        <f t="shared" si="7"/>
        <v>6</v>
      </c>
    </row>
    <row r="466" spans="1:4">
      <c r="A466" s="2555" t="s">
        <v>7805</v>
      </c>
      <c r="B466" s="2556" t="s">
        <v>8308</v>
      </c>
      <c r="D466">
        <f t="shared" si="7"/>
        <v>6</v>
      </c>
    </row>
    <row r="467" spans="1:4">
      <c r="A467" s="2555" t="s">
        <v>7805</v>
      </c>
      <c r="B467" s="2556" t="s">
        <v>8309</v>
      </c>
      <c r="D467">
        <f t="shared" si="7"/>
        <v>6</v>
      </c>
    </row>
    <row r="468" spans="1:4">
      <c r="A468" s="2555" t="s">
        <v>7805</v>
      </c>
      <c r="B468" s="2556" t="s">
        <v>8310</v>
      </c>
      <c r="D468">
        <f t="shared" si="7"/>
        <v>6</v>
      </c>
    </row>
    <row r="469" spans="1:4">
      <c r="A469" s="2555" t="s">
        <v>7805</v>
      </c>
      <c r="B469" s="2556" t="s">
        <v>8311</v>
      </c>
      <c r="D469">
        <f t="shared" si="7"/>
        <v>6</v>
      </c>
    </row>
    <row r="470" spans="1:4">
      <c r="A470" s="2555" t="s">
        <v>7805</v>
      </c>
      <c r="B470" s="2556" t="s">
        <v>8312</v>
      </c>
      <c r="D470">
        <f t="shared" si="7"/>
        <v>6</v>
      </c>
    </row>
    <row r="471" spans="1:4">
      <c r="A471" s="2555" t="s">
        <v>7805</v>
      </c>
      <c r="B471" s="2556" t="s">
        <v>8313</v>
      </c>
      <c r="D471">
        <f t="shared" si="7"/>
        <v>6</v>
      </c>
    </row>
    <row r="472" spans="1:4">
      <c r="A472" s="2555" t="s">
        <v>7805</v>
      </c>
      <c r="B472" s="2556" t="s">
        <v>8314</v>
      </c>
      <c r="D472">
        <f t="shared" si="7"/>
        <v>6</v>
      </c>
    </row>
    <row r="473" spans="1:4">
      <c r="A473" s="2555" t="s">
        <v>7805</v>
      </c>
      <c r="B473" s="2556" t="s">
        <v>8315</v>
      </c>
      <c r="D473">
        <f t="shared" si="7"/>
        <v>6</v>
      </c>
    </row>
    <row r="474" spans="1:4">
      <c r="A474" s="2555" t="s">
        <v>7805</v>
      </c>
      <c r="B474" s="2556" t="s">
        <v>8316</v>
      </c>
      <c r="D474">
        <f t="shared" si="7"/>
        <v>6</v>
      </c>
    </row>
    <row r="475" spans="1:4">
      <c r="A475" s="2555" t="s">
        <v>7805</v>
      </c>
      <c r="B475" s="2556" t="s">
        <v>8317</v>
      </c>
      <c r="D475">
        <f t="shared" si="7"/>
        <v>6</v>
      </c>
    </row>
    <row r="476" spans="1:4">
      <c r="A476" s="2555" t="s">
        <v>7805</v>
      </c>
      <c r="B476" s="2556" t="s">
        <v>8318</v>
      </c>
      <c r="D476">
        <f t="shared" si="7"/>
        <v>6</v>
      </c>
    </row>
    <row r="477" spans="1:4">
      <c r="A477" s="2555" t="s">
        <v>7805</v>
      </c>
      <c r="B477" s="2556" t="s">
        <v>8319</v>
      </c>
      <c r="D477">
        <f t="shared" si="7"/>
        <v>6</v>
      </c>
    </row>
    <row r="478" spans="1:4">
      <c r="A478" s="2555" t="s">
        <v>7805</v>
      </c>
      <c r="B478" s="2556" t="s">
        <v>8320</v>
      </c>
      <c r="D478">
        <f t="shared" si="7"/>
        <v>6</v>
      </c>
    </row>
    <row r="479" spans="1:4">
      <c r="A479" s="2555" t="s">
        <v>7805</v>
      </c>
      <c r="B479" s="2556" t="s">
        <v>8321</v>
      </c>
      <c r="D479">
        <f t="shared" si="7"/>
        <v>6</v>
      </c>
    </row>
    <row r="480" spans="1:4">
      <c r="A480" s="2555" t="s">
        <v>7805</v>
      </c>
      <c r="B480" s="2556" t="s">
        <v>8322</v>
      </c>
      <c r="D480">
        <f t="shared" si="7"/>
        <v>6</v>
      </c>
    </row>
    <row r="481" spans="1:4">
      <c r="A481" s="2555" t="s">
        <v>7805</v>
      </c>
      <c r="B481" s="2556" t="s">
        <v>8323</v>
      </c>
      <c r="D481">
        <f t="shared" si="7"/>
        <v>6</v>
      </c>
    </row>
    <row r="482" spans="1:4">
      <c r="A482" s="2555" t="s">
        <v>7805</v>
      </c>
      <c r="B482" s="2556" t="s">
        <v>8324</v>
      </c>
      <c r="D482">
        <f t="shared" si="7"/>
        <v>6</v>
      </c>
    </row>
    <row r="483" spans="1:4">
      <c r="A483" s="2555" t="s">
        <v>7805</v>
      </c>
      <c r="B483" s="2556" t="s">
        <v>8325</v>
      </c>
      <c r="D483">
        <f t="shared" si="7"/>
        <v>6</v>
      </c>
    </row>
    <row r="484" spans="1:4">
      <c r="A484" s="2555" t="s">
        <v>7805</v>
      </c>
      <c r="B484" s="2556" t="s">
        <v>8326</v>
      </c>
      <c r="D484">
        <f t="shared" si="7"/>
        <v>6</v>
      </c>
    </row>
    <row r="485" spans="1:4">
      <c r="A485" s="2555" t="s">
        <v>7805</v>
      </c>
      <c r="B485" s="2556" t="s">
        <v>8327</v>
      </c>
      <c r="D485">
        <f t="shared" si="7"/>
        <v>6</v>
      </c>
    </row>
    <row r="486" spans="1:4">
      <c r="A486" s="2555" t="s">
        <v>7805</v>
      </c>
      <c r="B486" s="2556" t="s">
        <v>8328</v>
      </c>
      <c r="D486">
        <f t="shared" si="7"/>
        <v>6</v>
      </c>
    </row>
    <row r="487" spans="1:4">
      <c r="A487" s="2555" t="s">
        <v>7805</v>
      </c>
      <c r="B487" s="2556" t="s">
        <v>8329</v>
      </c>
      <c r="D487">
        <f t="shared" si="7"/>
        <v>6</v>
      </c>
    </row>
    <row r="488" spans="1:4">
      <c r="A488" s="2555" t="s">
        <v>7805</v>
      </c>
      <c r="B488" s="2556" t="s">
        <v>8330</v>
      </c>
      <c r="D488">
        <f t="shared" si="7"/>
        <v>6</v>
      </c>
    </row>
    <row r="489" spans="1:4">
      <c r="A489" s="2555" t="s">
        <v>7805</v>
      </c>
      <c r="B489" s="2556" t="s">
        <v>8331</v>
      </c>
      <c r="D489">
        <f t="shared" si="7"/>
        <v>6</v>
      </c>
    </row>
    <row r="490" spans="1:4">
      <c r="A490" s="2555" t="s">
        <v>7805</v>
      </c>
      <c r="B490" s="2556" t="s">
        <v>8332</v>
      </c>
      <c r="D490">
        <f t="shared" si="7"/>
        <v>6</v>
      </c>
    </row>
    <row r="491" spans="1:4">
      <c r="A491" s="2555" t="s">
        <v>7805</v>
      </c>
      <c r="B491" s="2556" t="s">
        <v>8333</v>
      </c>
      <c r="D491">
        <f t="shared" si="7"/>
        <v>6</v>
      </c>
    </row>
    <row r="492" spans="1:4">
      <c r="A492" s="2555" t="s">
        <v>7805</v>
      </c>
      <c r="B492" s="2556" t="s">
        <v>8334</v>
      </c>
      <c r="D492">
        <f t="shared" si="7"/>
        <v>6</v>
      </c>
    </row>
    <row r="493" spans="1:4">
      <c r="A493" s="2555" t="s">
        <v>7805</v>
      </c>
      <c r="B493" s="2556" t="s">
        <v>8335</v>
      </c>
      <c r="D493">
        <f t="shared" si="7"/>
        <v>6</v>
      </c>
    </row>
    <row r="494" spans="1:4">
      <c r="A494" s="2555" t="s">
        <v>7805</v>
      </c>
      <c r="B494" s="2556" t="s">
        <v>8336</v>
      </c>
      <c r="D494">
        <f t="shared" si="7"/>
        <v>6</v>
      </c>
    </row>
    <row r="495" spans="1:4">
      <c r="A495" s="2555" t="s">
        <v>7805</v>
      </c>
      <c r="B495" s="2556" t="s">
        <v>8337</v>
      </c>
      <c r="D495">
        <f t="shared" si="7"/>
        <v>6</v>
      </c>
    </row>
    <row r="496" spans="1:4">
      <c r="A496" s="2555" t="s">
        <v>7805</v>
      </c>
      <c r="B496" s="2556" t="s">
        <v>8338</v>
      </c>
      <c r="D496">
        <f t="shared" si="7"/>
        <v>6</v>
      </c>
    </row>
    <row r="497" spans="1:4">
      <c r="A497" s="2555" t="s">
        <v>7805</v>
      </c>
      <c r="B497" s="2556" t="s">
        <v>8339</v>
      </c>
      <c r="D497">
        <f t="shared" si="7"/>
        <v>6</v>
      </c>
    </row>
    <row r="498" spans="1:4">
      <c r="A498" s="2555" t="s">
        <v>7805</v>
      </c>
      <c r="B498" s="2556" t="s">
        <v>8340</v>
      </c>
      <c r="D498">
        <f t="shared" si="7"/>
        <v>6</v>
      </c>
    </row>
    <row r="499" spans="1:4">
      <c r="A499" s="2555" t="s">
        <v>7805</v>
      </c>
      <c r="B499" s="2556" t="s">
        <v>8341</v>
      </c>
      <c r="D499">
        <f t="shared" si="7"/>
        <v>6</v>
      </c>
    </row>
    <row r="500" spans="1:4">
      <c r="A500" s="2555" t="s">
        <v>7805</v>
      </c>
      <c r="B500" s="2556" t="s">
        <v>8342</v>
      </c>
      <c r="D500">
        <f t="shared" si="7"/>
        <v>6</v>
      </c>
    </row>
    <row r="501" spans="1:4">
      <c r="A501" s="2555" t="s">
        <v>7805</v>
      </c>
      <c r="B501" s="2556" t="s">
        <v>8343</v>
      </c>
      <c r="D501">
        <f t="shared" si="7"/>
        <v>6</v>
      </c>
    </row>
    <row r="502" spans="1:4">
      <c r="A502" s="2555" t="s">
        <v>7805</v>
      </c>
      <c r="B502" s="2556" t="s">
        <v>8344</v>
      </c>
      <c r="D502">
        <f t="shared" si="7"/>
        <v>6</v>
      </c>
    </row>
    <row r="503" spans="1:4">
      <c r="A503" s="2555" t="s">
        <v>7805</v>
      </c>
      <c r="B503" s="2556" t="s">
        <v>8345</v>
      </c>
      <c r="D503">
        <f t="shared" si="7"/>
        <v>6</v>
      </c>
    </row>
    <row r="504" spans="1:4">
      <c r="A504" s="2555" t="s">
        <v>7805</v>
      </c>
      <c r="B504" s="2556" t="s">
        <v>8346</v>
      </c>
      <c r="D504">
        <f t="shared" si="7"/>
        <v>6</v>
      </c>
    </row>
    <row r="505" spans="1:4">
      <c r="A505" s="2555" t="s">
        <v>7805</v>
      </c>
      <c r="B505" s="2556" t="s">
        <v>8347</v>
      </c>
      <c r="D505">
        <f t="shared" si="7"/>
        <v>6</v>
      </c>
    </row>
    <row r="506" spans="1:4">
      <c r="A506" s="2555" t="s">
        <v>7805</v>
      </c>
      <c r="B506" s="2556" t="s">
        <v>8348</v>
      </c>
      <c r="D506">
        <f t="shared" si="7"/>
        <v>6</v>
      </c>
    </row>
    <row r="507" spans="1:4">
      <c r="A507" s="2555" t="s">
        <v>7805</v>
      </c>
      <c r="B507" s="2556" t="s">
        <v>8349</v>
      </c>
      <c r="D507">
        <f t="shared" si="7"/>
        <v>6</v>
      </c>
    </row>
    <row r="508" spans="1:4">
      <c r="A508" s="2555" t="s">
        <v>7805</v>
      </c>
      <c r="B508" s="2556" t="s">
        <v>8350</v>
      </c>
      <c r="D508">
        <f t="shared" si="7"/>
        <v>6</v>
      </c>
    </row>
    <row r="509" spans="1:4">
      <c r="A509" s="2555" t="s">
        <v>7805</v>
      </c>
      <c r="B509" s="2556" t="s">
        <v>8351</v>
      </c>
      <c r="D509">
        <f t="shared" si="7"/>
        <v>6</v>
      </c>
    </row>
    <row r="510" spans="1:4">
      <c r="A510" s="2555" t="s">
        <v>7805</v>
      </c>
      <c r="B510" s="2556" t="s">
        <v>8352</v>
      </c>
      <c r="D510">
        <f t="shared" si="7"/>
        <v>6</v>
      </c>
    </row>
    <row r="511" spans="1:4">
      <c r="A511" s="2555" t="s">
        <v>7805</v>
      </c>
      <c r="B511" s="2556" t="s">
        <v>8353</v>
      </c>
      <c r="D511">
        <f t="shared" si="7"/>
        <v>6</v>
      </c>
    </row>
    <row r="512" spans="1:4">
      <c r="A512" s="2555" t="s">
        <v>7805</v>
      </c>
      <c r="B512" s="2556" t="s">
        <v>8354</v>
      </c>
      <c r="D512">
        <f t="shared" si="7"/>
        <v>6</v>
      </c>
    </row>
    <row r="513" spans="1:4">
      <c r="A513" s="2555" t="s">
        <v>7805</v>
      </c>
      <c r="B513" s="2556" t="s">
        <v>8355</v>
      </c>
      <c r="D513">
        <f t="shared" si="7"/>
        <v>6</v>
      </c>
    </row>
    <row r="514" spans="1:4">
      <c r="A514" s="2555" t="s">
        <v>7805</v>
      </c>
      <c r="B514" s="2556" t="s">
        <v>8356</v>
      </c>
      <c r="D514">
        <f t="shared" si="7"/>
        <v>6</v>
      </c>
    </row>
    <row r="515" spans="1:4">
      <c r="A515" s="2555" t="s">
        <v>7805</v>
      </c>
      <c r="B515" s="2556" t="s">
        <v>8357</v>
      </c>
      <c r="D515">
        <f t="shared" ref="D515:D578" si="8">MATCH(A515,$F$3:$F$49,0)</f>
        <v>6</v>
      </c>
    </row>
    <row r="516" spans="1:4">
      <c r="A516" s="2555" t="s">
        <v>7805</v>
      </c>
      <c r="B516" s="2556" t="s">
        <v>8358</v>
      </c>
      <c r="D516">
        <f t="shared" si="8"/>
        <v>6</v>
      </c>
    </row>
    <row r="517" spans="1:4">
      <c r="A517" s="2555" t="s">
        <v>7805</v>
      </c>
      <c r="B517" s="2556" t="s">
        <v>8359</v>
      </c>
      <c r="D517">
        <f t="shared" si="8"/>
        <v>6</v>
      </c>
    </row>
    <row r="518" spans="1:4">
      <c r="A518" s="2555" t="s">
        <v>7805</v>
      </c>
      <c r="B518" s="2556" t="s">
        <v>8360</v>
      </c>
      <c r="D518">
        <f t="shared" si="8"/>
        <v>6</v>
      </c>
    </row>
    <row r="519" spans="1:4">
      <c r="A519" s="2555" t="s">
        <v>7805</v>
      </c>
      <c r="B519" s="2556" t="s">
        <v>8361</v>
      </c>
      <c r="D519">
        <f t="shared" si="8"/>
        <v>6</v>
      </c>
    </row>
    <row r="520" spans="1:4">
      <c r="A520" s="2555" t="s">
        <v>7805</v>
      </c>
      <c r="B520" s="2556" t="s">
        <v>8362</v>
      </c>
      <c r="D520">
        <f t="shared" si="8"/>
        <v>6</v>
      </c>
    </row>
    <row r="521" spans="1:4">
      <c r="A521" s="2555" t="s">
        <v>7805</v>
      </c>
      <c r="B521" s="2556" t="s">
        <v>8363</v>
      </c>
      <c r="D521">
        <f t="shared" si="8"/>
        <v>6</v>
      </c>
    </row>
    <row r="522" spans="1:4">
      <c r="A522" s="2555" t="s">
        <v>7805</v>
      </c>
      <c r="B522" s="2556" t="s">
        <v>8364</v>
      </c>
      <c r="D522">
        <f t="shared" si="8"/>
        <v>6</v>
      </c>
    </row>
    <row r="523" spans="1:4">
      <c r="A523" s="2555" t="s">
        <v>7805</v>
      </c>
      <c r="B523" s="2556" t="s">
        <v>8365</v>
      </c>
      <c r="D523">
        <f t="shared" si="8"/>
        <v>6</v>
      </c>
    </row>
    <row r="524" spans="1:4">
      <c r="A524" s="2555" t="s">
        <v>7805</v>
      </c>
      <c r="B524" s="2556" t="s">
        <v>8366</v>
      </c>
      <c r="D524">
        <f t="shared" si="8"/>
        <v>6</v>
      </c>
    </row>
    <row r="525" spans="1:4">
      <c r="A525" s="2555" t="s">
        <v>7805</v>
      </c>
      <c r="B525" s="2556" t="s">
        <v>8367</v>
      </c>
      <c r="D525">
        <f t="shared" si="8"/>
        <v>6</v>
      </c>
    </row>
    <row r="526" spans="1:4">
      <c r="A526" s="2555" t="s">
        <v>7805</v>
      </c>
      <c r="B526" s="2556" t="s">
        <v>8368</v>
      </c>
      <c r="D526">
        <f t="shared" si="8"/>
        <v>6</v>
      </c>
    </row>
    <row r="527" spans="1:4">
      <c r="A527" s="2555" t="s">
        <v>7805</v>
      </c>
      <c r="B527" s="2556" t="s">
        <v>8369</v>
      </c>
      <c r="D527">
        <f t="shared" si="8"/>
        <v>6</v>
      </c>
    </row>
    <row r="528" spans="1:4">
      <c r="A528" s="2555" t="s">
        <v>7805</v>
      </c>
      <c r="B528" s="2556" t="s">
        <v>8370</v>
      </c>
      <c r="D528">
        <f t="shared" si="8"/>
        <v>6</v>
      </c>
    </row>
    <row r="529" spans="1:4">
      <c r="A529" s="2555" t="s">
        <v>7805</v>
      </c>
      <c r="B529" s="2556" t="s">
        <v>8371</v>
      </c>
      <c r="D529">
        <f t="shared" si="8"/>
        <v>6</v>
      </c>
    </row>
    <row r="530" spans="1:4">
      <c r="A530" s="2555" t="s">
        <v>7805</v>
      </c>
      <c r="B530" s="2556" t="s">
        <v>8372</v>
      </c>
      <c r="D530">
        <f t="shared" si="8"/>
        <v>6</v>
      </c>
    </row>
    <row r="531" spans="1:4">
      <c r="A531" s="2555" t="s">
        <v>7805</v>
      </c>
      <c r="B531" s="2556" t="s">
        <v>8373</v>
      </c>
      <c r="D531">
        <f t="shared" si="8"/>
        <v>6</v>
      </c>
    </row>
    <row r="532" spans="1:4">
      <c r="A532" s="2555" t="s">
        <v>7805</v>
      </c>
      <c r="B532" s="2556" t="s">
        <v>8374</v>
      </c>
      <c r="D532">
        <f t="shared" si="8"/>
        <v>6</v>
      </c>
    </row>
    <row r="533" spans="1:4">
      <c r="A533" s="2555" t="s">
        <v>7805</v>
      </c>
      <c r="B533" s="2556" t="s">
        <v>8375</v>
      </c>
      <c r="D533">
        <f t="shared" si="8"/>
        <v>6</v>
      </c>
    </row>
    <row r="534" spans="1:4">
      <c r="A534" s="2555" t="s">
        <v>7805</v>
      </c>
      <c r="B534" s="2556" t="s">
        <v>8376</v>
      </c>
      <c r="D534">
        <f t="shared" si="8"/>
        <v>6</v>
      </c>
    </row>
    <row r="535" spans="1:4">
      <c r="A535" s="2555" t="s">
        <v>7805</v>
      </c>
      <c r="B535" s="2556" t="s">
        <v>8377</v>
      </c>
      <c r="D535">
        <f t="shared" si="8"/>
        <v>6</v>
      </c>
    </row>
    <row r="536" spans="1:4">
      <c r="A536" s="2555" t="s">
        <v>7805</v>
      </c>
      <c r="B536" s="2556" t="s">
        <v>8378</v>
      </c>
      <c r="D536">
        <f t="shared" si="8"/>
        <v>6</v>
      </c>
    </row>
    <row r="537" spans="1:4">
      <c r="A537" s="2555" t="s">
        <v>7805</v>
      </c>
      <c r="B537" s="2556" t="s">
        <v>8379</v>
      </c>
      <c r="D537">
        <f t="shared" si="8"/>
        <v>6</v>
      </c>
    </row>
    <row r="538" spans="1:4">
      <c r="A538" s="2555" t="s">
        <v>7805</v>
      </c>
      <c r="B538" s="2556" t="s">
        <v>8380</v>
      </c>
      <c r="D538">
        <f t="shared" si="8"/>
        <v>6</v>
      </c>
    </row>
    <row r="539" spans="1:4">
      <c r="A539" s="2555" t="s">
        <v>7805</v>
      </c>
      <c r="B539" s="2556" t="s">
        <v>8381</v>
      </c>
      <c r="D539">
        <f t="shared" si="8"/>
        <v>6</v>
      </c>
    </row>
    <row r="540" spans="1:4">
      <c r="A540" s="2555" t="s">
        <v>7805</v>
      </c>
      <c r="B540" s="2556" t="s">
        <v>8382</v>
      </c>
      <c r="D540">
        <f t="shared" si="8"/>
        <v>6</v>
      </c>
    </row>
    <row r="541" spans="1:4">
      <c r="A541" s="2555" t="s">
        <v>7805</v>
      </c>
      <c r="B541" s="2556" t="s">
        <v>8383</v>
      </c>
      <c r="D541">
        <f t="shared" si="8"/>
        <v>6</v>
      </c>
    </row>
    <row r="542" spans="1:4">
      <c r="A542" s="2555" t="s">
        <v>7805</v>
      </c>
      <c r="B542" s="2556" t="s">
        <v>8384</v>
      </c>
      <c r="D542">
        <f t="shared" si="8"/>
        <v>6</v>
      </c>
    </row>
    <row r="543" spans="1:4">
      <c r="A543" s="2555" t="s">
        <v>7805</v>
      </c>
      <c r="B543" s="2556" t="s">
        <v>8385</v>
      </c>
      <c r="D543">
        <f t="shared" si="8"/>
        <v>6</v>
      </c>
    </row>
    <row r="544" spans="1:4">
      <c r="A544" s="2555" t="s">
        <v>7805</v>
      </c>
      <c r="B544" s="2556" t="s">
        <v>8386</v>
      </c>
      <c r="D544">
        <f t="shared" si="8"/>
        <v>6</v>
      </c>
    </row>
    <row r="545" spans="1:4">
      <c r="A545" s="2555" t="s">
        <v>7805</v>
      </c>
      <c r="B545" s="2556" t="s">
        <v>8387</v>
      </c>
      <c r="D545">
        <f t="shared" si="8"/>
        <v>6</v>
      </c>
    </row>
    <row r="546" spans="1:4">
      <c r="A546" s="2555" t="s">
        <v>7805</v>
      </c>
      <c r="B546" s="2556" t="s">
        <v>8388</v>
      </c>
      <c r="D546">
        <f t="shared" si="8"/>
        <v>6</v>
      </c>
    </row>
    <row r="547" spans="1:4">
      <c r="A547" s="2555" t="s">
        <v>7805</v>
      </c>
      <c r="B547" s="2556" t="s">
        <v>8389</v>
      </c>
      <c r="D547">
        <f t="shared" si="8"/>
        <v>6</v>
      </c>
    </row>
    <row r="548" spans="1:4">
      <c r="A548" s="2555" t="s">
        <v>7805</v>
      </c>
      <c r="B548" s="2556" t="s">
        <v>8390</v>
      </c>
      <c r="D548">
        <f t="shared" si="8"/>
        <v>6</v>
      </c>
    </row>
    <row r="549" spans="1:4">
      <c r="A549" s="2555" t="s">
        <v>7805</v>
      </c>
      <c r="B549" s="2556" t="s">
        <v>8391</v>
      </c>
      <c r="D549">
        <f t="shared" si="8"/>
        <v>6</v>
      </c>
    </row>
    <row r="550" spans="1:4">
      <c r="A550" s="2555" t="s">
        <v>7805</v>
      </c>
      <c r="B550" s="2556" t="s">
        <v>8392</v>
      </c>
      <c r="D550">
        <f t="shared" si="8"/>
        <v>6</v>
      </c>
    </row>
    <row r="551" spans="1:4">
      <c r="A551" s="2555" t="s">
        <v>7805</v>
      </c>
      <c r="B551" s="2556" t="s">
        <v>8393</v>
      </c>
      <c r="D551">
        <f t="shared" si="8"/>
        <v>6</v>
      </c>
    </row>
    <row r="552" spans="1:4">
      <c r="A552" s="2555" t="s">
        <v>7805</v>
      </c>
      <c r="B552" s="2556" t="s">
        <v>8394</v>
      </c>
      <c r="D552">
        <f t="shared" si="8"/>
        <v>6</v>
      </c>
    </row>
    <row r="553" spans="1:4">
      <c r="A553" s="2555" t="s">
        <v>7805</v>
      </c>
      <c r="B553" s="2556" t="s">
        <v>8395</v>
      </c>
      <c r="D553">
        <f t="shared" si="8"/>
        <v>6</v>
      </c>
    </row>
    <row r="554" spans="1:4">
      <c r="A554" s="2555" t="s">
        <v>7805</v>
      </c>
      <c r="B554" s="2556" t="s">
        <v>8396</v>
      </c>
      <c r="D554">
        <f t="shared" si="8"/>
        <v>6</v>
      </c>
    </row>
    <row r="555" spans="1:4">
      <c r="A555" s="2555" t="s">
        <v>7805</v>
      </c>
      <c r="B555" s="2556" t="s">
        <v>8397</v>
      </c>
      <c r="D555">
        <f t="shared" si="8"/>
        <v>6</v>
      </c>
    </row>
    <row r="556" spans="1:4">
      <c r="A556" s="2555" t="s">
        <v>7805</v>
      </c>
      <c r="B556" s="2556" t="s">
        <v>8398</v>
      </c>
      <c r="D556">
        <f t="shared" si="8"/>
        <v>6</v>
      </c>
    </row>
    <row r="557" spans="1:4">
      <c r="A557" s="2555" t="s">
        <v>7805</v>
      </c>
      <c r="B557" s="2556" t="s">
        <v>8399</v>
      </c>
      <c r="D557">
        <f t="shared" si="8"/>
        <v>6</v>
      </c>
    </row>
    <row r="558" spans="1:4">
      <c r="A558" s="2555" t="s">
        <v>7805</v>
      </c>
      <c r="B558" s="2556" t="s">
        <v>8400</v>
      </c>
      <c r="D558">
        <f t="shared" si="8"/>
        <v>6</v>
      </c>
    </row>
    <row r="559" spans="1:4">
      <c r="A559" s="2555" t="s">
        <v>7805</v>
      </c>
      <c r="B559" s="2556" t="s">
        <v>8401</v>
      </c>
      <c r="D559">
        <f t="shared" si="8"/>
        <v>6</v>
      </c>
    </row>
    <row r="560" spans="1:4">
      <c r="A560" s="2555" t="s">
        <v>7805</v>
      </c>
      <c r="B560" s="2556" t="s">
        <v>8402</v>
      </c>
      <c r="D560">
        <f t="shared" si="8"/>
        <v>6</v>
      </c>
    </row>
    <row r="561" spans="1:4">
      <c r="A561" s="2555" t="s">
        <v>7805</v>
      </c>
      <c r="B561" s="2556" t="s">
        <v>8403</v>
      </c>
      <c r="D561">
        <f t="shared" si="8"/>
        <v>6</v>
      </c>
    </row>
    <row r="562" spans="1:4">
      <c r="A562" s="2555" t="s">
        <v>7805</v>
      </c>
      <c r="B562" s="2556" t="s">
        <v>8404</v>
      </c>
      <c r="D562">
        <f t="shared" si="8"/>
        <v>6</v>
      </c>
    </row>
    <row r="563" spans="1:4">
      <c r="A563" s="2555" t="s">
        <v>7805</v>
      </c>
      <c r="B563" s="2556" t="s">
        <v>8405</v>
      </c>
      <c r="D563">
        <f t="shared" si="8"/>
        <v>6</v>
      </c>
    </row>
    <row r="564" spans="1:4">
      <c r="A564" s="2555" t="s">
        <v>7805</v>
      </c>
      <c r="B564" s="2556" t="s">
        <v>8406</v>
      </c>
      <c r="D564">
        <f t="shared" si="8"/>
        <v>6</v>
      </c>
    </row>
    <row r="565" spans="1:4">
      <c r="A565" s="2555" t="s">
        <v>7805</v>
      </c>
      <c r="B565" s="2556" t="s">
        <v>8407</v>
      </c>
      <c r="D565">
        <f t="shared" si="8"/>
        <v>6</v>
      </c>
    </row>
    <row r="566" spans="1:4">
      <c r="A566" s="2555" t="s">
        <v>7805</v>
      </c>
      <c r="B566" s="2556" t="s">
        <v>8408</v>
      </c>
      <c r="D566">
        <f t="shared" si="8"/>
        <v>6</v>
      </c>
    </row>
    <row r="567" spans="1:4">
      <c r="A567" s="2555" t="s">
        <v>7805</v>
      </c>
      <c r="B567" s="2556" t="s">
        <v>8409</v>
      </c>
      <c r="D567">
        <f t="shared" si="8"/>
        <v>6</v>
      </c>
    </row>
    <row r="568" spans="1:4">
      <c r="A568" s="2555" t="s">
        <v>7805</v>
      </c>
      <c r="B568" s="2556" t="s">
        <v>8410</v>
      </c>
      <c r="D568">
        <f t="shared" si="8"/>
        <v>6</v>
      </c>
    </row>
    <row r="569" spans="1:4">
      <c r="A569" s="2555" t="s">
        <v>7805</v>
      </c>
      <c r="B569" s="2556" t="s">
        <v>8411</v>
      </c>
      <c r="D569">
        <f t="shared" si="8"/>
        <v>6</v>
      </c>
    </row>
    <row r="570" spans="1:4">
      <c r="A570" s="2555" t="s">
        <v>7805</v>
      </c>
      <c r="B570" s="2556" t="s">
        <v>8412</v>
      </c>
      <c r="D570">
        <f t="shared" si="8"/>
        <v>6</v>
      </c>
    </row>
    <row r="571" spans="1:4">
      <c r="A571" s="2555" t="s">
        <v>7805</v>
      </c>
      <c r="B571" s="2556" t="s">
        <v>8413</v>
      </c>
      <c r="D571">
        <f t="shared" si="8"/>
        <v>6</v>
      </c>
    </row>
    <row r="572" spans="1:4">
      <c r="A572" s="2555" t="s">
        <v>7805</v>
      </c>
      <c r="B572" s="2556" t="s">
        <v>8414</v>
      </c>
      <c r="D572">
        <f t="shared" si="8"/>
        <v>6</v>
      </c>
    </row>
    <row r="573" spans="1:4">
      <c r="A573" s="2555" t="s">
        <v>7805</v>
      </c>
      <c r="B573" s="2556" t="s">
        <v>8415</v>
      </c>
      <c r="D573">
        <f t="shared" si="8"/>
        <v>6</v>
      </c>
    </row>
    <row r="574" spans="1:4">
      <c r="A574" s="2555" t="s">
        <v>7805</v>
      </c>
      <c r="B574" s="2556" t="s">
        <v>8416</v>
      </c>
      <c r="D574">
        <f t="shared" si="8"/>
        <v>6</v>
      </c>
    </row>
    <row r="575" spans="1:4">
      <c r="A575" s="2555" t="s">
        <v>7805</v>
      </c>
      <c r="B575" s="2556" t="s">
        <v>8417</v>
      </c>
      <c r="D575">
        <f t="shared" si="8"/>
        <v>6</v>
      </c>
    </row>
    <row r="576" spans="1:4">
      <c r="A576" s="2555" t="s">
        <v>7805</v>
      </c>
      <c r="B576" s="2556" t="s">
        <v>8418</v>
      </c>
      <c r="D576">
        <f t="shared" si="8"/>
        <v>6</v>
      </c>
    </row>
    <row r="577" spans="1:4">
      <c r="A577" s="2555" t="s">
        <v>7805</v>
      </c>
      <c r="B577" s="2556" t="s">
        <v>8419</v>
      </c>
      <c r="D577">
        <f t="shared" si="8"/>
        <v>6</v>
      </c>
    </row>
    <row r="578" spans="1:4">
      <c r="A578" s="2555" t="s">
        <v>7805</v>
      </c>
      <c r="B578" s="2556" t="s">
        <v>8420</v>
      </c>
      <c r="D578">
        <f t="shared" si="8"/>
        <v>6</v>
      </c>
    </row>
    <row r="579" spans="1:4">
      <c r="A579" s="2555" t="s">
        <v>7805</v>
      </c>
      <c r="B579" s="2556" t="s">
        <v>8421</v>
      </c>
      <c r="D579">
        <f t="shared" ref="D579:D642" si="9">MATCH(A579,$F$3:$F$49,0)</f>
        <v>6</v>
      </c>
    </row>
    <row r="580" spans="1:4">
      <c r="A580" s="2555" t="s">
        <v>7805</v>
      </c>
      <c r="B580" s="2556" t="s">
        <v>8422</v>
      </c>
      <c r="D580">
        <f t="shared" si="9"/>
        <v>6</v>
      </c>
    </row>
    <row r="581" spans="1:4">
      <c r="A581" s="2555" t="s">
        <v>7805</v>
      </c>
      <c r="B581" s="2556" t="s">
        <v>8423</v>
      </c>
      <c r="D581">
        <f t="shared" si="9"/>
        <v>6</v>
      </c>
    </row>
    <row r="582" spans="1:4">
      <c r="A582" s="2555" t="s">
        <v>7805</v>
      </c>
      <c r="B582" s="2556" t="s">
        <v>8424</v>
      </c>
      <c r="D582">
        <f t="shared" si="9"/>
        <v>6</v>
      </c>
    </row>
    <row r="583" spans="1:4">
      <c r="A583" s="2555" t="s">
        <v>7805</v>
      </c>
      <c r="B583" s="2556" t="s">
        <v>8425</v>
      </c>
      <c r="D583">
        <f t="shared" si="9"/>
        <v>6</v>
      </c>
    </row>
    <row r="584" spans="1:4">
      <c r="A584" s="2555" t="s">
        <v>7805</v>
      </c>
      <c r="B584" s="2556" t="s">
        <v>8426</v>
      </c>
      <c r="D584">
        <f t="shared" si="9"/>
        <v>6</v>
      </c>
    </row>
    <row r="585" spans="1:4">
      <c r="A585" s="2555" t="s">
        <v>7805</v>
      </c>
      <c r="B585" s="2556" t="s">
        <v>8427</v>
      </c>
      <c r="D585">
        <f t="shared" si="9"/>
        <v>6</v>
      </c>
    </row>
    <row r="586" spans="1:4">
      <c r="A586" s="2555" t="s">
        <v>7805</v>
      </c>
      <c r="B586" s="2556" t="s">
        <v>8428</v>
      </c>
      <c r="D586">
        <f t="shared" si="9"/>
        <v>6</v>
      </c>
    </row>
    <row r="587" spans="1:4">
      <c r="A587" s="2555" t="s">
        <v>7805</v>
      </c>
      <c r="B587" s="2556" t="s">
        <v>8429</v>
      </c>
      <c r="D587">
        <f t="shared" si="9"/>
        <v>6</v>
      </c>
    </row>
    <row r="588" spans="1:4">
      <c r="A588" s="2555" t="s">
        <v>7805</v>
      </c>
      <c r="B588" s="2556" t="s">
        <v>8430</v>
      </c>
      <c r="D588">
        <f t="shared" si="9"/>
        <v>6</v>
      </c>
    </row>
    <row r="589" spans="1:4">
      <c r="A589" s="2555" t="s">
        <v>7805</v>
      </c>
      <c r="B589" s="2556" t="s">
        <v>8431</v>
      </c>
      <c r="D589">
        <f t="shared" si="9"/>
        <v>6</v>
      </c>
    </row>
    <row r="590" spans="1:4">
      <c r="A590" s="2555" t="s">
        <v>7805</v>
      </c>
      <c r="B590" s="2556" t="s">
        <v>8432</v>
      </c>
      <c r="D590">
        <f t="shared" si="9"/>
        <v>6</v>
      </c>
    </row>
    <row r="591" spans="1:4">
      <c r="A591" s="2555" t="s">
        <v>7805</v>
      </c>
      <c r="B591" s="2556" t="s">
        <v>8433</v>
      </c>
      <c r="D591">
        <f t="shared" si="9"/>
        <v>6</v>
      </c>
    </row>
    <row r="592" spans="1:4">
      <c r="A592" s="2555" t="s">
        <v>7805</v>
      </c>
      <c r="B592" s="2556" t="s">
        <v>8434</v>
      </c>
      <c r="D592">
        <f t="shared" si="9"/>
        <v>6</v>
      </c>
    </row>
    <row r="593" spans="1:4">
      <c r="A593" s="2555" t="s">
        <v>7805</v>
      </c>
      <c r="B593" s="2556" t="s">
        <v>8435</v>
      </c>
      <c r="D593">
        <f t="shared" si="9"/>
        <v>6</v>
      </c>
    </row>
    <row r="594" spans="1:4">
      <c r="A594" s="2555" t="s">
        <v>7805</v>
      </c>
      <c r="B594" s="2556" t="s">
        <v>8436</v>
      </c>
      <c r="D594">
        <f t="shared" si="9"/>
        <v>6</v>
      </c>
    </row>
    <row r="595" spans="1:4">
      <c r="A595" s="2555" t="s">
        <v>7805</v>
      </c>
      <c r="B595" s="2556" t="s">
        <v>8437</v>
      </c>
      <c r="D595">
        <f t="shared" si="9"/>
        <v>6</v>
      </c>
    </row>
    <row r="596" spans="1:4">
      <c r="A596" s="2555" t="s">
        <v>7805</v>
      </c>
      <c r="B596" s="2556" t="s">
        <v>8438</v>
      </c>
      <c r="D596">
        <f t="shared" si="9"/>
        <v>6</v>
      </c>
    </row>
    <row r="597" spans="1:4">
      <c r="A597" s="2555" t="s">
        <v>7805</v>
      </c>
      <c r="B597" s="2556" t="s">
        <v>8439</v>
      </c>
      <c r="D597">
        <f t="shared" si="9"/>
        <v>6</v>
      </c>
    </row>
    <row r="598" spans="1:4">
      <c r="A598" s="2555" t="s">
        <v>7805</v>
      </c>
      <c r="B598" s="2556" t="s">
        <v>8440</v>
      </c>
      <c r="D598">
        <f t="shared" si="9"/>
        <v>6</v>
      </c>
    </row>
    <row r="599" spans="1:4">
      <c r="A599" s="2555" t="s">
        <v>7805</v>
      </c>
      <c r="B599" s="2556" t="s">
        <v>8441</v>
      </c>
      <c r="D599">
        <f t="shared" si="9"/>
        <v>6</v>
      </c>
    </row>
    <row r="600" spans="1:4">
      <c r="A600" s="2555" t="s">
        <v>7805</v>
      </c>
      <c r="B600" s="2556" t="s">
        <v>8442</v>
      </c>
      <c r="D600">
        <f t="shared" si="9"/>
        <v>6</v>
      </c>
    </row>
    <row r="601" spans="1:4">
      <c r="A601" s="2555" t="s">
        <v>7805</v>
      </c>
      <c r="B601" s="2556" t="s">
        <v>8443</v>
      </c>
      <c r="D601">
        <f t="shared" si="9"/>
        <v>6</v>
      </c>
    </row>
    <row r="602" spans="1:4">
      <c r="A602" s="2555" t="s">
        <v>7805</v>
      </c>
      <c r="B602" s="2556" t="s">
        <v>8444</v>
      </c>
      <c r="D602">
        <f t="shared" si="9"/>
        <v>6</v>
      </c>
    </row>
    <row r="603" spans="1:4">
      <c r="A603" s="2555" t="s">
        <v>7805</v>
      </c>
      <c r="B603" s="2556" t="s">
        <v>8445</v>
      </c>
      <c r="D603">
        <f t="shared" si="9"/>
        <v>6</v>
      </c>
    </row>
    <row r="604" spans="1:4">
      <c r="A604" s="2555" t="s">
        <v>7805</v>
      </c>
      <c r="B604" s="2556" t="s">
        <v>8446</v>
      </c>
      <c r="D604">
        <f t="shared" si="9"/>
        <v>6</v>
      </c>
    </row>
    <row r="605" spans="1:4">
      <c r="A605" s="2555" t="s">
        <v>7805</v>
      </c>
      <c r="B605" s="2556" t="s">
        <v>8447</v>
      </c>
      <c r="D605">
        <f t="shared" si="9"/>
        <v>6</v>
      </c>
    </row>
    <row r="606" spans="1:4">
      <c r="A606" s="2555" t="s">
        <v>7805</v>
      </c>
      <c r="B606" s="2556" t="s">
        <v>8448</v>
      </c>
      <c r="D606">
        <f t="shared" si="9"/>
        <v>6</v>
      </c>
    </row>
    <row r="607" spans="1:4">
      <c r="A607" s="2555" t="s">
        <v>7805</v>
      </c>
      <c r="B607" s="2556" t="s">
        <v>8449</v>
      </c>
      <c r="D607">
        <f t="shared" si="9"/>
        <v>6</v>
      </c>
    </row>
    <row r="608" spans="1:4">
      <c r="A608" s="2555" t="s">
        <v>7805</v>
      </c>
      <c r="B608" s="2556" t="s">
        <v>8450</v>
      </c>
      <c r="D608">
        <f t="shared" si="9"/>
        <v>6</v>
      </c>
    </row>
    <row r="609" spans="1:4">
      <c r="A609" s="2555" t="s">
        <v>7805</v>
      </c>
      <c r="B609" s="2556" t="s">
        <v>8451</v>
      </c>
      <c r="D609">
        <f t="shared" si="9"/>
        <v>6</v>
      </c>
    </row>
    <row r="610" spans="1:4">
      <c r="A610" s="2555" t="s">
        <v>7805</v>
      </c>
      <c r="B610" s="2556" t="s">
        <v>8452</v>
      </c>
      <c r="D610">
        <f t="shared" si="9"/>
        <v>6</v>
      </c>
    </row>
    <row r="611" spans="1:4">
      <c r="A611" s="2555" t="s">
        <v>7805</v>
      </c>
      <c r="B611" s="2556" t="s">
        <v>8453</v>
      </c>
      <c r="D611">
        <f t="shared" si="9"/>
        <v>6</v>
      </c>
    </row>
    <row r="612" spans="1:4">
      <c r="A612" s="2555" t="s">
        <v>7805</v>
      </c>
      <c r="B612" s="2556" t="s">
        <v>8454</v>
      </c>
      <c r="D612">
        <f t="shared" si="9"/>
        <v>6</v>
      </c>
    </row>
    <row r="613" spans="1:4">
      <c r="A613" s="2555" t="s">
        <v>7805</v>
      </c>
      <c r="B613" s="2556" t="s">
        <v>8455</v>
      </c>
      <c r="D613">
        <f t="shared" si="9"/>
        <v>6</v>
      </c>
    </row>
    <row r="614" spans="1:4">
      <c r="A614" s="2555" t="s">
        <v>7805</v>
      </c>
      <c r="B614" s="2556" t="s">
        <v>8456</v>
      </c>
      <c r="D614">
        <f t="shared" si="9"/>
        <v>6</v>
      </c>
    </row>
    <row r="615" spans="1:4">
      <c r="A615" s="2555" t="s">
        <v>7805</v>
      </c>
      <c r="B615" s="2556" t="s">
        <v>8457</v>
      </c>
      <c r="D615">
        <f t="shared" si="9"/>
        <v>6</v>
      </c>
    </row>
    <row r="616" spans="1:4">
      <c r="A616" s="2555" t="s">
        <v>7805</v>
      </c>
      <c r="B616" s="2556" t="s">
        <v>8458</v>
      </c>
      <c r="D616">
        <f t="shared" si="9"/>
        <v>6</v>
      </c>
    </row>
    <row r="617" spans="1:4">
      <c r="A617" s="2555" t="s">
        <v>7805</v>
      </c>
      <c r="B617" s="2556" t="s">
        <v>8459</v>
      </c>
      <c r="D617">
        <f t="shared" si="9"/>
        <v>6</v>
      </c>
    </row>
    <row r="618" spans="1:4">
      <c r="A618" s="2555" t="s">
        <v>7805</v>
      </c>
      <c r="B618" s="2556" t="s">
        <v>8460</v>
      </c>
      <c r="D618">
        <f t="shared" si="9"/>
        <v>6</v>
      </c>
    </row>
    <row r="619" spans="1:4">
      <c r="A619" s="2555" t="s">
        <v>7805</v>
      </c>
      <c r="B619" s="2556" t="s">
        <v>8461</v>
      </c>
      <c r="D619">
        <f t="shared" si="9"/>
        <v>6</v>
      </c>
    </row>
    <row r="620" spans="1:4">
      <c r="A620" s="2555" t="s">
        <v>7805</v>
      </c>
      <c r="B620" s="2556" t="s">
        <v>8462</v>
      </c>
      <c r="D620">
        <f t="shared" si="9"/>
        <v>6</v>
      </c>
    </row>
    <row r="621" spans="1:4">
      <c r="A621" s="2555" t="s">
        <v>7805</v>
      </c>
      <c r="B621" s="2556" t="s">
        <v>8463</v>
      </c>
      <c r="D621">
        <f t="shared" si="9"/>
        <v>6</v>
      </c>
    </row>
    <row r="622" spans="1:4">
      <c r="A622" s="2555" t="s">
        <v>7805</v>
      </c>
      <c r="B622" s="2556" t="s">
        <v>8464</v>
      </c>
      <c r="D622">
        <f t="shared" si="9"/>
        <v>6</v>
      </c>
    </row>
    <row r="623" spans="1:4">
      <c r="A623" s="2555" t="s">
        <v>7805</v>
      </c>
      <c r="B623" s="2556" t="s">
        <v>8465</v>
      </c>
      <c r="D623">
        <f t="shared" si="9"/>
        <v>6</v>
      </c>
    </row>
    <row r="624" spans="1:4">
      <c r="A624" s="2555" t="s">
        <v>7805</v>
      </c>
      <c r="B624" s="2556" t="s">
        <v>8466</v>
      </c>
      <c r="D624">
        <f t="shared" si="9"/>
        <v>6</v>
      </c>
    </row>
    <row r="625" spans="1:4">
      <c r="A625" s="2555" t="s">
        <v>7805</v>
      </c>
      <c r="B625" s="2556" t="s">
        <v>8467</v>
      </c>
      <c r="D625">
        <f t="shared" si="9"/>
        <v>6</v>
      </c>
    </row>
    <row r="626" spans="1:4">
      <c r="A626" s="2555" t="s">
        <v>7805</v>
      </c>
      <c r="B626" s="2556" t="s">
        <v>8468</v>
      </c>
      <c r="D626">
        <f t="shared" si="9"/>
        <v>6</v>
      </c>
    </row>
    <row r="627" spans="1:4">
      <c r="A627" s="2555" t="s">
        <v>7805</v>
      </c>
      <c r="B627" s="2556" t="s">
        <v>8469</v>
      </c>
      <c r="D627">
        <f t="shared" si="9"/>
        <v>6</v>
      </c>
    </row>
    <row r="628" spans="1:4">
      <c r="A628" s="2555" t="s">
        <v>7805</v>
      </c>
      <c r="B628" s="2556" t="s">
        <v>8470</v>
      </c>
      <c r="D628">
        <f t="shared" si="9"/>
        <v>6</v>
      </c>
    </row>
    <row r="629" spans="1:4">
      <c r="A629" s="2555" t="s">
        <v>7805</v>
      </c>
      <c r="B629" s="2556" t="s">
        <v>8471</v>
      </c>
      <c r="D629">
        <f t="shared" si="9"/>
        <v>6</v>
      </c>
    </row>
    <row r="630" spans="1:4">
      <c r="A630" s="2555" t="s">
        <v>7805</v>
      </c>
      <c r="B630" s="2556" t="s">
        <v>8472</v>
      </c>
      <c r="D630">
        <f t="shared" si="9"/>
        <v>6</v>
      </c>
    </row>
    <row r="631" spans="1:4">
      <c r="A631" s="2555" t="s">
        <v>7805</v>
      </c>
      <c r="B631" s="2556" t="s">
        <v>8473</v>
      </c>
      <c r="D631">
        <f t="shared" si="9"/>
        <v>6</v>
      </c>
    </row>
    <row r="632" spans="1:4">
      <c r="A632" s="2555" t="s">
        <v>7805</v>
      </c>
      <c r="B632" s="2556" t="s">
        <v>8474</v>
      </c>
      <c r="D632">
        <f t="shared" si="9"/>
        <v>6</v>
      </c>
    </row>
    <row r="633" spans="1:4">
      <c r="A633" s="2555" t="s">
        <v>7805</v>
      </c>
      <c r="B633" s="2556" t="s">
        <v>8475</v>
      </c>
      <c r="D633">
        <f t="shared" si="9"/>
        <v>6</v>
      </c>
    </row>
    <row r="634" spans="1:4">
      <c r="A634" s="2555" t="s">
        <v>7805</v>
      </c>
      <c r="B634" s="2556" t="s">
        <v>8476</v>
      </c>
      <c r="D634">
        <f t="shared" si="9"/>
        <v>6</v>
      </c>
    </row>
    <row r="635" spans="1:4">
      <c r="A635" s="2555" t="s">
        <v>7805</v>
      </c>
      <c r="B635" s="2556" t="s">
        <v>8477</v>
      </c>
      <c r="D635">
        <f t="shared" si="9"/>
        <v>6</v>
      </c>
    </row>
    <row r="636" spans="1:4">
      <c r="A636" s="2555" t="s">
        <v>7805</v>
      </c>
      <c r="B636" s="2556" t="s">
        <v>8478</v>
      </c>
      <c r="D636">
        <f t="shared" si="9"/>
        <v>6</v>
      </c>
    </row>
    <row r="637" spans="1:4">
      <c r="A637" s="2555" t="s">
        <v>7805</v>
      </c>
      <c r="B637" s="2556" t="s">
        <v>8479</v>
      </c>
      <c r="D637">
        <f t="shared" si="9"/>
        <v>6</v>
      </c>
    </row>
    <row r="638" spans="1:4">
      <c r="A638" s="2555" t="s">
        <v>7805</v>
      </c>
      <c r="B638" s="2556" t="s">
        <v>8480</v>
      </c>
      <c r="D638">
        <f t="shared" si="9"/>
        <v>6</v>
      </c>
    </row>
    <row r="639" spans="1:4">
      <c r="A639" s="2555" t="s">
        <v>7805</v>
      </c>
      <c r="B639" s="2556" t="s">
        <v>8481</v>
      </c>
      <c r="D639">
        <f t="shared" si="9"/>
        <v>6</v>
      </c>
    </row>
    <row r="640" spans="1:4">
      <c r="A640" s="2555" t="s">
        <v>7805</v>
      </c>
      <c r="B640" s="2556" t="s">
        <v>8482</v>
      </c>
      <c r="D640">
        <f t="shared" si="9"/>
        <v>6</v>
      </c>
    </row>
    <row r="641" spans="1:4">
      <c r="A641" s="2555" t="s">
        <v>7805</v>
      </c>
      <c r="B641" s="2556" t="s">
        <v>8483</v>
      </c>
      <c r="D641">
        <f t="shared" si="9"/>
        <v>6</v>
      </c>
    </row>
    <row r="642" spans="1:4">
      <c r="A642" s="2555" t="s">
        <v>7805</v>
      </c>
      <c r="B642" s="2556" t="s">
        <v>8484</v>
      </c>
      <c r="D642">
        <f t="shared" si="9"/>
        <v>6</v>
      </c>
    </row>
    <row r="643" spans="1:4">
      <c r="A643" s="2555" t="s">
        <v>7805</v>
      </c>
      <c r="B643" s="2556" t="s">
        <v>8485</v>
      </c>
      <c r="D643">
        <f t="shared" ref="D643:D706" si="10">MATCH(A643,$F$3:$F$49,0)</f>
        <v>6</v>
      </c>
    </row>
    <row r="644" spans="1:4">
      <c r="A644" s="2555" t="s">
        <v>7805</v>
      </c>
      <c r="B644" s="2556" t="s">
        <v>8486</v>
      </c>
      <c r="D644">
        <f t="shared" si="10"/>
        <v>6</v>
      </c>
    </row>
    <row r="645" spans="1:4">
      <c r="A645" s="2555" t="s">
        <v>7805</v>
      </c>
      <c r="B645" s="2556" t="s">
        <v>8487</v>
      </c>
      <c r="D645">
        <f t="shared" si="10"/>
        <v>6</v>
      </c>
    </row>
    <row r="646" spans="1:4">
      <c r="A646" s="2555" t="s">
        <v>7805</v>
      </c>
      <c r="B646" s="2556" t="s">
        <v>8488</v>
      </c>
      <c r="D646">
        <f t="shared" si="10"/>
        <v>6</v>
      </c>
    </row>
    <row r="647" spans="1:4">
      <c r="A647" s="2555" t="s">
        <v>7805</v>
      </c>
      <c r="B647" s="2556" t="s">
        <v>8489</v>
      </c>
      <c r="D647">
        <f t="shared" si="10"/>
        <v>6</v>
      </c>
    </row>
    <row r="648" spans="1:4">
      <c r="A648" s="2555" t="s">
        <v>7805</v>
      </c>
      <c r="B648" s="2556" t="s">
        <v>8490</v>
      </c>
      <c r="D648">
        <f t="shared" si="10"/>
        <v>6</v>
      </c>
    </row>
    <row r="649" spans="1:4">
      <c r="A649" s="2555" t="s">
        <v>7805</v>
      </c>
      <c r="B649" s="2556" t="s">
        <v>8491</v>
      </c>
      <c r="D649">
        <f t="shared" si="10"/>
        <v>6</v>
      </c>
    </row>
    <row r="650" spans="1:4">
      <c r="A650" s="2555" t="s">
        <v>7805</v>
      </c>
      <c r="B650" s="2556" t="s">
        <v>8492</v>
      </c>
      <c r="D650">
        <f t="shared" si="10"/>
        <v>6</v>
      </c>
    </row>
    <row r="651" spans="1:4">
      <c r="A651" s="2555" t="s">
        <v>7805</v>
      </c>
      <c r="B651" s="2556" t="s">
        <v>8493</v>
      </c>
      <c r="D651">
        <f t="shared" si="10"/>
        <v>6</v>
      </c>
    </row>
    <row r="652" spans="1:4">
      <c r="A652" s="2555" t="s">
        <v>7805</v>
      </c>
      <c r="B652" s="2556" t="s">
        <v>8494</v>
      </c>
      <c r="D652">
        <f t="shared" si="10"/>
        <v>6</v>
      </c>
    </row>
    <row r="653" spans="1:4">
      <c r="A653" s="2555" t="s">
        <v>7805</v>
      </c>
      <c r="B653" s="2556" t="s">
        <v>8495</v>
      </c>
      <c r="D653">
        <f t="shared" si="10"/>
        <v>6</v>
      </c>
    </row>
    <row r="654" spans="1:4">
      <c r="A654" s="2555" t="s">
        <v>7805</v>
      </c>
      <c r="B654" s="2556" t="s">
        <v>8496</v>
      </c>
      <c r="D654">
        <f t="shared" si="10"/>
        <v>6</v>
      </c>
    </row>
    <row r="655" spans="1:4">
      <c r="A655" s="2555" t="s">
        <v>7805</v>
      </c>
      <c r="B655" s="2556" t="s">
        <v>8497</v>
      </c>
      <c r="D655">
        <f t="shared" si="10"/>
        <v>6</v>
      </c>
    </row>
    <row r="656" spans="1:4">
      <c r="A656" s="2555" t="s">
        <v>7805</v>
      </c>
      <c r="B656" s="2556" t="s">
        <v>8498</v>
      </c>
      <c r="D656">
        <f t="shared" si="10"/>
        <v>6</v>
      </c>
    </row>
    <row r="657" spans="1:4">
      <c r="A657" s="2555" t="s">
        <v>7805</v>
      </c>
      <c r="B657" s="2556" t="s">
        <v>8499</v>
      </c>
      <c r="D657">
        <f t="shared" si="10"/>
        <v>6</v>
      </c>
    </row>
    <row r="658" spans="1:4">
      <c r="A658" s="2555" t="s">
        <v>7805</v>
      </c>
      <c r="B658" s="2556" t="s">
        <v>8500</v>
      </c>
      <c r="D658">
        <f t="shared" si="10"/>
        <v>6</v>
      </c>
    </row>
    <row r="659" spans="1:4">
      <c r="A659" s="2555" t="s">
        <v>7805</v>
      </c>
      <c r="B659" s="2556" t="s">
        <v>8501</v>
      </c>
      <c r="D659">
        <f t="shared" si="10"/>
        <v>6</v>
      </c>
    </row>
    <row r="660" spans="1:4">
      <c r="A660" s="2555" t="s">
        <v>7805</v>
      </c>
      <c r="B660" s="2556" t="s">
        <v>8502</v>
      </c>
      <c r="D660">
        <f t="shared" si="10"/>
        <v>6</v>
      </c>
    </row>
    <row r="661" spans="1:4">
      <c r="A661" s="2555" t="s">
        <v>7805</v>
      </c>
      <c r="B661" s="2556" t="s">
        <v>8503</v>
      </c>
      <c r="D661">
        <f t="shared" si="10"/>
        <v>6</v>
      </c>
    </row>
    <row r="662" spans="1:4">
      <c r="A662" s="2555" t="s">
        <v>7805</v>
      </c>
      <c r="B662" s="2556" t="s">
        <v>8504</v>
      </c>
      <c r="D662">
        <f t="shared" si="10"/>
        <v>6</v>
      </c>
    </row>
    <row r="663" spans="1:4">
      <c r="A663" s="2555" t="s">
        <v>7805</v>
      </c>
      <c r="B663" s="2556" t="s">
        <v>8505</v>
      </c>
      <c r="D663">
        <f t="shared" si="10"/>
        <v>6</v>
      </c>
    </row>
    <row r="664" spans="1:4">
      <c r="A664" s="2555" t="s">
        <v>7805</v>
      </c>
      <c r="B664" s="2556" t="s">
        <v>8506</v>
      </c>
      <c r="D664">
        <f t="shared" si="10"/>
        <v>6</v>
      </c>
    </row>
    <row r="665" spans="1:4">
      <c r="A665" s="2555" t="s">
        <v>7805</v>
      </c>
      <c r="B665" s="2556" t="s">
        <v>8507</v>
      </c>
      <c r="D665">
        <f t="shared" si="10"/>
        <v>6</v>
      </c>
    </row>
    <row r="666" spans="1:4">
      <c r="A666" s="2555" t="s">
        <v>7805</v>
      </c>
      <c r="B666" s="2556" t="s">
        <v>8508</v>
      </c>
      <c r="D666">
        <f t="shared" si="10"/>
        <v>6</v>
      </c>
    </row>
    <row r="667" spans="1:4">
      <c r="A667" s="2555" t="s">
        <v>7805</v>
      </c>
      <c r="B667" s="2556" t="s">
        <v>8509</v>
      </c>
      <c r="D667">
        <f t="shared" si="10"/>
        <v>6</v>
      </c>
    </row>
    <row r="668" spans="1:4">
      <c r="A668" s="2555" t="s">
        <v>7805</v>
      </c>
      <c r="B668" s="2556" t="s">
        <v>8510</v>
      </c>
      <c r="D668">
        <f t="shared" si="10"/>
        <v>6</v>
      </c>
    </row>
    <row r="669" spans="1:4">
      <c r="A669" s="2555" t="s">
        <v>7805</v>
      </c>
      <c r="B669" s="2556" t="s">
        <v>8511</v>
      </c>
      <c r="D669">
        <f t="shared" si="10"/>
        <v>6</v>
      </c>
    </row>
    <row r="670" spans="1:4">
      <c r="A670" s="2555" t="s">
        <v>7805</v>
      </c>
      <c r="B670" s="2556" t="s">
        <v>8512</v>
      </c>
      <c r="D670">
        <f t="shared" si="10"/>
        <v>6</v>
      </c>
    </row>
    <row r="671" spans="1:4">
      <c r="A671" s="2555" t="s">
        <v>7805</v>
      </c>
      <c r="B671" s="2556" t="s">
        <v>8513</v>
      </c>
      <c r="D671">
        <f t="shared" si="10"/>
        <v>6</v>
      </c>
    </row>
    <row r="672" spans="1:4">
      <c r="A672" s="2555" t="s">
        <v>7805</v>
      </c>
      <c r="B672" s="2556" t="s">
        <v>8514</v>
      </c>
      <c r="D672">
        <f t="shared" si="10"/>
        <v>6</v>
      </c>
    </row>
    <row r="673" spans="1:4">
      <c r="A673" s="2555" t="s">
        <v>7805</v>
      </c>
      <c r="B673" s="2556" t="s">
        <v>8515</v>
      </c>
      <c r="D673">
        <f t="shared" si="10"/>
        <v>6</v>
      </c>
    </row>
    <row r="674" spans="1:4">
      <c r="A674" s="2555" t="s">
        <v>7805</v>
      </c>
      <c r="B674" s="2556" t="s">
        <v>8516</v>
      </c>
      <c r="D674">
        <f t="shared" si="10"/>
        <v>6</v>
      </c>
    </row>
    <row r="675" spans="1:4">
      <c r="A675" s="2555" t="s">
        <v>7805</v>
      </c>
      <c r="B675" s="2556" t="s">
        <v>8517</v>
      </c>
      <c r="D675">
        <f t="shared" si="10"/>
        <v>6</v>
      </c>
    </row>
    <row r="676" spans="1:4">
      <c r="A676" s="2555" t="s">
        <v>7805</v>
      </c>
      <c r="B676" s="2556" t="s">
        <v>8518</v>
      </c>
      <c r="D676">
        <f t="shared" si="10"/>
        <v>6</v>
      </c>
    </row>
    <row r="677" spans="1:4">
      <c r="A677" s="2555" t="s">
        <v>7805</v>
      </c>
      <c r="B677" s="2556" t="s">
        <v>8519</v>
      </c>
      <c r="D677">
        <f t="shared" si="10"/>
        <v>6</v>
      </c>
    </row>
    <row r="678" spans="1:4">
      <c r="A678" s="2555" t="s">
        <v>7805</v>
      </c>
      <c r="B678" s="2556" t="s">
        <v>8520</v>
      </c>
      <c r="D678">
        <f t="shared" si="10"/>
        <v>6</v>
      </c>
    </row>
    <row r="679" spans="1:4">
      <c r="A679" s="2555" t="s">
        <v>7805</v>
      </c>
      <c r="B679" s="2556" t="s">
        <v>8521</v>
      </c>
      <c r="D679">
        <f t="shared" si="10"/>
        <v>6</v>
      </c>
    </row>
    <row r="680" spans="1:4">
      <c r="A680" s="2555" t="s">
        <v>7805</v>
      </c>
      <c r="B680" s="2556" t="s">
        <v>8522</v>
      </c>
      <c r="D680">
        <f t="shared" si="10"/>
        <v>6</v>
      </c>
    </row>
    <row r="681" spans="1:4">
      <c r="A681" s="2555" t="s">
        <v>7805</v>
      </c>
      <c r="B681" s="2556" t="s">
        <v>8523</v>
      </c>
      <c r="D681">
        <f t="shared" si="10"/>
        <v>6</v>
      </c>
    </row>
    <row r="682" spans="1:4">
      <c r="A682" s="2555" t="s">
        <v>7805</v>
      </c>
      <c r="B682" s="2556" t="s">
        <v>8524</v>
      </c>
      <c r="D682">
        <f t="shared" si="10"/>
        <v>6</v>
      </c>
    </row>
    <row r="683" spans="1:4">
      <c r="A683" s="2555" t="s">
        <v>7805</v>
      </c>
      <c r="B683" s="2556" t="s">
        <v>8525</v>
      </c>
      <c r="D683">
        <f t="shared" si="10"/>
        <v>6</v>
      </c>
    </row>
    <row r="684" spans="1:4">
      <c r="A684" s="2555" t="s">
        <v>7805</v>
      </c>
      <c r="B684" s="2556" t="s">
        <v>8526</v>
      </c>
      <c r="D684">
        <f t="shared" si="10"/>
        <v>6</v>
      </c>
    </row>
    <row r="685" spans="1:4">
      <c r="A685" s="2555" t="s">
        <v>7805</v>
      </c>
      <c r="B685" s="2556" t="s">
        <v>8527</v>
      </c>
      <c r="D685">
        <f t="shared" si="10"/>
        <v>6</v>
      </c>
    </row>
    <row r="686" spans="1:4">
      <c r="A686" s="2555" t="s">
        <v>7805</v>
      </c>
      <c r="B686" s="2556" t="s">
        <v>8528</v>
      </c>
      <c r="D686">
        <f t="shared" si="10"/>
        <v>6</v>
      </c>
    </row>
    <row r="687" spans="1:4">
      <c r="A687" s="2555" t="s">
        <v>7805</v>
      </c>
      <c r="B687" s="2556" t="s">
        <v>8529</v>
      </c>
      <c r="D687">
        <f t="shared" si="10"/>
        <v>6</v>
      </c>
    </row>
    <row r="688" spans="1:4">
      <c r="A688" s="2555" t="s">
        <v>7805</v>
      </c>
      <c r="B688" s="2556" t="s">
        <v>8530</v>
      </c>
      <c r="D688">
        <f t="shared" si="10"/>
        <v>6</v>
      </c>
    </row>
    <row r="689" spans="1:4">
      <c r="A689" s="2555" t="s">
        <v>7805</v>
      </c>
      <c r="B689" s="2556" t="s">
        <v>8531</v>
      </c>
      <c r="D689">
        <f t="shared" si="10"/>
        <v>6</v>
      </c>
    </row>
    <row r="690" spans="1:4">
      <c r="A690" s="2555" t="s">
        <v>7805</v>
      </c>
      <c r="B690" s="2556" t="s">
        <v>8532</v>
      </c>
      <c r="D690">
        <f t="shared" si="10"/>
        <v>6</v>
      </c>
    </row>
    <row r="691" spans="1:4">
      <c r="A691" s="2555" t="s">
        <v>7805</v>
      </c>
      <c r="B691" s="2556" t="s">
        <v>8533</v>
      </c>
      <c r="D691">
        <f t="shared" si="10"/>
        <v>6</v>
      </c>
    </row>
    <row r="692" spans="1:4">
      <c r="A692" s="2555" t="s">
        <v>7805</v>
      </c>
      <c r="B692" s="2556" t="s">
        <v>8534</v>
      </c>
      <c r="D692">
        <f t="shared" si="10"/>
        <v>6</v>
      </c>
    </row>
    <row r="693" spans="1:4">
      <c r="A693" s="2555" t="s">
        <v>7805</v>
      </c>
      <c r="B693" s="2556" t="s">
        <v>8535</v>
      </c>
      <c r="D693">
        <f t="shared" si="10"/>
        <v>6</v>
      </c>
    </row>
    <row r="694" spans="1:4">
      <c r="A694" s="2555" t="s">
        <v>7805</v>
      </c>
      <c r="B694" s="2556" t="s">
        <v>8536</v>
      </c>
      <c r="D694">
        <f t="shared" si="10"/>
        <v>6</v>
      </c>
    </row>
    <row r="695" spans="1:4">
      <c r="A695" s="2555" t="s">
        <v>7805</v>
      </c>
      <c r="B695" s="2556" t="s">
        <v>8537</v>
      </c>
      <c r="D695">
        <f t="shared" si="10"/>
        <v>6</v>
      </c>
    </row>
    <row r="696" spans="1:4">
      <c r="A696" s="2555" t="s">
        <v>7805</v>
      </c>
      <c r="B696" s="2556" t="s">
        <v>8538</v>
      </c>
      <c r="D696">
        <f t="shared" si="10"/>
        <v>6</v>
      </c>
    </row>
    <row r="697" spans="1:4">
      <c r="A697" s="2555" t="s">
        <v>7805</v>
      </c>
      <c r="B697" s="2556" t="s">
        <v>8539</v>
      </c>
      <c r="D697">
        <f t="shared" si="10"/>
        <v>6</v>
      </c>
    </row>
    <row r="698" spans="1:4">
      <c r="A698" s="2555" t="s">
        <v>7805</v>
      </c>
      <c r="B698" s="2556" t="s">
        <v>8540</v>
      </c>
      <c r="D698">
        <f t="shared" si="10"/>
        <v>6</v>
      </c>
    </row>
    <row r="699" spans="1:4">
      <c r="A699" s="2555" t="s">
        <v>7805</v>
      </c>
      <c r="B699" s="2556" t="s">
        <v>8541</v>
      </c>
      <c r="D699">
        <f t="shared" si="10"/>
        <v>6</v>
      </c>
    </row>
    <row r="700" spans="1:4">
      <c r="A700" s="2555" t="s">
        <v>7805</v>
      </c>
      <c r="B700" s="2556" t="s">
        <v>8542</v>
      </c>
      <c r="D700">
        <f t="shared" si="10"/>
        <v>6</v>
      </c>
    </row>
    <row r="701" spans="1:4">
      <c r="A701" s="2555" t="s">
        <v>7805</v>
      </c>
      <c r="B701" s="2556" t="s">
        <v>8543</v>
      </c>
      <c r="D701">
        <f t="shared" si="10"/>
        <v>6</v>
      </c>
    </row>
    <row r="702" spans="1:4">
      <c r="A702" s="2555" t="s">
        <v>7805</v>
      </c>
      <c r="B702" s="2556" t="s">
        <v>8544</v>
      </c>
      <c r="D702">
        <f t="shared" si="10"/>
        <v>6</v>
      </c>
    </row>
    <row r="703" spans="1:4">
      <c r="A703" s="2555" t="s">
        <v>7805</v>
      </c>
      <c r="B703" s="2556" t="s">
        <v>8545</v>
      </c>
      <c r="D703">
        <f t="shared" si="10"/>
        <v>6</v>
      </c>
    </row>
    <row r="704" spans="1:4">
      <c r="A704" s="2555" t="s">
        <v>7805</v>
      </c>
      <c r="B704" s="2556" t="s">
        <v>8546</v>
      </c>
      <c r="D704">
        <f t="shared" si="10"/>
        <v>6</v>
      </c>
    </row>
    <row r="705" spans="1:4">
      <c r="A705" s="2555" t="s">
        <v>7805</v>
      </c>
      <c r="B705" s="2556" t="s">
        <v>8547</v>
      </c>
      <c r="D705">
        <f t="shared" si="10"/>
        <v>6</v>
      </c>
    </row>
    <row r="706" spans="1:4">
      <c r="A706" s="2555" t="s">
        <v>7805</v>
      </c>
      <c r="B706" s="2556" t="s">
        <v>8548</v>
      </c>
      <c r="D706">
        <f t="shared" si="10"/>
        <v>6</v>
      </c>
    </row>
    <row r="707" spans="1:4">
      <c r="A707" s="2555" t="s">
        <v>7805</v>
      </c>
      <c r="B707" s="2556" t="s">
        <v>8549</v>
      </c>
      <c r="D707">
        <f t="shared" ref="D707:D770" si="11">MATCH(A707,$F$3:$F$49,0)</f>
        <v>6</v>
      </c>
    </row>
    <row r="708" spans="1:4">
      <c r="A708" s="2555" t="s">
        <v>7805</v>
      </c>
      <c r="B708" s="2556" t="s">
        <v>8550</v>
      </c>
      <c r="D708">
        <f t="shared" si="11"/>
        <v>6</v>
      </c>
    </row>
    <row r="709" spans="1:4">
      <c r="A709" s="2555" t="s">
        <v>7805</v>
      </c>
      <c r="B709" s="2556" t="s">
        <v>8551</v>
      </c>
      <c r="D709">
        <f t="shared" si="11"/>
        <v>6</v>
      </c>
    </row>
    <row r="710" spans="1:4">
      <c r="A710" s="2555" t="s">
        <v>7805</v>
      </c>
      <c r="B710" s="2556" t="s">
        <v>8552</v>
      </c>
      <c r="D710">
        <f t="shared" si="11"/>
        <v>6</v>
      </c>
    </row>
    <row r="711" spans="1:4">
      <c r="A711" s="2555" t="s">
        <v>7805</v>
      </c>
      <c r="B711" s="2556" t="s">
        <v>8553</v>
      </c>
      <c r="D711">
        <f t="shared" si="11"/>
        <v>6</v>
      </c>
    </row>
    <row r="712" spans="1:4">
      <c r="A712" s="2555" t="s">
        <v>7805</v>
      </c>
      <c r="B712" s="2556" t="s">
        <v>8554</v>
      </c>
      <c r="D712">
        <f t="shared" si="11"/>
        <v>6</v>
      </c>
    </row>
    <row r="713" spans="1:4">
      <c r="A713" s="2555" t="s">
        <v>7805</v>
      </c>
      <c r="B713" s="2556" t="s">
        <v>8555</v>
      </c>
      <c r="D713">
        <f t="shared" si="11"/>
        <v>6</v>
      </c>
    </row>
    <row r="714" spans="1:4">
      <c r="A714" s="2555" t="s">
        <v>7805</v>
      </c>
      <c r="B714" s="2556" t="s">
        <v>8556</v>
      </c>
      <c r="D714">
        <f t="shared" si="11"/>
        <v>6</v>
      </c>
    </row>
    <row r="715" spans="1:4">
      <c r="A715" s="2555" t="s">
        <v>7805</v>
      </c>
      <c r="B715" s="2556" t="s">
        <v>8557</v>
      </c>
      <c r="D715">
        <f t="shared" si="11"/>
        <v>6</v>
      </c>
    </row>
    <row r="716" spans="1:4">
      <c r="A716" s="2555" t="s">
        <v>7805</v>
      </c>
      <c r="B716" s="2556" t="s">
        <v>8558</v>
      </c>
      <c r="D716">
        <f t="shared" si="11"/>
        <v>6</v>
      </c>
    </row>
    <row r="717" spans="1:4">
      <c r="A717" s="2555" t="s">
        <v>7805</v>
      </c>
      <c r="B717" s="2556" t="s">
        <v>8559</v>
      </c>
      <c r="D717">
        <f t="shared" si="11"/>
        <v>6</v>
      </c>
    </row>
    <row r="718" spans="1:4">
      <c r="A718" s="2555" t="s">
        <v>7805</v>
      </c>
      <c r="B718" s="2556" t="s">
        <v>8560</v>
      </c>
      <c r="D718">
        <f t="shared" si="11"/>
        <v>6</v>
      </c>
    </row>
    <row r="719" spans="1:4">
      <c r="A719" s="2555" t="s">
        <v>7805</v>
      </c>
      <c r="B719" s="2556" t="s">
        <v>8561</v>
      </c>
      <c r="D719">
        <f t="shared" si="11"/>
        <v>6</v>
      </c>
    </row>
    <row r="720" spans="1:4">
      <c r="A720" s="2555" t="s">
        <v>7805</v>
      </c>
      <c r="B720" s="2556" t="s">
        <v>8562</v>
      </c>
      <c r="D720">
        <f t="shared" si="11"/>
        <v>6</v>
      </c>
    </row>
    <row r="721" spans="1:4">
      <c r="A721" s="2555" t="s">
        <v>7805</v>
      </c>
      <c r="B721" s="2556" t="s">
        <v>8563</v>
      </c>
      <c r="D721">
        <f t="shared" si="11"/>
        <v>6</v>
      </c>
    </row>
    <row r="722" spans="1:4">
      <c r="A722" s="2555" t="s">
        <v>7805</v>
      </c>
      <c r="B722" s="2556" t="s">
        <v>8564</v>
      </c>
      <c r="D722">
        <f t="shared" si="11"/>
        <v>6</v>
      </c>
    </row>
    <row r="723" spans="1:4">
      <c r="A723" s="2555" t="s">
        <v>7805</v>
      </c>
      <c r="B723" s="2556" t="s">
        <v>8565</v>
      </c>
      <c r="D723">
        <f t="shared" si="11"/>
        <v>6</v>
      </c>
    </row>
    <row r="724" spans="1:4">
      <c r="A724" s="2555" t="s">
        <v>7805</v>
      </c>
      <c r="B724" s="2556" t="s">
        <v>8566</v>
      </c>
      <c r="D724">
        <f t="shared" si="11"/>
        <v>6</v>
      </c>
    </row>
    <row r="725" spans="1:4">
      <c r="A725" s="2555" t="s">
        <v>7805</v>
      </c>
      <c r="B725" s="2556" t="s">
        <v>8567</v>
      </c>
      <c r="D725">
        <f t="shared" si="11"/>
        <v>6</v>
      </c>
    </row>
    <row r="726" spans="1:4">
      <c r="A726" s="2555" t="s">
        <v>7805</v>
      </c>
      <c r="B726" s="2556" t="s">
        <v>8568</v>
      </c>
      <c r="D726">
        <f t="shared" si="11"/>
        <v>6</v>
      </c>
    </row>
    <row r="727" spans="1:4">
      <c r="A727" s="2555" t="s">
        <v>7805</v>
      </c>
      <c r="B727" s="2556" t="s">
        <v>8569</v>
      </c>
      <c r="D727">
        <f t="shared" si="11"/>
        <v>6</v>
      </c>
    </row>
    <row r="728" spans="1:4">
      <c r="A728" s="2555" t="s">
        <v>7805</v>
      </c>
      <c r="B728" s="2556" t="s">
        <v>8570</v>
      </c>
      <c r="D728">
        <f t="shared" si="11"/>
        <v>6</v>
      </c>
    </row>
    <row r="729" spans="1:4">
      <c r="A729" s="2555" t="s">
        <v>7805</v>
      </c>
      <c r="B729" s="2556" t="s">
        <v>8571</v>
      </c>
      <c r="D729">
        <f t="shared" si="11"/>
        <v>6</v>
      </c>
    </row>
    <row r="730" spans="1:4">
      <c r="A730" s="2555" t="s">
        <v>7805</v>
      </c>
      <c r="B730" s="2556" t="s">
        <v>8572</v>
      </c>
      <c r="D730">
        <f t="shared" si="11"/>
        <v>6</v>
      </c>
    </row>
    <row r="731" spans="1:4">
      <c r="A731" s="2555" t="s">
        <v>7805</v>
      </c>
      <c r="B731" s="2556" t="s">
        <v>8573</v>
      </c>
      <c r="D731">
        <f t="shared" si="11"/>
        <v>6</v>
      </c>
    </row>
    <row r="732" spans="1:4">
      <c r="A732" s="2555" t="s">
        <v>7805</v>
      </c>
      <c r="B732" s="2556" t="s">
        <v>8574</v>
      </c>
      <c r="D732">
        <f t="shared" si="11"/>
        <v>6</v>
      </c>
    </row>
    <row r="733" spans="1:4">
      <c r="A733" s="2555" t="s">
        <v>7805</v>
      </c>
      <c r="B733" s="2556" t="s">
        <v>8575</v>
      </c>
      <c r="D733">
        <f t="shared" si="11"/>
        <v>6</v>
      </c>
    </row>
    <row r="734" spans="1:4">
      <c r="A734" s="2555" t="s">
        <v>7805</v>
      </c>
      <c r="B734" s="2556" t="s">
        <v>8576</v>
      </c>
      <c r="D734">
        <f t="shared" si="11"/>
        <v>6</v>
      </c>
    </row>
    <row r="735" spans="1:4">
      <c r="A735" s="2555" t="s">
        <v>7805</v>
      </c>
      <c r="B735" s="2556" t="s">
        <v>8577</v>
      </c>
      <c r="D735">
        <f t="shared" si="11"/>
        <v>6</v>
      </c>
    </row>
    <row r="736" spans="1:4">
      <c r="A736" s="2555" t="s">
        <v>7805</v>
      </c>
      <c r="B736" s="2556" t="s">
        <v>8578</v>
      </c>
      <c r="D736">
        <f t="shared" si="11"/>
        <v>6</v>
      </c>
    </row>
    <row r="737" spans="1:4">
      <c r="A737" s="2555" t="s">
        <v>7805</v>
      </c>
      <c r="B737" s="2556" t="s">
        <v>8579</v>
      </c>
      <c r="D737">
        <f t="shared" si="11"/>
        <v>6</v>
      </c>
    </row>
    <row r="738" spans="1:4">
      <c r="A738" s="2555" t="s">
        <v>7805</v>
      </c>
      <c r="B738" s="2556" t="s">
        <v>8580</v>
      </c>
      <c r="D738">
        <f t="shared" si="11"/>
        <v>6</v>
      </c>
    </row>
    <row r="739" spans="1:4">
      <c r="A739" s="2555" t="s">
        <v>7805</v>
      </c>
      <c r="B739" s="2556" t="s">
        <v>8581</v>
      </c>
      <c r="D739">
        <f t="shared" si="11"/>
        <v>6</v>
      </c>
    </row>
    <row r="740" spans="1:4">
      <c r="A740" s="2555" t="s">
        <v>7805</v>
      </c>
      <c r="B740" s="2556" t="s">
        <v>8582</v>
      </c>
      <c r="D740">
        <f t="shared" si="11"/>
        <v>6</v>
      </c>
    </row>
    <row r="741" spans="1:4">
      <c r="A741" s="2555" t="s">
        <v>7805</v>
      </c>
      <c r="B741" s="2556" t="s">
        <v>8583</v>
      </c>
      <c r="D741">
        <f t="shared" si="11"/>
        <v>6</v>
      </c>
    </row>
    <row r="742" spans="1:4">
      <c r="A742" s="2555" t="s">
        <v>7805</v>
      </c>
      <c r="B742" s="2556" t="s">
        <v>8584</v>
      </c>
      <c r="D742">
        <f t="shared" si="11"/>
        <v>6</v>
      </c>
    </row>
    <row r="743" spans="1:4">
      <c r="A743" s="2555" t="s">
        <v>7805</v>
      </c>
      <c r="B743" s="2556" t="s">
        <v>8585</v>
      </c>
      <c r="D743">
        <f t="shared" si="11"/>
        <v>6</v>
      </c>
    </row>
    <row r="744" spans="1:4">
      <c r="A744" s="2555" t="s">
        <v>7805</v>
      </c>
      <c r="B744" s="2556" t="s">
        <v>8586</v>
      </c>
      <c r="D744">
        <f t="shared" si="11"/>
        <v>6</v>
      </c>
    </row>
    <row r="745" spans="1:4">
      <c r="A745" s="2555" t="s">
        <v>7805</v>
      </c>
      <c r="B745" s="2556" t="s">
        <v>8587</v>
      </c>
      <c r="D745">
        <f t="shared" si="11"/>
        <v>6</v>
      </c>
    </row>
    <row r="746" spans="1:4">
      <c r="A746" s="2555" t="s">
        <v>7805</v>
      </c>
      <c r="B746" s="2556" t="s">
        <v>8588</v>
      </c>
      <c r="D746">
        <f t="shared" si="11"/>
        <v>6</v>
      </c>
    </row>
    <row r="747" spans="1:4">
      <c r="A747" s="2555" t="s">
        <v>7805</v>
      </c>
      <c r="B747" s="2556" t="s">
        <v>8589</v>
      </c>
      <c r="D747">
        <f t="shared" si="11"/>
        <v>6</v>
      </c>
    </row>
    <row r="748" spans="1:4">
      <c r="A748" s="2555" t="s">
        <v>7805</v>
      </c>
      <c r="B748" s="2556" t="s">
        <v>8590</v>
      </c>
      <c r="D748">
        <f t="shared" si="11"/>
        <v>6</v>
      </c>
    </row>
    <row r="749" spans="1:4">
      <c r="A749" s="2555" t="s">
        <v>7805</v>
      </c>
      <c r="B749" s="2556" t="s">
        <v>8591</v>
      </c>
      <c r="D749">
        <f t="shared" si="11"/>
        <v>6</v>
      </c>
    </row>
    <row r="750" spans="1:4">
      <c r="A750" s="2555" t="s">
        <v>7805</v>
      </c>
      <c r="B750" s="2556" t="s">
        <v>8592</v>
      </c>
      <c r="D750">
        <f t="shared" si="11"/>
        <v>6</v>
      </c>
    </row>
    <row r="751" spans="1:4">
      <c r="A751" s="2555" t="s">
        <v>7805</v>
      </c>
      <c r="B751" s="2556" t="s">
        <v>8593</v>
      </c>
      <c r="D751">
        <f t="shared" si="11"/>
        <v>6</v>
      </c>
    </row>
    <row r="752" spans="1:4">
      <c r="A752" s="2555" t="s">
        <v>7805</v>
      </c>
      <c r="B752" s="2556" t="s">
        <v>8594</v>
      </c>
      <c r="D752">
        <f t="shared" si="11"/>
        <v>6</v>
      </c>
    </row>
    <row r="753" spans="1:4">
      <c r="A753" s="2555" t="s">
        <v>7805</v>
      </c>
      <c r="B753" s="2556" t="s">
        <v>8595</v>
      </c>
      <c r="D753">
        <f t="shared" si="11"/>
        <v>6</v>
      </c>
    </row>
    <row r="754" spans="1:4">
      <c r="A754" s="2555" t="s">
        <v>7805</v>
      </c>
      <c r="B754" s="2556" t="s">
        <v>8596</v>
      </c>
      <c r="D754">
        <f t="shared" si="11"/>
        <v>6</v>
      </c>
    </row>
    <row r="755" spans="1:4">
      <c r="A755" s="2555" t="s">
        <v>7805</v>
      </c>
      <c r="B755" s="2556" t="s">
        <v>8597</v>
      </c>
      <c r="D755">
        <f t="shared" si="11"/>
        <v>6</v>
      </c>
    </row>
    <row r="756" spans="1:4">
      <c r="A756" s="2555" t="s">
        <v>7805</v>
      </c>
      <c r="B756" s="2556" t="s">
        <v>8598</v>
      </c>
      <c r="D756">
        <f t="shared" si="11"/>
        <v>6</v>
      </c>
    </row>
    <row r="757" spans="1:4">
      <c r="A757" s="2555" t="s">
        <v>7805</v>
      </c>
      <c r="B757" s="2556" t="s">
        <v>8599</v>
      </c>
      <c r="D757">
        <f t="shared" si="11"/>
        <v>6</v>
      </c>
    </row>
    <row r="758" spans="1:4">
      <c r="A758" s="2555" t="s">
        <v>7805</v>
      </c>
      <c r="B758" s="2556" t="s">
        <v>8600</v>
      </c>
      <c r="D758">
        <f t="shared" si="11"/>
        <v>6</v>
      </c>
    </row>
    <row r="759" spans="1:4">
      <c r="A759" s="2555" t="s">
        <v>7805</v>
      </c>
      <c r="B759" s="2556" t="s">
        <v>8601</v>
      </c>
      <c r="D759">
        <f t="shared" si="11"/>
        <v>6</v>
      </c>
    </row>
    <row r="760" spans="1:4">
      <c r="A760" s="2555" t="s">
        <v>7805</v>
      </c>
      <c r="B760" s="2556" t="s">
        <v>8602</v>
      </c>
      <c r="D760">
        <f t="shared" si="11"/>
        <v>6</v>
      </c>
    </row>
    <row r="761" spans="1:4">
      <c r="A761" s="2555" t="s">
        <v>7805</v>
      </c>
      <c r="B761" s="2556" t="s">
        <v>8603</v>
      </c>
      <c r="D761">
        <f t="shared" si="11"/>
        <v>6</v>
      </c>
    </row>
    <row r="762" spans="1:4">
      <c r="A762" s="2555" t="s">
        <v>7805</v>
      </c>
      <c r="B762" s="2556" t="s">
        <v>8604</v>
      </c>
      <c r="D762">
        <f t="shared" si="11"/>
        <v>6</v>
      </c>
    </row>
    <row r="763" spans="1:4">
      <c r="A763" s="2555" t="s">
        <v>7805</v>
      </c>
      <c r="B763" s="2556" t="s">
        <v>8605</v>
      </c>
      <c r="D763">
        <f t="shared" si="11"/>
        <v>6</v>
      </c>
    </row>
    <row r="764" spans="1:4">
      <c r="A764" s="2555" t="s">
        <v>7805</v>
      </c>
      <c r="B764" s="2556" t="s">
        <v>8606</v>
      </c>
      <c r="D764">
        <f t="shared" si="11"/>
        <v>6</v>
      </c>
    </row>
    <row r="765" spans="1:4">
      <c r="A765" s="2555" t="s">
        <v>7805</v>
      </c>
      <c r="B765" s="2556" t="s">
        <v>8607</v>
      </c>
      <c r="D765">
        <f t="shared" si="11"/>
        <v>6</v>
      </c>
    </row>
    <row r="766" spans="1:4">
      <c r="A766" s="2555" t="s">
        <v>7805</v>
      </c>
      <c r="B766" s="2556" t="s">
        <v>8608</v>
      </c>
      <c r="D766">
        <f t="shared" si="11"/>
        <v>6</v>
      </c>
    </row>
    <row r="767" spans="1:4">
      <c r="A767" s="2555" t="s">
        <v>7805</v>
      </c>
      <c r="B767" s="2556" t="s">
        <v>8609</v>
      </c>
      <c r="D767">
        <f t="shared" si="11"/>
        <v>6</v>
      </c>
    </row>
    <row r="768" spans="1:4">
      <c r="A768" s="2555" t="s">
        <v>7805</v>
      </c>
      <c r="B768" s="2556" t="s">
        <v>8610</v>
      </c>
      <c r="D768">
        <f t="shared" si="11"/>
        <v>6</v>
      </c>
    </row>
    <row r="769" spans="1:4">
      <c r="A769" s="2555" t="s">
        <v>7805</v>
      </c>
      <c r="B769" s="2556" t="s">
        <v>8611</v>
      </c>
      <c r="D769">
        <f t="shared" si="11"/>
        <v>6</v>
      </c>
    </row>
    <row r="770" spans="1:4">
      <c r="A770" s="2555" t="s">
        <v>7805</v>
      </c>
      <c r="B770" s="2556" t="s">
        <v>8612</v>
      </c>
      <c r="D770">
        <f t="shared" si="11"/>
        <v>6</v>
      </c>
    </row>
    <row r="771" spans="1:4">
      <c r="A771" s="2555" t="s">
        <v>7805</v>
      </c>
      <c r="B771" s="2556" t="s">
        <v>8613</v>
      </c>
      <c r="D771">
        <f t="shared" ref="D771:D834" si="12">MATCH(A771,$F$3:$F$49,0)</f>
        <v>6</v>
      </c>
    </row>
    <row r="772" spans="1:4">
      <c r="A772" s="2555" t="s">
        <v>7805</v>
      </c>
      <c r="B772" s="2556" t="s">
        <v>8614</v>
      </c>
      <c r="D772">
        <f t="shared" si="12"/>
        <v>6</v>
      </c>
    </row>
    <row r="773" spans="1:4">
      <c r="A773" s="2555" t="s">
        <v>7805</v>
      </c>
      <c r="B773" s="2556" t="s">
        <v>8615</v>
      </c>
      <c r="D773">
        <f t="shared" si="12"/>
        <v>6</v>
      </c>
    </row>
    <row r="774" spans="1:4">
      <c r="A774" s="2555" t="s">
        <v>7805</v>
      </c>
      <c r="B774" s="2556" t="s">
        <v>8616</v>
      </c>
      <c r="D774">
        <f t="shared" si="12"/>
        <v>6</v>
      </c>
    </row>
    <row r="775" spans="1:4">
      <c r="A775" s="2555" t="s">
        <v>7805</v>
      </c>
      <c r="B775" s="2556" t="s">
        <v>8617</v>
      </c>
      <c r="D775">
        <f t="shared" si="12"/>
        <v>6</v>
      </c>
    </row>
    <row r="776" spans="1:4">
      <c r="A776" s="2555" t="s">
        <v>7805</v>
      </c>
      <c r="B776" s="2556" t="s">
        <v>8618</v>
      </c>
      <c r="D776">
        <f t="shared" si="12"/>
        <v>6</v>
      </c>
    </row>
    <row r="777" spans="1:4">
      <c r="A777" s="2555" t="s">
        <v>7805</v>
      </c>
      <c r="B777" s="2556" t="s">
        <v>8619</v>
      </c>
      <c r="D777">
        <f t="shared" si="12"/>
        <v>6</v>
      </c>
    </row>
    <row r="778" spans="1:4">
      <c r="A778" s="2555" t="s">
        <v>7805</v>
      </c>
      <c r="B778" s="2556" t="s">
        <v>8620</v>
      </c>
      <c r="D778">
        <f t="shared" si="12"/>
        <v>6</v>
      </c>
    </row>
    <row r="779" spans="1:4">
      <c r="A779" s="2555" t="s">
        <v>7805</v>
      </c>
      <c r="B779" s="2556" t="s">
        <v>8621</v>
      </c>
      <c r="D779">
        <f t="shared" si="12"/>
        <v>6</v>
      </c>
    </row>
    <row r="780" spans="1:4">
      <c r="A780" s="2555" t="s">
        <v>7805</v>
      </c>
      <c r="B780" s="2556" t="s">
        <v>8622</v>
      </c>
      <c r="D780">
        <f t="shared" si="12"/>
        <v>6</v>
      </c>
    </row>
    <row r="781" spans="1:4">
      <c r="A781" s="2555" t="s">
        <v>7805</v>
      </c>
      <c r="B781" s="2556" t="s">
        <v>8623</v>
      </c>
      <c r="D781">
        <f t="shared" si="12"/>
        <v>6</v>
      </c>
    </row>
    <row r="782" spans="1:4">
      <c r="A782" s="2555" t="s">
        <v>7805</v>
      </c>
      <c r="B782" s="2556" t="s">
        <v>8624</v>
      </c>
      <c r="D782">
        <f t="shared" si="12"/>
        <v>6</v>
      </c>
    </row>
    <row r="783" spans="1:4">
      <c r="A783" s="2555" t="s">
        <v>7805</v>
      </c>
      <c r="B783" s="2556" t="s">
        <v>8625</v>
      </c>
      <c r="D783">
        <f t="shared" si="12"/>
        <v>6</v>
      </c>
    </row>
    <row r="784" spans="1:4">
      <c r="A784" s="2555" t="s">
        <v>7805</v>
      </c>
      <c r="B784" s="2556" t="s">
        <v>8626</v>
      </c>
      <c r="D784">
        <f t="shared" si="12"/>
        <v>6</v>
      </c>
    </row>
    <row r="785" spans="1:4">
      <c r="A785" s="2555" t="s">
        <v>7805</v>
      </c>
      <c r="B785" s="2556" t="s">
        <v>8627</v>
      </c>
      <c r="D785">
        <f t="shared" si="12"/>
        <v>6</v>
      </c>
    </row>
    <row r="786" spans="1:4">
      <c r="A786" s="2555" t="s">
        <v>7805</v>
      </c>
      <c r="B786" s="2556" t="s">
        <v>8628</v>
      </c>
      <c r="D786">
        <f t="shared" si="12"/>
        <v>6</v>
      </c>
    </row>
    <row r="787" spans="1:4">
      <c r="A787" s="2555" t="s">
        <v>7805</v>
      </c>
      <c r="B787" s="2556" t="s">
        <v>8629</v>
      </c>
      <c r="D787">
        <f t="shared" si="12"/>
        <v>6</v>
      </c>
    </row>
    <row r="788" spans="1:4">
      <c r="A788" s="2555" t="s">
        <v>7805</v>
      </c>
      <c r="B788" s="2556" t="s">
        <v>8630</v>
      </c>
      <c r="D788">
        <f t="shared" si="12"/>
        <v>6</v>
      </c>
    </row>
    <row r="789" spans="1:4">
      <c r="A789" s="2555" t="s">
        <v>7805</v>
      </c>
      <c r="B789" s="2556" t="s">
        <v>8631</v>
      </c>
      <c r="D789">
        <f t="shared" si="12"/>
        <v>6</v>
      </c>
    </row>
    <row r="790" spans="1:4">
      <c r="A790" s="2555" t="s">
        <v>7805</v>
      </c>
      <c r="B790" s="2556" t="s">
        <v>8632</v>
      </c>
      <c r="D790">
        <f t="shared" si="12"/>
        <v>6</v>
      </c>
    </row>
    <row r="791" spans="1:4">
      <c r="A791" s="2555" t="s">
        <v>7805</v>
      </c>
      <c r="B791" s="2556" t="s">
        <v>8633</v>
      </c>
      <c r="D791">
        <f t="shared" si="12"/>
        <v>6</v>
      </c>
    </row>
    <row r="792" spans="1:4">
      <c r="A792" s="2555" t="s">
        <v>7805</v>
      </c>
      <c r="B792" s="2556" t="s">
        <v>8634</v>
      </c>
      <c r="D792">
        <f t="shared" si="12"/>
        <v>6</v>
      </c>
    </row>
    <row r="793" spans="1:4">
      <c r="A793" s="2555" t="s">
        <v>7805</v>
      </c>
      <c r="B793" s="2556" t="s">
        <v>8635</v>
      </c>
      <c r="D793">
        <f t="shared" si="12"/>
        <v>6</v>
      </c>
    </row>
    <row r="794" spans="1:4">
      <c r="A794" s="2555" t="s">
        <v>7805</v>
      </c>
      <c r="B794" s="2556" t="s">
        <v>8636</v>
      </c>
      <c r="D794">
        <f t="shared" si="12"/>
        <v>6</v>
      </c>
    </row>
    <row r="795" spans="1:4">
      <c r="A795" s="2555" t="s">
        <v>7805</v>
      </c>
      <c r="B795" s="2556" t="s">
        <v>8637</v>
      </c>
      <c r="D795">
        <f t="shared" si="12"/>
        <v>6</v>
      </c>
    </row>
    <row r="796" spans="1:4">
      <c r="A796" s="2555" t="s">
        <v>7805</v>
      </c>
      <c r="B796" s="2556" t="s">
        <v>8638</v>
      </c>
      <c r="D796">
        <f t="shared" si="12"/>
        <v>6</v>
      </c>
    </row>
    <row r="797" spans="1:4">
      <c r="A797" s="2555" t="s">
        <v>7805</v>
      </c>
      <c r="B797" s="2556" t="s">
        <v>8639</v>
      </c>
      <c r="D797">
        <f t="shared" si="12"/>
        <v>6</v>
      </c>
    </row>
    <row r="798" spans="1:4">
      <c r="A798" s="2555" t="s">
        <v>7805</v>
      </c>
      <c r="B798" s="2556" t="s">
        <v>8640</v>
      </c>
      <c r="D798">
        <f t="shared" si="12"/>
        <v>6</v>
      </c>
    </row>
    <row r="799" spans="1:4">
      <c r="A799" s="2555" t="s">
        <v>7805</v>
      </c>
      <c r="B799" s="2556" t="s">
        <v>8641</v>
      </c>
      <c r="D799">
        <f t="shared" si="12"/>
        <v>6</v>
      </c>
    </row>
    <row r="800" spans="1:4">
      <c r="A800" s="2555" t="s">
        <v>7805</v>
      </c>
      <c r="B800" s="2556" t="s">
        <v>8642</v>
      </c>
      <c r="D800">
        <f t="shared" si="12"/>
        <v>6</v>
      </c>
    </row>
    <row r="801" spans="1:4">
      <c r="A801" s="2555" t="s">
        <v>7805</v>
      </c>
      <c r="B801" s="2556" t="s">
        <v>8643</v>
      </c>
      <c r="D801">
        <f t="shared" si="12"/>
        <v>6</v>
      </c>
    </row>
    <row r="802" spans="1:4">
      <c r="A802" s="2555" t="s">
        <v>7805</v>
      </c>
      <c r="B802" s="2556" t="s">
        <v>8644</v>
      </c>
      <c r="D802">
        <f t="shared" si="12"/>
        <v>6</v>
      </c>
    </row>
    <row r="803" spans="1:4">
      <c r="A803" s="2555" t="s">
        <v>7805</v>
      </c>
      <c r="B803" s="2556" t="s">
        <v>8645</v>
      </c>
      <c r="D803">
        <f t="shared" si="12"/>
        <v>6</v>
      </c>
    </row>
    <row r="804" spans="1:4">
      <c r="A804" s="2555" t="s">
        <v>7805</v>
      </c>
      <c r="B804" s="2556" t="s">
        <v>8646</v>
      </c>
      <c r="D804">
        <f t="shared" si="12"/>
        <v>6</v>
      </c>
    </row>
    <row r="805" spans="1:4">
      <c r="A805" s="2555" t="s">
        <v>7805</v>
      </c>
      <c r="B805" s="2556" t="s">
        <v>8647</v>
      </c>
      <c r="D805">
        <f t="shared" si="12"/>
        <v>6</v>
      </c>
    </row>
    <row r="806" spans="1:4">
      <c r="A806" s="2555" t="s">
        <v>7805</v>
      </c>
      <c r="B806" s="2556" t="s">
        <v>8648</v>
      </c>
      <c r="D806">
        <f t="shared" si="12"/>
        <v>6</v>
      </c>
    </row>
    <row r="807" spans="1:4">
      <c r="A807" s="2555" t="s">
        <v>7805</v>
      </c>
      <c r="B807" s="2556" t="s">
        <v>8649</v>
      </c>
      <c r="D807">
        <f t="shared" si="12"/>
        <v>6</v>
      </c>
    </row>
    <row r="808" spans="1:4">
      <c r="A808" s="2555" t="s">
        <v>7805</v>
      </c>
      <c r="B808" s="2556" t="s">
        <v>8650</v>
      </c>
      <c r="D808">
        <f t="shared" si="12"/>
        <v>6</v>
      </c>
    </row>
    <row r="809" spans="1:4">
      <c r="A809" s="2555" t="s">
        <v>7805</v>
      </c>
      <c r="B809" s="2556" t="s">
        <v>8651</v>
      </c>
      <c r="D809">
        <f t="shared" si="12"/>
        <v>6</v>
      </c>
    </row>
    <row r="810" spans="1:4">
      <c r="A810" s="2555" t="s">
        <v>7805</v>
      </c>
      <c r="B810" s="2556" t="s">
        <v>8652</v>
      </c>
      <c r="D810">
        <f t="shared" si="12"/>
        <v>6</v>
      </c>
    </row>
    <row r="811" spans="1:4">
      <c r="A811" s="2555" t="s">
        <v>7805</v>
      </c>
      <c r="B811" s="2556" t="s">
        <v>8653</v>
      </c>
      <c r="D811">
        <f t="shared" si="12"/>
        <v>6</v>
      </c>
    </row>
    <row r="812" spans="1:4">
      <c r="A812" s="2555" t="s">
        <v>7805</v>
      </c>
      <c r="B812" s="2556" t="s">
        <v>8654</v>
      </c>
      <c r="D812">
        <f t="shared" si="12"/>
        <v>6</v>
      </c>
    </row>
    <row r="813" spans="1:4">
      <c r="A813" s="2555" t="s">
        <v>7805</v>
      </c>
      <c r="B813" s="2556" t="s">
        <v>8655</v>
      </c>
      <c r="D813">
        <f t="shared" si="12"/>
        <v>6</v>
      </c>
    </row>
    <row r="814" spans="1:4">
      <c r="A814" s="2555" t="s">
        <v>7805</v>
      </c>
      <c r="B814" s="2556" t="s">
        <v>8656</v>
      </c>
      <c r="D814">
        <f t="shared" si="12"/>
        <v>6</v>
      </c>
    </row>
    <row r="815" spans="1:4">
      <c r="A815" s="2555" t="s">
        <v>7805</v>
      </c>
      <c r="B815" s="2556" t="s">
        <v>8657</v>
      </c>
      <c r="D815">
        <f t="shared" si="12"/>
        <v>6</v>
      </c>
    </row>
    <row r="816" spans="1:4">
      <c r="A816" s="2555" t="s">
        <v>7805</v>
      </c>
      <c r="B816" s="2556" t="s">
        <v>8658</v>
      </c>
      <c r="D816">
        <f t="shared" si="12"/>
        <v>6</v>
      </c>
    </row>
    <row r="817" spans="1:4">
      <c r="A817" s="2555" t="s">
        <v>7805</v>
      </c>
      <c r="B817" s="2556" t="s">
        <v>8659</v>
      </c>
      <c r="D817">
        <f t="shared" si="12"/>
        <v>6</v>
      </c>
    </row>
    <row r="818" spans="1:4">
      <c r="A818" s="2555" t="s">
        <v>7805</v>
      </c>
      <c r="B818" s="2556" t="s">
        <v>8660</v>
      </c>
      <c r="D818">
        <f t="shared" si="12"/>
        <v>6</v>
      </c>
    </row>
    <row r="819" spans="1:4">
      <c r="A819" s="2555" t="s">
        <v>7805</v>
      </c>
      <c r="B819" s="2556" t="s">
        <v>8661</v>
      </c>
      <c r="D819">
        <f t="shared" si="12"/>
        <v>6</v>
      </c>
    </row>
    <row r="820" spans="1:4">
      <c r="A820" s="2555" t="s">
        <v>7805</v>
      </c>
      <c r="B820" s="2556" t="s">
        <v>8662</v>
      </c>
      <c r="D820">
        <f t="shared" si="12"/>
        <v>6</v>
      </c>
    </row>
    <row r="821" spans="1:4">
      <c r="A821" s="2555" t="s">
        <v>7805</v>
      </c>
      <c r="B821" s="2556" t="s">
        <v>8663</v>
      </c>
      <c r="D821">
        <f t="shared" si="12"/>
        <v>6</v>
      </c>
    </row>
    <row r="822" spans="1:4">
      <c r="A822" s="2555" t="s">
        <v>7805</v>
      </c>
      <c r="B822" s="2556" t="s">
        <v>8664</v>
      </c>
      <c r="D822">
        <f t="shared" si="12"/>
        <v>6</v>
      </c>
    </row>
    <row r="823" spans="1:4">
      <c r="A823" s="2555" t="s">
        <v>7805</v>
      </c>
      <c r="B823" s="2556" t="s">
        <v>8665</v>
      </c>
      <c r="D823">
        <f t="shared" si="12"/>
        <v>6</v>
      </c>
    </row>
    <row r="824" spans="1:4">
      <c r="A824" s="2555" t="s">
        <v>7805</v>
      </c>
      <c r="B824" s="2556" t="s">
        <v>8666</v>
      </c>
      <c r="D824">
        <f t="shared" si="12"/>
        <v>6</v>
      </c>
    </row>
    <row r="825" spans="1:4">
      <c r="A825" s="2555" t="s">
        <v>7805</v>
      </c>
      <c r="B825" s="2556" t="s">
        <v>8667</v>
      </c>
      <c r="D825">
        <f t="shared" si="12"/>
        <v>6</v>
      </c>
    </row>
    <row r="826" spans="1:4">
      <c r="A826" s="2555" t="s">
        <v>7805</v>
      </c>
      <c r="B826" s="2556" t="s">
        <v>8668</v>
      </c>
      <c r="D826">
        <f t="shared" si="12"/>
        <v>6</v>
      </c>
    </row>
    <row r="827" spans="1:4">
      <c r="A827" s="2555" t="s">
        <v>7805</v>
      </c>
      <c r="B827" s="2556" t="s">
        <v>8669</v>
      </c>
      <c r="D827">
        <f t="shared" si="12"/>
        <v>6</v>
      </c>
    </row>
    <row r="828" spans="1:4">
      <c r="A828" s="2555" t="s">
        <v>7805</v>
      </c>
      <c r="B828" s="2556" t="s">
        <v>8670</v>
      </c>
      <c r="D828">
        <f t="shared" si="12"/>
        <v>6</v>
      </c>
    </row>
    <row r="829" spans="1:4">
      <c r="A829" s="2555" t="s">
        <v>7805</v>
      </c>
      <c r="B829" s="2556" t="s">
        <v>8671</v>
      </c>
      <c r="D829">
        <f t="shared" si="12"/>
        <v>6</v>
      </c>
    </row>
    <row r="830" spans="1:4">
      <c r="A830" s="2555" t="s">
        <v>7805</v>
      </c>
      <c r="B830" s="2556" t="s">
        <v>8672</v>
      </c>
      <c r="D830">
        <f t="shared" si="12"/>
        <v>6</v>
      </c>
    </row>
    <row r="831" spans="1:4">
      <c r="A831" s="2555" t="s">
        <v>7805</v>
      </c>
      <c r="B831" s="2556" t="s">
        <v>8673</v>
      </c>
      <c r="D831">
        <f t="shared" si="12"/>
        <v>6</v>
      </c>
    </row>
    <row r="832" spans="1:4">
      <c r="A832" s="2555" t="s">
        <v>7805</v>
      </c>
      <c r="B832" s="2556" t="s">
        <v>8674</v>
      </c>
      <c r="D832">
        <f t="shared" si="12"/>
        <v>6</v>
      </c>
    </row>
    <row r="833" spans="1:4">
      <c r="A833" s="2555" t="s">
        <v>7805</v>
      </c>
      <c r="B833" s="2556" t="s">
        <v>8675</v>
      </c>
      <c r="D833">
        <f t="shared" si="12"/>
        <v>6</v>
      </c>
    </row>
    <row r="834" spans="1:4">
      <c r="A834" s="2555" t="s">
        <v>7805</v>
      </c>
      <c r="B834" s="2556" t="s">
        <v>8676</v>
      </c>
      <c r="D834">
        <f t="shared" si="12"/>
        <v>6</v>
      </c>
    </row>
    <row r="835" spans="1:4">
      <c r="A835" s="2555" t="s">
        <v>7805</v>
      </c>
      <c r="B835" s="2556" t="s">
        <v>8677</v>
      </c>
      <c r="D835">
        <f t="shared" ref="D835:D898" si="13">MATCH(A835,$F$3:$F$49,0)</f>
        <v>6</v>
      </c>
    </row>
    <row r="836" spans="1:4">
      <c r="A836" s="2555" t="s">
        <v>7805</v>
      </c>
      <c r="B836" s="2556" t="s">
        <v>8678</v>
      </c>
      <c r="D836">
        <f t="shared" si="13"/>
        <v>6</v>
      </c>
    </row>
    <row r="837" spans="1:4">
      <c r="A837" s="2555" t="s">
        <v>7805</v>
      </c>
      <c r="B837" s="2556" t="s">
        <v>8679</v>
      </c>
      <c r="D837">
        <f t="shared" si="13"/>
        <v>6</v>
      </c>
    </row>
    <row r="838" spans="1:4">
      <c r="A838" s="2555" t="s">
        <v>7805</v>
      </c>
      <c r="B838" s="2556" t="s">
        <v>8680</v>
      </c>
      <c r="D838">
        <f t="shared" si="13"/>
        <v>6</v>
      </c>
    </row>
    <row r="839" spans="1:4">
      <c r="A839" s="2555" t="s">
        <v>7805</v>
      </c>
      <c r="B839" s="2556" t="s">
        <v>8681</v>
      </c>
      <c r="D839">
        <f t="shared" si="13"/>
        <v>6</v>
      </c>
    </row>
    <row r="840" spans="1:4">
      <c r="A840" s="2555" t="s">
        <v>7805</v>
      </c>
      <c r="B840" s="2556" t="s">
        <v>8682</v>
      </c>
      <c r="D840">
        <f t="shared" si="13"/>
        <v>6</v>
      </c>
    </row>
    <row r="841" spans="1:4">
      <c r="A841" s="2555" t="s">
        <v>7805</v>
      </c>
      <c r="B841" s="2556" t="s">
        <v>8683</v>
      </c>
      <c r="D841">
        <f t="shared" si="13"/>
        <v>6</v>
      </c>
    </row>
    <row r="842" spans="1:4">
      <c r="A842" s="2555" t="s">
        <v>7805</v>
      </c>
      <c r="B842" s="2556" t="s">
        <v>8684</v>
      </c>
      <c r="D842">
        <f t="shared" si="13"/>
        <v>6</v>
      </c>
    </row>
    <row r="843" spans="1:4">
      <c r="A843" s="2555" t="s">
        <v>7805</v>
      </c>
      <c r="B843" s="2556" t="s">
        <v>8685</v>
      </c>
      <c r="D843">
        <f t="shared" si="13"/>
        <v>6</v>
      </c>
    </row>
    <row r="844" spans="1:4">
      <c r="A844" s="2555" t="s">
        <v>7805</v>
      </c>
      <c r="B844" s="2556" t="s">
        <v>8686</v>
      </c>
      <c r="D844">
        <f t="shared" si="13"/>
        <v>6</v>
      </c>
    </row>
    <row r="845" spans="1:4">
      <c r="A845" s="2555" t="s">
        <v>7805</v>
      </c>
      <c r="B845" s="2556" t="s">
        <v>8687</v>
      </c>
      <c r="D845">
        <f t="shared" si="13"/>
        <v>6</v>
      </c>
    </row>
    <row r="846" spans="1:4">
      <c r="A846" s="2555" t="s">
        <v>7805</v>
      </c>
      <c r="B846" s="2556" t="s">
        <v>8688</v>
      </c>
      <c r="D846">
        <f t="shared" si="13"/>
        <v>6</v>
      </c>
    </row>
    <row r="847" spans="1:4">
      <c r="A847" s="2555" t="s">
        <v>7805</v>
      </c>
      <c r="B847" s="2556" t="s">
        <v>8689</v>
      </c>
      <c r="D847">
        <f t="shared" si="13"/>
        <v>6</v>
      </c>
    </row>
    <row r="848" spans="1:4">
      <c r="A848" s="2555" t="s">
        <v>7805</v>
      </c>
      <c r="B848" s="2556" t="s">
        <v>8690</v>
      </c>
      <c r="D848">
        <f t="shared" si="13"/>
        <v>6</v>
      </c>
    </row>
    <row r="849" spans="1:4">
      <c r="A849" s="2555" t="s">
        <v>7805</v>
      </c>
      <c r="B849" s="2556" t="s">
        <v>8691</v>
      </c>
      <c r="D849">
        <f t="shared" si="13"/>
        <v>6</v>
      </c>
    </row>
    <row r="850" spans="1:4">
      <c r="A850" s="2555" t="s">
        <v>7805</v>
      </c>
      <c r="B850" s="2556" t="s">
        <v>8692</v>
      </c>
      <c r="D850">
        <f t="shared" si="13"/>
        <v>6</v>
      </c>
    </row>
    <row r="851" spans="1:4">
      <c r="A851" s="2555" t="s">
        <v>7805</v>
      </c>
      <c r="B851" s="2556" t="s">
        <v>8693</v>
      </c>
      <c r="D851">
        <f t="shared" si="13"/>
        <v>6</v>
      </c>
    </row>
    <row r="852" spans="1:4">
      <c r="A852" s="2555" t="s">
        <v>7805</v>
      </c>
      <c r="B852" s="2556" t="s">
        <v>8694</v>
      </c>
      <c r="D852">
        <f t="shared" si="13"/>
        <v>6</v>
      </c>
    </row>
    <row r="853" spans="1:4">
      <c r="A853" s="2555" t="s">
        <v>7805</v>
      </c>
      <c r="B853" s="2556" t="s">
        <v>8695</v>
      </c>
      <c r="D853">
        <f t="shared" si="13"/>
        <v>6</v>
      </c>
    </row>
    <row r="854" spans="1:4">
      <c r="A854" s="2555" t="s">
        <v>7805</v>
      </c>
      <c r="B854" s="2556" t="s">
        <v>8696</v>
      </c>
      <c r="D854">
        <f t="shared" si="13"/>
        <v>6</v>
      </c>
    </row>
    <row r="855" spans="1:4">
      <c r="A855" s="2555" t="s">
        <v>7805</v>
      </c>
      <c r="B855" s="2556" t="s">
        <v>8697</v>
      </c>
      <c r="D855">
        <f t="shared" si="13"/>
        <v>6</v>
      </c>
    </row>
    <row r="856" spans="1:4">
      <c r="A856" s="2555" t="s">
        <v>7805</v>
      </c>
      <c r="B856" s="2556" t="s">
        <v>8698</v>
      </c>
      <c r="D856">
        <f t="shared" si="13"/>
        <v>6</v>
      </c>
    </row>
    <row r="857" spans="1:4">
      <c r="A857" s="2555" t="s">
        <v>7805</v>
      </c>
      <c r="B857" s="2556" t="s">
        <v>8699</v>
      </c>
      <c r="D857">
        <f t="shared" si="13"/>
        <v>6</v>
      </c>
    </row>
    <row r="858" spans="1:4">
      <c r="A858" s="2555" t="s">
        <v>7805</v>
      </c>
      <c r="B858" s="2556" t="s">
        <v>8700</v>
      </c>
      <c r="D858">
        <f t="shared" si="13"/>
        <v>6</v>
      </c>
    </row>
    <row r="859" spans="1:4">
      <c r="A859" s="2555" t="s">
        <v>7805</v>
      </c>
      <c r="B859" s="2556" t="s">
        <v>8701</v>
      </c>
      <c r="D859">
        <f t="shared" si="13"/>
        <v>6</v>
      </c>
    </row>
    <row r="860" spans="1:4">
      <c r="A860" s="2555" t="s">
        <v>7805</v>
      </c>
      <c r="B860" s="2556" t="s">
        <v>8702</v>
      </c>
      <c r="D860">
        <f t="shared" si="13"/>
        <v>6</v>
      </c>
    </row>
    <row r="861" spans="1:4">
      <c r="A861" s="2555" t="s">
        <v>7805</v>
      </c>
      <c r="B861" s="2556" t="s">
        <v>8703</v>
      </c>
      <c r="D861">
        <f t="shared" si="13"/>
        <v>6</v>
      </c>
    </row>
    <row r="862" spans="1:4">
      <c r="A862" s="2555" t="s">
        <v>7805</v>
      </c>
      <c r="B862" s="2556" t="s">
        <v>8704</v>
      </c>
      <c r="D862">
        <f t="shared" si="13"/>
        <v>6</v>
      </c>
    </row>
    <row r="863" spans="1:4">
      <c r="A863" s="2555" t="s">
        <v>7805</v>
      </c>
      <c r="B863" s="2556" t="s">
        <v>8705</v>
      </c>
      <c r="D863">
        <f t="shared" si="13"/>
        <v>6</v>
      </c>
    </row>
    <row r="864" spans="1:4">
      <c r="A864" s="2555" t="s">
        <v>7805</v>
      </c>
      <c r="B864" s="2556" t="s">
        <v>8706</v>
      </c>
      <c r="D864">
        <f t="shared" si="13"/>
        <v>6</v>
      </c>
    </row>
    <row r="865" spans="1:4">
      <c r="A865" s="2555" t="s">
        <v>7805</v>
      </c>
      <c r="B865" s="2556" t="s">
        <v>8707</v>
      </c>
      <c r="D865">
        <f t="shared" si="13"/>
        <v>6</v>
      </c>
    </row>
    <row r="866" spans="1:4">
      <c r="A866" s="2555" t="s">
        <v>7805</v>
      </c>
      <c r="B866" s="2556" t="s">
        <v>8708</v>
      </c>
      <c r="D866">
        <f t="shared" si="13"/>
        <v>6</v>
      </c>
    </row>
    <row r="867" spans="1:4">
      <c r="A867" s="2555" t="s">
        <v>7805</v>
      </c>
      <c r="B867" s="2556" t="s">
        <v>8709</v>
      </c>
      <c r="D867">
        <f t="shared" si="13"/>
        <v>6</v>
      </c>
    </row>
    <row r="868" spans="1:4">
      <c r="A868" s="2555" t="s">
        <v>7805</v>
      </c>
      <c r="B868" s="2556" t="s">
        <v>8710</v>
      </c>
      <c r="D868">
        <f t="shared" si="13"/>
        <v>6</v>
      </c>
    </row>
    <row r="869" spans="1:4">
      <c r="A869" s="2555" t="s">
        <v>7805</v>
      </c>
      <c r="B869" s="2556" t="s">
        <v>8711</v>
      </c>
      <c r="D869">
        <f t="shared" si="13"/>
        <v>6</v>
      </c>
    </row>
    <row r="870" spans="1:4">
      <c r="A870" s="2555" t="s">
        <v>7805</v>
      </c>
      <c r="B870" s="2556" t="s">
        <v>8712</v>
      </c>
    </row>
    <row r="871" spans="1:4">
      <c r="A871" s="2555" t="s">
        <v>7805</v>
      </c>
      <c r="B871" s="2556" t="s">
        <v>8713</v>
      </c>
      <c r="D871">
        <f t="shared" si="13"/>
        <v>6</v>
      </c>
    </row>
    <row r="872" spans="1:4">
      <c r="A872" s="2555" t="s">
        <v>7805</v>
      </c>
      <c r="B872" s="2556" t="s">
        <v>8714</v>
      </c>
      <c r="D872">
        <f t="shared" si="13"/>
        <v>6</v>
      </c>
    </row>
    <row r="873" spans="1:4">
      <c r="A873" s="2555" t="s">
        <v>7805</v>
      </c>
      <c r="B873" s="2556" t="s">
        <v>8715</v>
      </c>
      <c r="D873">
        <f t="shared" si="13"/>
        <v>6</v>
      </c>
    </row>
    <row r="874" spans="1:4">
      <c r="A874" s="2555" t="s">
        <v>7805</v>
      </c>
      <c r="B874" s="2556" t="s">
        <v>8716</v>
      </c>
      <c r="D874">
        <f t="shared" si="13"/>
        <v>6</v>
      </c>
    </row>
    <row r="875" spans="1:4">
      <c r="A875" s="2555" t="s">
        <v>7805</v>
      </c>
      <c r="B875" s="2556" t="s">
        <v>8717</v>
      </c>
      <c r="D875">
        <f t="shared" si="13"/>
        <v>6</v>
      </c>
    </row>
    <row r="876" spans="1:4">
      <c r="A876" s="2555" t="s">
        <v>7805</v>
      </c>
      <c r="B876" s="2556" t="s">
        <v>7883</v>
      </c>
      <c r="D876">
        <f t="shared" si="13"/>
        <v>6</v>
      </c>
    </row>
    <row r="877" spans="1:4">
      <c r="A877" s="2555" t="s">
        <v>7805</v>
      </c>
      <c r="B877" s="2556" t="s">
        <v>8718</v>
      </c>
      <c r="D877">
        <f t="shared" si="13"/>
        <v>6</v>
      </c>
    </row>
    <row r="878" spans="1:4">
      <c r="A878" s="2555" t="s">
        <v>7805</v>
      </c>
      <c r="B878" s="2556" t="s">
        <v>8719</v>
      </c>
      <c r="D878">
        <f t="shared" si="13"/>
        <v>6</v>
      </c>
    </row>
    <row r="879" spans="1:4">
      <c r="A879" s="2555" t="s">
        <v>7805</v>
      </c>
      <c r="B879" s="2556" t="s">
        <v>8720</v>
      </c>
      <c r="D879">
        <f t="shared" si="13"/>
        <v>6</v>
      </c>
    </row>
    <row r="880" spans="1:4">
      <c r="A880" s="2555" t="s">
        <v>7805</v>
      </c>
      <c r="B880" s="2556" t="s">
        <v>8721</v>
      </c>
      <c r="D880">
        <f t="shared" si="13"/>
        <v>6</v>
      </c>
    </row>
    <row r="881" spans="1:4">
      <c r="A881" s="2555" t="s">
        <v>7805</v>
      </c>
      <c r="B881" s="2556" t="s">
        <v>8722</v>
      </c>
      <c r="D881">
        <f t="shared" si="13"/>
        <v>6</v>
      </c>
    </row>
    <row r="882" spans="1:4">
      <c r="A882" s="2555" t="s">
        <v>7805</v>
      </c>
      <c r="B882" s="2556" t="s">
        <v>8723</v>
      </c>
      <c r="D882">
        <f t="shared" si="13"/>
        <v>6</v>
      </c>
    </row>
    <row r="883" spans="1:4">
      <c r="A883" s="2555" t="s">
        <v>7805</v>
      </c>
      <c r="B883" s="2556" t="s">
        <v>8724</v>
      </c>
      <c r="D883">
        <f t="shared" si="13"/>
        <v>6</v>
      </c>
    </row>
    <row r="884" spans="1:4">
      <c r="A884" s="2555" t="s">
        <v>7805</v>
      </c>
      <c r="B884" s="2556" t="s">
        <v>8725</v>
      </c>
      <c r="D884">
        <f t="shared" si="13"/>
        <v>6</v>
      </c>
    </row>
    <row r="885" spans="1:4">
      <c r="A885" s="2555" t="s">
        <v>7805</v>
      </c>
      <c r="B885" s="2556" t="s">
        <v>8726</v>
      </c>
      <c r="D885">
        <f t="shared" si="13"/>
        <v>6</v>
      </c>
    </row>
    <row r="886" spans="1:4">
      <c r="A886" s="2555" t="s">
        <v>7805</v>
      </c>
      <c r="B886" s="2556" t="s">
        <v>8727</v>
      </c>
      <c r="D886">
        <f t="shared" si="13"/>
        <v>6</v>
      </c>
    </row>
    <row r="887" spans="1:4">
      <c r="A887" s="2555" t="s">
        <v>7805</v>
      </c>
      <c r="B887" s="2556" t="s">
        <v>8728</v>
      </c>
      <c r="D887">
        <f t="shared" si="13"/>
        <v>6</v>
      </c>
    </row>
    <row r="888" spans="1:4">
      <c r="A888" s="2555" t="s">
        <v>7805</v>
      </c>
      <c r="B888" s="2556" t="s">
        <v>8729</v>
      </c>
      <c r="D888">
        <f t="shared" si="13"/>
        <v>6</v>
      </c>
    </row>
    <row r="889" spans="1:4">
      <c r="A889" s="2555" t="s">
        <v>7805</v>
      </c>
      <c r="B889" s="2556" t="s">
        <v>8730</v>
      </c>
      <c r="D889">
        <f t="shared" si="13"/>
        <v>6</v>
      </c>
    </row>
    <row r="890" spans="1:4">
      <c r="A890" s="2555" t="s">
        <v>7805</v>
      </c>
      <c r="B890" s="2556" t="s">
        <v>8731</v>
      </c>
      <c r="D890">
        <f t="shared" si="13"/>
        <v>6</v>
      </c>
    </row>
    <row r="891" spans="1:4">
      <c r="A891" s="2555" t="s">
        <v>7805</v>
      </c>
      <c r="B891" s="2556" t="s">
        <v>8732</v>
      </c>
      <c r="D891">
        <f t="shared" si="13"/>
        <v>6</v>
      </c>
    </row>
    <row r="892" spans="1:4">
      <c r="A892" s="2555" t="s">
        <v>7805</v>
      </c>
      <c r="B892" s="2556" t="s">
        <v>8733</v>
      </c>
      <c r="D892">
        <f t="shared" si="13"/>
        <v>6</v>
      </c>
    </row>
    <row r="893" spans="1:4">
      <c r="A893" s="2555" t="s">
        <v>7805</v>
      </c>
      <c r="B893" s="2556" t="s">
        <v>8734</v>
      </c>
      <c r="D893">
        <f t="shared" si="13"/>
        <v>6</v>
      </c>
    </row>
    <row r="894" spans="1:4">
      <c r="A894" s="2555" t="s">
        <v>7805</v>
      </c>
      <c r="B894" s="2556" t="s">
        <v>8735</v>
      </c>
      <c r="D894">
        <f t="shared" si="13"/>
        <v>6</v>
      </c>
    </row>
    <row r="895" spans="1:4">
      <c r="A895" s="2555" t="s">
        <v>7805</v>
      </c>
      <c r="B895" s="2556" t="s">
        <v>8736</v>
      </c>
      <c r="D895">
        <f t="shared" si="13"/>
        <v>6</v>
      </c>
    </row>
    <row r="896" spans="1:4">
      <c r="A896" s="2555" t="s">
        <v>7805</v>
      </c>
      <c r="B896" s="2556" t="s">
        <v>8737</v>
      </c>
      <c r="D896">
        <f t="shared" si="13"/>
        <v>6</v>
      </c>
    </row>
    <row r="897" spans="1:4">
      <c r="A897" s="2555" t="s">
        <v>7805</v>
      </c>
      <c r="B897" s="2556" t="s">
        <v>8738</v>
      </c>
      <c r="D897">
        <f t="shared" si="13"/>
        <v>6</v>
      </c>
    </row>
    <row r="898" spans="1:4">
      <c r="A898" s="2555" t="s">
        <v>7805</v>
      </c>
      <c r="B898" s="2556" t="s">
        <v>8739</v>
      </c>
      <c r="D898">
        <f t="shared" si="13"/>
        <v>6</v>
      </c>
    </row>
    <row r="899" spans="1:4">
      <c r="A899" s="2555" t="s">
        <v>7805</v>
      </c>
      <c r="B899" s="2556" t="s">
        <v>8740</v>
      </c>
      <c r="D899">
        <f t="shared" ref="D899:D962" si="14">MATCH(A899,$F$3:$F$49,0)</f>
        <v>6</v>
      </c>
    </row>
    <row r="900" spans="1:4">
      <c r="A900" s="2555" t="s">
        <v>7805</v>
      </c>
      <c r="B900" s="2556" t="s">
        <v>8741</v>
      </c>
      <c r="D900">
        <f t="shared" si="14"/>
        <v>6</v>
      </c>
    </row>
    <row r="901" spans="1:4">
      <c r="A901" s="2555" t="s">
        <v>7805</v>
      </c>
      <c r="B901" s="2556" t="s">
        <v>8742</v>
      </c>
      <c r="D901">
        <f t="shared" si="14"/>
        <v>6</v>
      </c>
    </row>
    <row r="902" spans="1:4">
      <c r="A902" s="2555" t="s">
        <v>7805</v>
      </c>
      <c r="B902" s="2556" t="s">
        <v>8743</v>
      </c>
      <c r="D902">
        <f t="shared" si="14"/>
        <v>6</v>
      </c>
    </row>
    <row r="903" spans="1:4">
      <c r="A903" s="2555" t="s">
        <v>7805</v>
      </c>
      <c r="B903" s="2556" t="s">
        <v>8744</v>
      </c>
      <c r="D903">
        <f t="shared" si="14"/>
        <v>6</v>
      </c>
    </row>
    <row r="904" spans="1:4">
      <c r="A904" s="2555" t="s">
        <v>7805</v>
      </c>
      <c r="B904" s="2556" t="s">
        <v>8745</v>
      </c>
      <c r="D904">
        <f t="shared" si="14"/>
        <v>6</v>
      </c>
    </row>
    <row r="905" spans="1:4">
      <c r="A905" s="2555" t="s">
        <v>7805</v>
      </c>
      <c r="B905" s="2556" t="s">
        <v>8746</v>
      </c>
      <c r="D905">
        <f t="shared" si="14"/>
        <v>6</v>
      </c>
    </row>
    <row r="906" spans="1:4">
      <c r="A906" s="2555" t="s">
        <v>7805</v>
      </c>
      <c r="B906" s="2556" t="s">
        <v>8747</v>
      </c>
      <c r="D906">
        <f t="shared" si="14"/>
        <v>6</v>
      </c>
    </row>
    <row r="907" spans="1:4">
      <c r="A907" s="2555" t="s">
        <v>7805</v>
      </c>
      <c r="B907" s="2556" t="s">
        <v>8748</v>
      </c>
      <c r="D907">
        <f t="shared" si="14"/>
        <v>6</v>
      </c>
    </row>
    <row r="908" spans="1:4">
      <c r="A908" s="2555" t="s">
        <v>7805</v>
      </c>
      <c r="B908" s="2556" t="s">
        <v>8749</v>
      </c>
      <c r="D908">
        <f t="shared" si="14"/>
        <v>6</v>
      </c>
    </row>
    <row r="909" spans="1:4">
      <c r="A909" s="2555" t="s">
        <v>7805</v>
      </c>
      <c r="B909" s="2556" t="s">
        <v>8750</v>
      </c>
      <c r="D909">
        <f t="shared" si="14"/>
        <v>6</v>
      </c>
    </row>
    <row r="910" spans="1:4">
      <c r="A910" s="2555" t="s">
        <v>7805</v>
      </c>
      <c r="B910" s="2556" t="s">
        <v>8751</v>
      </c>
      <c r="D910">
        <f t="shared" si="14"/>
        <v>6</v>
      </c>
    </row>
    <row r="911" spans="1:4">
      <c r="A911" s="2555" t="s">
        <v>7805</v>
      </c>
      <c r="B911" s="2556" t="s">
        <v>8752</v>
      </c>
      <c r="D911">
        <f t="shared" si="14"/>
        <v>6</v>
      </c>
    </row>
    <row r="912" spans="1:4">
      <c r="A912" s="2555" t="s">
        <v>7805</v>
      </c>
      <c r="B912" s="2556" t="s">
        <v>8753</v>
      </c>
      <c r="D912">
        <f t="shared" si="14"/>
        <v>6</v>
      </c>
    </row>
    <row r="913" spans="1:4">
      <c r="A913" s="2555" t="s">
        <v>7805</v>
      </c>
      <c r="B913" s="2556" t="s">
        <v>8754</v>
      </c>
      <c r="D913">
        <f t="shared" si="14"/>
        <v>6</v>
      </c>
    </row>
    <row r="914" spans="1:4">
      <c r="A914" s="2555" t="s">
        <v>7805</v>
      </c>
      <c r="B914" s="2556" t="s">
        <v>8755</v>
      </c>
      <c r="D914">
        <f t="shared" si="14"/>
        <v>6</v>
      </c>
    </row>
    <row r="915" spans="1:4">
      <c r="A915" s="2555" t="s">
        <v>7805</v>
      </c>
      <c r="B915" s="2556" t="s">
        <v>8756</v>
      </c>
      <c r="D915">
        <f t="shared" si="14"/>
        <v>6</v>
      </c>
    </row>
    <row r="916" spans="1:4">
      <c r="A916" s="2555" t="s">
        <v>7805</v>
      </c>
      <c r="B916" s="2556" t="s">
        <v>8757</v>
      </c>
      <c r="D916">
        <f t="shared" si="14"/>
        <v>6</v>
      </c>
    </row>
    <row r="917" spans="1:4">
      <c r="A917" s="2555" t="s">
        <v>7805</v>
      </c>
      <c r="B917" s="2556" t="s">
        <v>8758</v>
      </c>
      <c r="D917">
        <f t="shared" si="14"/>
        <v>6</v>
      </c>
    </row>
    <row r="918" spans="1:4">
      <c r="A918" s="2555" t="s">
        <v>7805</v>
      </c>
      <c r="B918" s="2556" t="s">
        <v>8759</v>
      </c>
      <c r="D918">
        <f t="shared" si="14"/>
        <v>6</v>
      </c>
    </row>
    <row r="919" spans="1:4">
      <c r="A919" s="2555" t="s">
        <v>7805</v>
      </c>
      <c r="B919" s="2556" t="s">
        <v>8760</v>
      </c>
      <c r="D919">
        <f t="shared" si="14"/>
        <v>6</v>
      </c>
    </row>
    <row r="920" spans="1:4">
      <c r="A920" s="2555" t="s">
        <v>7805</v>
      </c>
      <c r="B920" s="2556" t="s">
        <v>8761</v>
      </c>
      <c r="D920">
        <f t="shared" si="14"/>
        <v>6</v>
      </c>
    </row>
    <row r="921" spans="1:4">
      <c r="A921" s="2555" t="s">
        <v>7805</v>
      </c>
      <c r="B921" s="2556" t="s">
        <v>8762</v>
      </c>
      <c r="D921">
        <f t="shared" si="14"/>
        <v>6</v>
      </c>
    </row>
    <row r="922" spans="1:4">
      <c r="A922" s="2555" t="s">
        <v>7805</v>
      </c>
      <c r="B922" s="2556" t="s">
        <v>8763</v>
      </c>
      <c r="D922">
        <f t="shared" si="14"/>
        <v>6</v>
      </c>
    </row>
    <row r="923" spans="1:4">
      <c r="A923" s="2555" t="s">
        <v>7805</v>
      </c>
      <c r="B923" s="2556" t="s">
        <v>8764</v>
      </c>
      <c r="D923">
        <f t="shared" si="14"/>
        <v>6</v>
      </c>
    </row>
    <row r="924" spans="1:4">
      <c r="A924" s="2555" t="s">
        <v>7805</v>
      </c>
      <c r="B924" s="2556" t="s">
        <v>8765</v>
      </c>
      <c r="D924">
        <f t="shared" si="14"/>
        <v>6</v>
      </c>
    </row>
    <row r="925" spans="1:4">
      <c r="A925" s="2555" t="s">
        <v>7805</v>
      </c>
      <c r="B925" s="2556" t="s">
        <v>8766</v>
      </c>
      <c r="D925">
        <f t="shared" si="14"/>
        <v>6</v>
      </c>
    </row>
    <row r="926" spans="1:4">
      <c r="A926" s="2555" t="s">
        <v>7805</v>
      </c>
      <c r="B926" s="2556" t="s">
        <v>8767</v>
      </c>
      <c r="D926">
        <f t="shared" si="14"/>
        <v>6</v>
      </c>
    </row>
    <row r="927" spans="1:4">
      <c r="A927" s="2555" t="s">
        <v>7805</v>
      </c>
      <c r="B927" s="2556" t="s">
        <v>8768</v>
      </c>
      <c r="D927">
        <f t="shared" si="14"/>
        <v>6</v>
      </c>
    </row>
    <row r="928" spans="1:4">
      <c r="A928" s="2555" t="s">
        <v>7805</v>
      </c>
      <c r="B928" s="2556" t="s">
        <v>8769</v>
      </c>
      <c r="D928">
        <f t="shared" si="14"/>
        <v>6</v>
      </c>
    </row>
    <row r="929" spans="1:4">
      <c r="A929" s="2555" t="s">
        <v>7805</v>
      </c>
      <c r="B929" s="2556" t="s">
        <v>8770</v>
      </c>
      <c r="D929">
        <f t="shared" si="14"/>
        <v>6</v>
      </c>
    </row>
    <row r="930" spans="1:4">
      <c r="A930" s="2555" t="s">
        <v>7805</v>
      </c>
      <c r="B930" s="2556" t="s">
        <v>8771</v>
      </c>
      <c r="D930">
        <f t="shared" si="14"/>
        <v>6</v>
      </c>
    </row>
    <row r="931" spans="1:4">
      <c r="A931" s="2555" t="s">
        <v>7805</v>
      </c>
      <c r="B931" s="2556" t="s">
        <v>8772</v>
      </c>
      <c r="D931">
        <f t="shared" si="14"/>
        <v>6</v>
      </c>
    </row>
    <row r="932" spans="1:4">
      <c r="A932" s="2555" t="s">
        <v>7805</v>
      </c>
      <c r="B932" s="2556" t="s">
        <v>8773</v>
      </c>
      <c r="D932">
        <f t="shared" si="14"/>
        <v>6</v>
      </c>
    </row>
    <row r="933" spans="1:4">
      <c r="A933" s="2555" t="s">
        <v>7805</v>
      </c>
      <c r="B933" s="2556" t="s">
        <v>8774</v>
      </c>
      <c r="D933">
        <f t="shared" si="14"/>
        <v>6</v>
      </c>
    </row>
    <row r="934" spans="1:4">
      <c r="A934" s="2555" t="s">
        <v>7805</v>
      </c>
      <c r="B934" s="2556" t="s">
        <v>8775</v>
      </c>
      <c r="D934">
        <f t="shared" si="14"/>
        <v>6</v>
      </c>
    </row>
    <row r="935" spans="1:4">
      <c r="A935" s="2555" t="s">
        <v>7805</v>
      </c>
      <c r="B935" s="2556" t="s">
        <v>8776</v>
      </c>
      <c r="D935">
        <f t="shared" si="14"/>
        <v>6</v>
      </c>
    </row>
    <row r="936" spans="1:4">
      <c r="A936" s="2555" t="s">
        <v>7805</v>
      </c>
      <c r="B936" s="2556" t="s">
        <v>8777</v>
      </c>
      <c r="D936">
        <f t="shared" si="14"/>
        <v>6</v>
      </c>
    </row>
    <row r="937" spans="1:4">
      <c r="A937" s="2555" t="s">
        <v>7805</v>
      </c>
      <c r="B937" s="2556" t="s">
        <v>8778</v>
      </c>
      <c r="D937">
        <f t="shared" si="14"/>
        <v>6</v>
      </c>
    </row>
    <row r="938" spans="1:4">
      <c r="A938" s="2555" t="s">
        <v>7805</v>
      </c>
      <c r="B938" s="2556" t="s">
        <v>8779</v>
      </c>
      <c r="D938">
        <f t="shared" si="14"/>
        <v>6</v>
      </c>
    </row>
    <row r="939" spans="1:4">
      <c r="A939" s="2555" t="s">
        <v>7805</v>
      </c>
      <c r="B939" s="2556" t="s">
        <v>8780</v>
      </c>
      <c r="D939">
        <f t="shared" si="14"/>
        <v>6</v>
      </c>
    </row>
    <row r="940" spans="1:4">
      <c r="A940" s="2555" t="s">
        <v>7805</v>
      </c>
      <c r="B940" s="2556" t="s">
        <v>8781</v>
      </c>
      <c r="D940">
        <f t="shared" si="14"/>
        <v>6</v>
      </c>
    </row>
    <row r="941" spans="1:4">
      <c r="A941" s="2555" t="s">
        <v>7805</v>
      </c>
      <c r="B941" s="2556" t="s">
        <v>8782</v>
      </c>
      <c r="D941">
        <f t="shared" si="14"/>
        <v>6</v>
      </c>
    </row>
    <row r="942" spans="1:4">
      <c r="A942" s="2555" t="s">
        <v>7805</v>
      </c>
      <c r="B942" s="2556" t="s">
        <v>8783</v>
      </c>
      <c r="D942">
        <f t="shared" si="14"/>
        <v>6</v>
      </c>
    </row>
    <row r="943" spans="1:4">
      <c r="A943" s="2555" t="s">
        <v>7805</v>
      </c>
      <c r="B943" s="2556" t="s">
        <v>8784</v>
      </c>
      <c r="D943">
        <f t="shared" si="14"/>
        <v>6</v>
      </c>
    </row>
    <row r="944" spans="1:4">
      <c r="A944" s="2555" t="s">
        <v>7805</v>
      </c>
      <c r="B944" s="2556" t="s">
        <v>8785</v>
      </c>
      <c r="D944">
        <f t="shared" si="14"/>
        <v>6</v>
      </c>
    </row>
    <row r="945" spans="1:4">
      <c r="A945" s="2555" t="s">
        <v>7805</v>
      </c>
      <c r="B945" s="2556" t="s">
        <v>8786</v>
      </c>
      <c r="D945">
        <f t="shared" si="14"/>
        <v>6</v>
      </c>
    </row>
    <row r="946" spans="1:4">
      <c r="A946" s="2555" t="s">
        <v>7805</v>
      </c>
      <c r="B946" s="2556" t="s">
        <v>8787</v>
      </c>
      <c r="D946">
        <f t="shared" si="14"/>
        <v>6</v>
      </c>
    </row>
    <row r="947" spans="1:4">
      <c r="A947" s="2555" t="s">
        <v>7805</v>
      </c>
      <c r="B947" s="2556" t="s">
        <v>8788</v>
      </c>
      <c r="D947">
        <f t="shared" si="14"/>
        <v>6</v>
      </c>
    </row>
    <row r="948" spans="1:4">
      <c r="A948" s="2555" t="s">
        <v>7805</v>
      </c>
      <c r="B948" s="2556" t="s">
        <v>8789</v>
      </c>
      <c r="D948">
        <f t="shared" si="14"/>
        <v>6</v>
      </c>
    </row>
    <row r="949" spans="1:4">
      <c r="A949" s="2555" t="s">
        <v>7805</v>
      </c>
      <c r="B949" s="2556" t="s">
        <v>8790</v>
      </c>
      <c r="D949">
        <f t="shared" si="14"/>
        <v>6</v>
      </c>
    </row>
    <row r="950" spans="1:4">
      <c r="A950" s="2555" t="s">
        <v>7805</v>
      </c>
      <c r="B950" s="2556" t="s">
        <v>8791</v>
      </c>
      <c r="D950">
        <f t="shared" si="14"/>
        <v>6</v>
      </c>
    </row>
    <row r="951" spans="1:4">
      <c r="A951" s="2555" t="s">
        <v>7805</v>
      </c>
      <c r="B951" s="2556" t="s">
        <v>8792</v>
      </c>
      <c r="D951">
        <f t="shared" si="14"/>
        <v>6</v>
      </c>
    </row>
    <row r="952" spans="1:4">
      <c r="A952" s="2555" t="s">
        <v>7805</v>
      </c>
      <c r="B952" s="2556" t="s">
        <v>8793</v>
      </c>
      <c r="D952">
        <f t="shared" si="14"/>
        <v>6</v>
      </c>
    </row>
    <row r="953" spans="1:4">
      <c r="A953" s="2555" t="s">
        <v>7805</v>
      </c>
      <c r="B953" s="2556" t="s">
        <v>8794</v>
      </c>
      <c r="D953">
        <f t="shared" si="14"/>
        <v>6</v>
      </c>
    </row>
    <row r="954" spans="1:4">
      <c r="A954" s="2555" t="s">
        <v>7805</v>
      </c>
      <c r="B954" s="2556" t="s">
        <v>8795</v>
      </c>
      <c r="D954">
        <f t="shared" si="14"/>
        <v>6</v>
      </c>
    </row>
    <row r="955" spans="1:4">
      <c r="A955" s="2555" t="s">
        <v>7805</v>
      </c>
      <c r="B955" s="2556" t="s">
        <v>8796</v>
      </c>
      <c r="D955">
        <f t="shared" si="14"/>
        <v>6</v>
      </c>
    </row>
    <row r="956" spans="1:4">
      <c r="A956" s="2555" t="s">
        <v>7805</v>
      </c>
      <c r="B956" s="2556" t="s">
        <v>8797</v>
      </c>
      <c r="D956">
        <f t="shared" si="14"/>
        <v>6</v>
      </c>
    </row>
    <row r="957" spans="1:4">
      <c r="A957" s="2555" t="s">
        <v>7805</v>
      </c>
      <c r="B957" s="2556" t="s">
        <v>8798</v>
      </c>
      <c r="D957">
        <f t="shared" si="14"/>
        <v>6</v>
      </c>
    </row>
    <row r="958" spans="1:4">
      <c r="A958" s="2555" t="s">
        <v>7805</v>
      </c>
      <c r="B958" s="2556" t="s">
        <v>8799</v>
      </c>
      <c r="D958">
        <f t="shared" si="14"/>
        <v>6</v>
      </c>
    </row>
    <row r="959" spans="1:4">
      <c r="A959" s="2555" t="s">
        <v>7805</v>
      </c>
      <c r="B959" s="2556" t="s">
        <v>8800</v>
      </c>
      <c r="D959">
        <f t="shared" si="14"/>
        <v>6</v>
      </c>
    </row>
    <row r="960" spans="1:4">
      <c r="A960" s="2555" t="s">
        <v>7805</v>
      </c>
      <c r="B960" s="2556" t="s">
        <v>8801</v>
      </c>
      <c r="D960">
        <f t="shared" si="14"/>
        <v>6</v>
      </c>
    </row>
    <row r="961" spans="1:4">
      <c r="A961" s="2555" t="s">
        <v>7805</v>
      </c>
      <c r="B961" s="2556" t="s">
        <v>8802</v>
      </c>
      <c r="D961">
        <f t="shared" si="14"/>
        <v>6</v>
      </c>
    </row>
    <row r="962" spans="1:4">
      <c r="A962" s="2555" t="s">
        <v>7805</v>
      </c>
      <c r="B962" s="2556" t="s">
        <v>8803</v>
      </c>
      <c r="D962">
        <f t="shared" si="14"/>
        <v>6</v>
      </c>
    </row>
    <row r="963" spans="1:4">
      <c r="A963" s="2555" t="s">
        <v>7805</v>
      </c>
      <c r="B963" s="2556" t="s">
        <v>8804</v>
      </c>
      <c r="D963">
        <f t="shared" ref="D963:D1026" si="15">MATCH(A963,$F$3:$F$49,0)</f>
        <v>6</v>
      </c>
    </row>
    <row r="964" spans="1:4">
      <c r="A964" s="2555" t="s">
        <v>7805</v>
      </c>
      <c r="B964" s="2556" t="s">
        <v>8805</v>
      </c>
      <c r="D964">
        <f t="shared" si="15"/>
        <v>6</v>
      </c>
    </row>
    <row r="965" spans="1:4">
      <c r="A965" s="2555" t="s">
        <v>7805</v>
      </c>
      <c r="B965" s="2556" t="s">
        <v>8806</v>
      </c>
      <c r="D965">
        <f t="shared" si="15"/>
        <v>6</v>
      </c>
    </row>
    <row r="966" spans="1:4">
      <c r="A966" s="2555" t="s">
        <v>7805</v>
      </c>
      <c r="B966" s="2556" t="s">
        <v>8807</v>
      </c>
      <c r="D966">
        <f t="shared" si="15"/>
        <v>6</v>
      </c>
    </row>
    <row r="967" spans="1:4">
      <c r="A967" s="2555" t="s">
        <v>7805</v>
      </c>
      <c r="B967" s="2556" t="s">
        <v>8808</v>
      </c>
      <c r="D967">
        <f t="shared" si="15"/>
        <v>6</v>
      </c>
    </row>
    <row r="968" spans="1:4">
      <c r="A968" s="2555" t="s">
        <v>7805</v>
      </c>
      <c r="B968" s="2556" t="s">
        <v>8809</v>
      </c>
      <c r="D968">
        <f t="shared" si="15"/>
        <v>6</v>
      </c>
    </row>
    <row r="969" spans="1:4">
      <c r="A969" s="2555" t="s">
        <v>7805</v>
      </c>
      <c r="B969" s="2556" t="s">
        <v>8810</v>
      </c>
      <c r="D969">
        <f t="shared" si="15"/>
        <v>6</v>
      </c>
    </row>
    <row r="970" spans="1:4">
      <c r="A970" s="2555" t="s">
        <v>7805</v>
      </c>
      <c r="B970" s="2556" t="s">
        <v>8811</v>
      </c>
      <c r="D970">
        <f t="shared" si="15"/>
        <v>6</v>
      </c>
    </row>
    <row r="971" spans="1:4">
      <c r="A971" s="2555" t="s">
        <v>7805</v>
      </c>
      <c r="B971" s="2556" t="s">
        <v>8812</v>
      </c>
      <c r="D971">
        <f t="shared" si="15"/>
        <v>6</v>
      </c>
    </row>
    <row r="972" spans="1:4">
      <c r="A972" s="2555" t="s">
        <v>7805</v>
      </c>
      <c r="B972" s="2556" t="s">
        <v>8813</v>
      </c>
      <c r="D972">
        <f t="shared" si="15"/>
        <v>6</v>
      </c>
    </row>
    <row r="973" spans="1:4">
      <c r="A973" s="2555" t="s">
        <v>7805</v>
      </c>
      <c r="B973" s="2556" t="s">
        <v>8814</v>
      </c>
      <c r="D973">
        <f t="shared" si="15"/>
        <v>6</v>
      </c>
    </row>
    <row r="974" spans="1:4">
      <c r="A974" s="2555" t="s">
        <v>7805</v>
      </c>
      <c r="B974" s="2556" t="s">
        <v>8815</v>
      </c>
      <c r="D974">
        <f t="shared" si="15"/>
        <v>6</v>
      </c>
    </row>
    <row r="975" spans="1:4">
      <c r="A975" s="2555" t="s">
        <v>7805</v>
      </c>
      <c r="B975" s="2556" t="s">
        <v>8816</v>
      </c>
      <c r="D975">
        <f t="shared" si="15"/>
        <v>6</v>
      </c>
    </row>
    <row r="976" spans="1:4">
      <c r="A976" s="2555" t="s">
        <v>7805</v>
      </c>
      <c r="B976" s="2556" t="s">
        <v>8817</v>
      </c>
      <c r="D976">
        <f t="shared" si="15"/>
        <v>6</v>
      </c>
    </row>
    <row r="977" spans="1:4">
      <c r="A977" s="2555" t="s">
        <v>7805</v>
      </c>
      <c r="B977" s="2556" t="s">
        <v>8818</v>
      </c>
      <c r="D977">
        <f t="shared" si="15"/>
        <v>6</v>
      </c>
    </row>
    <row r="978" spans="1:4">
      <c r="A978" s="2555" t="s">
        <v>7805</v>
      </c>
      <c r="B978" s="2556" t="s">
        <v>8819</v>
      </c>
      <c r="D978">
        <f t="shared" si="15"/>
        <v>6</v>
      </c>
    </row>
    <row r="979" spans="1:4">
      <c r="A979" s="2555" t="s">
        <v>7805</v>
      </c>
      <c r="B979" s="2556" t="s">
        <v>8820</v>
      </c>
      <c r="D979">
        <f t="shared" si="15"/>
        <v>6</v>
      </c>
    </row>
    <row r="980" spans="1:4">
      <c r="A980" s="2555" t="s">
        <v>7805</v>
      </c>
      <c r="B980" s="2556" t="s">
        <v>8821</v>
      </c>
      <c r="D980">
        <f t="shared" si="15"/>
        <v>6</v>
      </c>
    </row>
    <row r="981" spans="1:4">
      <c r="A981" s="2555" t="s">
        <v>7805</v>
      </c>
      <c r="B981" s="2556" t="s">
        <v>8822</v>
      </c>
      <c r="D981">
        <f t="shared" si="15"/>
        <v>6</v>
      </c>
    </row>
    <row r="982" spans="1:4">
      <c r="A982" s="2555" t="s">
        <v>7805</v>
      </c>
      <c r="B982" s="2556" t="s">
        <v>8823</v>
      </c>
      <c r="D982">
        <f t="shared" si="15"/>
        <v>6</v>
      </c>
    </row>
    <row r="983" spans="1:4">
      <c r="A983" s="2555" t="s">
        <v>7805</v>
      </c>
      <c r="B983" s="2556" t="s">
        <v>8824</v>
      </c>
      <c r="D983">
        <f t="shared" si="15"/>
        <v>6</v>
      </c>
    </row>
    <row r="984" spans="1:4">
      <c r="A984" s="2555" t="s">
        <v>7805</v>
      </c>
      <c r="B984" s="2556" t="s">
        <v>8825</v>
      </c>
      <c r="D984">
        <f t="shared" si="15"/>
        <v>6</v>
      </c>
    </row>
    <row r="985" spans="1:4">
      <c r="A985" s="2555" t="s">
        <v>7805</v>
      </c>
      <c r="B985" s="2556" t="s">
        <v>8826</v>
      </c>
      <c r="D985">
        <f t="shared" si="15"/>
        <v>6</v>
      </c>
    </row>
    <row r="986" spans="1:4">
      <c r="A986" s="2555" t="s">
        <v>7805</v>
      </c>
      <c r="B986" s="2556" t="s">
        <v>8827</v>
      </c>
      <c r="D986">
        <f t="shared" si="15"/>
        <v>6</v>
      </c>
    </row>
    <row r="987" spans="1:4">
      <c r="A987" s="2555" t="s">
        <v>7805</v>
      </c>
      <c r="B987" s="2556" t="s">
        <v>8828</v>
      </c>
      <c r="D987">
        <f t="shared" si="15"/>
        <v>6</v>
      </c>
    </row>
    <row r="988" spans="1:4">
      <c r="A988" s="2555" t="s">
        <v>7805</v>
      </c>
      <c r="B988" s="2556" t="s">
        <v>8829</v>
      </c>
      <c r="D988">
        <f t="shared" si="15"/>
        <v>6</v>
      </c>
    </row>
    <row r="989" spans="1:4">
      <c r="A989" s="2555" t="s">
        <v>7805</v>
      </c>
      <c r="B989" s="2556" t="s">
        <v>8830</v>
      </c>
      <c r="D989">
        <f t="shared" si="15"/>
        <v>6</v>
      </c>
    </row>
    <row r="990" spans="1:4">
      <c r="A990" s="2555" t="s">
        <v>7805</v>
      </c>
      <c r="B990" s="2556" t="s">
        <v>8831</v>
      </c>
      <c r="D990">
        <f t="shared" si="15"/>
        <v>6</v>
      </c>
    </row>
    <row r="991" spans="1:4">
      <c r="A991" s="2555" t="s">
        <v>7805</v>
      </c>
      <c r="B991" s="2556" t="s">
        <v>8832</v>
      </c>
      <c r="D991">
        <f t="shared" si="15"/>
        <v>6</v>
      </c>
    </row>
    <row r="992" spans="1:4">
      <c r="A992" s="2555" t="s">
        <v>7805</v>
      </c>
      <c r="B992" s="2556" t="s">
        <v>8833</v>
      </c>
      <c r="D992">
        <f t="shared" si="15"/>
        <v>6</v>
      </c>
    </row>
    <row r="993" spans="1:4">
      <c r="A993" s="2555" t="s">
        <v>7805</v>
      </c>
      <c r="B993" s="2556" t="s">
        <v>8834</v>
      </c>
      <c r="D993">
        <f t="shared" si="15"/>
        <v>6</v>
      </c>
    </row>
    <row r="994" spans="1:4">
      <c r="A994" s="2555" t="s">
        <v>7805</v>
      </c>
      <c r="B994" s="2556" t="s">
        <v>8835</v>
      </c>
      <c r="D994">
        <f t="shared" si="15"/>
        <v>6</v>
      </c>
    </row>
    <row r="995" spans="1:4">
      <c r="A995" s="2555" t="s">
        <v>7805</v>
      </c>
      <c r="B995" s="2556" t="s">
        <v>8836</v>
      </c>
      <c r="D995">
        <f t="shared" si="15"/>
        <v>6</v>
      </c>
    </row>
    <row r="996" spans="1:4">
      <c r="A996" s="2555" t="s">
        <v>7805</v>
      </c>
      <c r="B996" s="2556" t="s">
        <v>8837</v>
      </c>
      <c r="D996">
        <f t="shared" si="15"/>
        <v>6</v>
      </c>
    </row>
    <row r="997" spans="1:4">
      <c r="A997" s="2555" t="s">
        <v>7805</v>
      </c>
      <c r="B997" s="2556" t="s">
        <v>8838</v>
      </c>
      <c r="D997">
        <f t="shared" si="15"/>
        <v>6</v>
      </c>
    </row>
    <row r="998" spans="1:4">
      <c r="A998" s="2555" t="s">
        <v>7805</v>
      </c>
      <c r="B998" s="2556" t="s">
        <v>8839</v>
      </c>
      <c r="D998">
        <f t="shared" si="15"/>
        <v>6</v>
      </c>
    </row>
    <row r="999" spans="1:4">
      <c r="A999" s="2555" t="s">
        <v>7805</v>
      </c>
      <c r="B999" s="2556" t="s">
        <v>8840</v>
      </c>
      <c r="D999">
        <f t="shared" si="15"/>
        <v>6</v>
      </c>
    </row>
    <row r="1000" spans="1:4">
      <c r="A1000" s="2555" t="s">
        <v>7805</v>
      </c>
      <c r="B1000" s="2556" t="s">
        <v>8841</v>
      </c>
      <c r="D1000">
        <f t="shared" si="15"/>
        <v>6</v>
      </c>
    </row>
    <row r="1001" spans="1:4">
      <c r="A1001" s="2555" t="s">
        <v>7807</v>
      </c>
      <c r="B1001" s="2556" t="s">
        <v>8842</v>
      </c>
      <c r="D1001">
        <f t="shared" si="15"/>
        <v>7</v>
      </c>
    </row>
    <row r="1002" spans="1:4">
      <c r="A1002" s="2555" t="s">
        <v>7809</v>
      </c>
      <c r="B1002" s="2556" t="s">
        <v>8843</v>
      </c>
      <c r="D1002">
        <f t="shared" si="15"/>
        <v>8</v>
      </c>
    </row>
    <row r="1003" spans="1:4">
      <c r="A1003" s="2555" t="s">
        <v>7809</v>
      </c>
      <c r="B1003" s="2556" t="s">
        <v>8844</v>
      </c>
      <c r="D1003">
        <f t="shared" si="15"/>
        <v>8</v>
      </c>
    </row>
    <row r="1004" spans="1:4">
      <c r="A1004" s="2555" t="s">
        <v>7809</v>
      </c>
      <c r="B1004" s="2556" t="s">
        <v>8845</v>
      </c>
      <c r="D1004">
        <f t="shared" si="15"/>
        <v>8</v>
      </c>
    </row>
    <row r="1005" spans="1:4">
      <c r="A1005" s="2555" t="s">
        <v>7809</v>
      </c>
      <c r="B1005" s="2556" t="s">
        <v>8846</v>
      </c>
      <c r="D1005">
        <f t="shared" si="15"/>
        <v>8</v>
      </c>
    </row>
    <row r="1006" spans="1:4">
      <c r="A1006" s="2555" t="s">
        <v>7809</v>
      </c>
      <c r="B1006" s="2556" t="s">
        <v>8847</v>
      </c>
      <c r="D1006">
        <f t="shared" si="15"/>
        <v>8</v>
      </c>
    </row>
    <row r="1007" spans="1:4">
      <c r="A1007" s="2555" t="s">
        <v>7809</v>
      </c>
      <c r="B1007" s="2556" t="s">
        <v>8848</v>
      </c>
      <c r="D1007">
        <f t="shared" si="15"/>
        <v>8</v>
      </c>
    </row>
    <row r="1008" spans="1:4">
      <c r="A1008" s="2555" t="s">
        <v>7809</v>
      </c>
      <c r="B1008" s="2556" t="s">
        <v>8849</v>
      </c>
      <c r="D1008">
        <f t="shared" si="15"/>
        <v>8</v>
      </c>
    </row>
    <row r="1009" spans="1:4">
      <c r="A1009" s="2555" t="s">
        <v>7809</v>
      </c>
      <c r="B1009" s="2556" t="s">
        <v>8850</v>
      </c>
      <c r="D1009">
        <f t="shared" si="15"/>
        <v>8</v>
      </c>
    </row>
    <row r="1010" spans="1:4">
      <c r="A1010" s="2555" t="s">
        <v>7809</v>
      </c>
      <c r="B1010" s="2556" t="s">
        <v>8851</v>
      </c>
      <c r="D1010">
        <f t="shared" si="15"/>
        <v>8</v>
      </c>
    </row>
    <row r="1011" spans="1:4">
      <c r="A1011" s="2555" t="s">
        <v>7809</v>
      </c>
      <c r="B1011" s="2556" t="s">
        <v>8852</v>
      </c>
      <c r="D1011">
        <f t="shared" si="15"/>
        <v>8</v>
      </c>
    </row>
    <row r="1012" spans="1:4">
      <c r="A1012" s="2555" t="s">
        <v>7809</v>
      </c>
      <c r="B1012" s="2556" t="s">
        <v>8853</v>
      </c>
      <c r="D1012">
        <f t="shared" si="15"/>
        <v>8</v>
      </c>
    </row>
    <row r="1013" spans="1:4">
      <c r="A1013" s="2555" t="s">
        <v>7809</v>
      </c>
      <c r="B1013" s="2556" t="s">
        <v>8854</v>
      </c>
      <c r="D1013">
        <f t="shared" si="15"/>
        <v>8</v>
      </c>
    </row>
    <row r="1014" spans="1:4">
      <c r="A1014" s="2555" t="s">
        <v>7809</v>
      </c>
      <c r="B1014" s="2556" t="s">
        <v>8855</v>
      </c>
      <c r="D1014">
        <f t="shared" si="15"/>
        <v>8</v>
      </c>
    </row>
    <row r="1015" spans="1:4">
      <c r="A1015" s="2555" t="s">
        <v>7809</v>
      </c>
      <c r="B1015" s="2556" t="s">
        <v>8856</v>
      </c>
      <c r="D1015">
        <f t="shared" si="15"/>
        <v>8</v>
      </c>
    </row>
    <row r="1016" spans="1:4">
      <c r="A1016" s="2555" t="s">
        <v>7809</v>
      </c>
      <c r="B1016" s="2556" t="s">
        <v>8857</v>
      </c>
      <c r="D1016">
        <f t="shared" si="15"/>
        <v>8</v>
      </c>
    </row>
    <row r="1017" spans="1:4">
      <c r="A1017" s="2555" t="s">
        <v>7809</v>
      </c>
      <c r="B1017" s="2556" t="s">
        <v>8858</v>
      </c>
      <c r="D1017">
        <f t="shared" si="15"/>
        <v>8</v>
      </c>
    </row>
    <row r="1018" spans="1:4">
      <c r="A1018" s="2555" t="s">
        <v>7809</v>
      </c>
      <c r="B1018" s="2556" t="s">
        <v>8859</v>
      </c>
      <c r="D1018">
        <f t="shared" si="15"/>
        <v>8</v>
      </c>
    </row>
    <row r="1019" spans="1:4">
      <c r="A1019" s="2555" t="s">
        <v>7809</v>
      </c>
      <c r="B1019" s="2556" t="s">
        <v>8860</v>
      </c>
      <c r="D1019">
        <f t="shared" si="15"/>
        <v>8</v>
      </c>
    </row>
    <row r="1020" spans="1:4">
      <c r="A1020" s="2555" t="s">
        <v>7809</v>
      </c>
      <c r="B1020" s="2556" t="s">
        <v>8861</v>
      </c>
      <c r="D1020">
        <f t="shared" si="15"/>
        <v>8</v>
      </c>
    </row>
    <row r="1021" spans="1:4">
      <c r="A1021" s="2555" t="s">
        <v>7809</v>
      </c>
      <c r="B1021" s="2556" t="s">
        <v>8862</v>
      </c>
      <c r="D1021">
        <f t="shared" si="15"/>
        <v>8</v>
      </c>
    </row>
    <row r="1022" spans="1:4">
      <c r="A1022" s="2555" t="s">
        <v>7809</v>
      </c>
      <c r="B1022" s="2556" t="s">
        <v>8863</v>
      </c>
      <c r="D1022">
        <f t="shared" si="15"/>
        <v>8</v>
      </c>
    </row>
    <row r="1023" spans="1:4">
      <c r="A1023" s="2555" t="s">
        <v>7809</v>
      </c>
      <c r="B1023" s="2556" t="s">
        <v>8864</v>
      </c>
      <c r="D1023">
        <f t="shared" si="15"/>
        <v>8</v>
      </c>
    </row>
    <row r="1024" spans="1:4">
      <c r="A1024" s="2555" t="s">
        <v>7809</v>
      </c>
      <c r="B1024" s="2556" t="s">
        <v>8865</v>
      </c>
      <c r="D1024">
        <f t="shared" si="15"/>
        <v>8</v>
      </c>
    </row>
    <row r="1025" spans="1:4">
      <c r="A1025" s="2555" t="s">
        <v>7809</v>
      </c>
      <c r="B1025" s="2556" t="s">
        <v>8866</v>
      </c>
      <c r="D1025">
        <f t="shared" si="15"/>
        <v>8</v>
      </c>
    </row>
    <row r="1026" spans="1:4">
      <c r="A1026" s="2555" t="s">
        <v>7809</v>
      </c>
      <c r="B1026" s="2556" t="s">
        <v>8867</v>
      </c>
      <c r="D1026">
        <f t="shared" si="15"/>
        <v>8</v>
      </c>
    </row>
    <row r="1027" spans="1:4">
      <c r="A1027" s="2555" t="s">
        <v>7809</v>
      </c>
      <c r="B1027" s="2556" t="s">
        <v>8868</v>
      </c>
      <c r="D1027">
        <f t="shared" ref="D1027:D1090" si="16">MATCH(A1027,$F$3:$F$49,0)</f>
        <v>8</v>
      </c>
    </row>
    <row r="1028" spans="1:4">
      <c r="A1028" s="2555" t="s">
        <v>7809</v>
      </c>
      <c r="B1028" s="2556" t="s">
        <v>8869</v>
      </c>
      <c r="D1028">
        <f t="shared" si="16"/>
        <v>8</v>
      </c>
    </row>
    <row r="1029" spans="1:4">
      <c r="A1029" s="2555" t="s">
        <v>7809</v>
      </c>
      <c r="B1029" s="2556" t="s">
        <v>8870</v>
      </c>
      <c r="D1029">
        <f t="shared" si="16"/>
        <v>8</v>
      </c>
    </row>
    <row r="1030" spans="1:4">
      <c r="A1030" s="2555" t="s">
        <v>7809</v>
      </c>
      <c r="B1030" s="2556" t="s">
        <v>8871</v>
      </c>
      <c r="D1030">
        <f t="shared" si="16"/>
        <v>8</v>
      </c>
    </row>
    <row r="1031" spans="1:4">
      <c r="A1031" s="2555" t="s">
        <v>7809</v>
      </c>
      <c r="B1031" s="2556" t="s">
        <v>8872</v>
      </c>
      <c r="D1031">
        <f t="shared" si="16"/>
        <v>8</v>
      </c>
    </row>
    <row r="1032" spans="1:4">
      <c r="A1032" s="2555" t="s">
        <v>7809</v>
      </c>
      <c r="B1032" s="2556" t="s">
        <v>8873</v>
      </c>
      <c r="D1032">
        <f t="shared" si="16"/>
        <v>8</v>
      </c>
    </row>
    <row r="1033" spans="1:4">
      <c r="A1033" s="2555" t="s">
        <v>7809</v>
      </c>
      <c r="B1033" s="2556" t="s">
        <v>8874</v>
      </c>
      <c r="D1033">
        <f t="shared" si="16"/>
        <v>8</v>
      </c>
    </row>
    <row r="1034" spans="1:4">
      <c r="A1034" s="2555" t="s">
        <v>7809</v>
      </c>
      <c r="B1034" s="2556" t="s">
        <v>8875</v>
      </c>
      <c r="D1034">
        <f t="shared" si="16"/>
        <v>8</v>
      </c>
    </row>
    <row r="1035" spans="1:4">
      <c r="A1035" s="2555" t="s">
        <v>7809</v>
      </c>
      <c r="B1035" s="2556" t="s">
        <v>8876</v>
      </c>
      <c r="D1035">
        <f t="shared" si="16"/>
        <v>8</v>
      </c>
    </row>
    <row r="1036" spans="1:4">
      <c r="A1036" s="2555" t="s">
        <v>7809</v>
      </c>
      <c r="B1036" s="2556" t="s">
        <v>8877</v>
      </c>
      <c r="D1036">
        <f t="shared" si="16"/>
        <v>8</v>
      </c>
    </row>
    <row r="1037" spans="1:4">
      <c r="A1037" s="2555" t="s">
        <v>7809</v>
      </c>
      <c r="B1037" s="2556" t="s">
        <v>8878</v>
      </c>
      <c r="D1037">
        <f t="shared" si="16"/>
        <v>8</v>
      </c>
    </row>
    <row r="1038" spans="1:4">
      <c r="A1038" s="2555" t="s">
        <v>7809</v>
      </c>
      <c r="B1038" s="2556" t="s">
        <v>8879</v>
      </c>
      <c r="D1038">
        <f t="shared" si="16"/>
        <v>8</v>
      </c>
    </row>
    <row r="1039" spans="1:4">
      <c r="A1039" s="2555" t="s">
        <v>7809</v>
      </c>
      <c r="B1039" s="2556" t="s">
        <v>8880</v>
      </c>
      <c r="D1039">
        <f t="shared" si="16"/>
        <v>8</v>
      </c>
    </row>
    <row r="1040" spans="1:4">
      <c r="A1040" s="2555" t="s">
        <v>7809</v>
      </c>
      <c r="B1040" s="2556" t="s">
        <v>8881</v>
      </c>
      <c r="D1040">
        <f t="shared" si="16"/>
        <v>8</v>
      </c>
    </row>
    <row r="1041" spans="1:4">
      <c r="A1041" s="2555" t="s">
        <v>7809</v>
      </c>
      <c r="B1041" s="2556" t="s">
        <v>8882</v>
      </c>
      <c r="D1041">
        <f t="shared" si="16"/>
        <v>8</v>
      </c>
    </row>
    <row r="1042" spans="1:4">
      <c r="A1042" s="2555" t="s">
        <v>7809</v>
      </c>
      <c r="B1042" s="2556" t="s">
        <v>8883</v>
      </c>
      <c r="D1042">
        <f t="shared" si="16"/>
        <v>8</v>
      </c>
    </row>
    <row r="1043" spans="1:4">
      <c r="A1043" s="2555" t="s">
        <v>7809</v>
      </c>
      <c r="B1043" s="2556" t="s">
        <v>8884</v>
      </c>
      <c r="D1043">
        <f t="shared" si="16"/>
        <v>8</v>
      </c>
    </row>
    <row r="1044" spans="1:4">
      <c r="A1044" s="2555" t="s">
        <v>7809</v>
      </c>
      <c r="B1044" s="2556" t="s">
        <v>8885</v>
      </c>
      <c r="D1044">
        <f t="shared" si="16"/>
        <v>8</v>
      </c>
    </row>
    <row r="1045" spans="1:4">
      <c r="A1045" s="2555" t="s">
        <v>7809</v>
      </c>
      <c r="B1045" s="2556" t="s">
        <v>8886</v>
      </c>
      <c r="D1045">
        <f t="shared" si="16"/>
        <v>8</v>
      </c>
    </row>
    <row r="1046" spans="1:4">
      <c r="A1046" s="2555" t="s">
        <v>7809</v>
      </c>
      <c r="B1046" s="2556" t="s">
        <v>8887</v>
      </c>
      <c r="D1046">
        <f t="shared" si="16"/>
        <v>8</v>
      </c>
    </row>
    <row r="1047" spans="1:4">
      <c r="A1047" s="2555" t="s">
        <v>7809</v>
      </c>
      <c r="B1047" s="2556" t="s">
        <v>8888</v>
      </c>
      <c r="D1047">
        <f t="shared" si="16"/>
        <v>8</v>
      </c>
    </row>
    <row r="1048" spans="1:4">
      <c r="A1048" s="2555" t="s">
        <v>7809</v>
      </c>
      <c r="B1048" s="2556" t="s">
        <v>8889</v>
      </c>
      <c r="D1048">
        <f t="shared" si="16"/>
        <v>8</v>
      </c>
    </row>
    <row r="1049" spans="1:4">
      <c r="A1049" s="2555" t="s">
        <v>7809</v>
      </c>
      <c r="B1049" s="2556" t="s">
        <v>8890</v>
      </c>
      <c r="D1049">
        <f t="shared" si="16"/>
        <v>8</v>
      </c>
    </row>
    <row r="1050" spans="1:4">
      <c r="A1050" s="2555" t="s">
        <v>7809</v>
      </c>
      <c r="B1050" s="2556" t="s">
        <v>8891</v>
      </c>
      <c r="D1050">
        <f t="shared" si="16"/>
        <v>8</v>
      </c>
    </row>
    <row r="1051" spans="1:4">
      <c r="A1051" s="2555" t="s">
        <v>7809</v>
      </c>
      <c r="B1051" s="2556" t="s">
        <v>8892</v>
      </c>
      <c r="D1051">
        <f t="shared" si="16"/>
        <v>8</v>
      </c>
    </row>
    <row r="1052" spans="1:4">
      <c r="A1052" s="2555" t="s">
        <v>7809</v>
      </c>
      <c r="B1052" s="2556" t="s">
        <v>8893</v>
      </c>
      <c r="D1052">
        <f t="shared" si="16"/>
        <v>8</v>
      </c>
    </row>
    <row r="1053" spans="1:4">
      <c r="A1053" s="2555" t="s">
        <v>7809</v>
      </c>
      <c r="B1053" s="2556" t="s">
        <v>8894</v>
      </c>
      <c r="D1053">
        <f t="shared" si="16"/>
        <v>8</v>
      </c>
    </row>
    <row r="1054" spans="1:4">
      <c r="A1054" s="2555" t="s">
        <v>7809</v>
      </c>
      <c r="B1054" s="2556" t="s">
        <v>8895</v>
      </c>
      <c r="D1054">
        <f t="shared" si="16"/>
        <v>8</v>
      </c>
    </row>
    <row r="1055" spans="1:4">
      <c r="A1055" s="2555" t="s">
        <v>7809</v>
      </c>
      <c r="B1055" s="2556" t="s">
        <v>8896</v>
      </c>
      <c r="D1055">
        <f t="shared" si="16"/>
        <v>8</v>
      </c>
    </row>
    <row r="1056" spans="1:4">
      <c r="A1056" s="2555" t="s">
        <v>7809</v>
      </c>
      <c r="B1056" s="2556" t="s">
        <v>8897</v>
      </c>
      <c r="D1056">
        <f t="shared" si="16"/>
        <v>8</v>
      </c>
    </row>
    <row r="1057" spans="1:4">
      <c r="A1057" s="2555" t="s">
        <v>7809</v>
      </c>
      <c r="B1057" s="2556" t="s">
        <v>8898</v>
      </c>
      <c r="D1057">
        <f t="shared" si="16"/>
        <v>8</v>
      </c>
    </row>
    <row r="1058" spans="1:4">
      <c r="A1058" s="2555" t="s">
        <v>7809</v>
      </c>
      <c r="B1058" s="2556" t="s">
        <v>8899</v>
      </c>
      <c r="D1058">
        <f t="shared" si="16"/>
        <v>8</v>
      </c>
    </row>
    <row r="1059" spans="1:4">
      <c r="A1059" s="2555" t="s">
        <v>7809</v>
      </c>
      <c r="B1059" s="2556" t="s">
        <v>8900</v>
      </c>
      <c r="D1059">
        <f t="shared" si="16"/>
        <v>8</v>
      </c>
    </row>
    <row r="1060" spans="1:4">
      <c r="A1060" s="2555" t="s">
        <v>7809</v>
      </c>
      <c r="B1060" s="2556" t="s">
        <v>8901</v>
      </c>
      <c r="D1060">
        <f t="shared" si="16"/>
        <v>8</v>
      </c>
    </row>
    <row r="1061" spans="1:4">
      <c r="A1061" s="2555" t="s">
        <v>7809</v>
      </c>
      <c r="B1061" s="2556" t="s">
        <v>8902</v>
      </c>
      <c r="D1061">
        <f t="shared" si="16"/>
        <v>8</v>
      </c>
    </row>
    <row r="1062" spans="1:4">
      <c r="A1062" s="2555" t="s">
        <v>7809</v>
      </c>
      <c r="B1062" s="2556" t="s">
        <v>8903</v>
      </c>
      <c r="D1062">
        <f t="shared" si="16"/>
        <v>8</v>
      </c>
    </row>
    <row r="1063" spans="1:4">
      <c r="A1063" s="2555" t="s">
        <v>7809</v>
      </c>
      <c r="B1063" s="2556" t="s">
        <v>8904</v>
      </c>
      <c r="D1063">
        <f t="shared" si="16"/>
        <v>8</v>
      </c>
    </row>
    <row r="1064" spans="1:4">
      <c r="A1064" s="2555" t="s">
        <v>7809</v>
      </c>
      <c r="B1064" s="2556" t="s">
        <v>8905</v>
      </c>
      <c r="D1064">
        <f t="shared" si="16"/>
        <v>8</v>
      </c>
    </row>
    <row r="1065" spans="1:4">
      <c r="A1065" s="2555" t="s">
        <v>7809</v>
      </c>
      <c r="B1065" s="2556" t="s">
        <v>8906</v>
      </c>
      <c r="D1065">
        <f t="shared" si="16"/>
        <v>8</v>
      </c>
    </row>
    <row r="1066" spans="1:4">
      <c r="A1066" s="2555" t="s">
        <v>7809</v>
      </c>
      <c r="B1066" s="2556" t="s">
        <v>8907</v>
      </c>
      <c r="D1066">
        <f t="shared" si="16"/>
        <v>8</v>
      </c>
    </row>
    <row r="1067" spans="1:4">
      <c r="A1067" s="2555" t="s">
        <v>7809</v>
      </c>
      <c r="B1067" s="2556" t="s">
        <v>8907</v>
      </c>
      <c r="D1067">
        <f t="shared" si="16"/>
        <v>8</v>
      </c>
    </row>
    <row r="1068" spans="1:4">
      <c r="A1068" s="2555" t="s">
        <v>7809</v>
      </c>
      <c r="B1068" s="2556" t="s">
        <v>8908</v>
      </c>
      <c r="D1068">
        <f t="shared" si="16"/>
        <v>8</v>
      </c>
    </row>
    <row r="1069" spans="1:4">
      <c r="A1069" s="2555" t="s">
        <v>7809</v>
      </c>
      <c r="B1069" s="2556" t="s">
        <v>8909</v>
      </c>
      <c r="D1069">
        <f t="shared" si="16"/>
        <v>8</v>
      </c>
    </row>
    <row r="1070" spans="1:4">
      <c r="A1070" s="2555" t="s">
        <v>7809</v>
      </c>
      <c r="B1070" s="2556" t="s">
        <v>8910</v>
      </c>
    </row>
    <row r="1071" spans="1:4">
      <c r="A1071" s="2555" t="s">
        <v>6293</v>
      </c>
      <c r="B1071" s="2556" t="s">
        <v>8911</v>
      </c>
    </row>
    <row r="1072" spans="1:4">
      <c r="A1072" s="2555" t="s">
        <v>6293</v>
      </c>
      <c r="B1072" s="2556" t="s">
        <v>8912</v>
      </c>
      <c r="D1072">
        <f t="shared" si="16"/>
        <v>9</v>
      </c>
    </row>
    <row r="1073" spans="1:4">
      <c r="A1073" s="2555" t="s">
        <v>6293</v>
      </c>
      <c r="B1073" s="2556" t="s">
        <v>8913</v>
      </c>
      <c r="D1073">
        <f t="shared" si="16"/>
        <v>9</v>
      </c>
    </row>
    <row r="1074" spans="1:4">
      <c r="A1074" s="2555" t="s">
        <v>6293</v>
      </c>
      <c r="B1074" s="2556" t="s">
        <v>8914</v>
      </c>
      <c r="D1074">
        <f t="shared" si="16"/>
        <v>9</v>
      </c>
    </row>
    <row r="1075" spans="1:4">
      <c r="A1075" s="2555" t="s">
        <v>6293</v>
      </c>
      <c r="B1075" s="2556" t="s">
        <v>8915</v>
      </c>
      <c r="D1075">
        <f t="shared" si="16"/>
        <v>9</v>
      </c>
    </row>
    <row r="1076" spans="1:4">
      <c r="A1076" s="2555" t="s">
        <v>6293</v>
      </c>
      <c r="B1076" s="2556" t="s">
        <v>8916</v>
      </c>
      <c r="D1076">
        <f t="shared" si="16"/>
        <v>9</v>
      </c>
    </row>
    <row r="1077" spans="1:4">
      <c r="A1077" s="2555" t="s">
        <v>7816</v>
      </c>
      <c r="B1077" s="2556" t="s">
        <v>159</v>
      </c>
      <c r="D1077">
        <f t="shared" si="16"/>
        <v>12</v>
      </c>
    </row>
    <row r="1078" spans="1:4">
      <c r="A1078" s="2555" t="s">
        <v>7816</v>
      </c>
      <c r="B1078" s="2556" t="s">
        <v>8917</v>
      </c>
      <c r="D1078">
        <f t="shared" si="16"/>
        <v>12</v>
      </c>
    </row>
    <row r="1079" spans="1:4">
      <c r="A1079" s="2555" t="s">
        <v>7816</v>
      </c>
      <c r="B1079" s="2556" t="s">
        <v>8918</v>
      </c>
      <c r="D1079">
        <f t="shared" si="16"/>
        <v>12</v>
      </c>
    </row>
    <row r="1080" spans="1:4">
      <c r="A1080" s="2555" t="s">
        <v>7816</v>
      </c>
      <c r="B1080" s="2556" t="s">
        <v>8919</v>
      </c>
      <c r="D1080">
        <f t="shared" si="16"/>
        <v>12</v>
      </c>
    </row>
    <row r="1081" spans="1:4">
      <c r="A1081" s="2555" t="s">
        <v>7816</v>
      </c>
      <c r="B1081" s="2556" t="s">
        <v>8920</v>
      </c>
      <c r="D1081">
        <f t="shared" si="16"/>
        <v>12</v>
      </c>
    </row>
    <row r="1082" spans="1:4">
      <c r="A1082" s="2555" t="s">
        <v>7819</v>
      </c>
      <c r="B1082" s="2556" t="s">
        <v>8921</v>
      </c>
      <c r="D1082">
        <f t="shared" si="16"/>
        <v>13</v>
      </c>
    </row>
    <row r="1083" spans="1:4">
      <c r="A1083" s="2555" t="s">
        <v>7819</v>
      </c>
      <c r="B1083" s="2556" t="s">
        <v>8922</v>
      </c>
      <c r="D1083">
        <f t="shared" si="16"/>
        <v>13</v>
      </c>
    </row>
    <row r="1084" spans="1:4">
      <c r="A1084" s="2555" t="s">
        <v>7819</v>
      </c>
      <c r="B1084" s="2556" t="s">
        <v>8923</v>
      </c>
      <c r="D1084">
        <f t="shared" si="16"/>
        <v>13</v>
      </c>
    </row>
    <row r="1085" spans="1:4">
      <c r="A1085" s="2555" t="s">
        <v>7825</v>
      </c>
      <c r="B1085" s="2556" t="s">
        <v>8924</v>
      </c>
      <c r="D1085" t="e">
        <f t="shared" si="16"/>
        <v>#N/A</v>
      </c>
    </row>
    <row r="1086" spans="1:4">
      <c r="A1086" s="2555" t="s">
        <v>7825</v>
      </c>
      <c r="B1086" s="2556" t="s">
        <v>8925</v>
      </c>
      <c r="D1086" t="e">
        <f t="shared" si="16"/>
        <v>#N/A</v>
      </c>
    </row>
    <row r="1087" spans="1:4">
      <c r="A1087" s="2555" t="s">
        <v>7825</v>
      </c>
      <c r="B1087" s="2556" t="s">
        <v>8926</v>
      </c>
      <c r="D1087" t="e">
        <f t="shared" si="16"/>
        <v>#N/A</v>
      </c>
    </row>
    <row r="1088" spans="1:4">
      <c r="A1088" s="2555" t="s">
        <v>7827</v>
      </c>
      <c r="B1088" s="2559" t="s">
        <v>8927</v>
      </c>
      <c r="D1088">
        <f t="shared" si="16"/>
        <v>16</v>
      </c>
    </row>
    <row r="1089" spans="1:6">
      <c r="A1089" s="2555" t="s">
        <v>7827</v>
      </c>
      <c r="B1089" s="2559" t="s">
        <v>8928</v>
      </c>
      <c r="D1089">
        <f t="shared" si="16"/>
        <v>16</v>
      </c>
    </row>
    <row r="1090" spans="1:6">
      <c r="A1090" s="2555" t="s">
        <v>7827</v>
      </c>
      <c r="B1090" s="2556" t="s">
        <v>8929</v>
      </c>
      <c r="D1090">
        <f t="shared" si="16"/>
        <v>16</v>
      </c>
    </row>
    <row r="1091" spans="1:6">
      <c r="A1091" s="2555" t="s">
        <v>7827</v>
      </c>
      <c r="B1091" s="2556" t="s">
        <v>8930</v>
      </c>
      <c r="D1091">
        <f t="shared" ref="D1091:D1154" si="17">MATCH(A1091,$F$3:$F$49,0)</f>
        <v>16</v>
      </c>
    </row>
    <row r="1092" spans="1:6">
      <c r="A1092" s="2555" t="s">
        <v>7824</v>
      </c>
      <c r="B1092" s="2556" t="s">
        <v>8931</v>
      </c>
      <c r="D1092">
        <f t="shared" si="17"/>
        <v>15</v>
      </c>
    </row>
    <row r="1093" spans="1:6">
      <c r="A1093" s="2555" t="s">
        <v>7828</v>
      </c>
      <c r="B1093" s="2556" t="s">
        <v>8932</v>
      </c>
      <c r="D1093" t="e">
        <f t="shared" si="17"/>
        <v>#N/A</v>
      </c>
    </row>
    <row r="1094" spans="1:6">
      <c r="A1094" s="2555" t="s">
        <v>7828</v>
      </c>
      <c r="B1094" s="2556" t="s">
        <v>8933</v>
      </c>
    </row>
    <row r="1095" spans="1:6">
      <c r="A1095" s="2555" t="s">
        <v>7828</v>
      </c>
      <c r="B1095" s="2559" t="s">
        <v>8934</v>
      </c>
    </row>
    <row r="1096" spans="1:6">
      <c r="A1096" s="2555" t="s">
        <v>7831</v>
      </c>
      <c r="B1096" s="2556" t="s">
        <v>8935</v>
      </c>
    </row>
    <row r="1097" spans="1:6">
      <c r="A1097" s="2555" t="s">
        <v>7831</v>
      </c>
      <c r="B1097" s="2556" t="s">
        <v>8936</v>
      </c>
      <c r="D1097" t="e">
        <f t="shared" si="17"/>
        <v>#N/A</v>
      </c>
      <c r="F1097" t="s">
        <v>8937</v>
      </c>
    </row>
    <row r="1098" spans="1:6">
      <c r="A1098" s="2555" t="s">
        <v>7831</v>
      </c>
      <c r="B1098" s="2556" t="s">
        <v>1150</v>
      </c>
      <c r="D1098" t="e">
        <f t="shared" si="17"/>
        <v>#N/A</v>
      </c>
    </row>
    <row r="1099" spans="1:6">
      <c r="A1099" s="2555" t="s">
        <v>7831</v>
      </c>
      <c r="B1099" s="2556" t="s">
        <v>8938</v>
      </c>
      <c r="D1099" t="e">
        <f t="shared" si="17"/>
        <v>#N/A</v>
      </c>
    </row>
    <row r="1100" spans="1:6">
      <c r="A1100" s="2555" t="s">
        <v>7831</v>
      </c>
      <c r="B1100" s="2556" t="s">
        <v>8939</v>
      </c>
      <c r="D1100" t="e">
        <f t="shared" si="17"/>
        <v>#N/A</v>
      </c>
    </row>
    <row r="1101" spans="1:6">
      <c r="A1101" s="2555" t="s">
        <v>7831</v>
      </c>
      <c r="B1101" s="2559" t="s">
        <v>8940</v>
      </c>
      <c r="D1101" t="e">
        <f t="shared" si="17"/>
        <v>#N/A</v>
      </c>
    </row>
    <row r="1102" spans="1:6">
      <c r="A1102" s="2555" t="s">
        <v>7831</v>
      </c>
      <c r="B1102" s="2556" t="s">
        <v>8941</v>
      </c>
      <c r="D1102" t="e">
        <f t="shared" si="17"/>
        <v>#N/A</v>
      </c>
    </row>
    <row r="1103" spans="1:6">
      <c r="A1103" s="2555" t="s">
        <v>7831</v>
      </c>
      <c r="B1103" s="2556" t="s">
        <v>8942</v>
      </c>
      <c r="D1103" t="e">
        <f t="shared" si="17"/>
        <v>#N/A</v>
      </c>
    </row>
    <row r="1104" spans="1:6">
      <c r="A1104" s="2555" t="s">
        <v>7831</v>
      </c>
      <c r="B1104" s="2556" t="s">
        <v>8943</v>
      </c>
      <c r="D1104" t="e">
        <f t="shared" si="17"/>
        <v>#N/A</v>
      </c>
    </row>
    <row r="1105" spans="1:4">
      <c r="A1105" s="2555" t="s">
        <v>7831</v>
      </c>
      <c r="B1105" s="2556" t="s">
        <v>8944</v>
      </c>
      <c r="D1105" t="e">
        <f t="shared" si="17"/>
        <v>#N/A</v>
      </c>
    </row>
    <row r="1106" spans="1:4">
      <c r="A1106" s="2555" t="s">
        <v>7831</v>
      </c>
      <c r="B1106" s="2559" t="s">
        <v>8945</v>
      </c>
      <c r="D1106" t="e">
        <f t="shared" si="17"/>
        <v>#N/A</v>
      </c>
    </row>
    <row r="1107" spans="1:4">
      <c r="A1107" s="2555" t="s">
        <v>7831</v>
      </c>
      <c r="B1107" s="2556" t="s">
        <v>8946</v>
      </c>
      <c r="D1107" t="e">
        <f t="shared" si="17"/>
        <v>#N/A</v>
      </c>
    </row>
    <row r="1108" spans="1:4">
      <c r="A1108" s="2555" t="s">
        <v>7831</v>
      </c>
      <c r="B1108" s="2556" t="s">
        <v>8947</v>
      </c>
      <c r="D1108" t="e">
        <f t="shared" si="17"/>
        <v>#N/A</v>
      </c>
    </row>
    <row r="1109" spans="1:4">
      <c r="A1109" s="2555" t="s">
        <v>7831</v>
      </c>
      <c r="B1109" s="2556" t="s">
        <v>8948</v>
      </c>
      <c r="D1109" t="e">
        <f t="shared" si="17"/>
        <v>#N/A</v>
      </c>
    </row>
    <row r="1110" spans="1:4">
      <c r="A1110" s="2555" t="s">
        <v>7831</v>
      </c>
      <c r="B1110" s="2556" t="s">
        <v>271</v>
      </c>
      <c r="D1110" t="e">
        <f t="shared" si="17"/>
        <v>#N/A</v>
      </c>
    </row>
    <row r="1111" spans="1:4">
      <c r="A1111" s="2555" t="s">
        <v>7831</v>
      </c>
      <c r="B1111" s="2556" t="s">
        <v>8949</v>
      </c>
      <c r="D1111" t="e">
        <f t="shared" si="17"/>
        <v>#N/A</v>
      </c>
    </row>
    <row r="1112" spans="1:4">
      <c r="A1112" s="2555" t="s">
        <v>7831</v>
      </c>
      <c r="B1112" s="2556" t="s">
        <v>8950</v>
      </c>
      <c r="D1112" t="e">
        <f t="shared" si="17"/>
        <v>#N/A</v>
      </c>
    </row>
    <row r="1113" spans="1:4">
      <c r="A1113" s="2555" t="s">
        <v>7831</v>
      </c>
      <c r="B1113" s="2556" t="s">
        <v>8951</v>
      </c>
      <c r="D1113" t="e">
        <f t="shared" si="17"/>
        <v>#N/A</v>
      </c>
    </row>
    <row r="1114" spans="1:4">
      <c r="A1114" s="2555" t="s">
        <v>7831</v>
      </c>
      <c r="B1114" s="2556" t="s">
        <v>8952</v>
      </c>
      <c r="D1114" t="e">
        <f t="shared" si="17"/>
        <v>#N/A</v>
      </c>
    </row>
    <row r="1115" spans="1:4">
      <c r="A1115" s="2555" t="s">
        <v>7831</v>
      </c>
      <c r="B1115" s="2556" t="s">
        <v>8953</v>
      </c>
      <c r="D1115" t="e">
        <f t="shared" si="17"/>
        <v>#N/A</v>
      </c>
    </row>
    <row r="1116" spans="1:4">
      <c r="A1116" s="2555" t="s">
        <v>7831</v>
      </c>
      <c r="B1116" s="2556" t="s">
        <v>8954</v>
      </c>
      <c r="D1116" t="e">
        <f t="shared" si="17"/>
        <v>#N/A</v>
      </c>
    </row>
    <row r="1117" spans="1:4">
      <c r="A1117" s="170" t="s">
        <v>7831</v>
      </c>
      <c r="B1117" s="2556" t="s">
        <v>8955</v>
      </c>
      <c r="D1117" t="e">
        <f t="shared" si="17"/>
        <v>#N/A</v>
      </c>
    </row>
    <row r="1118" spans="1:4">
      <c r="A1118" s="2555" t="s">
        <v>7831</v>
      </c>
      <c r="B1118" s="2556" t="s">
        <v>8956</v>
      </c>
      <c r="D1118" t="e">
        <f t="shared" si="17"/>
        <v>#N/A</v>
      </c>
    </row>
    <row r="1119" spans="1:4">
      <c r="A1119" s="2555" t="s">
        <v>7831</v>
      </c>
      <c r="B1119" s="2556" t="s">
        <v>8957</v>
      </c>
      <c r="D1119" t="e">
        <f t="shared" si="17"/>
        <v>#N/A</v>
      </c>
    </row>
    <row r="1120" spans="1:4">
      <c r="A1120" s="170" t="s">
        <v>7831</v>
      </c>
      <c r="B1120" s="2556" t="s">
        <v>8958</v>
      </c>
      <c r="D1120" t="e">
        <f t="shared" si="17"/>
        <v>#N/A</v>
      </c>
    </row>
    <row r="1121" spans="1:4">
      <c r="A1121" s="2555" t="s">
        <v>7831</v>
      </c>
      <c r="B1121" s="2556" t="s">
        <v>8959</v>
      </c>
      <c r="D1121" t="e">
        <f t="shared" si="17"/>
        <v>#N/A</v>
      </c>
    </row>
    <row r="1122" spans="1:4">
      <c r="A1122" s="170" t="s">
        <v>7831</v>
      </c>
      <c r="B1122" s="2556" t="s">
        <v>8960</v>
      </c>
      <c r="D1122" t="e">
        <f t="shared" si="17"/>
        <v>#N/A</v>
      </c>
    </row>
    <row r="1123" spans="1:4">
      <c r="A1123" s="2555" t="s">
        <v>7831</v>
      </c>
      <c r="B1123" s="2556" t="s">
        <v>4964</v>
      </c>
      <c r="D1123" t="e">
        <f t="shared" si="17"/>
        <v>#N/A</v>
      </c>
    </row>
    <row r="1124" spans="1:4">
      <c r="A1124" s="170" t="s">
        <v>7831</v>
      </c>
      <c r="B1124" s="2556" t="s">
        <v>8961</v>
      </c>
      <c r="D1124" t="e">
        <f t="shared" si="17"/>
        <v>#N/A</v>
      </c>
    </row>
    <row r="1125" spans="1:4">
      <c r="A1125" s="2555" t="s">
        <v>7831</v>
      </c>
      <c r="B1125" s="2556" t="s">
        <v>8962</v>
      </c>
      <c r="D1125" t="e">
        <f t="shared" si="17"/>
        <v>#N/A</v>
      </c>
    </row>
    <row r="1126" spans="1:4">
      <c r="A1126" s="2555" t="s">
        <v>7831</v>
      </c>
      <c r="B1126" s="2556" t="s">
        <v>8963</v>
      </c>
      <c r="D1126" t="e">
        <f t="shared" si="17"/>
        <v>#N/A</v>
      </c>
    </row>
    <row r="1127" spans="1:4">
      <c r="A1127" s="2555" t="s">
        <v>7831</v>
      </c>
      <c r="B1127" s="2556" t="s">
        <v>6898</v>
      </c>
      <c r="D1127" t="e">
        <f t="shared" si="17"/>
        <v>#N/A</v>
      </c>
    </row>
    <row r="1128" spans="1:4">
      <c r="A1128" s="170" t="s">
        <v>7831</v>
      </c>
      <c r="B1128" s="2556" t="s">
        <v>8964</v>
      </c>
      <c r="D1128" t="e">
        <f t="shared" si="17"/>
        <v>#N/A</v>
      </c>
    </row>
    <row r="1129" spans="1:4">
      <c r="A1129" s="170" t="s">
        <v>7831</v>
      </c>
      <c r="B1129" s="2556" t="s">
        <v>8965</v>
      </c>
      <c r="D1129" t="e">
        <f t="shared" si="17"/>
        <v>#N/A</v>
      </c>
    </row>
    <row r="1130" spans="1:4">
      <c r="A1130" s="2555" t="s">
        <v>7831</v>
      </c>
      <c r="B1130" s="2556" t="s">
        <v>8966</v>
      </c>
      <c r="D1130" t="e">
        <f t="shared" si="17"/>
        <v>#N/A</v>
      </c>
    </row>
    <row r="1131" spans="1:4">
      <c r="A1131" s="170" t="s">
        <v>7831</v>
      </c>
      <c r="B1131" s="2556" t="s">
        <v>4179</v>
      </c>
      <c r="D1131" t="e">
        <f t="shared" si="17"/>
        <v>#N/A</v>
      </c>
    </row>
    <row r="1132" spans="1:4">
      <c r="A1132" s="2555" t="s">
        <v>7831</v>
      </c>
      <c r="B1132" s="2556" t="s">
        <v>8967</v>
      </c>
      <c r="D1132" t="e">
        <f t="shared" si="17"/>
        <v>#N/A</v>
      </c>
    </row>
    <row r="1133" spans="1:4">
      <c r="A1133" s="170" t="s">
        <v>7831</v>
      </c>
      <c r="B1133" s="2556" t="s">
        <v>8968</v>
      </c>
      <c r="D1133" t="e">
        <f t="shared" si="17"/>
        <v>#N/A</v>
      </c>
    </row>
    <row r="1134" spans="1:4">
      <c r="A1134" s="170" t="s">
        <v>7831</v>
      </c>
      <c r="B1134" s="2556" t="s">
        <v>8969</v>
      </c>
      <c r="D1134" t="e">
        <f t="shared" si="17"/>
        <v>#N/A</v>
      </c>
    </row>
    <row r="1135" spans="1:4">
      <c r="A1135" s="170" t="s">
        <v>7831</v>
      </c>
      <c r="B1135" s="2556" t="s">
        <v>8970</v>
      </c>
      <c r="D1135" t="e">
        <f t="shared" si="17"/>
        <v>#N/A</v>
      </c>
    </row>
    <row r="1136" spans="1:4">
      <c r="A1136" s="170" t="s">
        <v>7831</v>
      </c>
      <c r="B1136" s="2556" t="s">
        <v>8971</v>
      </c>
      <c r="D1136" t="e">
        <f t="shared" si="17"/>
        <v>#N/A</v>
      </c>
    </row>
    <row r="1137" spans="1:4">
      <c r="A1137" s="170" t="s">
        <v>7831</v>
      </c>
      <c r="B1137" s="2556" t="s">
        <v>8972</v>
      </c>
      <c r="D1137" t="e">
        <f t="shared" si="17"/>
        <v>#N/A</v>
      </c>
    </row>
    <row r="1138" spans="1:4">
      <c r="A1138" s="170" t="s">
        <v>7831</v>
      </c>
      <c r="B1138" s="2556" t="s">
        <v>8973</v>
      </c>
      <c r="D1138" t="e">
        <f t="shared" si="17"/>
        <v>#N/A</v>
      </c>
    </row>
    <row r="1139" spans="1:4">
      <c r="A1139" s="2555" t="s">
        <v>7831</v>
      </c>
      <c r="B1139" s="2556" t="s">
        <v>8974</v>
      </c>
      <c r="D1139" t="e">
        <f t="shared" si="17"/>
        <v>#N/A</v>
      </c>
    </row>
    <row r="1140" spans="1:4">
      <c r="A1140" s="2555" t="s">
        <v>7831</v>
      </c>
      <c r="B1140" s="2556" t="s">
        <v>8975</v>
      </c>
      <c r="D1140" t="e">
        <f t="shared" si="17"/>
        <v>#N/A</v>
      </c>
    </row>
    <row r="1141" spans="1:4">
      <c r="A1141" s="2555" t="s">
        <v>7831</v>
      </c>
      <c r="B1141" s="2556" t="s">
        <v>8976</v>
      </c>
      <c r="D1141" t="e">
        <f t="shared" si="17"/>
        <v>#N/A</v>
      </c>
    </row>
    <row r="1142" spans="1:4">
      <c r="A1142" s="2555" t="s">
        <v>7831</v>
      </c>
      <c r="B1142" s="2556" t="s">
        <v>8977</v>
      </c>
      <c r="D1142" t="e">
        <f t="shared" si="17"/>
        <v>#N/A</v>
      </c>
    </row>
    <row r="1143" spans="1:4">
      <c r="A1143" s="2555" t="s">
        <v>7831</v>
      </c>
      <c r="B1143" s="2556" t="s">
        <v>8978</v>
      </c>
      <c r="D1143" t="e">
        <f t="shared" si="17"/>
        <v>#N/A</v>
      </c>
    </row>
    <row r="1144" spans="1:4">
      <c r="A1144" s="2555" t="s">
        <v>7830</v>
      </c>
      <c r="B1144" s="2559" t="s">
        <v>8979</v>
      </c>
      <c r="D1144">
        <f t="shared" si="17"/>
        <v>17</v>
      </c>
    </row>
    <row r="1145" spans="1:4">
      <c r="A1145" s="2555" t="s">
        <v>7830</v>
      </c>
      <c r="B1145" s="2556" t="s">
        <v>8980</v>
      </c>
      <c r="D1145">
        <f t="shared" si="17"/>
        <v>17</v>
      </c>
    </row>
    <row r="1146" spans="1:4">
      <c r="A1146" s="2555" t="s">
        <v>7830</v>
      </c>
      <c r="B1146" s="2556" t="s">
        <v>8981</v>
      </c>
      <c r="D1146">
        <f t="shared" si="17"/>
        <v>17</v>
      </c>
    </row>
    <row r="1147" spans="1:4">
      <c r="A1147" s="2555" t="s">
        <v>7830</v>
      </c>
      <c r="B1147" s="2556" t="s">
        <v>8982</v>
      </c>
      <c r="D1147">
        <f t="shared" si="17"/>
        <v>17</v>
      </c>
    </row>
    <row r="1148" spans="1:4">
      <c r="A1148" s="2555" t="s">
        <v>7830</v>
      </c>
      <c r="B1148" s="2556" t="s">
        <v>8983</v>
      </c>
      <c r="D1148">
        <f t="shared" si="17"/>
        <v>17</v>
      </c>
    </row>
    <row r="1149" spans="1:4">
      <c r="A1149" s="2555" t="s">
        <v>7830</v>
      </c>
      <c r="B1149" s="2556" t="s">
        <v>8984</v>
      </c>
      <c r="D1149">
        <f t="shared" si="17"/>
        <v>17</v>
      </c>
    </row>
    <row r="1150" spans="1:4">
      <c r="A1150" s="2555" t="s">
        <v>7830</v>
      </c>
      <c r="B1150" s="2556" t="s">
        <v>8985</v>
      </c>
      <c r="D1150">
        <f t="shared" si="17"/>
        <v>17</v>
      </c>
    </row>
    <row r="1151" spans="1:4">
      <c r="A1151" s="2555" t="s">
        <v>7830</v>
      </c>
      <c r="B1151" s="2556" t="s">
        <v>8986</v>
      </c>
      <c r="D1151">
        <f t="shared" si="17"/>
        <v>17</v>
      </c>
    </row>
    <row r="1152" spans="1:4">
      <c r="A1152" s="2555" t="s">
        <v>7830</v>
      </c>
      <c r="B1152" s="2556" t="s">
        <v>8987</v>
      </c>
      <c r="D1152">
        <f t="shared" si="17"/>
        <v>17</v>
      </c>
    </row>
    <row r="1153" spans="1:4">
      <c r="A1153" s="2555" t="s">
        <v>7830</v>
      </c>
      <c r="B1153" s="2556" t="s">
        <v>8988</v>
      </c>
      <c r="D1153">
        <f t="shared" si="17"/>
        <v>17</v>
      </c>
    </row>
    <row r="1154" spans="1:4">
      <c r="A1154" s="2555" t="s">
        <v>7830</v>
      </c>
      <c r="B1154" s="2556" t="s">
        <v>8989</v>
      </c>
      <c r="D1154">
        <f t="shared" si="17"/>
        <v>17</v>
      </c>
    </row>
    <row r="1155" spans="1:4">
      <c r="A1155" s="2555" t="s">
        <v>7830</v>
      </c>
      <c r="B1155" s="2556" t="s">
        <v>2697</v>
      </c>
      <c r="D1155">
        <f t="shared" ref="D1155:D1218" si="18">MATCH(A1155,$F$3:$F$49,0)</f>
        <v>17</v>
      </c>
    </row>
    <row r="1156" spans="1:4">
      <c r="A1156" s="2555" t="s">
        <v>7830</v>
      </c>
      <c r="B1156" s="2556" t="s">
        <v>4561</v>
      </c>
      <c r="D1156">
        <f t="shared" si="18"/>
        <v>17</v>
      </c>
    </row>
    <row r="1157" spans="1:4">
      <c r="A1157" s="2555" t="s">
        <v>7830</v>
      </c>
      <c r="B1157" s="2556" t="s">
        <v>8990</v>
      </c>
      <c r="D1157">
        <f t="shared" si="18"/>
        <v>17</v>
      </c>
    </row>
    <row r="1158" spans="1:4">
      <c r="A1158" s="2555" t="s">
        <v>7830</v>
      </c>
      <c r="B1158" s="2556" t="s">
        <v>2706</v>
      </c>
      <c r="D1158">
        <f t="shared" si="18"/>
        <v>17</v>
      </c>
    </row>
    <row r="1159" spans="1:4">
      <c r="A1159" s="2555" t="s">
        <v>7830</v>
      </c>
      <c r="B1159" s="2556" t="s">
        <v>8991</v>
      </c>
      <c r="D1159">
        <f t="shared" si="18"/>
        <v>17</v>
      </c>
    </row>
    <row r="1160" spans="1:4">
      <c r="A1160" s="2555" t="s">
        <v>7830</v>
      </c>
      <c r="B1160" s="2556" t="s">
        <v>8992</v>
      </c>
      <c r="D1160">
        <f t="shared" si="18"/>
        <v>17</v>
      </c>
    </row>
    <row r="1161" spans="1:4">
      <c r="A1161" s="2555" t="s">
        <v>7830</v>
      </c>
      <c r="B1161" s="2556" t="s">
        <v>8993</v>
      </c>
      <c r="D1161">
        <f t="shared" si="18"/>
        <v>17</v>
      </c>
    </row>
    <row r="1162" spans="1:4">
      <c r="A1162" s="2555" t="s">
        <v>7830</v>
      </c>
      <c r="B1162" s="2556" t="s">
        <v>763</v>
      </c>
      <c r="D1162">
        <f t="shared" si="18"/>
        <v>17</v>
      </c>
    </row>
    <row r="1163" spans="1:4">
      <c r="A1163" s="2555" t="s">
        <v>7830</v>
      </c>
      <c r="B1163" s="2556" t="s">
        <v>8994</v>
      </c>
      <c r="D1163">
        <f t="shared" si="18"/>
        <v>17</v>
      </c>
    </row>
    <row r="1164" spans="1:4">
      <c r="A1164" s="2555" t="s">
        <v>7830</v>
      </c>
      <c r="B1164" s="2556" t="s">
        <v>8995</v>
      </c>
      <c r="D1164">
        <f t="shared" si="18"/>
        <v>17</v>
      </c>
    </row>
    <row r="1165" spans="1:4">
      <c r="A1165" s="2555" t="s">
        <v>7830</v>
      </c>
      <c r="B1165" s="2556" t="s">
        <v>8996</v>
      </c>
      <c r="D1165">
        <f t="shared" si="18"/>
        <v>17</v>
      </c>
    </row>
    <row r="1166" spans="1:4">
      <c r="A1166" s="2555" t="s">
        <v>7830</v>
      </c>
      <c r="B1166" s="2556" t="s">
        <v>8997</v>
      </c>
      <c r="D1166">
        <f t="shared" si="18"/>
        <v>17</v>
      </c>
    </row>
    <row r="1167" spans="1:4">
      <c r="A1167" s="2555" t="s">
        <v>7830</v>
      </c>
      <c r="B1167" s="2556" t="s">
        <v>8998</v>
      </c>
      <c r="D1167">
        <f t="shared" si="18"/>
        <v>17</v>
      </c>
    </row>
    <row r="1168" spans="1:4">
      <c r="A1168" s="2555" t="s">
        <v>7830</v>
      </c>
      <c r="B1168" s="2556" t="s">
        <v>8999</v>
      </c>
      <c r="D1168">
        <f t="shared" si="18"/>
        <v>17</v>
      </c>
    </row>
    <row r="1169" spans="1:4">
      <c r="A1169" s="2555" t="s">
        <v>7830</v>
      </c>
      <c r="B1169" s="2556" t="s">
        <v>9000</v>
      </c>
      <c r="D1169">
        <f t="shared" si="18"/>
        <v>17</v>
      </c>
    </row>
    <row r="1170" spans="1:4">
      <c r="A1170" s="2555" t="s">
        <v>7832</v>
      </c>
      <c r="B1170" s="2556" t="s">
        <v>9001</v>
      </c>
      <c r="D1170">
        <f t="shared" si="18"/>
        <v>18</v>
      </c>
    </row>
    <row r="1171" spans="1:4">
      <c r="A1171" s="2555" t="s">
        <v>7837</v>
      </c>
      <c r="B1171" s="2556" t="s">
        <v>9002</v>
      </c>
      <c r="D1171" t="e">
        <f t="shared" si="18"/>
        <v>#N/A</v>
      </c>
    </row>
    <row r="1172" spans="1:4">
      <c r="A1172" s="2555" t="s">
        <v>7837</v>
      </c>
      <c r="B1172" s="2556" t="s">
        <v>9003</v>
      </c>
      <c r="D1172" t="e">
        <f t="shared" si="18"/>
        <v>#N/A</v>
      </c>
    </row>
    <row r="1173" spans="1:4">
      <c r="A1173" s="2555" t="s">
        <v>7837</v>
      </c>
      <c r="B1173" s="2556" t="s">
        <v>9004</v>
      </c>
      <c r="D1173" t="e">
        <f t="shared" si="18"/>
        <v>#N/A</v>
      </c>
    </row>
    <row r="1174" spans="1:4">
      <c r="A1174" s="2555" t="s">
        <v>7837</v>
      </c>
      <c r="B1174" s="2556" t="s">
        <v>9005</v>
      </c>
      <c r="D1174" t="e">
        <f t="shared" si="18"/>
        <v>#N/A</v>
      </c>
    </row>
    <row r="1175" spans="1:4">
      <c r="A1175" s="2555" t="s">
        <v>7837</v>
      </c>
      <c r="B1175" s="2556" t="s">
        <v>9006</v>
      </c>
      <c r="D1175" t="e">
        <f t="shared" si="18"/>
        <v>#N/A</v>
      </c>
    </row>
    <row r="1176" spans="1:4">
      <c r="A1176" s="2555" t="s">
        <v>7837</v>
      </c>
      <c r="B1176" s="2556" t="s">
        <v>9007</v>
      </c>
      <c r="D1176" t="e">
        <f t="shared" si="18"/>
        <v>#N/A</v>
      </c>
    </row>
    <row r="1177" spans="1:4">
      <c r="A1177" s="2555" t="s">
        <v>7837</v>
      </c>
      <c r="B1177" s="2556" t="s">
        <v>9008</v>
      </c>
      <c r="D1177" t="e">
        <f t="shared" si="18"/>
        <v>#N/A</v>
      </c>
    </row>
    <row r="1178" spans="1:4">
      <c r="A1178" s="2555" t="s">
        <v>7839</v>
      </c>
      <c r="B1178" s="2556" t="s">
        <v>9009</v>
      </c>
      <c r="D1178">
        <f t="shared" si="18"/>
        <v>21</v>
      </c>
    </row>
    <row r="1179" spans="1:4">
      <c r="A1179" t="s">
        <v>7841</v>
      </c>
      <c r="B1179" s="2556" t="s">
        <v>9010</v>
      </c>
      <c r="D1179">
        <f t="shared" si="18"/>
        <v>22</v>
      </c>
    </row>
    <row r="1180" spans="1:4">
      <c r="A1180" t="s">
        <v>7841</v>
      </c>
      <c r="B1180" s="2556" t="s">
        <v>9011</v>
      </c>
      <c r="D1180">
        <f t="shared" si="18"/>
        <v>22</v>
      </c>
    </row>
    <row r="1181" spans="1:4">
      <c r="A1181" t="s">
        <v>7841</v>
      </c>
      <c r="B1181" s="2556" t="s">
        <v>9012</v>
      </c>
      <c r="D1181">
        <f t="shared" si="18"/>
        <v>22</v>
      </c>
    </row>
    <row r="1182" spans="1:4">
      <c r="A1182" t="s">
        <v>7841</v>
      </c>
      <c r="B1182" s="2556" t="s">
        <v>9013</v>
      </c>
      <c r="D1182">
        <f t="shared" si="18"/>
        <v>22</v>
      </c>
    </row>
    <row r="1183" spans="1:4">
      <c r="A1183" t="s">
        <v>7841</v>
      </c>
      <c r="B1183" s="2556" t="s">
        <v>9014</v>
      </c>
      <c r="D1183">
        <f t="shared" si="18"/>
        <v>22</v>
      </c>
    </row>
    <row r="1184" spans="1:4">
      <c r="A1184" t="s">
        <v>7841</v>
      </c>
      <c r="B1184" s="2556" t="s">
        <v>9015</v>
      </c>
      <c r="D1184">
        <f t="shared" si="18"/>
        <v>22</v>
      </c>
    </row>
    <row r="1185" spans="1:4">
      <c r="A1185" t="s">
        <v>7841</v>
      </c>
      <c r="B1185" s="2556" t="s">
        <v>9016</v>
      </c>
      <c r="D1185">
        <f t="shared" si="18"/>
        <v>22</v>
      </c>
    </row>
    <row r="1186" spans="1:4">
      <c r="A1186" t="s">
        <v>7841</v>
      </c>
      <c r="B1186" s="2556" t="s">
        <v>9017</v>
      </c>
      <c r="D1186">
        <f t="shared" si="18"/>
        <v>22</v>
      </c>
    </row>
    <row r="1187" spans="1:4">
      <c r="A1187" t="s">
        <v>7841</v>
      </c>
      <c r="B1187" s="2556" t="s">
        <v>9018</v>
      </c>
      <c r="D1187">
        <f t="shared" si="18"/>
        <v>22</v>
      </c>
    </row>
    <row r="1188" spans="1:4">
      <c r="A1188" t="s">
        <v>7841</v>
      </c>
      <c r="B1188" s="2556" t="s">
        <v>9019</v>
      </c>
      <c r="D1188">
        <f t="shared" si="18"/>
        <v>22</v>
      </c>
    </row>
    <row r="1189" spans="1:4">
      <c r="A1189" t="s">
        <v>7841</v>
      </c>
      <c r="B1189" s="2556" t="s">
        <v>9020</v>
      </c>
      <c r="D1189">
        <f t="shared" si="18"/>
        <v>22</v>
      </c>
    </row>
    <row r="1190" spans="1:4">
      <c r="A1190" t="s">
        <v>7841</v>
      </c>
      <c r="B1190" s="2556" t="s">
        <v>9021</v>
      </c>
      <c r="D1190">
        <f t="shared" si="18"/>
        <v>22</v>
      </c>
    </row>
    <row r="1191" spans="1:4">
      <c r="A1191" t="s">
        <v>7841</v>
      </c>
      <c r="B1191" s="2556" t="s">
        <v>9022</v>
      </c>
      <c r="D1191">
        <f t="shared" si="18"/>
        <v>22</v>
      </c>
    </row>
    <row r="1192" spans="1:4">
      <c r="A1192" t="s">
        <v>7841</v>
      </c>
      <c r="B1192" s="2556" t="s">
        <v>9023</v>
      </c>
      <c r="D1192">
        <f t="shared" si="18"/>
        <v>22</v>
      </c>
    </row>
    <row r="1193" spans="1:4">
      <c r="A1193" t="s">
        <v>7841</v>
      </c>
      <c r="B1193" s="2556" t="s">
        <v>9024</v>
      </c>
      <c r="D1193">
        <f t="shared" si="18"/>
        <v>22</v>
      </c>
    </row>
    <row r="1194" spans="1:4">
      <c r="A1194" t="s">
        <v>7841</v>
      </c>
      <c r="B1194" s="2556" t="s">
        <v>9025</v>
      </c>
      <c r="D1194">
        <f t="shared" si="18"/>
        <v>22</v>
      </c>
    </row>
    <row r="1195" spans="1:4">
      <c r="A1195" t="s">
        <v>7841</v>
      </c>
      <c r="B1195" s="2556" t="s">
        <v>9026</v>
      </c>
      <c r="D1195">
        <f t="shared" si="18"/>
        <v>22</v>
      </c>
    </row>
    <row r="1196" spans="1:4">
      <c r="A1196" t="s">
        <v>7841</v>
      </c>
      <c r="B1196" s="2556" t="s">
        <v>9027</v>
      </c>
      <c r="D1196">
        <f t="shared" si="18"/>
        <v>22</v>
      </c>
    </row>
    <row r="1197" spans="1:4">
      <c r="A1197" t="s">
        <v>7841</v>
      </c>
      <c r="B1197" s="2556" t="s">
        <v>9028</v>
      </c>
      <c r="D1197">
        <f t="shared" si="18"/>
        <v>22</v>
      </c>
    </row>
    <row r="1198" spans="1:4">
      <c r="A1198" t="s">
        <v>7841</v>
      </c>
      <c r="B1198" s="2556" t="s">
        <v>9029</v>
      </c>
      <c r="D1198">
        <f t="shared" si="18"/>
        <v>22</v>
      </c>
    </row>
    <row r="1199" spans="1:4">
      <c r="A1199" t="s">
        <v>7841</v>
      </c>
      <c r="B1199" s="2556" t="s">
        <v>9030</v>
      </c>
      <c r="D1199">
        <f t="shared" si="18"/>
        <v>22</v>
      </c>
    </row>
    <row r="1200" spans="1:4">
      <c r="A1200" t="s">
        <v>7841</v>
      </c>
      <c r="B1200" s="2556" t="s">
        <v>9031</v>
      </c>
      <c r="D1200">
        <f t="shared" si="18"/>
        <v>22</v>
      </c>
    </row>
    <row r="1201" spans="1:4">
      <c r="A1201" t="s">
        <v>7841</v>
      </c>
      <c r="B1201" s="2556" t="s">
        <v>9032</v>
      </c>
      <c r="D1201">
        <f t="shared" si="18"/>
        <v>22</v>
      </c>
    </row>
    <row r="1202" spans="1:4">
      <c r="A1202" t="s">
        <v>7841</v>
      </c>
      <c r="B1202" s="2556" t="s">
        <v>9033</v>
      </c>
      <c r="D1202">
        <f t="shared" si="18"/>
        <v>22</v>
      </c>
    </row>
    <row r="1203" spans="1:4">
      <c r="A1203" t="s">
        <v>7841</v>
      </c>
      <c r="B1203" s="2556" t="s">
        <v>9034</v>
      </c>
      <c r="D1203">
        <f t="shared" si="18"/>
        <v>22</v>
      </c>
    </row>
    <row r="1204" spans="1:4">
      <c r="A1204" t="s">
        <v>7841</v>
      </c>
      <c r="B1204" s="2556" t="s">
        <v>9035</v>
      </c>
      <c r="D1204">
        <f t="shared" si="18"/>
        <v>22</v>
      </c>
    </row>
    <row r="1205" spans="1:4">
      <c r="A1205" t="s">
        <v>7841</v>
      </c>
      <c r="B1205" s="2556" t="s">
        <v>9036</v>
      </c>
      <c r="D1205">
        <f t="shared" si="18"/>
        <v>22</v>
      </c>
    </row>
    <row r="1206" spans="1:4">
      <c r="A1206" t="s">
        <v>7841</v>
      </c>
      <c r="B1206" s="2556" t="s">
        <v>9037</v>
      </c>
      <c r="D1206">
        <f t="shared" si="18"/>
        <v>22</v>
      </c>
    </row>
    <row r="1207" spans="1:4">
      <c r="A1207" t="s">
        <v>7841</v>
      </c>
      <c r="B1207" s="2556" t="s">
        <v>9038</v>
      </c>
      <c r="D1207">
        <f t="shared" si="18"/>
        <v>22</v>
      </c>
    </row>
    <row r="1208" spans="1:4">
      <c r="A1208" s="2555" t="s">
        <v>7843</v>
      </c>
      <c r="B1208" s="2556" t="s">
        <v>9039</v>
      </c>
      <c r="D1208">
        <f t="shared" si="18"/>
        <v>23</v>
      </c>
    </row>
    <row r="1209" spans="1:4">
      <c r="A1209" s="170" t="s">
        <v>7846</v>
      </c>
      <c r="B1209" s="2556" t="s">
        <v>9040</v>
      </c>
      <c r="D1209" t="e">
        <f t="shared" si="18"/>
        <v>#N/A</v>
      </c>
    </row>
    <row r="1210" spans="1:4">
      <c r="A1210" s="2555" t="s">
        <v>7848</v>
      </c>
      <c r="B1210" s="2556" t="s">
        <v>9041</v>
      </c>
      <c r="D1210">
        <f t="shared" si="18"/>
        <v>25</v>
      </c>
    </row>
    <row r="1211" spans="1:4">
      <c r="A1211" s="2555" t="s">
        <v>7848</v>
      </c>
      <c r="B1211" s="2556" t="s">
        <v>9042</v>
      </c>
      <c r="D1211">
        <f t="shared" si="18"/>
        <v>25</v>
      </c>
    </row>
    <row r="1212" spans="1:4">
      <c r="A1212" s="2555" t="s">
        <v>7848</v>
      </c>
      <c r="B1212" s="2556" t="s">
        <v>9043</v>
      </c>
      <c r="D1212">
        <f t="shared" si="18"/>
        <v>25</v>
      </c>
    </row>
    <row r="1213" spans="1:4">
      <c r="A1213" s="2555" t="s">
        <v>7848</v>
      </c>
      <c r="B1213" s="2556" t="s">
        <v>9044</v>
      </c>
      <c r="D1213">
        <f t="shared" si="18"/>
        <v>25</v>
      </c>
    </row>
    <row r="1214" spans="1:4">
      <c r="A1214" s="2555" t="s">
        <v>7848</v>
      </c>
      <c r="B1214" s="2556" t="s">
        <v>9045</v>
      </c>
      <c r="D1214">
        <f t="shared" si="18"/>
        <v>25</v>
      </c>
    </row>
    <row r="1215" spans="1:4">
      <c r="A1215" s="2555" t="s">
        <v>7848</v>
      </c>
      <c r="B1215" s="2556" t="s">
        <v>9046</v>
      </c>
      <c r="D1215">
        <f t="shared" si="18"/>
        <v>25</v>
      </c>
    </row>
    <row r="1216" spans="1:4">
      <c r="A1216" s="2555" t="s">
        <v>7848</v>
      </c>
      <c r="B1216" s="2556" t="s">
        <v>9047</v>
      </c>
      <c r="D1216">
        <f t="shared" si="18"/>
        <v>25</v>
      </c>
    </row>
    <row r="1217" spans="1:4">
      <c r="A1217" s="2555" t="s">
        <v>7848</v>
      </c>
      <c r="B1217" s="2556" t="s">
        <v>9048</v>
      </c>
      <c r="D1217">
        <f t="shared" si="18"/>
        <v>25</v>
      </c>
    </row>
    <row r="1218" spans="1:4">
      <c r="A1218" s="2555" t="s">
        <v>7848</v>
      </c>
      <c r="B1218" s="2556" t="s">
        <v>9049</v>
      </c>
      <c r="D1218">
        <f t="shared" si="18"/>
        <v>25</v>
      </c>
    </row>
    <row r="1219" spans="1:4">
      <c r="A1219" s="2555" t="s">
        <v>7848</v>
      </c>
      <c r="B1219" s="2556" t="s">
        <v>9050</v>
      </c>
      <c r="D1219">
        <f t="shared" ref="D1219:D1282" si="19">MATCH(A1219,$F$3:$F$49,0)</f>
        <v>25</v>
      </c>
    </row>
    <row r="1220" spans="1:4">
      <c r="A1220" s="2555" t="s">
        <v>7848</v>
      </c>
      <c r="B1220" s="2556" t="s">
        <v>9051</v>
      </c>
      <c r="D1220">
        <f t="shared" si="19"/>
        <v>25</v>
      </c>
    </row>
    <row r="1221" spans="1:4">
      <c r="A1221" s="2555" t="s">
        <v>7848</v>
      </c>
      <c r="B1221" s="2556" t="s">
        <v>9052</v>
      </c>
      <c r="D1221">
        <f t="shared" si="19"/>
        <v>25</v>
      </c>
    </row>
    <row r="1222" spans="1:4">
      <c r="A1222" s="2555" t="s">
        <v>7848</v>
      </c>
      <c r="B1222" s="2556" t="s">
        <v>9053</v>
      </c>
      <c r="D1222">
        <f t="shared" si="19"/>
        <v>25</v>
      </c>
    </row>
    <row r="1223" spans="1:4">
      <c r="A1223" s="2555" t="s">
        <v>7848</v>
      </c>
      <c r="B1223" s="2556" t="s">
        <v>9054</v>
      </c>
      <c r="D1223">
        <f t="shared" si="19"/>
        <v>25</v>
      </c>
    </row>
    <row r="1224" spans="1:4">
      <c r="A1224" s="2555" t="s">
        <v>7848</v>
      </c>
      <c r="B1224" s="2556" t="s">
        <v>9055</v>
      </c>
      <c r="D1224">
        <f t="shared" si="19"/>
        <v>25</v>
      </c>
    </row>
    <row r="1225" spans="1:4">
      <c r="A1225" s="2555" t="s">
        <v>7848</v>
      </c>
      <c r="B1225" s="2556" t="s">
        <v>9056</v>
      </c>
      <c r="D1225">
        <f t="shared" si="19"/>
        <v>25</v>
      </c>
    </row>
    <row r="1226" spans="1:4">
      <c r="A1226" s="2555" t="s">
        <v>7848</v>
      </c>
      <c r="B1226" s="2556" t="s">
        <v>9057</v>
      </c>
      <c r="D1226">
        <f t="shared" si="19"/>
        <v>25</v>
      </c>
    </row>
    <row r="1227" spans="1:4">
      <c r="A1227" s="2555" t="s">
        <v>7848</v>
      </c>
      <c r="B1227" s="2556" t="s">
        <v>9058</v>
      </c>
      <c r="D1227">
        <f t="shared" si="19"/>
        <v>25</v>
      </c>
    </row>
    <row r="1228" spans="1:4">
      <c r="A1228" s="2555" t="s">
        <v>7848</v>
      </c>
      <c r="B1228" s="2556" t="s">
        <v>746</v>
      </c>
      <c r="D1228">
        <f t="shared" si="19"/>
        <v>25</v>
      </c>
    </row>
    <row r="1229" spans="1:4">
      <c r="A1229" s="2555" t="s">
        <v>7848</v>
      </c>
      <c r="B1229" s="2556" t="s">
        <v>751</v>
      </c>
      <c r="D1229">
        <f t="shared" si="19"/>
        <v>25</v>
      </c>
    </row>
    <row r="1230" spans="1:4">
      <c r="A1230" s="2555" t="s">
        <v>7848</v>
      </c>
      <c r="B1230" s="2556" t="s">
        <v>9059</v>
      </c>
      <c r="D1230">
        <f t="shared" si="19"/>
        <v>25</v>
      </c>
    </row>
    <row r="1231" spans="1:4">
      <c r="A1231" s="2555" t="s">
        <v>7848</v>
      </c>
      <c r="B1231" s="2556" t="s">
        <v>9060</v>
      </c>
      <c r="D1231">
        <f t="shared" si="19"/>
        <v>25</v>
      </c>
    </row>
    <row r="1232" spans="1:4">
      <c r="A1232" s="2555" t="s">
        <v>7848</v>
      </c>
      <c r="B1232" s="2556" t="s">
        <v>9061</v>
      </c>
      <c r="D1232">
        <f t="shared" si="19"/>
        <v>25</v>
      </c>
    </row>
    <row r="1233" spans="1:4">
      <c r="A1233" s="2555" t="s">
        <v>7848</v>
      </c>
      <c r="B1233" s="2556" t="s">
        <v>9062</v>
      </c>
      <c r="D1233">
        <f t="shared" si="19"/>
        <v>25</v>
      </c>
    </row>
    <row r="1234" spans="1:4">
      <c r="A1234" s="2555" t="s">
        <v>7848</v>
      </c>
      <c r="B1234" s="2556" t="s">
        <v>9063</v>
      </c>
      <c r="D1234">
        <f t="shared" si="19"/>
        <v>25</v>
      </c>
    </row>
    <row r="1235" spans="1:4">
      <c r="A1235" s="2555" t="s">
        <v>7848</v>
      </c>
      <c r="B1235" s="2556" t="s">
        <v>9064</v>
      </c>
      <c r="D1235">
        <f t="shared" si="19"/>
        <v>25</v>
      </c>
    </row>
    <row r="1236" spans="1:4">
      <c r="A1236" s="2555" t="s">
        <v>7848</v>
      </c>
      <c r="B1236" s="2556" t="s">
        <v>9065</v>
      </c>
      <c r="D1236">
        <f t="shared" si="19"/>
        <v>25</v>
      </c>
    </row>
    <row r="1237" spans="1:4">
      <c r="A1237" s="2555" t="s">
        <v>7848</v>
      </c>
      <c r="B1237" s="2559" t="s">
        <v>9066</v>
      </c>
      <c r="D1237">
        <f t="shared" si="19"/>
        <v>25</v>
      </c>
    </row>
    <row r="1238" spans="1:4">
      <c r="A1238" s="2555" t="s">
        <v>7848</v>
      </c>
      <c r="B1238" s="2556" t="s">
        <v>9067</v>
      </c>
      <c r="D1238">
        <f t="shared" si="19"/>
        <v>25</v>
      </c>
    </row>
    <row r="1239" spans="1:4">
      <c r="A1239" s="2555" t="s">
        <v>7848</v>
      </c>
      <c r="B1239" s="2559" t="s">
        <v>9068</v>
      </c>
      <c r="D1239">
        <f t="shared" si="19"/>
        <v>25</v>
      </c>
    </row>
    <row r="1240" spans="1:4">
      <c r="A1240" s="2555" t="s">
        <v>7848</v>
      </c>
      <c r="B1240" s="2559" t="s">
        <v>9069</v>
      </c>
      <c r="D1240">
        <f t="shared" si="19"/>
        <v>25</v>
      </c>
    </row>
    <row r="1241" spans="1:4">
      <c r="A1241" s="2555" t="s">
        <v>7848</v>
      </c>
      <c r="B1241" s="2559" t="s">
        <v>9070</v>
      </c>
      <c r="D1241">
        <f t="shared" si="19"/>
        <v>25</v>
      </c>
    </row>
    <row r="1242" spans="1:4">
      <c r="A1242" s="2555" t="s">
        <v>7848</v>
      </c>
      <c r="B1242" s="2556" t="s">
        <v>9071</v>
      </c>
      <c r="D1242">
        <f t="shared" si="19"/>
        <v>25</v>
      </c>
    </row>
    <row r="1243" spans="1:4">
      <c r="A1243" s="2555" t="s">
        <v>7848</v>
      </c>
      <c r="B1243" s="2559" t="s">
        <v>9072</v>
      </c>
      <c r="D1243">
        <f t="shared" si="19"/>
        <v>25</v>
      </c>
    </row>
    <row r="1244" spans="1:4">
      <c r="A1244" s="2555" t="s">
        <v>7848</v>
      </c>
      <c r="B1244" s="2559" t="s">
        <v>9073</v>
      </c>
      <c r="D1244">
        <f t="shared" si="19"/>
        <v>25</v>
      </c>
    </row>
    <row r="1245" spans="1:4">
      <c r="A1245" s="2555" t="s">
        <v>7848</v>
      </c>
      <c r="B1245" s="2559" t="s">
        <v>9074</v>
      </c>
      <c r="D1245">
        <f t="shared" si="19"/>
        <v>25</v>
      </c>
    </row>
    <row r="1246" spans="1:4">
      <c r="A1246" s="2555" t="s">
        <v>7848</v>
      </c>
      <c r="B1246" s="2559" t="s">
        <v>9075</v>
      </c>
      <c r="D1246">
        <f t="shared" si="19"/>
        <v>25</v>
      </c>
    </row>
    <row r="1247" spans="1:4">
      <c r="A1247" s="2555" t="s">
        <v>7848</v>
      </c>
      <c r="B1247" s="2559" t="s">
        <v>9076</v>
      </c>
      <c r="D1247">
        <f t="shared" si="19"/>
        <v>25</v>
      </c>
    </row>
    <row r="1248" spans="1:4">
      <c r="A1248" s="2555" t="s">
        <v>7848</v>
      </c>
      <c r="B1248" s="2556" t="s">
        <v>9077</v>
      </c>
      <c r="D1248">
        <f t="shared" si="19"/>
        <v>25</v>
      </c>
    </row>
    <row r="1249" spans="1:4">
      <c r="A1249" s="2555" t="s">
        <v>7848</v>
      </c>
      <c r="B1249" s="2556" t="s">
        <v>9078</v>
      </c>
      <c r="D1249">
        <f t="shared" si="19"/>
        <v>25</v>
      </c>
    </row>
    <row r="1250" spans="1:4">
      <c r="A1250" s="2555" t="s">
        <v>7848</v>
      </c>
      <c r="B1250" s="2556" t="s">
        <v>9079</v>
      </c>
      <c r="D1250">
        <f t="shared" si="19"/>
        <v>25</v>
      </c>
    </row>
    <row r="1251" spans="1:4">
      <c r="A1251" s="2555" t="s">
        <v>7853</v>
      </c>
      <c r="B1251" s="2559" t="s">
        <v>9080</v>
      </c>
      <c r="D1251">
        <f t="shared" si="19"/>
        <v>27</v>
      </c>
    </row>
    <row r="1252" spans="1:4">
      <c r="A1252" s="2555" t="s">
        <v>7853</v>
      </c>
      <c r="B1252" s="2559" t="s">
        <v>9081</v>
      </c>
      <c r="D1252">
        <f t="shared" si="19"/>
        <v>27</v>
      </c>
    </row>
    <row r="1253" spans="1:4">
      <c r="A1253" s="2555" t="s">
        <v>7853</v>
      </c>
      <c r="B1253" s="2559" t="s">
        <v>9082</v>
      </c>
      <c r="D1253">
        <f t="shared" si="19"/>
        <v>27</v>
      </c>
    </row>
    <row r="1254" spans="1:4">
      <c r="A1254" s="2555" t="s">
        <v>7853</v>
      </c>
      <c r="B1254" s="2559" t="s">
        <v>9083</v>
      </c>
      <c r="D1254">
        <f t="shared" si="19"/>
        <v>27</v>
      </c>
    </row>
    <row r="1255" spans="1:4">
      <c r="A1255" s="2555" t="s">
        <v>7853</v>
      </c>
      <c r="B1255" s="2559" t="s">
        <v>9084</v>
      </c>
      <c r="D1255">
        <f t="shared" si="19"/>
        <v>27</v>
      </c>
    </row>
    <row r="1256" spans="1:4">
      <c r="A1256" s="2555" t="s">
        <v>7853</v>
      </c>
      <c r="B1256" s="2559" t="s">
        <v>9085</v>
      </c>
      <c r="D1256">
        <f t="shared" si="19"/>
        <v>27</v>
      </c>
    </row>
    <row r="1257" spans="1:4">
      <c r="A1257" s="2555" t="s">
        <v>9086</v>
      </c>
      <c r="B1257" s="2556" t="s">
        <v>9087</v>
      </c>
      <c r="D1257" t="e">
        <f t="shared" si="19"/>
        <v>#N/A</v>
      </c>
    </row>
    <row r="1258" spans="1:4">
      <c r="A1258" s="2555" t="s">
        <v>7856</v>
      </c>
      <c r="B1258" s="2556" t="s">
        <v>9088</v>
      </c>
      <c r="D1258">
        <f t="shared" si="19"/>
        <v>28</v>
      </c>
    </row>
    <row r="1259" spans="1:4">
      <c r="A1259" s="2555" t="s">
        <v>7856</v>
      </c>
      <c r="B1259" s="2556" t="s">
        <v>9089</v>
      </c>
      <c r="D1259">
        <f t="shared" si="19"/>
        <v>28</v>
      </c>
    </row>
    <row r="1260" spans="1:4">
      <c r="A1260" s="2555" t="s">
        <v>7856</v>
      </c>
      <c r="B1260" s="2556" t="s">
        <v>9090</v>
      </c>
      <c r="D1260">
        <f t="shared" si="19"/>
        <v>28</v>
      </c>
    </row>
    <row r="1261" spans="1:4">
      <c r="A1261" s="2555" t="s">
        <v>7856</v>
      </c>
      <c r="B1261" s="2556" t="s">
        <v>9091</v>
      </c>
      <c r="D1261">
        <f t="shared" si="19"/>
        <v>28</v>
      </c>
    </row>
    <row r="1262" spans="1:4">
      <c r="A1262" s="2555" t="s">
        <v>7856</v>
      </c>
      <c r="B1262" s="2556" t="s">
        <v>9092</v>
      </c>
      <c r="D1262">
        <f t="shared" si="19"/>
        <v>28</v>
      </c>
    </row>
    <row r="1263" spans="1:4">
      <c r="A1263" s="2555" t="s">
        <v>7856</v>
      </c>
      <c r="B1263" s="2556" t="s">
        <v>9093</v>
      </c>
      <c r="D1263">
        <f t="shared" si="19"/>
        <v>28</v>
      </c>
    </row>
    <row r="1264" spans="1:4">
      <c r="A1264" s="2555" t="s">
        <v>7856</v>
      </c>
      <c r="B1264" s="2556" t="s">
        <v>9094</v>
      </c>
      <c r="D1264">
        <f t="shared" si="19"/>
        <v>28</v>
      </c>
    </row>
    <row r="1265" spans="1:4">
      <c r="A1265" s="2555" t="s">
        <v>7856</v>
      </c>
      <c r="B1265" s="2556" t="s">
        <v>9095</v>
      </c>
      <c r="D1265">
        <f t="shared" si="19"/>
        <v>28</v>
      </c>
    </row>
    <row r="1266" spans="1:4">
      <c r="A1266" s="2555" t="s">
        <v>7856</v>
      </c>
      <c r="B1266" s="2556" t="s">
        <v>9096</v>
      </c>
      <c r="D1266">
        <f t="shared" si="19"/>
        <v>28</v>
      </c>
    </row>
    <row r="1267" spans="1:4">
      <c r="A1267" s="2555" t="s">
        <v>7856</v>
      </c>
      <c r="B1267" s="2556" t="s">
        <v>9097</v>
      </c>
      <c r="D1267">
        <f t="shared" si="19"/>
        <v>28</v>
      </c>
    </row>
    <row r="1268" spans="1:4">
      <c r="A1268" s="2555" t="s">
        <v>7856</v>
      </c>
      <c r="B1268" s="2556" t="s">
        <v>9098</v>
      </c>
      <c r="D1268">
        <f t="shared" si="19"/>
        <v>28</v>
      </c>
    </row>
    <row r="1269" spans="1:4">
      <c r="A1269" s="2555" t="s">
        <v>7856</v>
      </c>
      <c r="B1269" s="2556" t="s">
        <v>9099</v>
      </c>
      <c r="D1269">
        <f t="shared" si="19"/>
        <v>28</v>
      </c>
    </row>
    <row r="1270" spans="1:4">
      <c r="A1270" s="2555" t="s">
        <v>7856</v>
      </c>
      <c r="B1270" s="2556" t="s">
        <v>9100</v>
      </c>
      <c r="D1270">
        <f t="shared" si="19"/>
        <v>28</v>
      </c>
    </row>
    <row r="1271" spans="1:4">
      <c r="A1271" s="2555" t="s">
        <v>7856</v>
      </c>
      <c r="B1271" s="2556" t="s">
        <v>9101</v>
      </c>
      <c r="D1271">
        <f t="shared" si="19"/>
        <v>28</v>
      </c>
    </row>
    <row r="1272" spans="1:4">
      <c r="A1272" s="2555" t="s">
        <v>7856</v>
      </c>
      <c r="B1272" s="2556" t="s">
        <v>9102</v>
      </c>
      <c r="D1272">
        <f t="shared" si="19"/>
        <v>28</v>
      </c>
    </row>
    <row r="1273" spans="1:4">
      <c r="A1273" s="2555" t="s">
        <v>7856</v>
      </c>
      <c r="B1273" s="2556" t="s">
        <v>9103</v>
      </c>
      <c r="D1273">
        <f t="shared" si="19"/>
        <v>28</v>
      </c>
    </row>
    <row r="1274" spans="1:4">
      <c r="A1274" s="2555" t="s">
        <v>7862</v>
      </c>
      <c r="B1274" s="2556" t="s">
        <v>9104</v>
      </c>
      <c r="D1274">
        <f t="shared" si="19"/>
        <v>31</v>
      </c>
    </row>
    <row r="1275" spans="1:4">
      <c r="A1275" s="2555" t="s">
        <v>7864</v>
      </c>
      <c r="B1275" s="2556" t="s">
        <v>596</v>
      </c>
      <c r="D1275">
        <f t="shared" si="19"/>
        <v>32</v>
      </c>
    </row>
    <row r="1276" spans="1:4">
      <c r="A1276" s="2555" t="s">
        <v>7864</v>
      </c>
      <c r="B1276" s="2556" t="s">
        <v>9105</v>
      </c>
      <c r="D1276">
        <f t="shared" si="19"/>
        <v>32</v>
      </c>
    </row>
    <row r="1277" spans="1:4">
      <c r="A1277" s="2555" t="s">
        <v>7864</v>
      </c>
      <c r="B1277" s="2556" t="s">
        <v>9106</v>
      </c>
      <c r="D1277">
        <f t="shared" si="19"/>
        <v>32</v>
      </c>
    </row>
    <row r="1278" spans="1:4">
      <c r="A1278" s="2555" t="s">
        <v>7864</v>
      </c>
      <c r="B1278" s="2556" t="s">
        <v>9107</v>
      </c>
      <c r="D1278">
        <f t="shared" si="19"/>
        <v>32</v>
      </c>
    </row>
    <row r="1279" spans="1:4">
      <c r="A1279" s="2555" t="s">
        <v>7864</v>
      </c>
      <c r="B1279" s="2556" t="s">
        <v>9108</v>
      </c>
      <c r="D1279">
        <f t="shared" si="19"/>
        <v>32</v>
      </c>
    </row>
    <row r="1280" spans="1:4">
      <c r="A1280" s="2555" t="s">
        <v>7864</v>
      </c>
      <c r="B1280" s="2556" t="s">
        <v>9109</v>
      </c>
      <c r="D1280">
        <f t="shared" si="19"/>
        <v>32</v>
      </c>
    </row>
    <row r="1281" spans="1:4">
      <c r="A1281" s="2555" t="s">
        <v>7864</v>
      </c>
      <c r="B1281" s="2556" t="s">
        <v>9110</v>
      </c>
      <c r="D1281">
        <f t="shared" si="19"/>
        <v>32</v>
      </c>
    </row>
    <row r="1282" spans="1:4">
      <c r="A1282" s="2555" t="s">
        <v>7864</v>
      </c>
      <c r="B1282" s="2556" t="s">
        <v>9111</v>
      </c>
      <c r="D1282">
        <f t="shared" si="19"/>
        <v>32</v>
      </c>
    </row>
    <row r="1283" spans="1:4">
      <c r="A1283" s="2555" t="s">
        <v>5814</v>
      </c>
      <c r="B1283" s="2556" t="s">
        <v>9112</v>
      </c>
      <c r="D1283">
        <f t="shared" ref="D1283:D1330" si="20">MATCH(A1283,$F$3:$F$49,0)</f>
        <v>33</v>
      </c>
    </row>
    <row r="1284" spans="1:4">
      <c r="A1284" s="2555" t="s">
        <v>5814</v>
      </c>
      <c r="B1284" s="2556" t="s">
        <v>9113</v>
      </c>
      <c r="D1284">
        <f t="shared" si="20"/>
        <v>33</v>
      </c>
    </row>
    <row r="1285" spans="1:4">
      <c r="A1285" s="2555" t="s">
        <v>5814</v>
      </c>
      <c r="B1285" s="2556" t="s">
        <v>9114</v>
      </c>
      <c r="D1285">
        <f t="shared" si="20"/>
        <v>33</v>
      </c>
    </row>
    <row r="1286" spans="1:4">
      <c r="A1286" s="2555" t="s">
        <v>5814</v>
      </c>
      <c r="B1286" s="2556" t="s">
        <v>9115</v>
      </c>
      <c r="D1286">
        <f t="shared" si="20"/>
        <v>33</v>
      </c>
    </row>
    <row r="1287" spans="1:4">
      <c r="A1287" s="2555" t="s">
        <v>5814</v>
      </c>
      <c r="B1287" s="2556" t="s">
        <v>9116</v>
      </c>
      <c r="D1287">
        <f t="shared" si="20"/>
        <v>33</v>
      </c>
    </row>
    <row r="1288" spans="1:4">
      <c r="A1288" s="2555" t="s">
        <v>5814</v>
      </c>
      <c r="B1288" s="2556" t="s">
        <v>9117</v>
      </c>
      <c r="D1288">
        <f t="shared" si="20"/>
        <v>33</v>
      </c>
    </row>
    <row r="1289" spans="1:4">
      <c r="A1289" s="2555" t="s">
        <v>5814</v>
      </c>
      <c r="B1289" s="2556" t="s">
        <v>9118</v>
      </c>
      <c r="D1289">
        <f t="shared" si="20"/>
        <v>33</v>
      </c>
    </row>
    <row r="1290" spans="1:4">
      <c r="A1290" s="2555" t="s">
        <v>5814</v>
      </c>
      <c r="B1290" s="2556" t="s">
        <v>9119</v>
      </c>
      <c r="D1290">
        <f t="shared" si="20"/>
        <v>33</v>
      </c>
    </row>
    <row r="1291" spans="1:4">
      <c r="A1291" s="2555" t="s">
        <v>5814</v>
      </c>
      <c r="B1291" s="2556" t="s">
        <v>9120</v>
      </c>
      <c r="D1291">
        <f t="shared" si="20"/>
        <v>33</v>
      </c>
    </row>
    <row r="1292" spans="1:4">
      <c r="A1292" s="2555" t="s">
        <v>5814</v>
      </c>
      <c r="B1292" s="2556" t="s">
        <v>9121</v>
      </c>
      <c r="D1292">
        <f t="shared" si="20"/>
        <v>33</v>
      </c>
    </row>
    <row r="1293" spans="1:4">
      <c r="A1293" s="2555" t="s">
        <v>5814</v>
      </c>
      <c r="B1293" s="2556" t="s">
        <v>9122</v>
      </c>
      <c r="D1293">
        <f t="shared" si="20"/>
        <v>33</v>
      </c>
    </row>
    <row r="1294" spans="1:4">
      <c r="A1294" s="2555" t="s">
        <v>5814</v>
      </c>
      <c r="B1294" s="2556" t="s">
        <v>9123</v>
      </c>
      <c r="D1294">
        <f t="shared" si="20"/>
        <v>33</v>
      </c>
    </row>
    <row r="1295" spans="1:4">
      <c r="A1295" s="2555" t="s">
        <v>5814</v>
      </c>
      <c r="B1295" s="2556" t="s">
        <v>9124</v>
      </c>
      <c r="D1295">
        <f t="shared" si="20"/>
        <v>33</v>
      </c>
    </row>
    <row r="1296" spans="1:4">
      <c r="A1296" s="2555" t="s">
        <v>5814</v>
      </c>
      <c r="B1296" s="2556" t="s">
        <v>9125</v>
      </c>
      <c r="D1296">
        <f t="shared" si="20"/>
        <v>33</v>
      </c>
    </row>
    <row r="1297" spans="1:4">
      <c r="A1297" s="2555" t="s">
        <v>5814</v>
      </c>
      <c r="B1297" s="2556" t="s">
        <v>9126</v>
      </c>
      <c r="D1297">
        <f t="shared" si="20"/>
        <v>33</v>
      </c>
    </row>
    <row r="1298" spans="1:4">
      <c r="A1298" s="2555" t="s">
        <v>5814</v>
      </c>
      <c r="B1298" s="2556" t="s">
        <v>9127</v>
      </c>
      <c r="D1298">
        <f t="shared" si="20"/>
        <v>33</v>
      </c>
    </row>
    <row r="1299" spans="1:4">
      <c r="A1299" s="2555" t="s">
        <v>5814</v>
      </c>
      <c r="B1299" s="2556" t="s">
        <v>9128</v>
      </c>
      <c r="D1299">
        <f t="shared" si="20"/>
        <v>33</v>
      </c>
    </row>
    <row r="1300" spans="1:4">
      <c r="A1300" s="2555" t="s">
        <v>5814</v>
      </c>
      <c r="B1300" s="2556" t="s">
        <v>9129</v>
      </c>
      <c r="D1300">
        <f t="shared" si="20"/>
        <v>33</v>
      </c>
    </row>
    <row r="1301" spans="1:4">
      <c r="A1301" s="2555" t="s">
        <v>5814</v>
      </c>
      <c r="B1301" s="2556" t="s">
        <v>9130</v>
      </c>
      <c r="D1301">
        <f t="shared" si="20"/>
        <v>33</v>
      </c>
    </row>
    <row r="1302" spans="1:4">
      <c r="A1302" s="2555" t="s">
        <v>5814</v>
      </c>
      <c r="B1302" s="2556" t="s">
        <v>9131</v>
      </c>
      <c r="D1302">
        <f t="shared" si="20"/>
        <v>33</v>
      </c>
    </row>
    <row r="1303" spans="1:4">
      <c r="A1303" s="2555" t="s">
        <v>5814</v>
      </c>
      <c r="B1303" s="2556" t="s">
        <v>9132</v>
      </c>
      <c r="D1303">
        <f t="shared" si="20"/>
        <v>33</v>
      </c>
    </row>
    <row r="1304" spans="1:4">
      <c r="A1304" s="2555" t="s">
        <v>5814</v>
      </c>
      <c r="B1304" s="2556" t="s">
        <v>9133</v>
      </c>
      <c r="D1304">
        <f t="shared" si="20"/>
        <v>33</v>
      </c>
    </row>
    <row r="1305" spans="1:4">
      <c r="A1305" s="2555" t="s">
        <v>7867</v>
      </c>
      <c r="B1305" s="2556" t="s">
        <v>9134</v>
      </c>
      <c r="D1305">
        <f t="shared" si="20"/>
        <v>34</v>
      </c>
    </row>
    <row r="1306" spans="1:4">
      <c r="A1306" s="2555" t="s">
        <v>7867</v>
      </c>
      <c r="B1306" s="2556" t="s">
        <v>9135</v>
      </c>
      <c r="D1306">
        <f t="shared" si="20"/>
        <v>34</v>
      </c>
    </row>
    <row r="1307" spans="1:4">
      <c r="A1307" s="2555" t="s">
        <v>7867</v>
      </c>
      <c r="B1307" s="2556" t="s">
        <v>9136</v>
      </c>
      <c r="D1307">
        <f t="shared" si="20"/>
        <v>34</v>
      </c>
    </row>
    <row r="1308" spans="1:4">
      <c r="A1308" s="2555" t="s">
        <v>7869</v>
      </c>
      <c r="B1308" s="2556" t="s">
        <v>9137</v>
      </c>
      <c r="D1308">
        <f t="shared" si="20"/>
        <v>35</v>
      </c>
    </row>
    <row r="1309" spans="1:4">
      <c r="A1309" s="2555" t="s">
        <v>7869</v>
      </c>
      <c r="B1309" s="2556" t="s">
        <v>9138</v>
      </c>
      <c r="D1309">
        <f t="shared" si="20"/>
        <v>35</v>
      </c>
    </row>
    <row r="1310" spans="1:4">
      <c r="A1310" s="2555" t="s">
        <v>7869</v>
      </c>
      <c r="B1310" s="2556" t="s">
        <v>9139</v>
      </c>
      <c r="D1310">
        <f t="shared" si="20"/>
        <v>35</v>
      </c>
    </row>
    <row r="1311" spans="1:4">
      <c r="A1311" s="2555" t="s">
        <v>7869</v>
      </c>
      <c r="B1311" s="2556" t="s">
        <v>9140</v>
      </c>
      <c r="D1311">
        <f t="shared" si="20"/>
        <v>35</v>
      </c>
    </row>
    <row r="1312" spans="1:4">
      <c r="A1312" s="2555" t="s">
        <v>7871</v>
      </c>
      <c r="B1312" s="2556" t="s">
        <v>9141</v>
      </c>
      <c r="D1312">
        <f t="shared" si="20"/>
        <v>36</v>
      </c>
    </row>
    <row r="1313" spans="1:4">
      <c r="A1313" s="2555" t="s">
        <v>7871</v>
      </c>
      <c r="B1313" s="2556" t="s">
        <v>9142</v>
      </c>
      <c r="D1313">
        <f t="shared" si="20"/>
        <v>36</v>
      </c>
    </row>
    <row r="1314" spans="1:4">
      <c r="A1314" s="2555" t="s">
        <v>7873</v>
      </c>
      <c r="B1314" s="2556" t="s">
        <v>9143</v>
      </c>
      <c r="D1314">
        <f t="shared" si="20"/>
        <v>37</v>
      </c>
    </row>
    <row r="1315" spans="1:4">
      <c r="A1315" s="2555" t="s">
        <v>7877</v>
      </c>
      <c r="B1315" s="2556" t="s">
        <v>5833</v>
      </c>
      <c r="D1315">
        <f t="shared" si="20"/>
        <v>39</v>
      </c>
    </row>
    <row r="1316" spans="1:4">
      <c r="A1316" s="2555" t="s">
        <v>7877</v>
      </c>
      <c r="B1316" s="2556" t="s">
        <v>9144</v>
      </c>
      <c r="D1316">
        <f t="shared" si="20"/>
        <v>39</v>
      </c>
    </row>
    <row r="1317" spans="1:4">
      <c r="A1317" s="2555" t="s">
        <v>7877</v>
      </c>
      <c r="B1317" s="2556" t="s">
        <v>9145</v>
      </c>
      <c r="D1317">
        <f t="shared" si="20"/>
        <v>39</v>
      </c>
    </row>
    <row r="1318" spans="1:4">
      <c r="A1318" s="2555" t="s">
        <v>7879</v>
      </c>
      <c r="B1318" s="2556" t="s">
        <v>9146</v>
      </c>
      <c r="D1318">
        <f t="shared" si="20"/>
        <v>40</v>
      </c>
    </row>
    <row r="1319" spans="1:4">
      <c r="A1319" s="2555" t="s">
        <v>7879</v>
      </c>
      <c r="B1319" s="2556" t="s">
        <v>9147</v>
      </c>
      <c r="D1319">
        <f t="shared" si="20"/>
        <v>40</v>
      </c>
    </row>
    <row r="1320" spans="1:4">
      <c r="A1320" s="2555" t="s">
        <v>7879</v>
      </c>
      <c r="B1320" s="2556" t="s">
        <v>9148</v>
      </c>
      <c r="D1320">
        <f t="shared" si="20"/>
        <v>40</v>
      </c>
    </row>
    <row r="1321" spans="1:4">
      <c r="A1321" s="2555" t="s">
        <v>7879</v>
      </c>
      <c r="B1321" s="2556" t="s">
        <v>9149</v>
      </c>
      <c r="D1321">
        <f t="shared" si="20"/>
        <v>40</v>
      </c>
    </row>
    <row r="1322" spans="1:4">
      <c r="A1322" s="2555" t="s">
        <v>7879</v>
      </c>
      <c r="B1322" s="2556" t="s">
        <v>9150</v>
      </c>
      <c r="D1322">
        <f t="shared" si="20"/>
        <v>40</v>
      </c>
    </row>
    <row r="1323" spans="1:4">
      <c r="A1323" s="2555" t="s">
        <v>7879</v>
      </c>
      <c r="B1323" s="2556" t="s">
        <v>9151</v>
      </c>
      <c r="D1323">
        <f t="shared" si="20"/>
        <v>40</v>
      </c>
    </row>
    <row r="1324" spans="1:4">
      <c r="A1324" s="2555" t="s">
        <v>7879</v>
      </c>
      <c r="B1324" s="2556" t="s">
        <v>9152</v>
      </c>
      <c r="D1324">
        <f t="shared" si="20"/>
        <v>40</v>
      </c>
    </row>
    <row r="1325" spans="1:4">
      <c r="A1325" s="2555" t="s">
        <v>7881</v>
      </c>
      <c r="B1325" t="s">
        <v>9153</v>
      </c>
      <c r="D1325">
        <f t="shared" si="20"/>
        <v>41</v>
      </c>
    </row>
    <row r="1326" spans="1:4">
      <c r="A1326" s="2555" t="s">
        <v>7881</v>
      </c>
      <c r="B1326" s="2556" t="s">
        <v>9154</v>
      </c>
      <c r="D1326">
        <f t="shared" si="20"/>
        <v>41</v>
      </c>
    </row>
    <row r="1327" spans="1:4">
      <c r="A1327" s="2555" t="s">
        <v>7883</v>
      </c>
      <c r="B1327" s="2556" t="s">
        <v>9155</v>
      </c>
      <c r="D1327">
        <f t="shared" si="20"/>
        <v>42</v>
      </c>
    </row>
    <row r="1328" spans="1:4">
      <c r="A1328" s="2555" t="s">
        <v>7888</v>
      </c>
      <c r="B1328" s="2556" t="s">
        <v>9156</v>
      </c>
      <c r="D1328">
        <f t="shared" si="20"/>
        <v>44</v>
      </c>
    </row>
    <row r="1329" spans="1:6">
      <c r="A1329" s="2555" t="s">
        <v>7888</v>
      </c>
      <c r="B1329" s="2556" t="s">
        <v>9157</v>
      </c>
      <c r="D1329">
        <f t="shared" si="20"/>
        <v>44</v>
      </c>
    </row>
    <row r="1330" spans="1:6">
      <c r="A1330" s="2555" t="s">
        <v>7888</v>
      </c>
      <c r="B1330" s="2556" t="s">
        <v>9158</v>
      </c>
      <c r="D1330">
        <f t="shared" si="20"/>
        <v>44</v>
      </c>
    </row>
    <row r="1331" spans="1:6">
      <c r="A1331" s="2555" t="s">
        <v>7888</v>
      </c>
      <c r="B1331" s="2556" t="s">
        <v>9159</v>
      </c>
      <c r="D1331">
        <f>MATCH(A1332,$F$3:$F$49,0)</f>
        <v>44</v>
      </c>
    </row>
    <row r="1332" spans="1:6">
      <c r="A1332" s="2555" t="s">
        <v>7888</v>
      </c>
      <c r="B1332" s="2556" t="s">
        <v>9160</v>
      </c>
      <c r="D1332">
        <f>MATCH(A1331,$F$3:$F$49,0)</f>
        <v>44</v>
      </c>
    </row>
    <row r="1333" spans="1:6">
      <c r="A1333" s="2555" t="s">
        <v>7885</v>
      </c>
      <c r="B1333" s="2556" t="s">
        <v>9161</v>
      </c>
      <c r="D1333">
        <f t="shared" ref="D1333:D1353" si="21">MATCH(A1333,$F$3:$F$49,0)</f>
        <v>43</v>
      </c>
    </row>
    <row r="1334" spans="1:6">
      <c r="A1334" s="2555" t="s">
        <v>7885</v>
      </c>
      <c r="B1334" s="2556" t="s">
        <v>9162</v>
      </c>
      <c r="D1334">
        <f t="shared" si="21"/>
        <v>43</v>
      </c>
    </row>
    <row r="1335" spans="1:6">
      <c r="A1335" s="2555" t="s">
        <v>7885</v>
      </c>
      <c r="B1335" s="2556" t="s">
        <v>9163</v>
      </c>
      <c r="D1335">
        <f t="shared" si="21"/>
        <v>43</v>
      </c>
    </row>
    <row r="1336" spans="1:6">
      <c r="A1336" s="2555" t="s">
        <v>9164</v>
      </c>
      <c r="B1336" s="2556" t="s">
        <v>9165</v>
      </c>
      <c r="D1336" t="e">
        <f t="shared" si="21"/>
        <v>#N/A</v>
      </c>
    </row>
    <row r="1337" spans="1:6">
      <c r="A1337" s="2555" t="s">
        <v>9164</v>
      </c>
      <c r="B1337" s="2556" t="s">
        <v>9048</v>
      </c>
      <c r="D1337" t="e">
        <f t="shared" si="21"/>
        <v>#N/A</v>
      </c>
    </row>
    <row r="1338" spans="1:6">
      <c r="A1338" s="2555" t="s">
        <v>9164</v>
      </c>
      <c r="B1338" s="2556" t="s">
        <v>9161</v>
      </c>
      <c r="D1338" t="e">
        <f t="shared" si="21"/>
        <v>#N/A</v>
      </c>
    </row>
    <row r="1339" spans="1:6">
      <c r="A1339" s="2555" t="s">
        <v>9164</v>
      </c>
      <c r="B1339" s="2556" t="s">
        <v>9162</v>
      </c>
      <c r="D1339" t="e">
        <f t="shared" si="21"/>
        <v>#N/A</v>
      </c>
    </row>
    <row r="1340" spans="1:6">
      <c r="A1340" s="2555" t="s">
        <v>9164</v>
      </c>
      <c r="B1340" s="2556" t="s">
        <v>9163</v>
      </c>
      <c r="D1340" t="e">
        <f t="shared" si="21"/>
        <v>#N/A</v>
      </c>
    </row>
    <row r="1341" spans="1:6">
      <c r="A1341" s="2555" t="s">
        <v>794</v>
      </c>
      <c r="B1341" s="2556" t="s">
        <v>9166</v>
      </c>
      <c r="D1341">
        <f t="shared" si="21"/>
        <v>45</v>
      </c>
    </row>
    <row r="1342" spans="1:6">
      <c r="A1342" s="2555"/>
      <c r="B1342" s="2559" t="s">
        <v>9167</v>
      </c>
      <c r="D1342" t="e">
        <f t="shared" si="21"/>
        <v>#N/A</v>
      </c>
      <c r="F1342" t="s">
        <v>8937</v>
      </c>
    </row>
    <row r="1343" spans="1:6">
      <c r="B1343" s="2559" t="s">
        <v>9168</v>
      </c>
      <c r="D1343" t="e">
        <f t="shared" si="21"/>
        <v>#N/A</v>
      </c>
    </row>
    <row r="1344" spans="1:6">
      <c r="B1344" s="2559" t="s">
        <v>9169</v>
      </c>
      <c r="D1344" t="e">
        <f t="shared" si="21"/>
        <v>#N/A</v>
      </c>
    </row>
    <row r="1345" spans="1:4">
      <c r="B1345" s="2556" t="s">
        <v>9170</v>
      </c>
      <c r="D1345" t="e">
        <f t="shared" si="21"/>
        <v>#N/A</v>
      </c>
    </row>
    <row r="1346" spans="1:4">
      <c r="B1346" s="2556" t="s">
        <v>9171</v>
      </c>
      <c r="D1346" t="e">
        <f t="shared" si="21"/>
        <v>#N/A</v>
      </c>
    </row>
    <row r="1347" spans="1:4">
      <c r="A1347" s="2555"/>
      <c r="B1347" s="2556" t="s">
        <v>9172</v>
      </c>
      <c r="D1347" t="e">
        <f t="shared" si="21"/>
        <v>#N/A</v>
      </c>
    </row>
    <row r="1348" spans="1:4">
      <c r="B1348" s="2559" t="s">
        <v>9173</v>
      </c>
      <c r="D1348" t="e">
        <f t="shared" si="21"/>
        <v>#N/A</v>
      </c>
    </row>
    <row r="1349" spans="1:4">
      <c r="B1349" s="2559" t="s">
        <v>9174</v>
      </c>
      <c r="D1349" t="e">
        <f t="shared" si="21"/>
        <v>#N/A</v>
      </c>
    </row>
    <row r="1350" spans="1:4">
      <c r="B1350" s="2559" t="s">
        <v>9175</v>
      </c>
      <c r="D1350" t="e">
        <f t="shared" si="21"/>
        <v>#N/A</v>
      </c>
    </row>
    <row r="1351" spans="1:4">
      <c r="B1351" s="2556" t="s">
        <v>9176</v>
      </c>
      <c r="D1351" t="e">
        <f t="shared" si="21"/>
        <v>#N/A</v>
      </c>
    </row>
    <row r="1352" spans="1:4">
      <c r="B1352" s="2556" t="s">
        <v>9177</v>
      </c>
      <c r="D1352" t="e">
        <f t="shared" si="21"/>
        <v>#N/A</v>
      </c>
    </row>
    <row r="1353" spans="1:4">
      <c r="B1353" s="2556" t="s">
        <v>9178</v>
      </c>
      <c r="D1353" t="e">
        <f t="shared" si="21"/>
        <v>#N/A</v>
      </c>
    </row>
    <row r="1354" spans="1:4">
      <c r="A1354" s="2555"/>
      <c r="B1354" s="2556" t="s">
        <v>9179</v>
      </c>
      <c r="D1354" t="e">
        <f>MATCH(A1370,$F$3:$F$49,0)</f>
        <v>#N/A</v>
      </c>
    </row>
    <row r="1355" spans="1:4">
      <c r="A1355" s="2555"/>
      <c r="B1355" s="2556" t="s">
        <v>9180</v>
      </c>
      <c r="D1355" t="e">
        <f t="shared" ref="D1355:D1369" si="22">MATCH(A1355,$F$3:$F$49,0)</f>
        <v>#N/A</v>
      </c>
    </row>
    <row r="1356" spans="1:4">
      <c r="B1356" s="2559" t="s">
        <v>9181</v>
      </c>
      <c r="D1356" t="e">
        <f t="shared" si="22"/>
        <v>#N/A</v>
      </c>
    </row>
    <row r="1357" spans="1:4">
      <c r="A1357" s="2555"/>
      <c r="B1357" s="2556" t="s">
        <v>9182</v>
      </c>
      <c r="D1357" t="e">
        <f t="shared" si="22"/>
        <v>#N/A</v>
      </c>
    </row>
    <row r="1358" spans="1:4">
      <c r="A1358" s="2555"/>
      <c r="B1358" s="2556" t="s">
        <v>9183</v>
      </c>
      <c r="D1358" t="e">
        <f t="shared" si="22"/>
        <v>#N/A</v>
      </c>
    </row>
    <row r="1359" spans="1:4">
      <c r="B1359" s="2556" t="s">
        <v>9184</v>
      </c>
      <c r="D1359" t="e">
        <f t="shared" si="22"/>
        <v>#N/A</v>
      </c>
    </row>
    <row r="1360" spans="1:4">
      <c r="B1360" s="2556" t="s">
        <v>9185</v>
      </c>
      <c r="D1360" t="e">
        <f t="shared" si="22"/>
        <v>#N/A</v>
      </c>
    </row>
    <row r="1361" spans="1:4">
      <c r="B1361" s="2556" t="s">
        <v>9186</v>
      </c>
      <c r="D1361" t="e">
        <f t="shared" si="22"/>
        <v>#N/A</v>
      </c>
    </row>
    <row r="1362" spans="1:4">
      <c r="B1362" s="2559" t="s">
        <v>9187</v>
      </c>
      <c r="D1362" t="e">
        <f t="shared" si="22"/>
        <v>#N/A</v>
      </c>
    </row>
    <row r="1363" spans="1:4">
      <c r="B1363" s="2559" t="s">
        <v>9188</v>
      </c>
    </row>
    <row r="1364" spans="1:4">
      <c r="B1364" s="2559" t="s">
        <v>9189</v>
      </c>
      <c r="D1364" t="e">
        <f t="shared" si="22"/>
        <v>#N/A</v>
      </c>
    </row>
    <row r="1365" spans="1:4">
      <c r="B1365" s="2559" t="s">
        <v>9190</v>
      </c>
      <c r="D1365" t="e">
        <f t="shared" si="22"/>
        <v>#N/A</v>
      </c>
    </row>
    <row r="1366" spans="1:4">
      <c r="A1366" s="2555"/>
      <c r="B1366" s="2556"/>
      <c r="D1366" t="e">
        <f t="shared" si="22"/>
        <v>#N/A</v>
      </c>
    </row>
    <row r="1367" spans="1:4">
      <c r="A1367" s="2555"/>
      <c r="B1367" s="2556"/>
      <c r="D1367" t="e">
        <f t="shared" si="22"/>
        <v>#N/A</v>
      </c>
    </row>
    <row r="1368" spans="1:4">
      <c r="A1368" s="2555"/>
      <c r="B1368" s="2556"/>
      <c r="D1368" t="e">
        <f t="shared" si="22"/>
        <v>#N/A</v>
      </c>
    </row>
    <row r="1369" spans="1:4">
      <c r="A1369" s="2555"/>
      <c r="B1369" s="2556"/>
      <c r="D1369" t="e">
        <f t="shared" si="22"/>
        <v>#N/A</v>
      </c>
    </row>
    <row r="1370" spans="1:4">
      <c r="A1370" s="2555"/>
      <c r="B1370" s="2556"/>
      <c r="D1370" t="e">
        <f>MATCH(#REF!,$F$3:$F$49,0)</f>
        <v>#REF!</v>
      </c>
    </row>
    <row r="1371" spans="1:4">
      <c r="A1371" s="2555"/>
      <c r="B1371" s="2556"/>
      <c r="D1371" t="e">
        <f>MATCH(A1371,$F$3:$F$49,0)</f>
        <v>#N/A</v>
      </c>
    </row>
    <row r="1372" spans="1:4">
      <c r="A1372" s="2555"/>
      <c r="B1372" s="2556"/>
    </row>
    <row r="1373" spans="1:4">
      <c r="A1373" s="2555"/>
      <c r="B1373" s="2556"/>
    </row>
  </sheetData>
  <pageMargins left="0.7" right="0.7" top="0.75" bottom="0.75" header="0.3" footer="0.3"/>
  <legacyDrawing r:id="rId1"/>
  <tableParts count="2">
    <tablePart r:id="rId2"/>
    <tablePart r:id="rId3"/>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8408B-D9B6-44B2-A91D-80DBFFA453AC}">
  <sheetPr codeName="Sheet22">
    <tabColor rgb="FF92D050"/>
  </sheetPr>
  <dimension ref="A1:T185"/>
  <sheetViews>
    <sheetView topLeftCell="D31" zoomScale="130" zoomScaleNormal="130" workbookViewId="0">
      <selection activeCell="F15" sqref="F15"/>
    </sheetView>
  </sheetViews>
  <sheetFormatPr defaultRowHeight="18"/>
  <cols>
    <col min="2" max="2" width="29.88671875" bestFit="1" customWidth="1"/>
    <col min="3" max="3" width="7.6640625" hidden="1" customWidth="1"/>
    <col min="4" max="4" width="6.77734375" bestFit="1" customWidth="1"/>
    <col min="5" max="5" width="42.109375" bestFit="1" customWidth="1"/>
    <col min="6" max="6" width="79.6640625" style="9" customWidth="1"/>
    <col min="17" max="17" width="8.109375" style="63" customWidth="1"/>
    <col min="18" max="18" width="56.77734375" bestFit="1" customWidth="1"/>
    <col min="19" max="19" width="80.6640625" bestFit="1" customWidth="1"/>
    <col min="20" max="20" width="13" style="929" customWidth="1"/>
  </cols>
  <sheetData>
    <row r="1" spans="1:20">
      <c r="A1" s="53" t="s">
        <v>3716</v>
      </c>
      <c r="D1" s="822"/>
      <c r="E1" t="s">
        <v>3767</v>
      </c>
      <c r="Q1" s="930" t="s">
        <v>3664</v>
      </c>
    </row>
    <row r="2" spans="1:20" ht="21">
      <c r="A2" s="53"/>
      <c r="Q2" s="2479" t="s">
        <v>3589</v>
      </c>
      <c r="R2" s="2479"/>
      <c r="S2" s="931" t="s">
        <v>3663</v>
      </c>
      <c r="T2" s="932">
        <v>46138</v>
      </c>
    </row>
    <row r="3" spans="1:20" ht="21">
      <c r="B3" s="912" t="s">
        <v>3745</v>
      </c>
      <c r="D3" s="912" t="s">
        <v>3747</v>
      </c>
      <c r="E3" s="912" t="s">
        <v>3746</v>
      </c>
      <c r="F3" s="912" t="s">
        <v>3749</v>
      </c>
      <c r="G3" s="7"/>
      <c r="H3" s="7"/>
      <c r="Q3" s="923"/>
      <c r="R3" s="923"/>
      <c r="S3" s="923"/>
    </row>
    <row r="4" spans="1:20" s="7" customFormat="1" ht="21">
      <c r="B4" t="s">
        <v>3748</v>
      </c>
      <c r="D4" t="s">
        <v>3766</v>
      </c>
      <c r="E4" t="s">
        <v>4001</v>
      </c>
      <c r="F4" t="s">
        <v>3684</v>
      </c>
      <c r="H4"/>
      <c r="Q4" s="215" t="s">
        <v>3590</v>
      </c>
      <c r="R4" s="924" t="s">
        <v>3589</v>
      </c>
      <c r="S4" s="924" t="s">
        <v>423</v>
      </c>
      <c r="T4" s="927" t="s">
        <v>121</v>
      </c>
    </row>
    <row r="5" spans="1:20">
      <c r="B5" t="s">
        <v>1261</v>
      </c>
      <c r="D5" t="s">
        <v>3788</v>
      </c>
      <c r="E5" t="s">
        <v>4002</v>
      </c>
      <c r="F5" t="s">
        <v>3685</v>
      </c>
      <c r="G5" s="7"/>
      <c r="Q5" s="63">
        <v>17.100000000000001</v>
      </c>
      <c r="R5" s="927" t="s">
        <v>3659</v>
      </c>
      <c r="T5" s="927">
        <v>5</v>
      </c>
    </row>
    <row r="6" spans="1:20">
      <c r="B6" t="s">
        <v>1261</v>
      </c>
      <c r="D6" t="s">
        <v>3789</v>
      </c>
      <c r="E6" t="s">
        <v>338</v>
      </c>
      <c r="F6" t="s">
        <v>3760</v>
      </c>
      <c r="G6" s="7"/>
      <c r="Q6" s="63">
        <v>12.1</v>
      </c>
      <c r="R6" s="926" t="s">
        <v>3624</v>
      </c>
      <c r="S6" s="926" t="s">
        <v>3629</v>
      </c>
      <c r="T6" s="927">
        <v>2</v>
      </c>
    </row>
    <row r="7" spans="1:20">
      <c r="B7" t="s">
        <v>1261</v>
      </c>
      <c r="D7" t="s">
        <v>3790</v>
      </c>
      <c r="E7" t="s">
        <v>4715</v>
      </c>
      <c r="F7" t="s">
        <v>4017</v>
      </c>
      <c r="G7" s="7"/>
      <c r="Q7" s="63">
        <v>17.2</v>
      </c>
      <c r="R7" s="927" t="s">
        <v>3660</v>
      </c>
      <c r="T7" s="927">
        <v>5</v>
      </c>
    </row>
    <row r="8" spans="1:20">
      <c r="B8" t="s">
        <v>1261</v>
      </c>
      <c r="D8" t="s">
        <v>3791</v>
      </c>
      <c r="E8" t="s">
        <v>4714</v>
      </c>
      <c r="F8" t="s">
        <v>4101</v>
      </c>
      <c r="Q8" s="63">
        <v>12.2</v>
      </c>
      <c r="R8" s="927" t="s">
        <v>3658</v>
      </c>
      <c r="S8" s="927" t="s">
        <v>3630</v>
      </c>
      <c r="T8" s="927">
        <v>2</v>
      </c>
    </row>
    <row r="9" spans="1:20">
      <c r="B9" t="s">
        <v>1261</v>
      </c>
      <c r="D9" t="s">
        <v>3792</v>
      </c>
      <c r="E9" t="s">
        <v>343</v>
      </c>
      <c r="F9" t="s">
        <v>4102</v>
      </c>
      <c r="Q9" s="63">
        <v>12.4</v>
      </c>
      <c r="R9" s="926" t="s">
        <v>3625</v>
      </c>
      <c r="S9" s="926"/>
      <c r="T9" s="927">
        <v>2</v>
      </c>
    </row>
    <row r="10" spans="1:20">
      <c r="B10" t="s">
        <v>1261</v>
      </c>
      <c r="D10" t="s">
        <v>3793</v>
      </c>
      <c r="E10" t="s">
        <v>3680</v>
      </c>
      <c r="F10" t="s">
        <v>3679</v>
      </c>
      <c r="Q10" s="63">
        <v>12.5</v>
      </c>
      <c r="R10" s="926" t="s">
        <v>3626</v>
      </c>
      <c r="S10" s="926" t="s">
        <v>3632</v>
      </c>
      <c r="T10" s="927">
        <v>2</v>
      </c>
    </row>
    <row r="11" spans="1:20">
      <c r="B11" t="s">
        <v>1261</v>
      </c>
      <c r="D11" t="s">
        <v>3794</v>
      </c>
      <c r="E11" t="s">
        <v>3672</v>
      </c>
      <c r="F11" t="s">
        <v>3681</v>
      </c>
      <c r="Q11" s="63">
        <v>12.6</v>
      </c>
      <c r="R11" s="926" t="s">
        <v>3661</v>
      </c>
      <c r="S11" s="927"/>
      <c r="T11" s="927">
        <v>2</v>
      </c>
    </row>
    <row r="12" spans="1:20">
      <c r="B12" t="s">
        <v>1261</v>
      </c>
      <c r="D12" t="s">
        <v>3795</v>
      </c>
      <c r="E12" t="s">
        <v>3772</v>
      </c>
      <c r="F12" t="s">
        <v>3830</v>
      </c>
      <c r="Q12" s="63">
        <v>12.7</v>
      </c>
      <c r="R12" s="926" t="s">
        <v>3628</v>
      </c>
      <c r="S12" s="927" t="s">
        <v>3631</v>
      </c>
      <c r="T12" s="927">
        <v>2</v>
      </c>
    </row>
    <row r="13" spans="1:20">
      <c r="B13" t="s">
        <v>1261</v>
      </c>
      <c r="D13" t="s">
        <v>3796</v>
      </c>
      <c r="E13" t="s">
        <v>3996</v>
      </c>
      <c r="F13" t="s">
        <v>3711</v>
      </c>
      <c r="Q13" s="63">
        <v>12.3</v>
      </c>
      <c r="R13" s="927" t="s">
        <v>3627</v>
      </c>
      <c r="T13" s="927">
        <v>2</v>
      </c>
    </row>
    <row r="14" spans="1:20">
      <c r="B14" t="s">
        <v>1261</v>
      </c>
      <c r="D14" t="s">
        <v>3797</v>
      </c>
      <c r="E14" t="s">
        <v>7</v>
      </c>
      <c r="F14" t="s">
        <v>3717</v>
      </c>
      <c r="Q14" s="63">
        <v>16.2</v>
      </c>
      <c r="R14" s="926" t="s">
        <v>3650</v>
      </c>
      <c r="T14" s="927">
        <v>4</v>
      </c>
    </row>
    <row r="15" spans="1:20">
      <c r="B15" t="s">
        <v>1261</v>
      </c>
      <c r="D15" t="s">
        <v>3798</v>
      </c>
      <c r="E15" t="s">
        <v>2510</v>
      </c>
      <c r="F15" t="s">
        <v>3742</v>
      </c>
      <c r="Q15" s="63">
        <v>16.3</v>
      </c>
      <c r="R15" s="926" t="s">
        <v>3652</v>
      </c>
      <c r="T15" s="927">
        <v>4</v>
      </c>
    </row>
    <row r="16" spans="1:20">
      <c r="B16" t="s">
        <v>1261</v>
      </c>
      <c r="D16" t="s">
        <v>3799</v>
      </c>
      <c r="E16" t="s">
        <v>9</v>
      </c>
      <c r="F16" t="s">
        <v>4103</v>
      </c>
      <c r="Q16" s="63">
        <v>16.100000000000001</v>
      </c>
      <c r="R16" s="926" t="s">
        <v>3651</v>
      </c>
      <c r="T16" s="927">
        <v>4</v>
      </c>
    </row>
    <row r="17" spans="2:20">
      <c r="B17" t="s">
        <v>1261</v>
      </c>
      <c r="D17" t="s">
        <v>3800</v>
      </c>
      <c r="E17" t="s">
        <v>4005</v>
      </c>
      <c r="F17" t="s">
        <v>3673</v>
      </c>
      <c r="Q17" s="63">
        <v>10.5</v>
      </c>
      <c r="R17" s="926" t="s">
        <v>3623</v>
      </c>
      <c r="T17" s="927">
        <v>6</v>
      </c>
    </row>
    <row r="18" spans="2:20">
      <c r="B18" t="s">
        <v>1261</v>
      </c>
      <c r="D18" t="s">
        <v>3801</v>
      </c>
      <c r="E18" t="s">
        <v>4003</v>
      </c>
      <c r="F18" t="s">
        <v>4024</v>
      </c>
      <c r="Q18" s="63">
        <v>10.6</v>
      </c>
      <c r="R18" s="926" t="s">
        <v>3620</v>
      </c>
      <c r="T18" s="927">
        <v>6</v>
      </c>
    </row>
    <row r="19" spans="2:20">
      <c r="B19" t="s">
        <v>1261</v>
      </c>
      <c r="D19" t="s">
        <v>3802</v>
      </c>
      <c r="E19" t="s">
        <v>11</v>
      </c>
      <c r="F19" t="s">
        <v>4104</v>
      </c>
      <c r="Q19" s="63">
        <v>10.199999999999999</v>
      </c>
      <c r="R19" s="926" t="s">
        <v>3616</v>
      </c>
      <c r="T19" s="927">
        <v>5</v>
      </c>
    </row>
    <row r="20" spans="2:20">
      <c r="B20" t="s">
        <v>1261</v>
      </c>
      <c r="D20" t="s">
        <v>3803</v>
      </c>
      <c r="E20" t="s">
        <v>3719</v>
      </c>
      <c r="F20" t="s">
        <v>3720</v>
      </c>
      <c r="Q20" s="63">
        <v>10.3</v>
      </c>
      <c r="R20" s="926" t="s">
        <v>3617</v>
      </c>
      <c r="T20" s="927">
        <v>5</v>
      </c>
    </row>
    <row r="21" spans="2:20">
      <c r="B21" t="s">
        <v>1261</v>
      </c>
      <c r="D21" t="s">
        <v>3804</v>
      </c>
      <c r="E21" s="822" t="s">
        <v>3758</v>
      </c>
      <c r="F21" t="s">
        <v>3759</v>
      </c>
      <c r="Q21" s="63">
        <v>10.4</v>
      </c>
      <c r="R21" s="926" t="s">
        <v>3618</v>
      </c>
      <c r="T21" s="927">
        <v>5</v>
      </c>
    </row>
    <row r="22" spans="2:20">
      <c r="B22" t="s">
        <v>1261</v>
      </c>
      <c r="D22" t="s">
        <v>3805</v>
      </c>
      <c r="E22" t="s">
        <v>15</v>
      </c>
      <c r="F22" t="s">
        <v>4092</v>
      </c>
      <c r="Q22" s="63">
        <v>10.1</v>
      </c>
      <c r="R22" s="926" t="s">
        <v>3622</v>
      </c>
      <c r="S22" s="927"/>
      <c r="T22" s="927">
        <v>5</v>
      </c>
    </row>
    <row r="23" spans="2:20">
      <c r="B23" t="s">
        <v>1261</v>
      </c>
      <c r="D23" t="s">
        <v>3806</v>
      </c>
      <c r="E23" t="s">
        <v>4006</v>
      </c>
      <c r="F23" t="s">
        <v>3678</v>
      </c>
      <c r="Q23" s="63">
        <v>10.7</v>
      </c>
      <c r="R23" s="926" t="s">
        <v>3621</v>
      </c>
      <c r="T23" s="927">
        <v>6</v>
      </c>
    </row>
    <row r="24" spans="2:20">
      <c r="B24" t="s">
        <v>1261</v>
      </c>
      <c r="D24" t="s">
        <v>3807</v>
      </c>
      <c r="E24" t="s">
        <v>4004</v>
      </c>
      <c r="F24" t="s">
        <v>3677</v>
      </c>
      <c r="Q24" s="63">
        <v>10.8</v>
      </c>
      <c r="R24" s="926" t="s">
        <v>3619</v>
      </c>
      <c r="T24" s="927">
        <v>6</v>
      </c>
    </row>
    <row r="25" spans="2:20">
      <c r="B25" t="s">
        <v>1261</v>
      </c>
      <c r="D25" t="s">
        <v>3808</v>
      </c>
      <c r="E25" t="s">
        <v>3770</v>
      </c>
      <c r="F25" t="s">
        <v>3998</v>
      </c>
      <c r="Q25" s="63">
        <v>9.1</v>
      </c>
      <c r="R25" s="926" t="s">
        <v>3635</v>
      </c>
      <c r="S25" s="928"/>
      <c r="T25" s="927">
        <v>6</v>
      </c>
    </row>
    <row r="26" spans="2:20">
      <c r="B26" t="s">
        <v>1261</v>
      </c>
      <c r="D26" t="s">
        <v>3809</v>
      </c>
      <c r="E26" t="s">
        <v>17</v>
      </c>
      <c r="F26" t="s">
        <v>4093</v>
      </c>
      <c r="Q26" s="63">
        <v>9.3000000000000007</v>
      </c>
      <c r="R26" s="926" t="s">
        <v>3634</v>
      </c>
      <c r="T26" s="927">
        <v>6</v>
      </c>
    </row>
    <row r="27" spans="2:20">
      <c r="B27" t="s">
        <v>1261</v>
      </c>
      <c r="D27" t="s">
        <v>3810</v>
      </c>
      <c r="E27" t="s">
        <v>18</v>
      </c>
      <c r="F27" t="s">
        <v>4094</v>
      </c>
      <c r="Q27" s="63">
        <v>9.1999999999999993</v>
      </c>
      <c r="R27" s="926" t="s">
        <v>3633</v>
      </c>
      <c r="S27" t="s">
        <v>3636</v>
      </c>
      <c r="T27" s="927">
        <v>3</v>
      </c>
    </row>
    <row r="28" spans="2:20">
      <c r="B28" t="s">
        <v>1261</v>
      </c>
      <c r="D28" t="s">
        <v>3811</v>
      </c>
      <c r="E28" t="s">
        <v>4010</v>
      </c>
      <c r="F28" t="s">
        <v>4008</v>
      </c>
      <c r="Q28" s="63">
        <v>15.1</v>
      </c>
      <c r="R28" s="926" t="s">
        <v>3648</v>
      </c>
      <c r="T28" s="927">
        <v>5</v>
      </c>
    </row>
    <row r="29" spans="2:20">
      <c r="B29" t="s">
        <v>1261</v>
      </c>
      <c r="D29" t="s">
        <v>3812</v>
      </c>
      <c r="E29" t="s">
        <v>3999</v>
      </c>
      <c r="F29" t="s">
        <v>4009</v>
      </c>
      <c r="Q29" s="63">
        <v>14.1</v>
      </c>
      <c r="R29" s="926" t="s">
        <v>3647</v>
      </c>
      <c r="T29" s="927">
        <v>5</v>
      </c>
    </row>
    <row r="30" spans="2:20">
      <c r="B30" t="s">
        <v>1261</v>
      </c>
      <c r="D30" t="s">
        <v>3813</v>
      </c>
      <c r="E30" t="s">
        <v>3997</v>
      </c>
      <c r="F30" t="s">
        <v>4007</v>
      </c>
      <c r="Q30" s="63">
        <v>7.1</v>
      </c>
      <c r="R30" s="926" t="s">
        <v>3656</v>
      </c>
      <c r="T30" s="927">
        <v>3</v>
      </c>
    </row>
    <row r="31" spans="2:20">
      <c r="B31" t="s">
        <v>1261</v>
      </c>
      <c r="D31" t="s">
        <v>3814</v>
      </c>
      <c r="E31" t="s">
        <v>205</v>
      </c>
      <c r="F31" t="s">
        <v>3718</v>
      </c>
      <c r="Q31" s="63">
        <v>7.3</v>
      </c>
      <c r="R31" s="926" t="s">
        <v>3638</v>
      </c>
      <c r="T31" s="927">
        <v>4</v>
      </c>
    </row>
    <row r="32" spans="2:20">
      <c r="B32" t="s">
        <v>1261</v>
      </c>
      <c r="D32" t="s">
        <v>3815</v>
      </c>
      <c r="E32" t="s">
        <v>3730</v>
      </c>
      <c r="F32" t="s">
        <v>3731</v>
      </c>
      <c r="Q32" s="63">
        <v>7.4</v>
      </c>
      <c r="R32" s="926" t="s">
        <v>3639</v>
      </c>
      <c r="T32" s="927">
        <v>4</v>
      </c>
    </row>
    <row r="33" spans="2:20">
      <c r="B33" t="s">
        <v>1261</v>
      </c>
      <c r="D33" t="s">
        <v>3816</v>
      </c>
      <c r="E33" t="s">
        <v>361</v>
      </c>
      <c r="F33" t="s">
        <v>3676</v>
      </c>
      <c r="Q33" s="63">
        <v>7.2</v>
      </c>
      <c r="R33" s="926" t="s">
        <v>3637</v>
      </c>
      <c r="T33" s="927">
        <v>4</v>
      </c>
    </row>
    <row r="34" spans="2:20">
      <c r="B34" t="s">
        <v>1261</v>
      </c>
      <c r="D34" t="s">
        <v>3817</v>
      </c>
      <c r="E34" t="s">
        <v>4000</v>
      </c>
      <c r="F34" t="s">
        <v>3702</v>
      </c>
      <c r="Q34" s="110">
        <v>4.0999999999999996</v>
      </c>
      <c r="R34" s="926" t="s">
        <v>136</v>
      </c>
      <c r="S34" s="926" t="s">
        <v>3591</v>
      </c>
      <c r="T34" s="927">
        <v>1</v>
      </c>
    </row>
    <row r="35" spans="2:20">
      <c r="B35" t="s">
        <v>1261</v>
      </c>
      <c r="D35" t="s">
        <v>3818</v>
      </c>
      <c r="E35" t="s">
        <v>3712</v>
      </c>
      <c r="F35" t="s">
        <v>3713</v>
      </c>
      <c r="Q35" s="63">
        <v>13.2</v>
      </c>
      <c r="R35" s="926" t="s">
        <v>3645</v>
      </c>
      <c r="T35" s="927">
        <v>5</v>
      </c>
    </row>
    <row r="36" spans="2:20">
      <c r="B36" t="s">
        <v>1261</v>
      </c>
      <c r="D36" t="s">
        <v>3819</v>
      </c>
      <c r="E36" t="s">
        <v>25</v>
      </c>
      <c r="F36" t="s">
        <v>4105</v>
      </c>
      <c r="Q36" s="63">
        <v>13.3</v>
      </c>
      <c r="R36" s="926" t="s">
        <v>3646</v>
      </c>
      <c r="T36" s="927">
        <v>5</v>
      </c>
    </row>
    <row r="37" spans="2:20">
      <c r="B37" t="s">
        <v>1261</v>
      </c>
      <c r="D37" t="s">
        <v>3820</v>
      </c>
      <c r="E37" t="s">
        <v>3671</v>
      </c>
      <c r="F37" t="s">
        <v>3682</v>
      </c>
      <c r="Q37" s="63">
        <v>13.1</v>
      </c>
      <c r="R37" s="926" t="s">
        <v>3644</v>
      </c>
      <c r="T37" s="927">
        <v>5</v>
      </c>
    </row>
    <row r="38" spans="2:20">
      <c r="B38" t="s">
        <v>1261</v>
      </c>
      <c r="D38" t="s">
        <v>3821</v>
      </c>
      <c r="E38" t="s">
        <v>4020</v>
      </c>
      <c r="F38" t="s">
        <v>4023</v>
      </c>
      <c r="Q38" s="63">
        <v>8.3000000000000007</v>
      </c>
      <c r="R38" s="926" t="s">
        <v>3614</v>
      </c>
      <c r="S38" s="928"/>
      <c r="T38" s="927">
        <v>5</v>
      </c>
    </row>
    <row r="39" spans="2:20">
      <c r="B39" t="s">
        <v>1261</v>
      </c>
      <c r="D39" t="s">
        <v>3822</v>
      </c>
      <c r="E39" t="s">
        <v>27</v>
      </c>
      <c r="F39" s="9" t="s">
        <v>4096</v>
      </c>
      <c r="Q39" s="63">
        <v>8.1999999999999993</v>
      </c>
      <c r="R39" s="926" t="s">
        <v>3657</v>
      </c>
      <c r="S39" s="926"/>
      <c r="T39" s="927">
        <v>2</v>
      </c>
    </row>
    <row r="40" spans="2:20">
      <c r="B40" t="s">
        <v>1261</v>
      </c>
      <c r="D40" t="s">
        <v>3823</v>
      </c>
      <c r="E40" t="s">
        <v>28</v>
      </c>
      <c r="F40" t="s">
        <v>4095</v>
      </c>
      <c r="Q40" s="63">
        <v>8.1</v>
      </c>
      <c r="R40" s="926" t="s">
        <v>3613</v>
      </c>
      <c r="S40" s="170"/>
      <c r="T40" s="927">
        <v>4</v>
      </c>
    </row>
    <row r="41" spans="2:20">
      <c r="B41" t="s">
        <v>1261</v>
      </c>
      <c r="D41" t="s">
        <v>3824</v>
      </c>
      <c r="E41" t="s">
        <v>3722</v>
      </c>
      <c r="F41" t="s">
        <v>3723</v>
      </c>
      <c r="L41" s="936" t="s">
        <v>207</v>
      </c>
      <c r="Q41" s="63">
        <v>1.5</v>
      </c>
      <c r="R41" s="926" t="s">
        <v>3649</v>
      </c>
      <c r="T41" s="927">
        <v>6</v>
      </c>
    </row>
    <row r="42" spans="2:20">
      <c r="B42" t="s">
        <v>1261</v>
      </c>
      <c r="D42" t="s">
        <v>3825</v>
      </c>
      <c r="E42" t="s">
        <v>4037</v>
      </c>
      <c r="F42" t="s">
        <v>4106</v>
      </c>
      <c r="L42" s="312" t="s">
        <v>343</v>
      </c>
      <c r="Q42" s="63">
        <v>1.2</v>
      </c>
      <c r="R42" s="927" t="s">
        <v>3610</v>
      </c>
      <c r="S42" s="927"/>
      <c r="T42" s="927">
        <v>1</v>
      </c>
    </row>
    <row r="43" spans="2:20">
      <c r="B43" t="s">
        <v>1261</v>
      </c>
      <c r="D43" t="s">
        <v>3826</v>
      </c>
      <c r="E43" t="s">
        <v>4021</v>
      </c>
      <c r="F43" t="s">
        <v>4022</v>
      </c>
      <c r="L43" s="936" t="s">
        <v>7</v>
      </c>
      <c r="Q43" s="63">
        <v>1.1000000000000001</v>
      </c>
      <c r="R43" s="926" t="s">
        <v>3609</v>
      </c>
      <c r="S43" s="926" t="s">
        <v>3600</v>
      </c>
      <c r="T43" s="927">
        <v>1</v>
      </c>
    </row>
    <row r="44" spans="2:20">
      <c r="B44" t="s">
        <v>1261</v>
      </c>
      <c r="D44" t="s">
        <v>3827</v>
      </c>
      <c r="E44" t="s">
        <v>30</v>
      </c>
      <c r="F44" t="s">
        <v>4107</v>
      </c>
      <c r="L44" s="312" t="s">
        <v>9</v>
      </c>
      <c r="Q44" s="63">
        <v>1.4</v>
      </c>
      <c r="R44" s="926" t="s">
        <v>3596</v>
      </c>
      <c r="S44" s="926"/>
      <c r="T44" s="927">
        <v>1</v>
      </c>
    </row>
    <row r="45" spans="2:20">
      <c r="B45" t="s">
        <v>1261</v>
      </c>
      <c r="D45" t="s">
        <v>3828</v>
      </c>
      <c r="E45" t="s">
        <v>3727</v>
      </c>
      <c r="F45" t="s">
        <v>3964</v>
      </c>
      <c r="L45" s="936" t="s">
        <v>11</v>
      </c>
      <c r="Q45" s="63">
        <v>1.5</v>
      </c>
      <c r="R45" s="926" t="s">
        <v>3653</v>
      </c>
      <c r="S45" t="s">
        <v>6145</v>
      </c>
      <c r="T45" s="927">
        <v>6</v>
      </c>
    </row>
    <row r="46" spans="2:20">
      <c r="B46" t="s">
        <v>1261</v>
      </c>
      <c r="D46" t="s">
        <v>3829</v>
      </c>
      <c r="E46" t="s">
        <v>3725</v>
      </c>
      <c r="F46" t="s">
        <v>3729</v>
      </c>
      <c r="L46" s="312" t="s">
        <v>12</v>
      </c>
      <c r="Q46" s="63">
        <v>1.3</v>
      </c>
      <c r="R46" s="926" t="s">
        <v>3595</v>
      </c>
      <c r="S46" s="926"/>
      <c r="T46" s="927">
        <v>1</v>
      </c>
    </row>
    <row r="47" spans="2:20">
      <c r="B47" t="s">
        <v>1261</v>
      </c>
      <c r="D47" t="s">
        <v>4038</v>
      </c>
      <c r="E47" t="s">
        <v>3675</v>
      </c>
      <c r="F47" t="s">
        <v>3683</v>
      </c>
      <c r="L47" s="936" t="s">
        <v>15</v>
      </c>
      <c r="Q47" s="63">
        <v>6.3</v>
      </c>
      <c r="R47" s="926" t="s">
        <v>3655</v>
      </c>
      <c r="T47" s="927">
        <v>2</v>
      </c>
    </row>
    <row r="48" spans="2:20">
      <c r="B48" t="s">
        <v>1261</v>
      </c>
      <c r="D48" t="s">
        <v>4078</v>
      </c>
      <c r="E48" t="s">
        <v>705</v>
      </c>
      <c r="F48" t="s">
        <v>4097</v>
      </c>
      <c r="L48" s="312" t="s">
        <v>16</v>
      </c>
      <c r="Q48" s="63">
        <v>6.1</v>
      </c>
      <c r="R48" s="926" t="s">
        <v>3615</v>
      </c>
      <c r="S48" s="926"/>
      <c r="T48" s="927">
        <v>2</v>
      </c>
    </row>
    <row r="49" spans="2:20">
      <c r="B49" t="s">
        <v>1261</v>
      </c>
      <c r="D49" t="s">
        <v>4079</v>
      </c>
      <c r="E49" t="s">
        <v>34</v>
      </c>
      <c r="F49" t="s">
        <v>3965</v>
      </c>
      <c r="L49" s="936" t="s">
        <v>17</v>
      </c>
      <c r="Q49" s="63">
        <v>6.2</v>
      </c>
      <c r="R49" s="926" t="s">
        <v>3654</v>
      </c>
      <c r="S49" s="170"/>
      <c r="T49" s="927">
        <v>2</v>
      </c>
    </row>
    <row r="50" spans="2:20">
      <c r="B50" t="s">
        <v>1261</v>
      </c>
      <c r="D50" t="s">
        <v>4080</v>
      </c>
      <c r="E50" t="s">
        <v>370</v>
      </c>
      <c r="F50" t="s">
        <v>3674</v>
      </c>
      <c r="L50" s="312" t="s">
        <v>18</v>
      </c>
      <c r="Q50" s="63">
        <v>20</v>
      </c>
      <c r="R50" s="927" t="s">
        <v>3662</v>
      </c>
    </row>
    <row r="51" spans="2:20">
      <c r="B51" t="s">
        <v>1261</v>
      </c>
      <c r="D51" t="s">
        <v>4081</v>
      </c>
      <c r="E51" t="s">
        <v>341</v>
      </c>
      <c r="F51" t="s">
        <v>4098</v>
      </c>
      <c r="L51" s="936" t="s">
        <v>20</v>
      </c>
      <c r="R51" s="927"/>
    </row>
    <row r="52" spans="2:20">
      <c r="B52" t="s">
        <v>1261</v>
      </c>
      <c r="D52" t="s">
        <v>4082</v>
      </c>
      <c r="E52" t="s">
        <v>3724</v>
      </c>
      <c r="F52" t="s">
        <v>3728</v>
      </c>
      <c r="L52" s="312" t="s">
        <v>205</v>
      </c>
      <c r="R52" s="927"/>
    </row>
    <row r="53" spans="2:20">
      <c r="B53" t="s">
        <v>1261</v>
      </c>
      <c r="D53" t="s">
        <v>4083</v>
      </c>
      <c r="E53" t="s">
        <v>4011</v>
      </c>
      <c r="F53" t="s">
        <v>4018</v>
      </c>
      <c r="L53" s="936" t="s">
        <v>337</v>
      </c>
      <c r="R53" s="927"/>
    </row>
    <row r="54" spans="2:20">
      <c r="B54" t="s">
        <v>1261</v>
      </c>
      <c r="D54" t="s">
        <v>4084</v>
      </c>
      <c r="E54" t="s">
        <v>4012</v>
      </c>
      <c r="F54" t="s">
        <v>4019</v>
      </c>
      <c r="L54" s="312" t="s">
        <v>344</v>
      </c>
      <c r="R54" s="927"/>
    </row>
    <row r="55" spans="2:20">
      <c r="B55" t="s">
        <v>1261</v>
      </c>
      <c r="D55" t="s">
        <v>4085</v>
      </c>
      <c r="E55" t="s">
        <v>202</v>
      </c>
      <c r="F55" t="s">
        <v>4099</v>
      </c>
      <c r="L55" s="936" t="s">
        <v>25</v>
      </c>
      <c r="R55" s="927"/>
    </row>
    <row r="56" spans="2:20">
      <c r="B56" t="s">
        <v>1261</v>
      </c>
      <c r="D56" t="s">
        <v>4086</v>
      </c>
      <c r="E56" t="s">
        <v>42</v>
      </c>
      <c r="F56" t="s">
        <v>4100</v>
      </c>
      <c r="L56" s="937" t="s">
        <v>26</v>
      </c>
      <c r="R56" s="927"/>
    </row>
    <row r="57" spans="2:20">
      <c r="B57" t="s">
        <v>1261</v>
      </c>
      <c r="D57" t="s">
        <v>4087</v>
      </c>
      <c r="E57" t="s">
        <v>3744</v>
      </c>
      <c r="F57" t="s">
        <v>3966</v>
      </c>
      <c r="L57" s="936" t="s">
        <v>27</v>
      </c>
      <c r="Q57" s="63">
        <v>2.2000000000000002</v>
      </c>
      <c r="R57" s="926" t="s">
        <v>3598</v>
      </c>
      <c r="S57" s="926" t="s">
        <v>3594</v>
      </c>
      <c r="T57" s="927">
        <v>2</v>
      </c>
    </row>
    <row r="58" spans="2:20">
      <c r="B58" t="s">
        <v>1261</v>
      </c>
      <c r="D58" t="s">
        <v>4088</v>
      </c>
      <c r="E58" t="s">
        <v>4013</v>
      </c>
      <c r="F58" t="s">
        <v>3967</v>
      </c>
      <c r="L58" s="312" t="s">
        <v>28</v>
      </c>
      <c r="Q58" s="63">
        <v>2.1</v>
      </c>
      <c r="R58" s="926" t="s">
        <v>3611</v>
      </c>
      <c r="S58" s="926" t="s">
        <v>3592</v>
      </c>
      <c r="T58" s="927">
        <v>1</v>
      </c>
    </row>
    <row r="59" spans="2:20">
      <c r="B59" t="s">
        <v>1261</v>
      </c>
      <c r="D59" t="s">
        <v>4089</v>
      </c>
      <c r="E59" t="s">
        <v>129</v>
      </c>
      <c r="F59" t="s">
        <v>4016</v>
      </c>
      <c r="L59" s="936" t="s">
        <v>29</v>
      </c>
      <c r="Q59" s="63">
        <v>2.4</v>
      </c>
      <c r="R59" s="926" t="s">
        <v>3599</v>
      </c>
      <c r="S59" s="926" t="s">
        <v>3666</v>
      </c>
      <c r="T59" s="927">
        <v>1</v>
      </c>
    </row>
    <row r="60" spans="2:20">
      <c r="B60" t="s">
        <v>1261</v>
      </c>
      <c r="D60" t="s">
        <v>4090</v>
      </c>
      <c r="E60" t="s">
        <v>4014</v>
      </c>
      <c r="F60" t="s">
        <v>4015</v>
      </c>
      <c r="L60" s="312" t="s">
        <v>30</v>
      </c>
      <c r="Q60" s="63">
        <v>2.2999999999999998</v>
      </c>
      <c r="R60" s="926" t="s">
        <v>3597</v>
      </c>
      <c r="S60" s="926" t="s">
        <v>3667</v>
      </c>
      <c r="T60" s="927">
        <v>2</v>
      </c>
    </row>
    <row r="61" spans="2:20">
      <c r="B61" t="s">
        <v>1261</v>
      </c>
      <c r="D61" t="s">
        <v>4091</v>
      </c>
      <c r="E61" t="s">
        <v>3714</v>
      </c>
      <c r="F61" t="s">
        <v>3715</v>
      </c>
      <c r="L61" s="936" t="s">
        <v>31</v>
      </c>
      <c r="Q61" s="63">
        <v>11.4</v>
      </c>
      <c r="R61" s="926" t="s">
        <v>3643</v>
      </c>
      <c r="T61" s="927">
        <v>6</v>
      </c>
    </row>
    <row r="62" spans="2:20">
      <c r="L62" s="684" t="s">
        <v>32</v>
      </c>
      <c r="Q62" s="63">
        <v>11.2</v>
      </c>
      <c r="R62" s="926" t="s">
        <v>3641</v>
      </c>
      <c r="T62" s="927">
        <v>6</v>
      </c>
    </row>
    <row r="63" spans="2:20">
      <c r="B63" t="s">
        <v>3831</v>
      </c>
      <c r="C63" t="s">
        <v>3787</v>
      </c>
      <c r="D63" t="s">
        <v>3832</v>
      </c>
      <c r="E63" t="s">
        <v>3781</v>
      </c>
      <c r="F63" s="9" t="s">
        <v>4025</v>
      </c>
      <c r="L63" s="936" t="s">
        <v>705</v>
      </c>
      <c r="Q63" s="63">
        <v>11.1</v>
      </c>
      <c r="R63" s="926" t="s">
        <v>3640</v>
      </c>
      <c r="S63" s="926"/>
      <c r="T63" s="927">
        <v>3</v>
      </c>
    </row>
    <row r="64" spans="2:20">
      <c r="B64" t="s">
        <v>3768</v>
      </c>
      <c r="D64" t="s">
        <v>3833</v>
      </c>
      <c r="E64" t="s">
        <v>3782</v>
      </c>
      <c r="F64" s="9" t="s">
        <v>4026</v>
      </c>
      <c r="L64" s="312" t="s">
        <v>34</v>
      </c>
      <c r="Q64" s="63">
        <v>11.3</v>
      </c>
      <c r="R64" s="926" t="s">
        <v>3642</v>
      </c>
      <c r="T64" s="927">
        <v>6</v>
      </c>
    </row>
    <row r="65" spans="2:20">
      <c r="B65" t="s">
        <v>3768</v>
      </c>
      <c r="D65" t="s">
        <v>3834</v>
      </c>
      <c r="E65" t="s">
        <v>3783</v>
      </c>
      <c r="F65" s="9" t="s">
        <v>4027</v>
      </c>
      <c r="L65" s="936" t="s">
        <v>721</v>
      </c>
      <c r="Q65" s="63">
        <v>3.1</v>
      </c>
      <c r="R65" s="926" t="s">
        <v>3207</v>
      </c>
      <c r="S65" s="926" t="s">
        <v>3593</v>
      </c>
      <c r="T65" s="927">
        <v>1</v>
      </c>
    </row>
    <row r="66" spans="2:20">
      <c r="B66" t="s">
        <v>3768</v>
      </c>
      <c r="D66" t="s">
        <v>3835</v>
      </c>
      <c r="E66" t="s">
        <v>3784</v>
      </c>
      <c r="F66" s="9" t="s">
        <v>4028</v>
      </c>
      <c r="L66" s="312" t="s">
        <v>341</v>
      </c>
      <c r="Q66" s="63">
        <v>5.0999999999999996</v>
      </c>
      <c r="R66" s="926" t="s">
        <v>3612</v>
      </c>
      <c r="S66" s="926"/>
      <c r="T66" s="927">
        <v>2</v>
      </c>
    </row>
    <row r="67" spans="2:20">
      <c r="B67" t="s">
        <v>3768</v>
      </c>
      <c r="D67" t="s">
        <v>3836</v>
      </c>
      <c r="E67" t="s">
        <v>3785</v>
      </c>
      <c r="F67" s="9" t="s">
        <v>4029</v>
      </c>
      <c r="L67" s="938" t="s">
        <v>39</v>
      </c>
      <c r="R67" s="926"/>
      <c r="S67" s="928"/>
    </row>
    <row r="68" spans="2:20">
      <c r="B68" t="s">
        <v>3768</v>
      </c>
      <c r="D68" t="s">
        <v>3837</v>
      </c>
      <c r="E68" s="822" t="s">
        <v>3786</v>
      </c>
      <c r="F68" s="9" t="s">
        <v>4030</v>
      </c>
      <c r="L68" s="312" t="s">
        <v>202</v>
      </c>
      <c r="R68" s="926"/>
      <c r="S68" s="928"/>
    </row>
    <row r="69" spans="2:20">
      <c r="L69" s="936" t="s">
        <v>41</v>
      </c>
      <c r="R69" s="926"/>
      <c r="S69" s="928"/>
    </row>
    <row r="70" spans="2:20">
      <c r="B70" t="s">
        <v>3831</v>
      </c>
      <c r="C70" t="s">
        <v>251</v>
      </c>
      <c r="D70" t="s">
        <v>3862</v>
      </c>
      <c r="E70" t="s">
        <v>3948</v>
      </c>
      <c r="F70" s="9" t="s">
        <v>3949</v>
      </c>
      <c r="L70" s="312" t="s">
        <v>342</v>
      </c>
      <c r="R70" s="926"/>
      <c r="S70" s="928"/>
    </row>
    <row r="71" spans="2:20">
      <c r="B71" t="s">
        <v>3768</v>
      </c>
      <c r="D71" t="s">
        <v>3863</v>
      </c>
      <c r="E71" s="822" t="s">
        <v>3968</v>
      </c>
      <c r="F71" s="9" t="s">
        <v>3969</v>
      </c>
      <c r="L71" s="936" t="s">
        <v>201</v>
      </c>
      <c r="R71" s="926"/>
      <c r="S71" s="928"/>
    </row>
    <row r="72" spans="2:20">
      <c r="B72" t="s">
        <v>3768</v>
      </c>
      <c r="D72" t="s">
        <v>3864</v>
      </c>
      <c r="E72" s="822" t="s">
        <v>3970</v>
      </c>
      <c r="F72" s="9" t="s">
        <v>3950</v>
      </c>
      <c r="L72" s="312" t="s">
        <v>78</v>
      </c>
      <c r="R72" s="926"/>
      <c r="S72" s="928"/>
    </row>
    <row r="73" spans="2:20">
      <c r="B73" t="s">
        <v>3768</v>
      </c>
      <c r="D73" t="s">
        <v>3865</v>
      </c>
      <c r="E73" s="822" t="s">
        <v>3971</v>
      </c>
      <c r="F73" s="9" t="s">
        <v>3972</v>
      </c>
      <c r="R73" s="926"/>
      <c r="S73" s="928"/>
    </row>
    <row r="74" spans="2:20">
      <c r="B74" t="s">
        <v>3768</v>
      </c>
      <c r="D74" t="s">
        <v>3866</v>
      </c>
      <c r="E74" s="822" t="s">
        <v>3973</v>
      </c>
      <c r="F74" s="9" t="s">
        <v>3951</v>
      </c>
      <c r="R74" s="926"/>
      <c r="S74" s="928"/>
    </row>
    <row r="75" spans="2:20">
      <c r="B75" t="s">
        <v>3768</v>
      </c>
      <c r="D75" t="s">
        <v>3867</v>
      </c>
      <c r="E75" s="822" t="s">
        <v>3771</v>
      </c>
      <c r="R75" s="926"/>
      <c r="S75" s="928"/>
    </row>
    <row r="76" spans="2:20">
      <c r="B76" t="s">
        <v>3768</v>
      </c>
      <c r="D76" t="s">
        <v>3868</v>
      </c>
      <c r="E76" s="822" t="s">
        <v>3773</v>
      </c>
      <c r="R76" s="926"/>
      <c r="S76" s="928"/>
    </row>
    <row r="77" spans="2:20">
      <c r="B77" t="s">
        <v>3768</v>
      </c>
      <c r="D77" t="s">
        <v>3869</v>
      </c>
      <c r="E77" s="822" t="s">
        <v>3774</v>
      </c>
      <c r="R77" s="926"/>
      <c r="S77" s="928"/>
    </row>
    <row r="78" spans="2:20">
      <c r="B78" t="s">
        <v>3768</v>
      </c>
      <c r="D78" t="s">
        <v>3870</v>
      </c>
      <c r="E78" s="822" t="s">
        <v>3775</v>
      </c>
      <c r="R78" s="926"/>
      <c r="S78" s="928"/>
    </row>
    <row r="79" spans="2:20">
      <c r="B79" t="s">
        <v>3768</v>
      </c>
      <c r="D79" t="s">
        <v>3871</v>
      </c>
      <c r="E79" s="822" t="s">
        <v>3776</v>
      </c>
      <c r="R79" s="926"/>
      <c r="S79" s="928"/>
    </row>
    <row r="80" spans="2:20">
      <c r="B80" t="s">
        <v>3768</v>
      </c>
      <c r="D80" t="s">
        <v>3872</v>
      </c>
      <c r="E80" s="822" t="s">
        <v>3777</v>
      </c>
      <c r="R80" s="926"/>
      <c r="S80" s="928"/>
    </row>
    <row r="81" spans="2:19">
      <c r="B81" t="s">
        <v>3768</v>
      </c>
      <c r="D81" t="s">
        <v>3873</v>
      </c>
      <c r="E81" s="822" t="s">
        <v>3778</v>
      </c>
      <c r="R81" s="926"/>
      <c r="S81" s="928"/>
    </row>
    <row r="82" spans="2:19">
      <c r="B82" t="s">
        <v>3768</v>
      </c>
      <c r="D82" t="s">
        <v>3874</v>
      </c>
      <c r="E82" s="822" t="s">
        <v>3779</v>
      </c>
      <c r="R82" s="926"/>
      <c r="S82" s="928"/>
    </row>
    <row r="83" spans="2:19">
      <c r="B83" t="s">
        <v>3768</v>
      </c>
      <c r="D83" t="s">
        <v>3875</v>
      </c>
      <c r="E83" s="822" t="s">
        <v>3780</v>
      </c>
      <c r="R83" s="926"/>
      <c r="S83" s="928"/>
    </row>
    <row r="84" spans="2:19">
      <c r="B84" t="s">
        <v>3768</v>
      </c>
      <c r="D84" t="s">
        <v>3876</v>
      </c>
      <c r="E84" t="s">
        <v>3686</v>
      </c>
      <c r="R84" s="926"/>
      <c r="S84" s="928"/>
    </row>
    <row r="85" spans="2:19">
      <c r="B85" t="s">
        <v>3768</v>
      </c>
      <c r="C85" t="s">
        <v>317</v>
      </c>
      <c r="D85" t="s">
        <v>3877</v>
      </c>
      <c r="E85" t="s">
        <v>3841</v>
      </c>
      <c r="R85" s="926"/>
      <c r="S85" s="928"/>
    </row>
    <row r="86" spans="2:19" ht="28.8">
      <c r="B86" t="s">
        <v>3768</v>
      </c>
      <c r="C86" t="s">
        <v>3838</v>
      </c>
      <c r="D86" t="s">
        <v>3944</v>
      </c>
      <c r="E86" t="s">
        <v>3839</v>
      </c>
      <c r="F86" s="9" t="s">
        <v>4031</v>
      </c>
    </row>
    <row r="87" spans="2:19" ht="28.8">
      <c r="B87" t="s">
        <v>3768</v>
      </c>
      <c r="D87" t="s">
        <v>3945</v>
      </c>
      <c r="E87" t="s">
        <v>3840</v>
      </c>
      <c r="F87" s="9" t="s">
        <v>4032</v>
      </c>
      <c r="R87" s="912" t="s">
        <v>3665</v>
      </c>
    </row>
    <row r="88" spans="2:19" ht="28.8">
      <c r="B88" t="s">
        <v>3768</v>
      </c>
      <c r="D88" t="s">
        <v>3946</v>
      </c>
      <c r="E88" t="s">
        <v>3974</v>
      </c>
      <c r="F88" s="9" t="s">
        <v>4033</v>
      </c>
    </row>
    <row r="89" spans="2:19">
      <c r="B89" t="s">
        <v>3768</v>
      </c>
      <c r="C89" t="s">
        <v>3842</v>
      </c>
      <c r="D89" t="s">
        <v>3947</v>
      </c>
      <c r="E89" t="s">
        <v>3975</v>
      </c>
      <c r="F89" s="9" t="s">
        <v>4034</v>
      </c>
    </row>
    <row r="91" spans="2:19">
      <c r="B91" t="s">
        <v>3843</v>
      </c>
      <c r="C91" t="s">
        <v>3599</v>
      </c>
      <c r="D91" t="s">
        <v>3878</v>
      </c>
      <c r="E91" t="s">
        <v>61</v>
      </c>
      <c r="F91" s="9" t="s">
        <v>4035</v>
      </c>
    </row>
    <row r="92" spans="2:19">
      <c r="B92" t="s">
        <v>1269</v>
      </c>
      <c r="D92" t="s">
        <v>3879</v>
      </c>
      <c r="E92" t="s">
        <v>3687</v>
      </c>
      <c r="F92" s="9" t="s">
        <v>4036</v>
      </c>
    </row>
    <row r="93" spans="2:19">
      <c r="B93" t="s">
        <v>1269</v>
      </c>
      <c r="D93" t="s">
        <v>3880</v>
      </c>
      <c r="E93" t="s">
        <v>64</v>
      </c>
      <c r="F93" s="9" t="s">
        <v>4039</v>
      </c>
    </row>
    <row r="94" spans="2:19">
      <c r="B94" t="s">
        <v>1269</v>
      </c>
      <c r="D94" t="s">
        <v>3881</v>
      </c>
      <c r="E94" t="s">
        <v>4042</v>
      </c>
      <c r="F94" s="9" t="s">
        <v>4041</v>
      </c>
    </row>
    <row r="95" spans="2:19">
      <c r="B95" t="s">
        <v>1269</v>
      </c>
      <c r="D95" t="s">
        <v>3882</v>
      </c>
      <c r="E95" t="s">
        <v>4040</v>
      </c>
      <c r="F95" s="9" t="s">
        <v>4043</v>
      </c>
    </row>
    <row r="96" spans="2:19" ht="28.8">
      <c r="B96" t="s">
        <v>1269</v>
      </c>
      <c r="D96" t="s">
        <v>3883</v>
      </c>
      <c r="E96" t="s">
        <v>4046</v>
      </c>
      <c r="F96" s="9" t="s">
        <v>4047</v>
      </c>
    </row>
    <row r="97" spans="2:6">
      <c r="B97" t="s">
        <v>1269</v>
      </c>
      <c r="D97" t="s">
        <v>3884</v>
      </c>
      <c r="E97" t="s">
        <v>4050</v>
      </c>
      <c r="F97" s="9" t="s">
        <v>4044</v>
      </c>
    </row>
    <row r="98" spans="2:6">
      <c r="B98" t="s">
        <v>1269</v>
      </c>
      <c r="D98" t="s">
        <v>3885</v>
      </c>
      <c r="E98" t="s">
        <v>4049</v>
      </c>
      <c r="F98" s="9" t="s">
        <v>4048</v>
      </c>
    </row>
    <row r="99" spans="2:6">
      <c r="B99" t="s">
        <v>1269</v>
      </c>
      <c r="D99" t="s">
        <v>3886</v>
      </c>
      <c r="E99" t="s">
        <v>70</v>
      </c>
      <c r="F99" s="9" t="s">
        <v>4051</v>
      </c>
    </row>
    <row r="100" spans="2:6">
      <c r="B100" t="s">
        <v>1269</v>
      </c>
      <c r="D100" t="s">
        <v>3887</v>
      </c>
      <c r="E100" t="s">
        <v>4052</v>
      </c>
      <c r="F100" s="9" t="s">
        <v>4045</v>
      </c>
    </row>
    <row r="101" spans="2:6">
      <c r="B101" t="s">
        <v>1269</v>
      </c>
      <c r="C101" t="s">
        <v>3597</v>
      </c>
      <c r="D101" t="s">
        <v>3888</v>
      </c>
      <c r="E101" t="s">
        <v>2642</v>
      </c>
      <c r="F101" s="9" t="s">
        <v>4054</v>
      </c>
    </row>
    <row r="102" spans="2:6">
      <c r="B102" t="s">
        <v>1269</v>
      </c>
      <c r="D102" t="s">
        <v>3889</v>
      </c>
      <c r="E102" t="s">
        <v>4053</v>
      </c>
    </row>
    <row r="103" spans="2:6">
      <c r="B103" t="s">
        <v>1269</v>
      </c>
      <c r="D103" t="s">
        <v>3890</v>
      </c>
      <c r="E103" t="s">
        <v>4042</v>
      </c>
      <c r="F103" s="9" t="s">
        <v>4041</v>
      </c>
    </row>
    <row r="104" spans="2:6">
      <c r="B104" t="s">
        <v>1269</v>
      </c>
      <c r="D104" t="s">
        <v>3891</v>
      </c>
      <c r="E104" t="s">
        <v>4040</v>
      </c>
      <c r="F104" s="9" t="s">
        <v>4043</v>
      </c>
    </row>
    <row r="105" spans="2:6">
      <c r="B105" t="s">
        <v>1269</v>
      </c>
      <c r="D105" t="s">
        <v>3892</v>
      </c>
      <c r="E105" t="s">
        <v>4058</v>
      </c>
      <c r="F105" s="9" t="s">
        <v>4055</v>
      </c>
    </row>
    <row r="106" spans="2:6">
      <c r="B106" t="s">
        <v>1269</v>
      </c>
      <c r="D106" t="s">
        <v>3893</v>
      </c>
      <c r="E106" t="s">
        <v>4057</v>
      </c>
      <c r="F106" s="9" t="s">
        <v>4056</v>
      </c>
    </row>
    <row r="107" spans="2:6">
      <c r="B107" t="s">
        <v>1269</v>
      </c>
      <c r="D107" t="s">
        <v>3894</v>
      </c>
      <c r="E107" t="s">
        <v>4059</v>
      </c>
    </row>
    <row r="108" spans="2:6">
      <c r="B108" t="s">
        <v>1269</v>
      </c>
      <c r="D108" t="s">
        <v>3895</v>
      </c>
      <c r="E108" t="s">
        <v>3670</v>
      </c>
      <c r="F108" s="9" t="s">
        <v>6146</v>
      </c>
    </row>
    <row r="109" spans="2:6">
      <c r="B109" t="s">
        <v>1269</v>
      </c>
      <c r="C109" t="s">
        <v>3668</v>
      </c>
      <c r="D109" t="s">
        <v>3896</v>
      </c>
      <c r="E109" s="822" t="s">
        <v>3976</v>
      </c>
      <c r="F109" s="9" t="s">
        <v>4068</v>
      </c>
    </row>
    <row r="110" spans="2:6">
      <c r="B110" t="s">
        <v>1269</v>
      </c>
      <c r="D110" t="s">
        <v>3897</v>
      </c>
      <c r="E110" s="822" t="s">
        <v>4069</v>
      </c>
      <c r="F110" s="9" t="s">
        <v>4071</v>
      </c>
    </row>
    <row r="111" spans="2:6">
      <c r="B111" t="s">
        <v>1269</v>
      </c>
      <c r="D111" t="s">
        <v>3993</v>
      </c>
      <c r="E111" t="s">
        <v>3743</v>
      </c>
      <c r="F111" s="9" t="s">
        <v>3986</v>
      </c>
    </row>
    <row r="112" spans="2:6">
      <c r="B112" t="s">
        <v>1269</v>
      </c>
      <c r="D112" t="s">
        <v>4060</v>
      </c>
      <c r="E112" t="s">
        <v>3977</v>
      </c>
      <c r="F112" s="9" t="s">
        <v>3987</v>
      </c>
    </row>
    <row r="113" spans="2:6">
      <c r="B113" t="s">
        <v>1269</v>
      </c>
      <c r="C113" t="s">
        <v>3669</v>
      </c>
      <c r="D113" t="s">
        <v>4061</v>
      </c>
      <c r="E113" t="s">
        <v>3988</v>
      </c>
      <c r="F113" s="9" t="s">
        <v>3990</v>
      </c>
    </row>
    <row r="114" spans="2:6">
      <c r="B114" t="s">
        <v>1269</v>
      </c>
      <c r="D114" t="s">
        <v>4062</v>
      </c>
      <c r="E114" t="s">
        <v>3688</v>
      </c>
      <c r="F114" s="9" t="s">
        <v>3989</v>
      </c>
    </row>
    <row r="115" spans="2:6">
      <c r="B115" t="s">
        <v>1269</v>
      </c>
      <c r="C115" t="s">
        <v>3709</v>
      </c>
      <c r="D115" t="s">
        <v>4063</v>
      </c>
      <c r="E115" t="s">
        <v>3689</v>
      </c>
      <c r="F115" s="9" t="s">
        <v>3991</v>
      </c>
    </row>
    <row r="116" spans="2:6">
      <c r="B116" t="s">
        <v>1269</v>
      </c>
      <c r="D116" t="s">
        <v>4064</v>
      </c>
      <c r="E116" s="822" t="s">
        <v>3710</v>
      </c>
    </row>
    <row r="117" spans="2:6">
      <c r="B117" t="s">
        <v>1269</v>
      </c>
      <c r="D117" t="s">
        <v>4065</v>
      </c>
      <c r="E117" s="822" t="s">
        <v>3978</v>
      </c>
    </row>
    <row r="118" spans="2:6">
      <c r="B118" t="s">
        <v>1269</v>
      </c>
      <c r="C118" t="s">
        <v>201</v>
      </c>
      <c r="D118" t="s">
        <v>4066</v>
      </c>
      <c r="E118" t="s">
        <v>80</v>
      </c>
    </row>
    <row r="119" spans="2:6" ht="28.8">
      <c r="B119" t="s">
        <v>1269</v>
      </c>
      <c r="C119" t="s">
        <v>3992</v>
      </c>
      <c r="D119" t="s">
        <v>4070</v>
      </c>
      <c r="E119" t="s">
        <v>3994</v>
      </c>
      <c r="F119" s="9" t="s">
        <v>6147</v>
      </c>
    </row>
    <row r="122" spans="2:6">
      <c r="B122" t="s">
        <v>3850</v>
      </c>
      <c r="C122" t="s">
        <v>3851</v>
      </c>
      <c r="D122" s="822" t="s">
        <v>3898</v>
      </c>
      <c r="E122" s="822" t="s">
        <v>3762</v>
      </c>
    </row>
    <row r="123" spans="2:6">
      <c r="B123" t="s">
        <v>1278</v>
      </c>
      <c r="D123" s="822" t="s">
        <v>3899</v>
      </c>
      <c r="E123" s="822" t="s">
        <v>3763</v>
      </c>
    </row>
    <row r="124" spans="2:6">
      <c r="B124" t="s">
        <v>1278</v>
      </c>
      <c r="D124" s="822" t="s">
        <v>3900</v>
      </c>
      <c r="E124" s="822" t="s">
        <v>3764</v>
      </c>
    </row>
    <row r="126" spans="2:6">
      <c r="B126" t="s">
        <v>3852</v>
      </c>
      <c r="C126" t="s">
        <v>82</v>
      </c>
      <c r="D126" t="s">
        <v>3765</v>
      </c>
      <c r="E126" t="s">
        <v>3853</v>
      </c>
      <c r="F126" s="9" t="s">
        <v>3854</v>
      </c>
    </row>
    <row r="127" spans="2:6">
      <c r="B127" t="s">
        <v>3769</v>
      </c>
      <c r="D127" t="s">
        <v>3901</v>
      </c>
      <c r="E127" t="s">
        <v>3849</v>
      </c>
      <c r="F127" s="9" t="s">
        <v>3857</v>
      </c>
    </row>
    <row r="128" spans="2:6">
      <c r="B128" t="s">
        <v>3769</v>
      </c>
      <c r="D128" s="822" t="s">
        <v>3902</v>
      </c>
      <c r="E128" s="822" t="s">
        <v>3706</v>
      </c>
      <c r="F128" s="9" t="s">
        <v>3855</v>
      </c>
    </row>
    <row r="129" spans="2:20">
      <c r="B129" t="s">
        <v>3769</v>
      </c>
      <c r="D129" s="822" t="s">
        <v>3903</v>
      </c>
      <c r="E129" s="822" t="s">
        <v>3707</v>
      </c>
      <c r="F129" s="9" t="s">
        <v>3856</v>
      </c>
    </row>
    <row r="130" spans="2:20">
      <c r="B130" t="s">
        <v>3769</v>
      </c>
      <c r="D130" s="822" t="s">
        <v>3904</v>
      </c>
      <c r="E130" s="822" t="s">
        <v>3708</v>
      </c>
      <c r="F130" s="9" t="s">
        <v>3858</v>
      </c>
    </row>
    <row r="131" spans="2:20">
      <c r="B131" t="s">
        <v>3769</v>
      </c>
      <c r="D131" t="s">
        <v>3905</v>
      </c>
      <c r="E131" t="s">
        <v>46</v>
      </c>
      <c r="F131" s="9" t="s">
        <v>3848</v>
      </c>
    </row>
    <row r="132" spans="2:20">
      <c r="B132" t="s">
        <v>3769</v>
      </c>
      <c r="D132" t="s">
        <v>3906</v>
      </c>
      <c r="E132" t="s">
        <v>3690</v>
      </c>
      <c r="F132" s="9" t="s">
        <v>3848</v>
      </c>
    </row>
    <row r="133" spans="2:20">
      <c r="B133" t="s">
        <v>3769</v>
      </c>
      <c r="D133" t="s">
        <v>3907</v>
      </c>
      <c r="E133" t="s">
        <v>3691</v>
      </c>
      <c r="F133" s="9" t="s">
        <v>4075</v>
      </c>
    </row>
    <row r="134" spans="2:20" ht="28.8">
      <c r="B134" t="s">
        <v>3769</v>
      </c>
      <c r="D134" t="s">
        <v>3908</v>
      </c>
      <c r="E134" t="s">
        <v>165</v>
      </c>
      <c r="F134" s="9" t="s">
        <v>4072</v>
      </c>
    </row>
    <row r="135" spans="2:20">
      <c r="B135" t="s">
        <v>3769</v>
      </c>
      <c r="D135" t="s">
        <v>3909</v>
      </c>
      <c r="E135" t="s">
        <v>3753</v>
      </c>
      <c r="F135" s="9" t="s">
        <v>3754</v>
      </c>
    </row>
    <row r="136" spans="2:20">
      <c r="B136" t="s">
        <v>3769</v>
      </c>
      <c r="D136" t="s">
        <v>3910</v>
      </c>
      <c r="E136" t="s">
        <v>3703</v>
      </c>
      <c r="F136" s="9" t="s">
        <v>4073</v>
      </c>
    </row>
    <row r="137" spans="2:20">
      <c r="B137" t="s">
        <v>3769</v>
      </c>
      <c r="D137" t="s">
        <v>3911</v>
      </c>
      <c r="E137" t="s">
        <v>3859</v>
      </c>
      <c r="F137" s="9" t="s">
        <v>3860</v>
      </c>
    </row>
    <row r="138" spans="2:20" ht="28.8">
      <c r="B138" t="s">
        <v>3769</v>
      </c>
      <c r="D138" t="s">
        <v>3912</v>
      </c>
      <c r="E138" t="s">
        <v>3861</v>
      </c>
      <c r="F138" s="9" t="s">
        <v>4074</v>
      </c>
    </row>
    <row r="139" spans="2:20" ht="28.8">
      <c r="B139" t="s">
        <v>3769</v>
      </c>
      <c r="D139" t="s">
        <v>3913</v>
      </c>
      <c r="E139" t="s">
        <v>3726</v>
      </c>
      <c r="F139" s="9" t="s">
        <v>3979</v>
      </c>
    </row>
    <row r="140" spans="2:20">
      <c r="B140" t="s">
        <v>3769</v>
      </c>
      <c r="D140" t="s">
        <v>3914</v>
      </c>
      <c r="E140" t="s">
        <v>3750</v>
      </c>
      <c r="F140" s="9" t="s">
        <v>3751</v>
      </c>
    </row>
    <row r="141" spans="2:20">
      <c r="B141" t="s">
        <v>3769</v>
      </c>
      <c r="D141" t="s">
        <v>3915</v>
      </c>
      <c r="E141" t="s">
        <v>3262</v>
      </c>
      <c r="F141" s="9" t="s">
        <v>3752</v>
      </c>
      <c r="J141" s="63"/>
      <c r="M141" s="929"/>
      <c r="Q141"/>
      <c r="T141"/>
    </row>
    <row r="142" spans="2:20">
      <c r="B142" t="s">
        <v>3769</v>
      </c>
      <c r="D142" t="s">
        <v>3916</v>
      </c>
      <c r="E142" t="s">
        <v>3756</v>
      </c>
      <c r="F142" s="9" t="s">
        <v>3755</v>
      </c>
    </row>
    <row r="143" spans="2:20">
      <c r="B143" t="s">
        <v>3769</v>
      </c>
      <c r="D143" t="s">
        <v>3917</v>
      </c>
      <c r="E143" t="s">
        <v>3943</v>
      </c>
      <c r="F143" s="9" t="s">
        <v>3980</v>
      </c>
    </row>
    <row r="144" spans="2:20">
      <c r="B144" t="s">
        <v>3769</v>
      </c>
      <c r="D144" t="s">
        <v>3918</v>
      </c>
      <c r="E144" t="s">
        <v>3981</v>
      </c>
      <c r="F144" s="9" t="s">
        <v>6148</v>
      </c>
    </row>
    <row r="145" spans="2:6">
      <c r="B145" t="s">
        <v>3769</v>
      </c>
      <c r="D145" s="822" t="s">
        <v>3919</v>
      </c>
      <c r="E145" s="822" t="s">
        <v>3761</v>
      </c>
    </row>
    <row r="146" spans="2:6">
      <c r="B146" t="s">
        <v>3769</v>
      </c>
      <c r="D146" s="822" t="s">
        <v>3920</v>
      </c>
      <c r="E146" s="822" t="s">
        <v>3982</v>
      </c>
    </row>
    <row r="147" spans="2:6">
      <c r="B147" t="s">
        <v>3769</v>
      </c>
      <c r="C147" t="s">
        <v>3844</v>
      </c>
      <c r="D147" s="822" t="s">
        <v>3921</v>
      </c>
      <c r="E147" s="822" t="s">
        <v>3704</v>
      </c>
    </row>
    <row r="148" spans="2:6">
      <c r="B148" t="s">
        <v>3769</v>
      </c>
      <c r="D148" s="822" t="s">
        <v>3922</v>
      </c>
      <c r="E148" s="822" t="s">
        <v>3705</v>
      </c>
    </row>
    <row r="149" spans="2:6">
      <c r="B149" t="s">
        <v>3769</v>
      </c>
      <c r="D149" s="822" t="s">
        <v>3923</v>
      </c>
      <c r="E149" s="822" t="s">
        <v>3845</v>
      </c>
    </row>
    <row r="151" spans="2:6">
      <c r="B151" t="s">
        <v>6151</v>
      </c>
      <c r="C151" t="s">
        <v>3692</v>
      </c>
      <c r="D151" t="s">
        <v>3924</v>
      </c>
      <c r="E151" t="s">
        <v>3699</v>
      </c>
    </row>
    <row r="152" spans="2:6">
      <c r="B152" t="s">
        <v>1291</v>
      </c>
      <c r="D152" t="s">
        <v>3925</v>
      </c>
      <c r="E152" t="s">
        <v>3693</v>
      </c>
    </row>
    <row r="153" spans="2:6">
      <c r="B153" t="s">
        <v>1291</v>
      </c>
      <c r="D153" t="s">
        <v>3926</v>
      </c>
      <c r="E153" t="s">
        <v>3694</v>
      </c>
    </row>
    <row r="154" spans="2:6">
      <c r="B154" t="s">
        <v>1291</v>
      </c>
      <c r="D154" t="s">
        <v>3927</v>
      </c>
      <c r="E154" t="s">
        <v>154</v>
      </c>
      <c r="F154" s="9" t="s">
        <v>3733</v>
      </c>
    </row>
    <row r="155" spans="2:6">
      <c r="B155" t="s">
        <v>1291</v>
      </c>
      <c r="D155" t="s">
        <v>3928</v>
      </c>
      <c r="E155" t="s">
        <v>3695</v>
      </c>
    </row>
    <row r="156" spans="2:6">
      <c r="B156" t="s">
        <v>1291</v>
      </c>
      <c r="D156" t="s">
        <v>3929</v>
      </c>
      <c r="E156" t="s">
        <v>3846</v>
      </c>
      <c r="F156" s="9" t="s">
        <v>3732</v>
      </c>
    </row>
    <row r="157" spans="2:6">
      <c r="B157" t="s">
        <v>1291</v>
      </c>
      <c r="D157" t="s">
        <v>3930</v>
      </c>
      <c r="E157" t="s">
        <v>3847</v>
      </c>
    </row>
    <row r="158" spans="2:6">
      <c r="B158" t="s">
        <v>1291</v>
      </c>
      <c r="D158" t="s">
        <v>3931</v>
      </c>
      <c r="E158" t="s">
        <v>3698</v>
      </c>
    </row>
    <row r="159" spans="2:6">
      <c r="B159" t="s">
        <v>1291</v>
      </c>
      <c r="D159" t="s">
        <v>3932</v>
      </c>
      <c r="E159" t="s">
        <v>3696</v>
      </c>
    </row>
    <row r="160" spans="2:6">
      <c r="B160" t="s">
        <v>1291</v>
      </c>
      <c r="D160" t="s">
        <v>3933</v>
      </c>
      <c r="E160" t="s">
        <v>3697</v>
      </c>
    </row>
    <row r="161" spans="2:6">
      <c r="B161" t="s">
        <v>1291</v>
      </c>
      <c r="D161" t="s">
        <v>3934</v>
      </c>
      <c r="E161" t="s">
        <v>3757</v>
      </c>
    </row>
    <row r="162" spans="2:6">
      <c r="B162" t="s">
        <v>1291</v>
      </c>
      <c r="C162" t="s">
        <v>3734</v>
      </c>
      <c r="D162" t="s">
        <v>3935</v>
      </c>
      <c r="E162" s="822" t="s">
        <v>3735</v>
      </c>
    </row>
    <row r="163" spans="2:6">
      <c r="B163" t="s">
        <v>1291</v>
      </c>
      <c r="D163" t="s">
        <v>3936</v>
      </c>
      <c r="E163" s="822" t="s">
        <v>3736</v>
      </c>
    </row>
    <row r="164" spans="2:6">
      <c r="B164" t="s">
        <v>1291</v>
      </c>
      <c r="C164" t="s">
        <v>3737</v>
      </c>
      <c r="D164" t="s">
        <v>3937</v>
      </c>
      <c r="E164" s="822" t="s">
        <v>3738</v>
      </c>
      <c r="F164" s="9" t="s">
        <v>3739</v>
      </c>
    </row>
    <row r="165" spans="2:6">
      <c r="B165" t="s">
        <v>1291</v>
      </c>
      <c r="C165" t="s">
        <v>273</v>
      </c>
      <c r="D165" t="s">
        <v>3939</v>
      </c>
      <c r="E165" s="822" t="s">
        <v>3983</v>
      </c>
      <c r="F165" s="9" t="s">
        <v>3984</v>
      </c>
    </row>
    <row r="167" spans="2:6">
      <c r="B167" t="s">
        <v>6137</v>
      </c>
    </row>
    <row r="168" spans="2:6">
      <c r="B168" t="s">
        <v>6138</v>
      </c>
      <c r="C168" t="s">
        <v>3700</v>
      </c>
      <c r="D168" t="s">
        <v>6139</v>
      </c>
      <c r="E168" t="s">
        <v>160</v>
      </c>
      <c r="F168" s="9" t="s">
        <v>6144</v>
      </c>
    </row>
    <row r="169" spans="2:6">
      <c r="B169" t="s">
        <v>6138</v>
      </c>
      <c r="D169" t="s">
        <v>6140</v>
      </c>
      <c r="E169" t="s">
        <v>3701</v>
      </c>
      <c r="F169" s="9" t="s">
        <v>6144</v>
      </c>
    </row>
    <row r="170" spans="2:6">
      <c r="B170" t="s">
        <v>6138</v>
      </c>
      <c r="D170" t="s">
        <v>6141</v>
      </c>
      <c r="E170" t="s">
        <v>271</v>
      </c>
      <c r="F170" s="9" t="s">
        <v>6144</v>
      </c>
    </row>
    <row r="171" spans="2:6">
      <c r="B171" t="s">
        <v>6138</v>
      </c>
      <c r="D171" t="s">
        <v>6142</v>
      </c>
      <c r="E171" t="s">
        <v>6143</v>
      </c>
      <c r="F171" s="9" t="s">
        <v>6144</v>
      </c>
    </row>
    <row r="173" spans="2:6" ht="31.8" customHeight="1">
      <c r="B173" t="s">
        <v>5438</v>
      </c>
      <c r="C173" s="9" t="s">
        <v>3740</v>
      </c>
      <c r="D173" s="9" t="s">
        <v>3952</v>
      </c>
      <c r="E173" t="s">
        <v>5443</v>
      </c>
      <c r="F173" s="922" t="s">
        <v>5447</v>
      </c>
    </row>
    <row r="174" spans="2:6">
      <c r="B174" t="s">
        <v>723</v>
      </c>
      <c r="C174" s="9"/>
      <c r="D174" s="9" t="s">
        <v>3953</v>
      </c>
      <c r="E174" t="s">
        <v>5445</v>
      </c>
      <c r="F174" s="9" t="s">
        <v>5446</v>
      </c>
    </row>
    <row r="175" spans="2:6">
      <c r="B175" t="s">
        <v>723</v>
      </c>
      <c r="D175" s="9" t="s">
        <v>3954</v>
      </c>
      <c r="E175" t="s">
        <v>5439</v>
      </c>
      <c r="F175" s="9" t="s">
        <v>3957</v>
      </c>
    </row>
    <row r="176" spans="2:6">
      <c r="B176" t="s">
        <v>723</v>
      </c>
      <c r="D176" s="9" t="s">
        <v>3955</v>
      </c>
      <c r="E176" t="s">
        <v>5440</v>
      </c>
      <c r="F176" s="9" t="s">
        <v>3958</v>
      </c>
    </row>
    <row r="177" spans="2:9">
      <c r="B177" t="s">
        <v>723</v>
      </c>
      <c r="D177" s="9" t="s">
        <v>3956</v>
      </c>
      <c r="E177" t="s">
        <v>5441</v>
      </c>
      <c r="F177" s="9" t="s">
        <v>3741</v>
      </c>
      <c r="G177" s="922"/>
      <c r="H177" s="922"/>
      <c r="I177" s="922"/>
    </row>
    <row r="178" spans="2:9">
      <c r="B178" t="s">
        <v>723</v>
      </c>
      <c r="D178" s="9" t="s">
        <v>5444</v>
      </c>
      <c r="E178" t="s">
        <v>5442</v>
      </c>
      <c r="F178" s="9" t="s">
        <v>3985</v>
      </c>
    </row>
    <row r="180" spans="2:9">
      <c r="B180" t="s">
        <v>6149</v>
      </c>
    </row>
    <row r="181" spans="2:9">
      <c r="B181" t="s">
        <v>4077</v>
      </c>
    </row>
    <row r="182" spans="2:9">
      <c r="B182" t="s">
        <v>1291</v>
      </c>
    </row>
    <row r="183" spans="2:9">
      <c r="B183" t="s">
        <v>3769</v>
      </c>
    </row>
    <row r="184" spans="2:9">
      <c r="B184" t="s">
        <v>1269</v>
      </c>
    </row>
    <row r="185" spans="2:9">
      <c r="B185" t="s">
        <v>3768</v>
      </c>
    </row>
  </sheetData>
  <sortState xmlns:xlrd2="http://schemas.microsoft.com/office/spreadsheetml/2017/richdata2" ref="E4:F61">
    <sortCondition ref="E4:E61"/>
  </sortState>
  <mergeCells count="1">
    <mergeCell ref="Q2:R2"/>
  </mergeCells>
  <phoneticPr fontId="8" type="noConversion"/>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5</vt:i4>
      </vt:variant>
    </vt:vector>
  </HeadingPairs>
  <TitlesOfParts>
    <vt:vector size="38" baseType="lpstr">
      <vt:lpstr>Evaluation</vt:lpstr>
      <vt:lpstr>Contents</vt:lpstr>
      <vt:lpstr>General_Information</vt:lpstr>
      <vt:lpstr>Menu_Layout</vt:lpstr>
      <vt:lpstr>UI_Comments</vt:lpstr>
      <vt:lpstr>Master</vt:lpstr>
      <vt:lpstr>Stakeholder</vt:lpstr>
      <vt:lpstr>WPS_BQ_Desp</vt:lpstr>
      <vt:lpstr>Asset_Mgm</vt:lpstr>
      <vt:lpstr>Finance_Accounts</vt:lpstr>
      <vt:lpstr>Table_Sample</vt:lpstr>
      <vt:lpstr>Doc_Print_Copy</vt:lpstr>
      <vt:lpstr>Cutomer_UF</vt:lpstr>
      <vt:lpstr>Cost_Centre</vt:lpstr>
      <vt:lpstr>Work_Schedule</vt:lpstr>
      <vt:lpstr>Purchase_Doc</vt:lpstr>
      <vt:lpstr>Material_Management</vt:lpstr>
      <vt:lpstr>Human_Resources</vt:lpstr>
      <vt:lpstr>Site_manangement</vt:lpstr>
      <vt:lpstr>Project_Cost_Management</vt:lpstr>
      <vt:lpstr>Contractor_Management</vt:lpstr>
      <vt:lpstr>Defination</vt:lpstr>
      <vt:lpstr>Sample_Data</vt:lpstr>
      <vt:lpstr>Business_Rule</vt:lpstr>
      <vt:lpstr>General_Userform</vt:lpstr>
      <vt:lpstr>Report</vt:lpstr>
      <vt:lpstr>Sub_Menu</vt:lpstr>
      <vt:lpstr>Task</vt:lpstr>
      <vt:lpstr>Observation_Inprovement</vt:lpstr>
      <vt:lpstr>Marketing</vt:lpstr>
      <vt:lpstr>SChedule_A_B</vt:lpstr>
      <vt:lpstr>Account_Class_Chart</vt:lpstr>
      <vt:lpstr>Master_Menu</vt:lpstr>
      <vt:lpstr>Account_Classification</vt:lpstr>
      <vt:lpstr>Group_List_Purchase_Doc</vt:lpstr>
      <vt:lpstr>Grouping_List_CCM</vt:lpstr>
      <vt:lpstr>Grouping_List_HRM</vt:lpstr>
      <vt:lpstr>SMS_Group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Mr K.Vethamuthu</dc:creator>
  <cp:keywords/>
  <dc:description/>
  <cp:lastModifiedBy>Vethamuthu Kolandasamy</cp:lastModifiedBy>
  <cp:revision/>
  <cp:lastPrinted>2026-05-18T03:43:31Z</cp:lastPrinted>
  <dcterms:created xsi:type="dcterms:W3CDTF">2022-03-17T02:33:00Z</dcterms:created>
  <dcterms:modified xsi:type="dcterms:W3CDTF">2026-08-07T00:36:16Z</dcterms:modified>
  <cp:category/>
  <cp:contentStatus/>
</cp:coreProperties>
</file>